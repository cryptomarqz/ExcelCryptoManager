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ryptoMarqz\Documents\"/>
    </mc:Choice>
  </mc:AlternateContent>
  <bookViews>
    <workbookView xWindow="0" yWindow="0" windowWidth="21570" windowHeight="8160"/>
  </bookViews>
  <sheets>
    <sheet name="MyPortfolio" sheetId="2" r:id="rId1"/>
    <sheet name="DataSource" sheetId="1" r:id="rId2"/>
    <sheet name="Tracker_History" sheetId="3" r:id="rId3"/>
  </sheets>
  <definedNames>
    <definedName name="_xlnm._FilterDatabase" localSheetId="1" hidden="1">DataSource!$B$4:$O$1173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1" i="2" l="1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10" i="2"/>
  <c r="R25" i="2"/>
  <c r="R26" i="2"/>
  <c r="R27" i="2"/>
  <c r="R28" i="2"/>
  <c r="R29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48" i="3"/>
  <c r="I3249" i="3"/>
  <c r="I3250" i="3"/>
  <c r="I3251" i="3"/>
  <c r="I3252" i="3"/>
  <c r="I3253" i="3"/>
  <c r="I3254" i="3"/>
  <c r="I3255" i="3"/>
  <c r="I3256" i="3"/>
  <c r="I3257" i="3"/>
  <c r="I3258" i="3"/>
  <c r="I3259" i="3"/>
  <c r="I3260" i="3"/>
  <c r="I3261" i="3"/>
  <c r="I3262" i="3"/>
  <c r="I3263" i="3"/>
  <c r="I3264" i="3"/>
  <c r="I3265" i="3"/>
  <c r="I3266" i="3"/>
  <c r="I3267" i="3"/>
  <c r="I3268" i="3"/>
  <c r="I3269" i="3"/>
  <c r="I3270" i="3"/>
  <c r="I3271" i="3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88" i="3"/>
  <c r="I3289" i="3"/>
  <c r="I3290" i="3"/>
  <c r="I3291" i="3"/>
  <c r="I3292" i="3"/>
  <c r="I3293" i="3"/>
  <c r="I3294" i="3"/>
  <c r="I3295" i="3"/>
  <c r="I3296" i="3"/>
  <c r="I3297" i="3"/>
  <c r="I3298" i="3"/>
  <c r="I3299" i="3"/>
  <c r="I3300" i="3"/>
  <c r="I3301" i="3"/>
  <c r="I3302" i="3"/>
  <c r="I3303" i="3"/>
  <c r="I3304" i="3"/>
  <c r="I3305" i="3"/>
  <c r="I3306" i="3"/>
  <c r="I3307" i="3"/>
  <c r="I3308" i="3"/>
  <c r="I3309" i="3"/>
  <c r="I3310" i="3"/>
  <c r="I3311" i="3"/>
  <c r="I3312" i="3"/>
  <c r="I3313" i="3"/>
  <c r="I3314" i="3"/>
  <c r="I3315" i="3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32" i="3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52" i="3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76" i="3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98" i="3"/>
  <c r="I3399" i="3"/>
  <c r="I3400" i="3"/>
  <c r="I3401" i="3"/>
  <c r="I3402" i="3"/>
  <c r="I3403" i="3"/>
  <c r="I3404" i="3"/>
  <c r="I3405" i="3"/>
  <c r="I3406" i="3"/>
  <c r="I3407" i="3"/>
  <c r="I3408" i="3"/>
  <c r="I3409" i="3"/>
  <c r="I3410" i="3"/>
  <c r="I3411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59" i="3"/>
  <c r="I3460" i="3"/>
  <c r="I3461" i="3"/>
  <c r="I3462" i="3"/>
  <c r="I3463" i="3"/>
  <c r="I3464" i="3"/>
  <c r="I3465" i="3"/>
  <c r="I3466" i="3"/>
  <c r="I3467" i="3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671" i="3"/>
  <c r="I3672" i="3"/>
  <c r="I3673" i="3"/>
  <c r="I3674" i="3"/>
  <c r="I3675" i="3"/>
  <c r="I3676" i="3"/>
  <c r="I3677" i="3"/>
  <c r="I3678" i="3"/>
  <c r="I3679" i="3"/>
  <c r="I3680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713" i="3"/>
  <c r="I3714" i="3"/>
  <c r="I3715" i="3"/>
  <c r="I3716" i="3"/>
  <c r="I3717" i="3"/>
  <c r="I3718" i="3"/>
  <c r="I3719" i="3"/>
  <c r="I3720" i="3"/>
  <c r="I3721" i="3"/>
  <c r="I3722" i="3"/>
  <c r="I3723" i="3"/>
  <c r="I3724" i="3"/>
  <c r="I3725" i="3"/>
  <c r="I3726" i="3"/>
  <c r="I3727" i="3"/>
  <c r="I3728" i="3"/>
  <c r="I3729" i="3"/>
  <c r="I3730" i="3"/>
  <c r="I3731" i="3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1" i="3"/>
  <c r="I3782" i="3"/>
  <c r="I3783" i="3"/>
  <c r="I3784" i="3"/>
  <c r="I3785" i="3"/>
  <c r="I3786" i="3"/>
  <c r="I3787" i="3"/>
  <c r="I3788" i="3"/>
  <c r="I3789" i="3"/>
  <c r="I3790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831" i="3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2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886" i="3"/>
  <c r="I3887" i="3"/>
  <c r="I3888" i="3"/>
  <c r="I3889" i="3"/>
  <c r="I3890" i="3"/>
  <c r="I3891" i="3"/>
  <c r="I3892" i="3"/>
  <c r="I3893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918" i="3"/>
  <c r="I3919" i="3"/>
  <c r="I3920" i="3"/>
  <c r="I3921" i="3"/>
  <c r="I3922" i="3"/>
  <c r="I3923" i="3"/>
  <c r="I3924" i="3"/>
  <c r="I3925" i="3"/>
  <c r="I3926" i="3"/>
  <c r="I3927" i="3"/>
  <c r="I3928" i="3"/>
  <c r="I3929" i="3"/>
  <c r="I3930" i="3"/>
  <c r="I3931" i="3"/>
  <c r="I3932" i="3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47" i="3"/>
  <c r="I3948" i="3"/>
  <c r="I3949" i="3"/>
  <c r="I3950" i="3"/>
  <c r="I3951" i="3"/>
  <c r="I3952" i="3"/>
  <c r="I3953" i="3"/>
  <c r="I3954" i="3"/>
  <c r="I3955" i="3"/>
  <c r="I3956" i="3"/>
  <c r="I3957" i="3"/>
  <c r="I3958" i="3"/>
  <c r="I3959" i="3"/>
  <c r="I3960" i="3"/>
  <c r="I3961" i="3"/>
  <c r="I3962" i="3"/>
  <c r="I3963" i="3"/>
  <c r="I3964" i="3"/>
  <c r="I3965" i="3"/>
  <c r="I3966" i="3"/>
  <c r="I3967" i="3"/>
  <c r="I3968" i="3"/>
  <c r="I3969" i="3"/>
  <c r="I3970" i="3"/>
  <c r="I3971" i="3"/>
  <c r="I3972" i="3"/>
  <c r="I3973" i="3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91" i="3"/>
  <c r="I3992" i="3"/>
  <c r="I3993" i="3"/>
  <c r="I3994" i="3"/>
  <c r="I3995" i="3"/>
  <c r="I3996" i="3"/>
  <c r="I3997" i="3"/>
  <c r="I3998" i="3"/>
  <c r="I3999" i="3"/>
  <c r="I4000" i="3"/>
  <c r="I4001" i="3"/>
  <c r="I4002" i="3"/>
  <c r="I4003" i="3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4031" i="3"/>
  <c r="I4032" i="3"/>
  <c r="I4033" i="3"/>
  <c r="I4034" i="3"/>
  <c r="I4035" i="3"/>
  <c r="I4036" i="3"/>
  <c r="I4037" i="3"/>
  <c r="I4038" i="3"/>
  <c r="I4039" i="3"/>
  <c r="I4040" i="3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57" i="3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73" i="3"/>
  <c r="I4074" i="3"/>
  <c r="I4075" i="3"/>
  <c r="I4076" i="3"/>
  <c r="I4077" i="3"/>
  <c r="I4078" i="3"/>
  <c r="I4079" i="3"/>
  <c r="I4080" i="3"/>
  <c r="I4081" i="3"/>
  <c r="I4082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105" i="3"/>
  <c r="I4106" i="3"/>
  <c r="I4107" i="3"/>
  <c r="I4108" i="3"/>
  <c r="I4109" i="3"/>
  <c r="I4110" i="3"/>
  <c r="I4111" i="3"/>
  <c r="I4112" i="3"/>
  <c r="I4113" i="3"/>
  <c r="I4114" i="3"/>
  <c r="I4115" i="3"/>
  <c r="I4116" i="3"/>
  <c r="I4117" i="3"/>
  <c r="I4118" i="3"/>
  <c r="I4119" i="3"/>
  <c r="I4120" i="3"/>
  <c r="I4121" i="3"/>
  <c r="I4122" i="3"/>
  <c r="I4123" i="3"/>
  <c r="I4124" i="3"/>
  <c r="I4125" i="3"/>
  <c r="I4126" i="3"/>
  <c r="I4127" i="3"/>
  <c r="I4128" i="3"/>
  <c r="I4129" i="3"/>
  <c r="I4130" i="3"/>
  <c r="I4131" i="3"/>
  <c r="I4132" i="3"/>
  <c r="I4133" i="3"/>
  <c r="I4134" i="3"/>
  <c r="I4135" i="3"/>
  <c r="I4136" i="3"/>
  <c r="I4137" i="3"/>
  <c r="I4138" i="3"/>
  <c r="I4139" i="3"/>
  <c r="I4140" i="3"/>
  <c r="I4141" i="3"/>
  <c r="I4142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65" i="3"/>
  <c r="I4166" i="3"/>
  <c r="I4167" i="3"/>
  <c r="I4168" i="3"/>
  <c r="I4169" i="3"/>
  <c r="I4170" i="3"/>
  <c r="I4171" i="3"/>
  <c r="I4172" i="3"/>
  <c r="I4173" i="3"/>
  <c r="I4174" i="3"/>
  <c r="I4175" i="3"/>
  <c r="I4176" i="3"/>
  <c r="I4177" i="3"/>
  <c r="I4178" i="3"/>
  <c r="I4179" i="3"/>
  <c r="I4180" i="3"/>
  <c r="I4181" i="3"/>
  <c r="I4182" i="3"/>
  <c r="I4183" i="3"/>
  <c r="I4184" i="3"/>
  <c r="I4185" i="3"/>
  <c r="I4186" i="3"/>
  <c r="I4187" i="3"/>
  <c r="I4188" i="3"/>
  <c r="I4189" i="3"/>
  <c r="I4190" i="3"/>
  <c r="I4191" i="3"/>
  <c r="I4192" i="3"/>
  <c r="I4193" i="3"/>
  <c r="I4194" i="3"/>
  <c r="I4195" i="3"/>
  <c r="I4196" i="3"/>
  <c r="I4197" i="3"/>
  <c r="I4198" i="3"/>
  <c r="I4199" i="3"/>
  <c r="I4200" i="3"/>
  <c r="I4201" i="3"/>
  <c r="I4202" i="3"/>
  <c r="I4203" i="3"/>
  <c r="I4204" i="3"/>
  <c r="I4205" i="3"/>
  <c r="I4206" i="3"/>
  <c r="I4207" i="3"/>
  <c r="I4208" i="3"/>
  <c r="I4209" i="3"/>
  <c r="I4210" i="3"/>
  <c r="I4211" i="3"/>
  <c r="I4212" i="3"/>
  <c r="I4213" i="3"/>
  <c r="I4214" i="3"/>
  <c r="I4215" i="3"/>
  <c r="I4216" i="3"/>
  <c r="I4217" i="3"/>
  <c r="I4218" i="3"/>
  <c r="I4219" i="3"/>
  <c r="I4220" i="3"/>
  <c r="I4221" i="3"/>
  <c r="I4222" i="3"/>
  <c r="I4223" i="3"/>
  <c r="I4224" i="3"/>
  <c r="I4225" i="3"/>
  <c r="I4226" i="3"/>
  <c r="I4227" i="3"/>
  <c r="I4228" i="3"/>
  <c r="I4229" i="3"/>
  <c r="I4230" i="3"/>
  <c r="I4231" i="3"/>
  <c r="I4232" i="3"/>
  <c r="I4233" i="3"/>
  <c r="I4234" i="3"/>
  <c r="I4235" i="3"/>
  <c r="I4236" i="3"/>
  <c r="I4237" i="3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52" i="3"/>
  <c r="I4253" i="3"/>
  <c r="I4254" i="3"/>
  <c r="I4255" i="3"/>
  <c r="I4256" i="3"/>
  <c r="I4257" i="3"/>
  <c r="I4258" i="3"/>
  <c r="I4259" i="3"/>
  <c r="I4260" i="3"/>
  <c r="I4261" i="3"/>
  <c r="I4262" i="3"/>
  <c r="I4263" i="3"/>
  <c r="I4264" i="3"/>
  <c r="I4265" i="3"/>
  <c r="I4266" i="3"/>
  <c r="I4267" i="3"/>
  <c r="I4268" i="3"/>
  <c r="I4269" i="3"/>
  <c r="I4270" i="3"/>
  <c r="I4271" i="3"/>
  <c r="I4272" i="3"/>
  <c r="I4273" i="3"/>
  <c r="I4274" i="3"/>
  <c r="I4275" i="3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622" i="3"/>
  <c r="I4623" i="3"/>
  <c r="I4624" i="3"/>
  <c r="I4625" i="3"/>
  <c r="I4626" i="3"/>
  <c r="I4627" i="3"/>
  <c r="I4628" i="3"/>
  <c r="I4629" i="3"/>
  <c r="I4630" i="3"/>
  <c r="I4631" i="3"/>
  <c r="I4632" i="3"/>
  <c r="I4633" i="3"/>
  <c r="I4634" i="3"/>
  <c r="I4635" i="3"/>
  <c r="I4636" i="3"/>
  <c r="I4637" i="3"/>
  <c r="I4638" i="3"/>
  <c r="I4639" i="3"/>
  <c r="I4640" i="3"/>
  <c r="I4641" i="3"/>
  <c r="I4642" i="3"/>
  <c r="I4643" i="3"/>
  <c r="I4644" i="3"/>
  <c r="I4645" i="3"/>
  <c r="I4646" i="3"/>
  <c r="I4647" i="3"/>
  <c r="I4648" i="3"/>
  <c r="I4649" i="3"/>
  <c r="I4650" i="3"/>
  <c r="I4651" i="3"/>
  <c r="I4652" i="3"/>
  <c r="I4653" i="3"/>
  <c r="I4654" i="3"/>
  <c r="I4655" i="3"/>
  <c r="I4656" i="3"/>
  <c r="I4657" i="3"/>
  <c r="I4658" i="3"/>
  <c r="I4659" i="3"/>
  <c r="I4660" i="3"/>
  <c r="I4661" i="3"/>
  <c r="I4662" i="3"/>
  <c r="I4663" i="3"/>
  <c r="I4664" i="3"/>
  <c r="I4665" i="3"/>
  <c r="I4666" i="3"/>
  <c r="I4667" i="3"/>
  <c r="I4668" i="3"/>
  <c r="I4669" i="3"/>
  <c r="I4670" i="3"/>
  <c r="I4671" i="3"/>
  <c r="I4672" i="3"/>
  <c r="I4673" i="3"/>
  <c r="I4674" i="3"/>
  <c r="I4675" i="3"/>
  <c r="I4676" i="3"/>
  <c r="I4677" i="3"/>
  <c r="I4678" i="3"/>
  <c r="I4679" i="3"/>
  <c r="I4680" i="3"/>
  <c r="I4681" i="3"/>
  <c r="I4682" i="3"/>
  <c r="I4683" i="3"/>
  <c r="I4684" i="3"/>
  <c r="I4685" i="3"/>
  <c r="I4686" i="3"/>
  <c r="I4687" i="3"/>
  <c r="I4688" i="3"/>
  <c r="I4689" i="3"/>
  <c r="I4690" i="3"/>
  <c r="I4691" i="3"/>
  <c r="I4692" i="3"/>
  <c r="I4693" i="3"/>
  <c r="I4694" i="3"/>
  <c r="I4695" i="3"/>
  <c r="I4696" i="3"/>
  <c r="I4697" i="3"/>
  <c r="I4698" i="3"/>
  <c r="I4699" i="3"/>
  <c r="I4700" i="3"/>
  <c r="I4701" i="3"/>
  <c r="I4702" i="3"/>
  <c r="I4703" i="3"/>
  <c r="I4704" i="3"/>
  <c r="I4705" i="3"/>
  <c r="I4706" i="3"/>
  <c r="I4707" i="3"/>
  <c r="I4708" i="3"/>
  <c r="I4709" i="3"/>
  <c r="I4710" i="3"/>
  <c r="I4711" i="3"/>
  <c r="I4712" i="3"/>
  <c r="I4713" i="3"/>
  <c r="I4714" i="3"/>
  <c r="I4715" i="3"/>
  <c r="I4716" i="3"/>
  <c r="I4717" i="3"/>
  <c r="I4718" i="3"/>
  <c r="I4719" i="3"/>
  <c r="I4720" i="3"/>
  <c r="I4721" i="3"/>
  <c r="I4722" i="3"/>
  <c r="I4723" i="3"/>
  <c r="I4724" i="3"/>
  <c r="I4725" i="3"/>
  <c r="I4726" i="3"/>
  <c r="I4727" i="3"/>
  <c r="I4728" i="3"/>
  <c r="I4729" i="3"/>
  <c r="I4730" i="3"/>
  <c r="I4731" i="3"/>
  <c r="I4732" i="3"/>
  <c r="I4733" i="3"/>
  <c r="I4734" i="3"/>
  <c r="I4735" i="3"/>
  <c r="I4736" i="3"/>
  <c r="I4737" i="3"/>
  <c r="I4738" i="3"/>
  <c r="I4739" i="3"/>
  <c r="I4740" i="3"/>
  <c r="I4741" i="3"/>
  <c r="I4742" i="3"/>
  <c r="I4743" i="3"/>
  <c r="I4744" i="3"/>
  <c r="I4745" i="3"/>
  <c r="I4746" i="3"/>
  <c r="I4747" i="3"/>
  <c r="I4748" i="3"/>
  <c r="I4749" i="3"/>
  <c r="I4750" i="3"/>
  <c r="I4751" i="3"/>
  <c r="I4752" i="3"/>
  <c r="I4753" i="3"/>
  <c r="I4754" i="3"/>
  <c r="I4755" i="3"/>
  <c r="I4756" i="3"/>
  <c r="I4757" i="3"/>
  <c r="I4758" i="3"/>
  <c r="I4759" i="3"/>
  <c r="I4760" i="3"/>
  <c r="I4761" i="3"/>
  <c r="I4762" i="3"/>
  <c r="I4763" i="3"/>
  <c r="I4764" i="3"/>
  <c r="I4765" i="3"/>
  <c r="I4766" i="3"/>
  <c r="I4767" i="3"/>
  <c r="I4768" i="3"/>
  <c r="I4769" i="3"/>
  <c r="I4770" i="3"/>
  <c r="I4771" i="3"/>
  <c r="I4772" i="3"/>
  <c r="I4773" i="3"/>
  <c r="I4774" i="3"/>
  <c r="I4775" i="3"/>
  <c r="I4776" i="3"/>
  <c r="I4777" i="3"/>
  <c r="I4778" i="3"/>
  <c r="I4779" i="3"/>
  <c r="I4780" i="3"/>
  <c r="I4781" i="3"/>
  <c r="I4782" i="3"/>
  <c r="I4783" i="3"/>
  <c r="I4784" i="3"/>
  <c r="I4785" i="3"/>
  <c r="I4786" i="3"/>
  <c r="I4787" i="3"/>
  <c r="I4788" i="3"/>
  <c r="I4789" i="3"/>
  <c r="I4790" i="3"/>
  <c r="I4791" i="3"/>
  <c r="I4792" i="3"/>
  <c r="I4793" i="3"/>
  <c r="I4794" i="3"/>
  <c r="I4795" i="3"/>
  <c r="I4796" i="3"/>
  <c r="I4797" i="3"/>
  <c r="I4798" i="3"/>
  <c r="I4799" i="3"/>
  <c r="I4800" i="3"/>
  <c r="I4801" i="3"/>
  <c r="I4802" i="3"/>
  <c r="I4803" i="3"/>
  <c r="I4804" i="3"/>
  <c r="I4805" i="3"/>
  <c r="I4806" i="3"/>
  <c r="I4807" i="3"/>
  <c r="I4808" i="3"/>
  <c r="I4809" i="3"/>
  <c r="I4810" i="3"/>
  <c r="I4811" i="3"/>
  <c r="I4812" i="3"/>
  <c r="I4813" i="3"/>
  <c r="I4814" i="3"/>
  <c r="I4815" i="3"/>
  <c r="I4816" i="3"/>
  <c r="I4817" i="3"/>
  <c r="I4818" i="3"/>
  <c r="I4819" i="3"/>
  <c r="I4820" i="3"/>
  <c r="I4821" i="3"/>
  <c r="I4822" i="3"/>
  <c r="I4823" i="3"/>
  <c r="I4824" i="3"/>
  <c r="I4825" i="3"/>
  <c r="I4826" i="3"/>
  <c r="I4827" i="3"/>
  <c r="I4828" i="3"/>
  <c r="I4829" i="3"/>
  <c r="I4830" i="3"/>
  <c r="I4831" i="3"/>
  <c r="I4832" i="3"/>
  <c r="I4833" i="3"/>
  <c r="I4834" i="3"/>
  <c r="I4835" i="3"/>
  <c r="I4836" i="3"/>
  <c r="I4837" i="3"/>
  <c r="I4838" i="3"/>
  <c r="I4839" i="3"/>
  <c r="I4840" i="3"/>
  <c r="I4841" i="3"/>
  <c r="I4842" i="3"/>
  <c r="I4843" i="3"/>
  <c r="I4844" i="3"/>
  <c r="I4845" i="3"/>
  <c r="I4846" i="3"/>
  <c r="I4847" i="3"/>
  <c r="I4848" i="3"/>
  <c r="I4849" i="3"/>
  <c r="I4850" i="3"/>
  <c r="I4851" i="3"/>
  <c r="I4852" i="3"/>
  <c r="I4853" i="3"/>
  <c r="I4854" i="3"/>
  <c r="I4855" i="3"/>
  <c r="I4856" i="3"/>
  <c r="I4857" i="3"/>
  <c r="I4858" i="3"/>
  <c r="I4859" i="3"/>
  <c r="I4860" i="3"/>
  <c r="I4861" i="3"/>
  <c r="I4862" i="3"/>
  <c r="I4863" i="3"/>
  <c r="I4864" i="3"/>
  <c r="I4865" i="3"/>
  <c r="I4866" i="3"/>
  <c r="I4867" i="3"/>
  <c r="I4868" i="3"/>
  <c r="I4869" i="3"/>
  <c r="I4870" i="3"/>
  <c r="I4871" i="3"/>
  <c r="I4872" i="3"/>
  <c r="I4873" i="3"/>
  <c r="I4874" i="3"/>
  <c r="I4875" i="3"/>
  <c r="I4876" i="3"/>
  <c r="I4877" i="3"/>
  <c r="I4878" i="3"/>
  <c r="I4879" i="3"/>
  <c r="I4880" i="3"/>
  <c r="I4881" i="3"/>
  <c r="I4882" i="3"/>
  <c r="I4883" i="3"/>
  <c r="I4884" i="3"/>
  <c r="I4885" i="3"/>
  <c r="I4886" i="3"/>
  <c r="I4887" i="3"/>
  <c r="I4888" i="3"/>
  <c r="I4889" i="3"/>
  <c r="I4890" i="3"/>
  <c r="I4891" i="3"/>
  <c r="I4892" i="3"/>
  <c r="I4893" i="3"/>
  <c r="I4894" i="3"/>
  <c r="I4895" i="3"/>
  <c r="I4896" i="3"/>
  <c r="I4897" i="3"/>
  <c r="I4898" i="3"/>
  <c r="I4899" i="3"/>
  <c r="I4900" i="3"/>
  <c r="I4901" i="3"/>
  <c r="I4902" i="3"/>
  <c r="I4903" i="3"/>
  <c r="I4904" i="3"/>
  <c r="I4905" i="3"/>
  <c r="I4906" i="3"/>
  <c r="I4907" i="3"/>
  <c r="I4908" i="3"/>
  <c r="I4909" i="3"/>
  <c r="I4910" i="3"/>
  <c r="I4911" i="3"/>
  <c r="I4912" i="3"/>
  <c r="I4913" i="3"/>
  <c r="I4914" i="3"/>
  <c r="I4915" i="3"/>
  <c r="I4916" i="3"/>
  <c r="I4917" i="3"/>
  <c r="I4918" i="3"/>
  <c r="I4919" i="3"/>
  <c r="I4920" i="3"/>
  <c r="I4921" i="3"/>
  <c r="I4922" i="3"/>
  <c r="I4923" i="3"/>
  <c r="I4924" i="3"/>
  <c r="I4925" i="3"/>
  <c r="I4926" i="3"/>
  <c r="I4927" i="3"/>
  <c r="I4928" i="3"/>
  <c r="I4929" i="3"/>
  <c r="I4930" i="3"/>
  <c r="I4931" i="3"/>
  <c r="I4932" i="3"/>
  <c r="I4933" i="3"/>
  <c r="I4934" i="3"/>
  <c r="I4935" i="3"/>
  <c r="I4936" i="3"/>
  <c r="I4937" i="3"/>
  <c r="I4938" i="3"/>
  <c r="I4939" i="3"/>
  <c r="I4940" i="3"/>
  <c r="I4941" i="3"/>
  <c r="I4942" i="3"/>
  <c r="I4943" i="3"/>
  <c r="I4944" i="3"/>
  <c r="I4945" i="3"/>
  <c r="I4946" i="3"/>
  <c r="I4947" i="3"/>
  <c r="I4948" i="3"/>
  <c r="I4949" i="3"/>
  <c r="I4950" i="3"/>
  <c r="I4951" i="3"/>
  <c r="I4952" i="3"/>
  <c r="I4953" i="3"/>
  <c r="I4954" i="3"/>
  <c r="I4955" i="3"/>
  <c r="I4956" i="3"/>
  <c r="I4957" i="3"/>
  <c r="I4958" i="3"/>
  <c r="I4959" i="3"/>
  <c r="I4960" i="3"/>
  <c r="I4961" i="3"/>
  <c r="I4962" i="3"/>
  <c r="I4963" i="3"/>
  <c r="I4964" i="3"/>
  <c r="I4965" i="3"/>
  <c r="I4966" i="3"/>
  <c r="I4967" i="3"/>
  <c r="I4968" i="3"/>
  <c r="I4969" i="3"/>
  <c r="I4970" i="3"/>
  <c r="I4971" i="3"/>
  <c r="I4972" i="3"/>
  <c r="I4973" i="3"/>
  <c r="I4974" i="3"/>
  <c r="I4975" i="3"/>
  <c r="I4976" i="3"/>
  <c r="I4977" i="3"/>
  <c r="I4978" i="3"/>
  <c r="I4979" i="3"/>
  <c r="I4980" i="3"/>
  <c r="I4981" i="3"/>
  <c r="I4982" i="3"/>
  <c r="I4983" i="3"/>
  <c r="I4984" i="3"/>
  <c r="I4985" i="3"/>
  <c r="I4986" i="3"/>
  <c r="I4987" i="3"/>
  <c r="I4988" i="3"/>
  <c r="I4989" i="3"/>
  <c r="I4990" i="3"/>
  <c r="I4991" i="3"/>
  <c r="I4992" i="3"/>
  <c r="I4993" i="3"/>
  <c r="I4994" i="3"/>
  <c r="I4995" i="3"/>
  <c r="I4996" i="3"/>
  <c r="I4997" i="3"/>
  <c r="I4998" i="3"/>
  <c r="I4999" i="3"/>
  <c r="I5000" i="3"/>
  <c r="I5001" i="3"/>
  <c r="I5002" i="3"/>
  <c r="I5003" i="3"/>
  <c r="I5004" i="3"/>
  <c r="I5005" i="3"/>
  <c r="I5006" i="3"/>
  <c r="I5007" i="3"/>
  <c r="I5008" i="3"/>
  <c r="I5009" i="3"/>
  <c r="I5010" i="3"/>
  <c r="I5011" i="3"/>
  <c r="I5012" i="3"/>
  <c r="I5013" i="3"/>
  <c r="I5014" i="3"/>
  <c r="I5015" i="3"/>
  <c r="I5016" i="3"/>
  <c r="I5017" i="3"/>
  <c r="I5018" i="3"/>
  <c r="I5019" i="3"/>
  <c r="I5020" i="3"/>
  <c r="I5021" i="3"/>
  <c r="I5022" i="3"/>
  <c r="I5023" i="3"/>
  <c r="I5024" i="3"/>
  <c r="I5025" i="3"/>
  <c r="I5026" i="3"/>
  <c r="I5027" i="3"/>
  <c r="I5028" i="3"/>
  <c r="I5029" i="3"/>
  <c r="I5030" i="3"/>
  <c r="I5031" i="3"/>
  <c r="I5032" i="3"/>
  <c r="I5033" i="3"/>
  <c r="I5034" i="3"/>
  <c r="I5035" i="3"/>
  <c r="I5036" i="3"/>
  <c r="I5037" i="3"/>
  <c r="I5038" i="3"/>
  <c r="I5039" i="3"/>
  <c r="I5040" i="3"/>
  <c r="I5041" i="3"/>
  <c r="I5042" i="3"/>
  <c r="I5043" i="3"/>
  <c r="I5044" i="3"/>
  <c r="I5045" i="3"/>
  <c r="I5046" i="3"/>
  <c r="I5047" i="3"/>
  <c r="I5048" i="3"/>
  <c r="I5049" i="3"/>
  <c r="I5050" i="3"/>
  <c r="I5051" i="3"/>
  <c r="I5052" i="3"/>
  <c r="I5053" i="3"/>
  <c r="I5054" i="3"/>
  <c r="I5055" i="3"/>
  <c r="I5056" i="3"/>
  <c r="I5057" i="3"/>
  <c r="I5058" i="3"/>
  <c r="I5059" i="3"/>
  <c r="I5060" i="3"/>
  <c r="I5061" i="3"/>
  <c r="I5062" i="3"/>
  <c r="I5063" i="3"/>
  <c r="I5064" i="3"/>
  <c r="I5065" i="3"/>
  <c r="I5066" i="3"/>
  <c r="I5067" i="3"/>
  <c r="I5068" i="3"/>
  <c r="I5069" i="3"/>
  <c r="I5070" i="3"/>
  <c r="I5071" i="3"/>
  <c r="I5072" i="3"/>
  <c r="I5073" i="3"/>
  <c r="I5074" i="3"/>
  <c r="I5075" i="3"/>
  <c r="I5076" i="3"/>
  <c r="I5077" i="3"/>
  <c r="I5078" i="3"/>
  <c r="I5079" i="3"/>
  <c r="I5080" i="3"/>
  <c r="I5081" i="3"/>
  <c r="I5082" i="3"/>
  <c r="I5083" i="3"/>
  <c r="I5084" i="3"/>
  <c r="I5085" i="3"/>
  <c r="I5086" i="3"/>
  <c r="I5087" i="3"/>
  <c r="I5088" i="3"/>
  <c r="I5089" i="3"/>
  <c r="I5090" i="3"/>
  <c r="I5091" i="3"/>
  <c r="I5092" i="3"/>
  <c r="I5093" i="3"/>
  <c r="I5094" i="3"/>
  <c r="I5095" i="3"/>
  <c r="I5096" i="3"/>
  <c r="I5097" i="3"/>
  <c r="I5098" i="3"/>
  <c r="I5099" i="3"/>
  <c r="I5100" i="3"/>
  <c r="I5101" i="3"/>
  <c r="I5102" i="3"/>
  <c r="I5103" i="3"/>
  <c r="I5104" i="3"/>
  <c r="I5105" i="3"/>
  <c r="I5106" i="3"/>
  <c r="I5107" i="3"/>
  <c r="I5108" i="3"/>
  <c r="I5109" i="3"/>
  <c r="I5110" i="3"/>
  <c r="I5111" i="3"/>
  <c r="I5112" i="3"/>
  <c r="I5113" i="3"/>
  <c r="I5114" i="3"/>
  <c r="I5115" i="3"/>
  <c r="I5116" i="3"/>
  <c r="I5117" i="3"/>
  <c r="I5118" i="3"/>
  <c r="I5119" i="3"/>
  <c r="I5120" i="3"/>
  <c r="I5121" i="3"/>
  <c r="I5122" i="3"/>
  <c r="I5123" i="3"/>
  <c r="I5124" i="3"/>
  <c r="I5125" i="3"/>
  <c r="I5126" i="3"/>
  <c r="I5127" i="3"/>
  <c r="I5128" i="3"/>
  <c r="I5129" i="3"/>
  <c r="I5130" i="3"/>
  <c r="I5131" i="3"/>
  <c r="I5132" i="3"/>
  <c r="I5133" i="3"/>
  <c r="I5134" i="3"/>
  <c r="I5135" i="3"/>
  <c r="I5136" i="3"/>
  <c r="I5137" i="3"/>
  <c r="I5138" i="3"/>
  <c r="I5139" i="3"/>
  <c r="I5140" i="3"/>
  <c r="I5141" i="3"/>
  <c r="I5142" i="3"/>
  <c r="I5143" i="3"/>
  <c r="I5144" i="3"/>
  <c r="I5145" i="3"/>
  <c r="I5146" i="3"/>
  <c r="I5147" i="3"/>
  <c r="I5148" i="3"/>
  <c r="I5149" i="3"/>
  <c r="I5150" i="3"/>
  <c r="I5151" i="3"/>
  <c r="I5152" i="3"/>
  <c r="I5153" i="3"/>
  <c r="I5154" i="3"/>
  <c r="I5155" i="3"/>
  <c r="I5156" i="3"/>
  <c r="I5157" i="3"/>
  <c r="I5158" i="3"/>
  <c r="I5159" i="3"/>
  <c r="I5160" i="3"/>
  <c r="I5161" i="3"/>
  <c r="I5162" i="3"/>
  <c r="I5163" i="3"/>
  <c r="I5164" i="3"/>
  <c r="I5165" i="3"/>
  <c r="I5166" i="3"/>
  <c r="I5167" i="3"/>
  <c r="I5168" i="3"/>
  <c r="I5169" i="3"/>
  <c r="I5170" i="3"/>
  <c r="I5171" i="3"/>
  <c r="I5172" i="3"/>
  <c r="I5173" i="3"/>
  <c r="I5174" i="3"/>
  <c r="I5175" i="3"/>
  <c r="I5176" i="3"/>
  <c r="I5177" i="3"/>
  <c r="I5178" i="3"/>
  <c r="I5179" i="3"/>
  <c r="I5180" i="3"/>
  <c r="I5181" i="3"/>
  <c r="I5182" i="3"/>
  <c r="I5183" i="3"/>
  <c r="I5184" i="3"/>
  <c r="I5185" i="3"/>
  <c r="I5186" i="3"/>
  <c r="I5187" i="3"/>
  <c r="I5188" i="3"/>
  <c r="I5189" i="3"/>
  <c r="I5190" i="3"/>
  <c r="I5191" i="3"/>
  <c r="I5192" i="3"/>
  <c r="I5193" i="3"/>
  <c r="I5194" i="3"/>
  <c r="I5195" i="3"/>
  <c r="I5196" i="3"/>
  <c r="I5197" i="3"/>
  <c r="I5198" i="3"/>
  <c r="I5199" i="3"/>
  <c r="I5200" i="3"/>
  <c r="I5201" i="3"/>
  <c r="I5202" i="3"/>
  <c r="I5203" i="3"/>
  <c r="I5204" i="3"/>
  <c r="I5205" i="3"/>
  <c r="I5206" i="3"/>
  <c r="I5207" i="3"/>
  <c r="I5208" i="3"/>
  <c r="I5209" i="3"/>
  <c r="I5210" i="3"/>
  <c r="I5211" i="3"/>
  <c r="I5212" i="3"/>
  <c r="I5213" i="3"/>
  <c r="I5214" i="3"/>
  <c r="I5215" i="3"/>
  <c r="I5216" i="3"/>
  <c r="I5217" i="3"/>
  <c r="I5218" i="3"/>
  <c r="I5219" i="3"/>
  <c r="I5220" i="3"/>
  <c r="I5221" i="3"/>
  <c r="I5222" i="3"/>
  <c r="I5223" i="3"/>
  <c r="I5224" i="3"/>
  <c r="I5225" i="3"/>
  <c r="I5226" i="3"/>
  <c r="I5227" i="3"/>
  <c r="I5228" i="3"/>
  <c r="I5229" i="3"/>
  <c r="I5230" i="3"/>
  <c r="I5231" i="3"/>
  <c r="I5232" i="3"/>
  <c r="I5233" i="3"/>
  <c r="I5234" i="3"/>
  <c r="I5235" i="3"/>
  <c r="I5236" i="3"/>
  <c r="I5237" i="3"/>
  <c r="I5238" i="3"/>
  <c r="I5239" i="3"/>
  <c r="I5240" i="3"/>
  <c r="I5241" i="3"/>
  <c r="I5242" i="3"/>
  <c r="I5243" i="3"/>
  <c r="I5244" i="3"/>
  <c r="I5245" i="3"/>
  <c r="I5246" i="3"/>
  <c r="I5247" i="3"/>
  <c r="I5248" i="3"/>
  <c r="I5249" i="3"/>
  <c r="I5250" i="3"/>
  <c r="I5251" i="3"/>
  <c r="I5252" i="3"/>
  <c r="I5253" i="3"/>
  <c r="I5254" i="3"/>
  <c r="I5255" i="3"/>
  <c r="I5256" i="3"/>
  <c r="I5257" i="3"/>
  <c r="I5258" i="3"/>
  <c r="I5259" i="3"/>
  <c r="I5260" i="3"/>
  <c r="I5261" i="3"/>
  <c r="I5262" i="3"/>
  <c r="I5263" i="3"/>
  <c r="I5264" i="3"/>
  <c r="I5265" i="3"/>
  <c r="I5266" i="3"/>
  <c r="I5267" i="3"/>
  <c r="I5268" i="3"/>
  <c r="I5269" i="3"/>
  <c r="I5270" i="3"/>
  <c r="I5271" i="3"/>
  <c r="I5272" i="3"/>
  <c r="I5273" i="3"/>
  <c r="I5274" i="3"/>
  <c r="I5275" i="3"/>
  <c r="I5276" i="3"/>
  <c r="I5277" i="3"/>
  <c r="I5278" i="3"/>
  <c r="I5279" i="3"/>
  <c r="I5280" i="3"/>
  <c r="I5281" i="3"/>
  <c r="I5282" i="3"/>
  <c r="I5283" i="3"/>
  <c r="I5284" i="3"/>
  <c r="I5285" i="3"/>
  <c r="I5286" i="3"/>
  <c r="I5287" i="3"/>
  <c r="I5288" i="3"/>
  <c r="I5289" i="3"/>
  <c r="I5290" i="3"/>
  <c r="I5291" i="3"/>
  <c r="I5292" i="3"/>
  <c r="I5293" i="3"/>
  <c r="I5294" i="3"/>
  <c r="I5295" i="3"/>
  <c r="I5296" i="3"/>
  <c r="I5297" i="3"/>
  <c r="I5298" i="3"/>
  <c r="I5299" i="3"/>
  <c r="I5300" i="3"/>
  <c r="I5301" i="3"/>
  <c r="I5302" i="3"/>
  <c r="I5303" i="3"/>
  <c r="I5304" i="3"/>
  <c r="I5305" i="3"/>
  <c r="I5306" i="3"/>
  <c r="I5307" i="3"/>
  <c r="I5308" i="3"/>
  <c r="I5309" i="3"/>
  <c r="I5310" i="3"/>
  <c r="I5311" i="3"/>
  <c r="I5312" i="3"/>
  <c r="I5313" i="3"/>
  <c r="I5314" i="3"/>
  <c r="I5315" i="3"/>
  <c r="I5316" i="3"/>
  <c r="I5317" i="3"/>
  <c r="I5318" i="3"/>
  <c r="I5319" i="3"/>
  <c r="I5320" i="3"/>
  <c r="I5321" i="3"/>
  <c r="I5322" i="3"/>
  <c r="I5323" i="3"/>
  <c r="I5324" i="3"/>
  <c r="I5325" i="3"/>
  <c r="I5326" i="3"/>
  <c r="I5327" i="3"/>
  <c r="I5328" i="3"/>
  <c r="I5329" i="3"/>
  <c r="I5330" i="3"/>
  <c r="I5331" i="3"/>
  <c r="I5332" i="3"/>
  <c r="I5333" i="3"/>
  <c r="I5334" i="3"/>
  <c r="I5335" i="3"/>
  <c r="I5336" i="3"/>
  <c r="I5337" i="3"/>
  <c r="I5338" i="3"/>
  <c r="I5339" i="3"/>
  <c r="I5340" i="3"/>
  <c r="I5341" i="3"/>
  <c r="I5342" i="3"/>
  <c r="I5343" i="3"/>
  <c r="I5344" i="3"/>
  <c r="I5345" i="3"/>
  <c r="I5346" i="3"/>
  <c r="I5347" i="3"/>
  <c r="I5348" i="3"/>
  <c r="I5349" i="3"/>
  <c r="I5350" i="3"/>
  <c r="I5351" i="3"/>
  <c r="I5352" i="3"/>
  <c r="I5353" i="3"/>
  <c r="I5354" i="3"/>
  <c r="I5355" i="3"/>
  <c r="I5356" i="3"/>
  <c r="I5357" i="3"/>
  <c r="I5358" i="3"/>
  <c r="I5359" i="3"/>
  <c r="I5360" i="3"/>
  <c r="I5361" i="3"/>
  <c r="I5362" i="3"/>
  <c r="I5363" i="3"/>
  <c r="I5364" i="3"/>
  <c r="I5365" i="3"/>
  <c r="I5366" i="3"/>
  <c r="I5367" i="3"/>
  <c r="I5368" i="3"/>
  <c r="I5369" i="3"/>
  <c r="I5370" i="3"/>
  <c r="I5371" i="3"/>
  <c r="I5372" i="3"/>
  <c r="I5373" i="3"/>
  <c r="I5374" i="3"/>
  <c r="I5375" i="3"/>
  <c r="I5376" i="3"/>
  <c r="I5377" i="3"/>
  <c r="I5378" i="3"/>
  <c r="I5379" i="3"/>
  <c r="I5380" i="3"/>
  <c r="I5381" i="3"/>
  <c r="I5382" i="3"/>
  <c r="I5383" i="3"/>
  <c r="I5384" i="3"/>
  <c r="I5385" i="3"/>
  <c r="I5386" i="3"/>
  <c r="I5387" i="3"/>
  <c r="I5388" i="3"/>
  <c r="I5389" i="3"/>
  <c r="I5390" i="3"/>
  <c r="I5391" i="3"/>
  <c r="I5392" i="3"/>
  <c r="I5393" i="3"/>
  <c r="I5394" i="3"/>
  <c r="I5395" i="3"/>
  <c r="I5396" i="3"/>
  <c r="I5397" i="3"/>
  <c r="I5398" i="3"/>
  <c r="I5399" i="3"/>
  <c r="I5400" i="3"/>
  <c r="I5401" i="3"/>
  <c r="I5402" i="3"/>
  <c r="I5403" i="3"/>
  <c r="I5404" i="3"/>
  <c r="I5405" i="3"/>
  <c r="I5406" i="3"/>
  <c r="I5407" i="3"/>
  <c r="I5408" i="3"/>
  <c r="I5409" i="3"/>
  <c r="I5410" i="3"/>
  <c r="I5411" i="3"/>
  <c r="I5412" i="3"/>
  <c r="I5413" i="3"/>
  <c r="I5414" i="3"/>
  <c r="I5415" i="3"/>
  <c r="I5416" i="3"/>
  <c r="I5417" i="3"/>
  <c r="I5418" i="3"/>
  <c r="I5419" i="3"/>
  <c r="I5420" i="3"/>
  <c r="I5421" i="3"/>
  <c r="I5422" i="3"/>
  <c r="I5423" i="3"/>
  <c r="I5424" i="3"/>
  <c r="I5425" i="3"/>
  <c r="I5426" i="3"/>
  <c r="I5427" i="3"/>
  <c r="I5428" i="3"/>
  <c r="I5429" i="3"/>
  <c r="I5430" i="3"/>
  <c r="I5431" i="3"/>
  <c r="I5432" i="3"/>
  <c r="I5433" i="3"/>
  <c r="I5434" i="3"/>
  <c r="I5435" i="3"/>
  <c r="I5436" i="3"/>
  <c r="I5437" i="3"/>
  <c r="I5438" i="3"/>
  <c r="I5439" i="3"/>
  <c r="I5440" i="3"/>
  <c r="I5441" i="3"/>
  <c r="I5442" i="3"/>
  <c r="I5443" i="3"/>
  <c r="I5444" i="3"/>
  <c r="I5445" i="3"/>
  <c r="I5446" i="3"/>
  <c r="I5447" i="3"/>
  <c r="I5448" i="3"/>
  <c r="I5449" i="3"/>
  <c r="I5450" i="3"/>
  <c r="I5451" i="3"/>
  <c r="I5452" i="3"/>
  <c r="I5453" i="3"/>
  <c r="I5454" i="3"/>
  <c r="I5455" i="3"/>
  <c r="I5456" i="3"/>
  <c r="I5457" i="3"/>
  <c r="I5458" i="3"/>
  <c r="I5459" i="3"/>
  <c r="I5460" i="3"/>
  <c r="I5461" i="3"/>
  <c r="I5462" i="3"/>
  <c r="I5463" i="3"/>
  <c r="I5464" i="3"/>
  <c r="I5465" i="3"/>
  <c r="I5466" i="3"/>
  <c r="I5467" i="3"/>
  <c r="I5468" i="3"/>
  <c r="I5469" i="3"/>
  <c r="I5470" i="3"/>
  <c r="I5471" i="3"/>
  <c r="I5472" i="3"/>
  <c r="I5473" i="3"/>
  <c r="I5474" i="3"/>
  <c r="I5475" i="3"/>
  <c r="I5476" i="3"/>
  <c r="I5477" i="3"/>
  <c r="I5478" i="3"/>
  <c r="I5479" i="3"/>
  <c r="I5480" i="3"/>
  <c r="I5481" i="3"/>
  <c r="I5482" i="3"/>
  <c r="I5483" i="3"/>
  <c r="I5484" i="3"/>
  <c r="I5485" i="3"/>
  <c r="I5486" i="3"/>
  <c r="I5487" i="3"/>
  <c r="I5488" i="3"/>
  <c r="I5489" i="3"/>
  <c r="I5490" i="3"/>
  <c r="I5491" i="3"/>
  <c r="I5492" i="3"/>
  <c r="I5493" i="3"/>
  <c r="I5494" i="3"/>
  <c r="I5495" i="3"/>
  <c r="I5496" i="3"/>
  <c r="I5497" i="3"/>
  <c r="I5498" i="3"/>
  <c r="I5499" i="3"/>
  <c r="I5500" i="3"/>
  <c r="I5501" i="3"/>
  <c r="I5502" i="3"/>
  <c r="I5503" i="3"/>
  <c r="I5504" i="3"/>
  <c r="I5505" i="3"/>
  <c r="I5506" i="3"/>
  <c r="I5507" i="3"/>
  <c r="I5508" i="3"/>
  <c r="I5509" i="3"/>
  <c r="I5510" i="3"/>
  <c r="I5511" i="3"/>
  <c r="I5512" i="3"/>
  <c r="I5513" i="3"/>
  <c r="I5514" i="3"/>
  <c r="I5515" i="3"/>
  <c r="I5516" i="3"/>
  <c r="I5517" i="3"/>
  <c r="I5518" i="3"/>
  <c r="I5519" i="3"/>
  <c r="I5520" i="3"/>
  <c r="I5521" i="3"/>
  <c r="I5522" i="3"/>
  <c r="I5523" i="3"/>
  <c r="I5524" i="3"/>
  <c r="I5525" i="3"/>
  <c r="I5526" i="3"/>
  <c r="I5527" i="3"/>
  <c r="I5528" i="3"/>
  <c r="I5529" i="3"/>
  <c r="I5530" i="3"/>
  <c r="I5531" i="3"/>
  <c r="I5532" i="3"/>
  <c r="I5533" i="3"/>
  <c r="I5534" i="3"/>
  <c r="I5535" i="3"/>
  <c r="I5536" i="3"/>
  <c r="I5537" i="3"/>
  <c r="I5538" i="3"/>
  <c r="I5539" i="3"/>
  <c r="I5540" i="3"/>
  <c r="I5541" i="3"/>
  <c r="I5542" i="3"/>
  <c r="I5543" i="3"/>
  <c r="I5544" i="3"/>
  <c r="I5545" i="3"/>
  <c r="I5546" i="3"/>
  <c r="I5547" i="3"/>
  <c r="I5548" i="3"/>
  <c r="I5549" i="3"/>
  <c r="I5550" i="3"/>
  <c r="I5551" i="3"/>
  <c r="I5552" i="3"/>
  <c r="I5553" i="3"/>
  <c r="I5554" i="3"/>
  <c r="I5555" i="3"/>
  <c r="I5556" i="3"/>
  <c r="I5557" i="3"/>
  <c r="I5558" i="3"/>
  <c r="I5559" i="3"/>
  <c r="I5560" i="3"/>
  <c r="I5561" i="3"/>
  <c r="I5562" i="3"/>
  <c r="I5563" i="3"/>
  <c r="I5564" i="3"/>
  <c r="I5565" i="3"/>
  <c r="I5566" i="3"/>
  <c r="I5567" i="3"/>
  <c r="I5568" i="3"/>
  <c r="I5569" i="3"/>
  <c r="I5570" i="3"/>
  <c r="I5571" i="3"/>
  <c r="I5572" i="3"/>
  <c r="I5573" i="3"/>
  <c r="I5574" i="3"/>
  <c r="I5575" i="3"/>
  <c r="I5576" i="3"/>
  <c r="I5577" i="3"/>
  <c r="I5578" i="3"/>
  <c r="I5579" i="3"/>
  <c r="I5580" i="3"/>
  <c r="I5581" i="3"/>
  <c r="I5582" i="3"/>
  <c r="I5583" i="3"/>
  <c r="I5584" i="3"/>
  <c r="I5585" i="3"/>
  <c r="I5586" i="3"/>
  <c r="I5587" i="3"/>
  <c r="I5588" i="3"/>
  <c r="I5589" i="3"/>
  <c r="I5590" i="3"/>
  <c r="I5591" i="3"/>
  <c r="I5592" i="3"/>
  <c r="I5593" i="3"/>
  <c r="I5594" i="3"/>
  <c r="I5595" i="3"/>
  <c r="I5596" i="3"/>
  <c r="I5597" i="3"/>
  <c r="I5598" i="3"/>
  <c r="I5599" i="3"/>
  <c r="I5600" i="3"/>
  <c r="I5601" i="3"/>
  <c r="I5602" i="3"/>
  <c r="I5603" i="3"/>
  <c r="I5604" i="3"/>
  <c r="I5605" i="3"/>
  <c r="I5606" i="3"/>
  <c r="I5607" i="3"/>
  <c r="I5608" i="3"/>
  <c r="I5609" i="3"/>
  <c r="I5610" i="3"/>
  <c r="I5611" i="3"/>
  <c r="I5612" i="3"/>
  <c r="I5613" i="3"/>
  <c r="I5614" i="3"/>
  <c r="I5615" i="3"/>
  <c r="I5616" i="3"/>
  <c r="I5617" i="3"/>
  <c r="I5618" i="3"/>
  <c r="I5619" i="3"/>
  <c r="I5620" i="3"/>
  <c r="I5621" i="3"/>
  <c r="I5622" i="3"/>
  <c r="I5623" i="3"/>
  <c r="I5624" i="3"/>
  <c r="I5625" i="3"/>
  <c r="I5626" i="3"/>
  <c r="I5627" i="3"/>
  <c r="I5628" i="3"/>
  <c r="I5629" i="3"/>
  <c r="I5630" i="3"/>
  <c r="I5631" i="3"/>
  <c r="I5632" i="3"/>
  <c r="I5633" i="3"/>
  <c r="I5634" i="3"/>
  <c r="I5635" i="3"/>
  <c r="I5636" i="3"/>
  <c r="I5637" i="3"/>
  <c r="I5638" i="3"/>
  <c r="I5639" i="3"/>
  <c r="I5640" i="3"/>
  <c r="I5641" i="3"/>
  <c r="I5642" i="3"/>
  <c r="I5643" i="3"/>
  <c r="I5644" i="3"/>
  <c r="I5645" i="3"/>
  <c r="I5646" i="3"/>
  <c r="I5647" i="3"/>
  <c r="I5648" i="3"/>
  <c r="I5649" i="3"/>
  <c r="I5650" i="3"/>
  <c r="I5651" i="3"/>
  <c r="I5652" i="3"/>
  <c r="I5653" i="3"/>
  <c r="I5654" i="3"/>
  <c r="I5655" i="3"/>
  <c r="I5656" i="3"/>
  <c r="I5657" i="3"/>
  <c r="I5658" i="3"/>
  <c r="I5659" i="3"/>
  <c r="I5660" i="3"/>
  <c r="I5661" i="3"/>
  <c r="I5662" i="3"/>
  <c r="I5663" i="3"/>
  <c r="I5664" i="3"/>
  <c r="I5665" i="3"/>
  <c r="I5666" i="3"/>
  <c r="I5667" i="3"/>
  <c r="I5668" i="3"/>
  <c r="I5669" i="3"/>
  <c r="I5670" i="3"/>
  <c r="I5671" i="3"/>
  <c r="I5672" i="3"/>
  <c r="I5673" i="3"/>
  <c r="I5674" i="3"/>
  <c r="I5675" i="3"/>
  <c r="I5676" i="3"/>
  <c r="I5677" i="3"/>
  <c r="I5678" i="3"/>
  <c r="I5679" i="3"/>
  <c r="I5680" i="3"/>
  <c r="I5681" i="3"/>
  <c r="I5682" i="3"/>
  <c r="I5683" i="3"/>
  <c r="I5684" i="3"/>
  <c r="I5685" i="3"/>
  <c r="I5686" i="3"/>
  <c r="I5687" i="3"/>
  <c r="I5688" i="3"/>
  <c r="I5689" i="3"/>
  <c r="I5690" i="3"/>
  <c r="I5691" i="3"/>
  <c r="I5692" i="3"/>
  <c r="I5693" i="3"/>
  <c r="I5694" i="3"/>
  <c r="I5695" i="3"/>
  <c r="I5696" i="3"/>
  <c r="I5697" i="3"/>
  <c r="I5698" i="3"/>
  <c r="I5699" i="3"/>
  <c r="I5700" i="3"/>
  <c r="I5701" i="3"/>
  <c r="I5702" i="3"/>
  <c r="I5703" i="3"/>
  <c r="I5704" i="3"/>
  <c r="I5705" i="3"/>
  <c r="I5706" i="3"/>
  <c r="I5707" i="3"/>
  <c r="I5708" i="3"/>
  <c r="I5709" i="3"/>
  <c r="I5710" i="3"/>
  <c r="I5711" i="3"/>
  <c r="I5712" i="3"/>
  <c r="I5713" i="3"/>
  <c r="I5714" i="3"/>
  <c r="I5715" i="3"/>
  <c r="I5716" i="3"/>
  <c r="I5717" i="3"/>
  <c r="I5718" i="3"/>
  <c r="I5719" i="3"/>
  <c r="I5720" i="3"/>
  <c r="I5721" i="3"/>
  <c r="I5722" i="3"/>
  <c r="I5723" i="3"/>
  <c r="I5724" i="3"/>
  <c r="I5725" i="3"/>
  <c r="I5726" i="3"/>
  <c r="I5727" i="3"/>
  <c r="I5728" i="3"/>
  <c r="I5729" i="3"/>
  <c r="I5730" i="3"/>
  <c r="I5731" i="3"/>
  <c r="I5732" i="3"/>
  <c r="I5733" i="3"/>
  <c r="I5734" i="3"/>
  <c r="I5735" i="3"/>
  <c r="I5736" i="3"/>
  <c r="I5737" i="3"/>
  <c r="I5738" i="3"/>
  <c r="I5739" i="3"/>
  <c r="I5740" i="3"/>
  <c r="I5741" i="3"/>
  <c r="I5742" i="3"/>
  <c r="I5743" i="3"/>
  <c r="I5744" i="3"/>
  <c r="I5745" i="3"/>
  <c r="I5746" i="3"/>
  <c r="I5747" i="3"/>
  <c r="I5748" i="3"/>
  <c r="I5749" i="3"/>
  <c r="I5750" i="3"/>
  <c r="I5751" i="3"/>
  <c r="I5752" i="3"/>
  <c r="I5753" i="3"/>
  <c r="I5754" i="3"/>
  <c r="I5755" i="3"/>
  <c r="I5756" i="3"/>
  <c r="I5757" i="3"/>
  <c r="I5758" i="3"/>
  <c r="I5759" i="3"/>
  <c r="I5760" i="3"/>
  <c r="I5761" i="3"/>
  <c r="I5762" i="3"/>
  <c r="I5763" i="3"/>
  <c r="I5764" i="3"/>
  <c r="I5765" i="3"/>
  <c r="I5766" i="3"/>
  <c r="I5767" i="3"/>
  <c r="I5768" i="3"/>
  <c r="I5769" i="3"/>
  <c r="I5770" i="3"/>
  <c r="I5771" i="3"/>
  <c r="I5772" i="3"/>
  <c r="I5773" i="3"/>
  <c r="I5774" i="3"/>
  <c r="I5775" i="3"/>
  <c r="I5776" i="3"/>
  <c r="I5777" i="3"/>
  <c r="I5778" i="3"/>
  <c r="I5779" i="3"/>
  <c r="I5780" i="3"/>
  <c r="I5781" i="3"/>
  <c r="I5782" i="3"/>
  <c r="I5783" i="3"/>
  <c r="I5784" i="3"/>
  <c r="I5785" i="3"/>
  <c r="I5786" i="3"/>
  <c r="I5787" i="3"/>
  <c r="I5788" i="3"/>
  <c r="I5789" i="3"/>
  <c r="I5790" i="3"/>
  <c r="I5791" i="3"/>
  <c r="I5792" i="3"/>
  <c r="I5793" i="3"/>
  <c r="I5794" i="3"/>
  <c r="I5795" i="3"/>
  <c r="I5796" i="3"/>
  <c r="I5797" i="3"/>
  <c r="I5798" i="3"/>
  <c r="I5799" i="3"/>
  <c r="I5800" i="3"/>
  <c r="I5801" i="3"/>
  <c r="I5802" i="3"/>
  <c r="I5803" i="3"/>
  <c r="I5804" i="3"/>
  <c r="I5805" i="3"/>
  <c r="I5806" i="3"/>
  <c r="I5807" i="3"/>
  <c r="I5808" i="3"/>
  <c r="I5809" i="3"/>
  <c r="I5810" i="3"/>
  <c r="I5811" i="3"/>
  <c r="I5812" i="3"/>
  <c r="I5813" i="3"/>
  <c r="I5814" i="3"/>
  <c r="I5815" i="3"/>
  <c r="I5816" i="3"/>
  <c r="I5817" i="3"/>
  <c r="I5818" i="3"/>
  <c r="I5819" i="3"/>
  <c r="I5820" i="3"/>
  <c r="I5821" i="3"/>
  <c r="I5822" i="3"/>
  <c r="I5823" i="3"/>
  <c r="I5824" i="3"/>
  <c r="I5825" i="3"/>
  <c r="I5826" i="3"/>
  <c r="I5827" i="3"/>
  <c r="I5828" i="3"/>
  <c r="I5829" i="3"/>
  <c r="I5830" i="3"/>
  <c r="I5831" i="3"/>
  <c r="I5832" i="3"/>
  <c r="I5833" i="3"/>
  <c r="I5834" i="3"/>
  <c r="I5835" i="3"/>
  <c r="I5836" i="3"/>
  <c r="I5837" i="3"/>
  <c r="I5838" i="3"/>
  <c r="I5839" i="3"/>
  <c r="I5840" i="3"/>
  <c r="I5841" i="3"/>
  <c r="I5842" i="3"/>
  <c r="I5843" i="3"/>
  <c r="I5844" i="3"/>
  <c r="I5845" i="3"/>
  <c r="I5846" i="3"/>
  <c r="I5847" i="3"/>
  <c r="I5848" i="3"/>
  <c r="I5849" i="3"/>
  <c r="I5850" i="3"/>
  <c r="I5851" i="3"/>
  <c r="I5852" i="3"/>
  <c r="I5853" i="3"/>
  <c r="I5854" i="3"/>
  <c r="I5855" i="3"/>
  <c r="I5856" i="3"/>
  <c r="I5857" i="3"/>
  <c r="I5858" i="3"/>
  <c r="I5859" i="3"/>
  <c r="I5860" i="3"/>
  <c r="I5861" i="3"/>
  <c r="I5862" i="3"/>
  <c r="I5863" i="3"/>
  <c r="I5864" i="3"/>
  <c r="I5865" i="3"/>
  <c r="I5866" i="3"/>
  <c r="I5867" i="3"/>
  <c r="I5868" i="3"/>
  <c r="I5869" i="3"/>
  <c r="I5870" i="3"/>
  <c r="I5871" i="3"/>
  <c r="I5872" i="3"/>
  <c r="I5873" i="3"/>
  <c r="I5874" i="3"/>
  <c r="I5875" i="3"/>
  <c r="I5876" i="3"/>
  <c r="I5877" i="3"/>
  <c r="I5878" i="3"/>
  <c r="I5879" i="3"/>
  <c r="I5880" i="3"/>
  <c r="I5881" i="3"/>
  <c r="I5882" i="3"/>
  <c r="I5883" i="3"/>
  <c r="I5884" i="3"/>
  <c r="I5885" i="3"/>
  <c r="I5886" i="3"/>
  <c r="I5887" i="3"/>
  <c r="I5888" i="3"/>
  <c r="I5889" i="3"/>
  <c r="I5890" i="3"/>
  <c r="I5891" i="3"/>
  <c r="I5892" i="3"/>
  <c r="I5893" i="3"/>
  <c r="I5894" i="3"/>
  <c r="I5895" i="3"/>
  <c r="I5896" i="3"/>
  <c r="I5897" i="3"/>
  <c r="I5898" i="3"/>
  <c r="I5899" i="3"/>
  <c r="I5900" i="3"/>
  <c r="I5901" i="3"/>
  <c r="I5902" i="3"/>
  <c r="I5903" i="3"/>
  <c r="I5904" i="3"/>
  <c r="I5905" i="3"/>
  <c r="I5906" i="3"/>
  <c r="I5907" i="3"/>
  <c r="I5908" i="3"/>
  <c r="I5909" i="3"/>
  <c r="I5910" i="3"/>
  <c r="I5911" i="3"/>
  <c r="I5912" i="3"/>
  <c r="I5913" i="3"/>
  <c r="I5914" i="3"/>
  <c r="I5915" i="3"/>
  <c r="I5916" i="3"/>
  <c r="I5917" i="3"/>
  <c r="I5918" i="3"/>
  <c r="I5919" i="3"/>
  <c r="I5920" i="3"/>
  <c r="I5921" i="3"/>
  <c r="I5922" i="3"/>
  <c r="I5923" i="3"/>
  <c r="I5924" i="3"/>
  <c r="I5925" i="3"/>
  <c r="I5926" i="3"/>
  <c r="I5927" i="3"/>
  <c r="I5928" i="3"/>
  <c r="I5929" i="3"/>
  <c r="I5930" i="3"/>
  <c r="I5931" i="3"/>
  <c r="I5932" i="3"/>
  <c r="I5933" i="3"/>
  <c r="I5934" i="3"/>
  <c r="I5935" i="3"/>
  <c r="I5936" i="3"/>
  <c r="I5937" i="3"/>
  <c r="I5938" i="3"/>
  <c r="I5939" i="3"/>
  <c r="I5940" i="3"/>
  <c r="I5941" i="3"/>
  <c r="I5942" i="3"/>
  <c r="I5943" i="3"/>
  <c r="I5944" i="3"/>
  <c r="I5945" i="3"/>
  <c r="I5946" i="3"/>
  <c r="I5947" i="3"/>
  <c r="I5948" i="3"/>
  <c r="I5949" i="3"/>
  <c r="I5950" i="3"/>
  <c r="I5951" i="3"/>
  <c r="I5952" i="3"/>
  <c r="I5953" i="3"/>
  <c r="I5954" i="3"/>
  <c r="I5955" i="3"/>
  <c r="I5956" i="3"/>
  <c r="I5957" i="3"/>
  <c r="I5958" i="3"/>
  <c r="I5959" i="3"/>
  <c r="I5960" i="3"/>
  <c r="I5961" i="3"/>
  <c r="I5962" i="3"/>
  <c r="I5963" i="3"/>
  <c r="I5964" i="3"/>
  <c r="I5965" i="3"/>
  <c r="I5966" i="3"/>
  <c r="I5967" i="3"/>
  <c r="I5968" i="3"/>
  <c r="I5969" i="3"/>
  <c r="I5970" i="3"/>
  <c r="I5971" i="3"/>
  <c r="I5972" i="3"/>
  <c r="I5973" i="3"/>
  <c r="I5974" i="3"/>
  <c r="I5975" i="3"/>
  <c r="I5976" i="3"/>
  <c r="I5977" i="3"/>
  <c r="I5978" i="3"/>
  <c r="I5979" i="3"/>
  <c r="I5980" i="3"/>
  <c r="I5981" i="3"/>
  <c r="I5982" i="3"/>
  <c r="I5983" i="3"/>
  <c r="I5984" i="3"/>
  <c r="I5985" i="3"/>
  <c r="I5986" i="3"/>
  <c r="I5987" i="3"/>
  <c r="I5988" i="3"/>
  <c r="I5989" i="3"/>
  <c r="I5990" i="3"/>
  <c r="I5991" i="3"/>
  <c r="I5992" i="3"/>
  <c r="I5993" i="3"/>
  <c r="I5994" i="3"/>
  <c r="I5995" i="3"/>
  <c r="I5996" i="3"/>
  <c r="I5997" i="3"/>
  <c r="I5998" i="3"/>
  <c r="I5999" i="3"/>
  <c r="I6000" i="3"/>
  <c r="I6001" i="3"/>
  <c r="I6002" i="3"/>
  <c r="I6003" i="3"/>
  <c r="I6004" i="3"/>
  <c r="I6005" i="3"/>
  <c r="I6006" i="3"/>
  <c r="I6007" i="3"/>
  <c r="I6008" i="3"/>
  <c r="I6009" i="3"/>
  <c r="I6010" i="3"/>
  <c r="I6011" i="3"/>
  <c r="I6012" i="3"/>
  <c r="I6013" i="3"/>
  <c r="I6014" i="3"/>
  <c r="I6015" i="3"/>
  <c r="I6016" i="3"/>
  <c r="I6017" i="3"/>
  <c r="I6018" i="3"/>
  <c r="I6019" i="3"/>
  <c r="I6020" i="3"/>
  <c r="I6021" i="3"/>
  <c r="I6022" i="3"/>
  <c r="I6023" i="3"/>
  <c r="I6024" i="3"/>
  <c r="I6025" i="3"/>
  <c r="I6026" i="3"/>
  <c r="I6027" i="3"/>
  <c r="I6028" i="3"/>
  <c r="I6029" i="3"/>
  <c r="I6030" i="3"/>
  <c r="I6031" i="3"/>
  <c r="I6032" i="3"/>
  <c r="I6033" i="3"/>
  <c r="I6034" i="3"/>
  <c r="I6035" i="3"/>
  <c r="I6036" i="3"/>
  <c r="I6037" i="3"/>
  <c r="I6038" i="3"/>
  <c r="I6039" i="3"/>
  <c r="I6040" i="3"/>
  <c r="I6041" i="3"/>
  <c r="I6042" i="3"/>
  <c r="I6043" i="3"/>
  <c r="I6044" i="3"/>
  <c r="I6045" i="3"/>
  <c r="I6046" i="3"/>
  <c r="I6047" i="3"/>
  <c r="I6048" i="3"/>
  <c r="I6049" i="3"/>
  <c r="I6050" i="3"/>
  <c r="I6051" i="3"/>
  <c r="I6052" i="3"/>
  <c r="I6053" i="3"/>
  <c r="I6054" i="3"/>
  <c r="I6055" i="3"/>
  <c r="I6056" i="3"/>
  <c r="I6057" i="3"/>
  <c r="I6058" i="3"/>
  <c r="I6059" i="3"/>
  <c r="I6060" i="3"/>
  <c r="I6061" i="3"/>
  <c r="I6062" i="3"/>
  <c r="I6063" i="3"/>
  <c r="I6064" i="3"/>
  <c r="I6065" i="3"/>
  <c r="I6066" i="3"/>
  <c r="I6067" i="3"/>
  <c r="I6068" i="3"/>
  <c r="I6069" i="3"/>
  <c r="I6070" i="3"/>
  <c r="I6071" i="3"/>
  <c r="I6072" i="3"/>
  <c r="I6073" i="3"/>
  <c r="I6074" i="3"/>
  <c r="I6075" i="3"/>
  <c r="I6076" i="3"/>
  <c r="I6077" i="3"/>
  <c r="I6078" i="3"/>
  <c r="I6079" i="3"/>
  <c r="I6080" i="3"/>
  <c r="I6081" i="3"/>
  <c r="I6082" i="3"/>
  <c r="I6083" i="3"/>
  <c r="I6084" i="3"/>
  <c r="I6085" i="3"/>
  <c r="I6086" i="3"/>
  <c r="I6087" i="3"/>
  <c r="I6088" i="3"/>
  <c r="I6089" i="3"/>
  <c r="I6090" i="3"/>
  <c r="I6091" i="3"/>
  <c r="I6092" i="3"/>
  <c r="I6093" i="3"/>
  <c r="I6094" i="3"/>
  <c r="I6095" i="3"/>
  <c r="I6096" i="3"/>
  <c r="I6097" i="3"/>
  <c r="I6098" i="3"/>
  <c r="I6099" i="3"/>
  <c r="I6100" i="3"/>
  <c r="I6101" i="3"/>
  <c r="I6102" i="3"/>
  <c r="I6103" i="3"/>
  <c r="I6104" i="3"/>
  <c r="I6105" i="3"/>
  <c r="I6106" i="3"/>
  <c r="I6107" i="3"/>
  <c r="I6108" i="3"/>
  <c r="I6109" i="3"/>
  <c r="I6110" i="3"/>
  <c r="I6111" i="3"/>
  <c r="I6112" i="3"/>
  <c r="I6113" i="3"/>
  <c r="I6114" i="3"/>
  <c r="I6115" i="3"/>
  <c r="I6116" i="3"/>
  <c r="I6117" i="3"/>
  <c r="I6118" i="3"/>
  <c r="I6119" i="3"/>
  <c r="I6120" i="3"/>
  <c r="I6121" i="3"/>
  <c r="I6122" i="3"/>
  <c r="I6123" i="3"/>
  <c r="I6124" i="3"/>
  <c r="I6125" i="3"/>
  <c r="I6126" i="3"/>
  <c r="I6127" i="3"/>
  <c r="I6128" i="3"/>
  <c r="I6129" i="3"/>
  <c r="I6130" i="3"/>
  <c r="I6131" i="3"/>
  <c r="I6132" i="3"/>
  <c r="I6133" i="3"/>
  <c r="I6134" i="3"/>
  <c r="I6135" i="3"/>
  <c r="I6136" i="3"/>
  <c r="I6137" i="3"/>
  <c r="I6138" i="3"/>
  <c r="I6139" i="3"/>
  <c r="I6140" i="3"/>
  <c r="I6141" i="3"/>
  <c r="I6142" i="3"/>
  <c r="I6143" i="3"/>
  <c r="I6144" i="3"/>
  <c r="I6145" i="3"/>
  <c r="I6146" i="3"/>
  <c r="I6147" i="3"/>
  <c r="I6148" i="3"/>
  <c r="K21" i="2" l="1"/>
  <c r="K23" i="2"/>
  <c r="K24" i="2"/>
  <c r="K30" i="2"/>
  <c r="K31" i="2"/>
  <c r="K32" i="2"/>
  <c r="K33" i="2"/>
  <c r="K34" i="2"/>
  <c r="M63" i="2" l="1"/>
  <c r="M64" i="2"/>
  <c r="M65" i="2"/>
  <c r="M66" i="2"/>
  <c r="M67" i="2"/>
  <c r="M68" i="2"/>
  <c r="M69" i="2"/>
  <c r="M70" i="2"/>
  <c r="L63" i="2"/>
  <c r="L64" i="2"/>
  <c r="L65" i="2"/>
  <c r="L66" i="2"/>
  <c r="L67" i="2"/>
  <c r="L68" i="2"/>
  <c r="L69" i="2"/>
  <c r="L70" i="2"/>
  <c r="J60" i="2"/>
  <c r="J61" i="2"/>
  <c r="J62" i="2"/>
  <c r="J63" i="2"/>
  <c r="J64" i="2"/>
  <c r="J65" i="2"/>
  <c r="J66" i="2"/>
  <c r="J67" i="2"/>
  <c r="J68" i="2"/>
  <c r="J69" i="2"/>
  <c r="J70" i="2"/>
  <c r="I41" i="2" l="1"/>
  <c r="I61" i="2"/>
  <c r="I62" i="2"/>
  <c r="I63" i="2"/>
  <c r="I64" i="2"/>
  <c r="I65" i="2"/>
  <c r="I66" i="2"/>
  <c r="I67" i="2"/>
  <c r="I68" i="2"/>
  <c r="I69" i="2"/>
  <c r="I70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N66" i="2" l="1"/>
  <c r="O66" i="2"/>
  <c r="P66" i="2"/>
  <c r="Q66" i="2"/>
  <c r="N67" i="2"/>
  <c r="O67" i="2"/>
  <c r="P67" i="2"/>
  <c r="Q67" i="2"/>
  <c r="N68" i="2"/>
  <c r="O68" i="2"/>
  <c r="P68" i="2"/>
  <c r="Q68" i="2"/>
  <c r="N69" i="2"/>
  <c r="O69" i="2"/>
  <c r="P69" i="2"/>
  <c r="Q69" i="2"/>
  <c r="N70" i="2"/>
  <c r="O70" i="2"/>
  <c r="P70" i="2"/>
  <c r="Q70" i="2"/>
  <c r="Q65" i="2"/>
  <c r="P65" i="2"/>
  <c r="O65" i="2"/>
  <c r="N65" i="2"/>
  <c r="Q64" i="2"/>
  <c r="P64" i="2"/>
  <c r="O64" i="2"/>
  <c r="N64" i="2"/>
  <c r="Q63" i="2"/>
  <c r="P63" i="2"/>
  <c r="O63" i="2"/>
  <c r="N63" i="2"/>
  <c r="Q62" i="2"/>
  <c r="P62" i="2"/>
  <c r="O62" i="2"/>
  <c r="N62" i="2"/>
  <c r="M62" i="2"/>
  <c r="L62" i="2"/>
  <c r="Q61" i="2"/>
  <c r="P61" i="2"/>
  <c r="O61" i="2"/>
  <c r="N61" i="2"/>
  <c r="M61" i="2"/>
  <c r="L61" i="2"/>
  <c r="Q60" i="2"/>
  <c r="P60" i="2"/>
  <c r="O60" i="2"/>
  <c r="N60" i="2"/>
  <c r="M60" i="2"/>
  <c r="L60" i="2"/>
  <c r="Q59" i="2"/>
  <c r="P59" i="2"/>
  <c r="O59" i="2"/>
  <c r="N59" i="2"/>
  <c r="M59" i="2"/>
  <c r="L59" i="2"/>
  <c r="J59" i="2"/>
  <c r="Q58" i="2"/>
  <c r="P58" i="2"/>
  <c r="O58" i="2"/>
  <c r="N58" i="2"/>
  <c r="M58" i="2"/>
  <c r="L58" i="2"/>
  <c r="J58" i="2"/>
  <c r="Q57" i="2"/>
  <c r="P57" i="2"/>
  <c r="O57" i="2"/>
  <c r="N57" i="2"/>
  <c r="M57" i="2"/>
  <c r="L57" i="2"/>
  <c r="J57" i="2"/>
  <c r="Q56" i="2"/>
  <c r="P56" i="2"/>
  <c r="O56" i="2"/>
  <c r="N56" i="2"/>
  <c r="M56" i="2"/>
  <c r="L56" i="2"/>
  <c r="J56" i="2"/>
  <c r="Q55" i="2"/>
  <c r="P55" i="2"/>
  <c r="O55" i="2"/>
  <c r="N55" i="2"/>
  <c r="M55" i="2"/>
  <c r="L55" i="2"/>
  <c r="J55" i="2"/>
  <c r="Q54" i="2"/>
  <c r="P54" i="2"/>
  <c r="O54" i="2"/>
  <c r="N54" i="2"/>
  <c r="M54" i="2"/>
  <c r="L54" i="2"/>
  <c r="J54" i="2"/>
  <c r="Q53" i="2"/>
  <c r="P53" i="2"/>
  <c r="O53" i="2"/>
  <c r="N53" i="2"/>
  <c r="M53" i="2"/>
  <c r="L53" i="2"/>
  <c r="J53" i="2"/>
  <c r="Q52" i="2"/>
  <c r="P52" i="2"/>
  <c r="O52" i="2"/>
  <c r="N52" i="2"/>
  <c r="M52" i="2"/>
  <c r="L52" i="2"/>
  <c r="J52" i="2"/>
  <c r="Q51" i="2"/>
  <c r="P51" i="2"/>
  <c r="O51" i="2"/>
  <c r="N51" i="2"/>
  <c r="M51" i="2"/>
  <c r="L51" i="2"/>
  <c r="J51" i="2"/>
  <c r="Q50" i="2"/>
  <c r="P50" i="2"/>
  <c r="O50" i="2"/>
  <c r="N50" i="2"/>
  <c r="M50" i="2"/>
  <c r="L50" i="2"/>
  <c r="J50" i="2"/>
  <c r="Q49" i="2"/>
  <c r="P49" i="2"/>
  <c r="O49" i="2"/>
  <c r="N49" i="2"/>
  <c r="M49" i="2"/>
  <c r="L49" i="2"/>
  <c r="J49" i="2"/>
  <c r="Q48" i="2"/>
  <c r="P48" i="2"/>
  <c r="O48" i="2"/>
  <c r="N48" i="2"/>
  <c r="M48" i="2"/>
  <c r="L48" i="2"/>
  <c r="J48" i="2"/>
  <c r="Q47" i="2"/>
  <c r="P47" i="2"/>
  <c r="O47" i="2"/>
  <c r="N47" i="2"/>
  <c r="M47" i="2"/>
  <c r="L47" i="2"/>
  <c r="J47" i="2"/>
  <c r="Q46" i="2"/>
  <c r="P46" i="2"/>
  <c r="O46" i="2"/>
  <c r="N46" i="2"/>
  <c r="M46" i="2"/>
  <c r="L46" i="2"/>
  <c r="J46" i="2"/>
  <c r="Q45" i="2"/>
  <c r="P45" i="2"/>
  <c r="O45" i="2"/>
  <c r="N45" i="2"/>
  <c r="M45" i="2"/>
  <c r="L45" i="2"/>
  <c r="J45" i="2"/>
  <c r="Q44" i="2"/>
  <c r="P44" i="2"/>
  <c r="O44" i="2"/>
  <c r="N44" i="2"/>
  <c r="M44" i="2"/>
  <c r="L44" i="2"/>
  <c r="J44" i="2"/>
  <c r="Q43" i="2"/>
  <c r="P43" i="2"/>
  <c r="O43" i="2"/>
  <c r="N43" i="2"/>
  <c r="M43" i="2"/>
  <c r="L43" i="2"/>
  <c r="J43" i="2"/>
  <c r="Q42" i="2"/>
  <c r="P42" i="2"/>
  <c r="O42" i="2"/>
  <c r="N42" i="2"/>
  <c r="M42" i="2"/>
  <c r="L42" i="2"/>
  <c r="J42" i="2"/>
  <c r="Q41" i="2"/>
  <c r="P41" i="2"/>
  <c r="O41" i="2"/>
  <c r="N41" i="2"/>
  <c r="M41" i="2"/>
  <c r="L41" i="2"/>
  <c r="J41" i="2"/>
  <c r="R31" i="2" l="1"/>
  <c r="R32" i="2"/>
  <c r="R33" i="2"/>
  <c r="R34" i="2"/>
  <c r="R35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30" i="2"/>
  <c r="L31" i="2"/>
  <c r="L32" i="2"/>
  <c r="L33" i="2"/>
  <c r="L34" i="2"/>
  <c r="L35" i="2"/>
  <c r="L10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30" i="2"/>
  <c r="M31" i="2"/>
  <c r="M32" i="2"/>
  <c r="M33" i="2"/>
  <c r="M34" i="2"/>
  <c r="M35" i="2"/>
  <c r="J22" i="2" l="1"/>
  <c r="K22" i="2" s="1"/>
  <c r="H22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30" i="2"/>
  <c r="Q31" i="2"/>
  <c r="Q32" i="2"/>
  <c r="Q33" i="2"/>
  <c r="Q34" i="2"/>
  <c r="Q35" i="2"/>
  <c r="Q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30" i="2"/>
  <c r="P31" i="2"/>
  <c r="P32" i="2"/>
  <c r="P33" i="2"/>
  <c r="P34" i="2"/>
  <c r="P35" i="2"/>
  <c r="P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30" i="2"/>
  <c r="O31" i="2"/>
  <c r="O32" i="2"/>
  <c r="O33" i="2"/>
  <c r="O34" i="2"/>
  <c r="O35" i="2"/>
  <c r="O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30" i="2"/>
  <c r="N31" i="2"/>
  <c r="N32" i="2"/>
  <c r="N33" i="2"/>
  <c r="N34" i="2"/>
  <c r="N35" i="2"/>
  <c r="N10" i="2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1" i="2"/>
  <c r="J23" i="2"/>
  <c r="J24" i="2"/>
  <c r="J30" i="2"/>
  <c r="J31" i="2"/>
  <c r="J32" i="2"/>
  <c r="J33" i="2"/>
  <c r="J34" i="2"/>
  <c r="J35" i="2"/>
  <c r="J10" i="2"/>
  <c r="K10" i="2" s="1"/>
  <c r="H11" i="2"/>
  <c r="R11" i="2" s="1"/>
  <c r="H12" i="2"/>
  <c r="R12" i="2" s="1"/>
  <c r="H13" i="2"/>
  <c r="R13" i="2" s="1"/>
  <c r="H14" i="2"/>
  <c r="R14" i="2" s="1"/>
  <c r="H15" i="2"/>
  <c r="R15" i="2" s="1"/>
  <c r="H16" i="2"/>
  <c r="R16" i="2" s="1"/>
  <c r="H17" i="2"/>
  <c r="R17" i="2" s="1"/>
  <c r="H18" i="2"/>
  <c r="R18" i="2" s="1"/>
  <c r="H19" i="2"/>
  <c r="R19" i="2" s="1"/>
  <c r="H20" i="2"/>
  <c r="R20" i="2" s="1"/>
  <c r="H21" i="2"/>
  <c r="H23" i="2"/>
  <c r="H24" i="2"/>
  <c r="I24" i="2" s="1"/>
  <c r="H30" i="2"/>
  <c r="H31" i="2"/>
  <c r="I31" i="2" s="1"/>
  <c r="H32" i="2"/>
  <c r="I32" i="2" s="1"/>
  <c r="H33" i="2"/>
  <c r="I33" i="2" s="1"/>
  <c r="H34" i="2"/>
  <c r="I34" i="2" s="1"/>
  <c r="H35" i="2"/>
  <c r="I35" i="2" s="1"/>
  <c r="H10" i="2"/>
  <c r="R10" i="2" s="1"/>
  <c r="M5" i="2" l="1"/>
  <c r="K35" i="2"/>
  <c r="R24" i="2"/>
  <c r="R21" i="2"/>
  <c r="R23" i="2"/>
  <c r="I30" i="2"/>
  <c r="R30" i="2"/>
  <c r="I23" i="2"/>
  <c r="I22" i="2"/>
  <c r="R22" i="2"/>
  <c r="I20" i="2"/>
  <c r="I19" i="2" l="1"/>
  <c r="I11" i="2"/>
  <c r="I12" i="2"/>
  <c r="I13" i="2"/>
  <c r="I15" i="2"/>
  <c r="I16" i="2"/>
  <c r="I17" i="2"/>
  <c r="I18" i="2"/>
  <c r="I21" i="2" l="1"/>
  <c r="I14" i="2"/>
  <c r="I10" i="2"/>
  <c r="M4" i="2" l="1"/>
  <c r="M3" i="2" s="1"/>
  <c r="M7" i="2" s="1"/>
  <c r="M6" i="2" l="1"/>
</calcChain>
</file>

<file path=xl/comments1.xml><?xml version="1.0" encoding="utf-8"?>
<comments xmlns="http://schemas.openxmlformats.org/spreadsheetml/2006/main">
  <authors>
    <author>Ricardo Marquez</author>
  </authors>
  <commentList>
    <comment ref="L2" authorId="0" shapeId="0">
      <text>
        <r>
          <rPr>
            <b/>
            <sz val="9"/>
            <color indexed="81"/>
            <rFont val="Tahoma"/>
            <family val="2"/>
          </rPr>
          <t>Input your initial investment in USD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</rPr>
          <t>If you have Bitcoin in your wallet either for trading or currently in trade, put the amount here. Used as a reference value.</t>
        </r>
      </text>
    </comment>
  </commentList>
</comments>
</file>

<file path=xl/sharedStrings.xml><?xml version="1.0" encoding="utf-8"?>
<sst xmlns="http://schemas.openxmlformats.org/spreadsheetml/2006/main" count="4214" uniqueCount="4091">
  <si>
    <t>Shift</t>
  </si>
  <si>
    <t>Bitcoin</t>
  </si>
  <si>
    <t>XTRABYTES</t>
  </si>
  <si>
    <t>Ethereum</t>
  </si>
  <si>
    <t>Bitcoin Cash</t>
  </si>
  <si>
    <t>Ripple</t>
  </si>
  <si>
    <t>Litecoin</t>
  </si>
  <si>
    <t>NEM</t>
  </si>
  <si>
    <t>Dash</t>
  </si>
  <si>
    <t>IOTA</t>
  </si>
  <si>
    <t>Monero</t>
  </si>
  <si>
    <t>NEO</t>
  </si>
  <si>
    <t>Ethereum Classic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</si>
  <si>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</si>
  <si>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</si>
  <si>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</si>
  <si>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</si>
  <si>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</si>
  <si>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</si>
  <si>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</si>
  <si>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</si>
  <si>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TenX</t>
  </si>
  <si>
    <t>Bytecoin</t>
  </si>
  <si>
    <t>EOS</t>
  </si>
  <si>
    <t>BitShares</t>
  </si>
  <si>
    <t>Steem</t>
  </si>
  <si>
    <t>Tether</t>
  </si>
  <si>
    <t>MaidSafeCoin</t>
  </si>
  <si>
    <t>Augur</t>
  </si>
  <si>
    <t>Basic Attention Token</t>
  </si>
  <si>
    <t>Golem</t>
  </si>
  <si>
    <t>Factom</t>
  </si>
  <si>
    <t>Ark</t>
  </si>
  <si>
    <t>Iconomi</t>
  </si>
  <si>
    <t>Siacoin</t>
  </si>
  <si>
    <t>Dogecoin</t>
  </si>
  <si>
    <t>Metal</t>
  </si>
  <si>
    <t>Binance Coin</t>
  </si>
  <si>
    <t>Decred</t>
  </si>
  <si>
    <t>PIVX</t>
  </si>
  <si>
    <t>DigixDAO</t>
  </si>
  <si>
    <t>Gnosis</t>
  </si>
  <si>
    <t>0x</t>
  </si>
  <si>
    <t>Civic</t>
  </si>
  <si>
    <t>Veritaseum</t>
  </si>
  <si>
    <t>DigiByte</t>
  </si>
  <si>
    <t>Status</t>
  </si>
  <si>
    <t>Nexus</t>
  </si>
  <si>
    <t>Populous</t>
  </si>
  <si>
    <t>Komodo</t>
  </si>
  <si>
    <t>Gas</t>
  </si>
  <si>
    <t>GameCredits</t>
  </si>
  <si>
    <t>Ardor</t>
  </si>
  <si>
    <t>GXShares</t>
  </si>
  <si>
    <t>Blocknet</t>
  </si>
  <si>
    <t>MCAP</t>
  </si>
  <si>
    <t>Bancor</t>
  </si>
  <si>
    <t>FunFair</t>
  </si>
  <si>
    <t>Monaco</t>
  </si>
  <si>
    <t>Nxt</t>
  </si>
  <si>
    <t>Bytom</t>
  </si>
  <si>
    <t>Syscoin</t>
  </si>
  <si>
    <t>Ubiq</t>
  </si>
  <si>
    <t>Lykke</t>
  </si>
  <si>
    <t>Storj</t>
  </si>
  <si>
    <t>Aragon</t>
  </si>
  <si>
    <t>Particl</t>
  </si>
  <si>
    <t>SingularDTV</t>
  </si>
  <si>
    <t>BitcoinDark</t>
  </si>
  <si>
    <t>MobileGo</t>
  </si>
  <si>
    <t>Cofound.it</t>
  </si>
  <si>
    <t>Wings</t>
  </si>
  <si>
    <t>Verge</t>
  </si>
  <si>
    <t>Metaverse ETP</t>
  </si>
  <si>
    <t>Tierion</t>
  </si>
  <si>
    <t>NAV Coin</t>
  </si>
  <si>
    <t>DECENT</t>
  </si>
  <si>
    <t>district0x</t>
  </si>
  <si>
    <t>Asch</t>
  </si>
  <si>
    <t>Rise</t>
  </si>
  <si>
    <t>AdEx</t>
  </si>
  <si>
    <t>CoinDash</t>
  </si>
  <si>
    <t>Emercoin</t>
  </si>
  <si>
    <t>TokenCard</t>
  </si>
  <si>
    <t>FirstBlood</t>
  </si>
  <si>
    <t>Melon</t>
  </si>
  <si>
    <t>iExec RLC</t>
  </si>
  <si>
    <t>Pillar</t>
  </si>
  <si>
    <t>Peercoin</t>
  </si>
  <si>
    <t>LEOcoin</t>
  </si>
  <si>
    <t>FirstCoin</t>
  </si>
  <si>
    <t>Gulden</t>
  </si>
  <si>
    <t>ReddCoin</t>
  </si>
  <si>
    <t>Elastic</t>
  </si>
  <si>
    <t>Numeraire</t>
  </si>
  <si>
    <t>Stox</t>
  </si>
  <si>
    <t>Viacoin</t>
  </si>
  <si>
    <t>ZCoin</t>
  </si>
  <si>
    <t>Quantum Resistant Ledger</t>
  </si>
  <si>
    <t>Counterparty</t>
  </si>
  <si>
    <t>TaaS</t>
  </si>
  <si>
    <t>Mothership</t>
  </si>
  <si>
    <t>Rialto</t>
  </si>
  <si>
    <t>Vertcoin</t>
  </si>
  <si>
    <t>vSlice</t>
  </si>
  <si>
    <t>adToken</t>
  </si>
  <si>
    <t>FairCoin</t>
  </si>
  <si>
    <t>Lunyr</t>
  </si>
  <si>
    <t>Mysterium</t>
  </si>
  <si>
    <t>Namecoin</t>
  </si>
  <si>
    <t>CloakCoin</t>
  </si>
  <si>
    <t>ION</t>
  </si>
  <si>
    <t>Etheroll</t>
  </si>
  <si>
    <t>SONM</t>
  </si>
  <si>
    <t>Santiment Network Token</t>
  </si>
  <si>
    <t>Primas</t>
  </si>
  <si>
    <t>Polybius</t>
  </si>
  <si>
    <t>Patientory</t>
  </si>
  <si>
    <t>Humaniq</t>
  </si>
  <si>
    <t>MonaCoin</t>
  </si>
  <si>
    <t>LBRY Credits</t>
  </si>
  <si>
    <t>Safe Exchange Coin</t>
  </si>
  <si>
    <t>Expanse</t>
  </si>
  <si>
    <t>PotCoin</t>
  </si>
  <si>
    <t>The ChampCoin</t>
  </si>
  <si>
    <t>BitBay</t>
  </si>
  <si>
    <t>Crown</t>
  </si>
  <si>
    <t>ZenCash</t>
  </si>
  <si>
    <t>WeTrust</t>
  </si>
  <si>
    <t>Xaurum</t>
  </si>
  <si>
    <t>SpreadCoin</t>
  </si>
  <si>
    <t>Triggers</t>
  </si>
  <si>
    <t>Skycoin</t>
  </si>
  <si>
    <t>DigitalNote</t>
  </si>
  <si>
    <t>Soarcoin</t>
  </si>
  <si>
    <t>Matchpool</t>
  </si>
  <si>
    <t>Nexium</t>
  </si>
  <si>
    <t>Radium</t>
  </si>
  <si>
    <t>Peerplays</t>
  </si>
  <si>
    <t>Clams</t>
  </si>
  <si>
    <t>BlackCoin</t>
  </si>
  <si>
    <t>Databits</t>
  </si>
  <si>
    <t>Golos</t>
  </si>
  <si>
    <t>Chronobank</t>
  </si>
  <si>
    <t>MonetaryUnit</t>
  </si>
  <si>
    <t>Omni</t>
  </si>
  <si>
    <t>Waves Community Token</t>
  </si>
  <si>
    <t>Unobtanium</t>
  </si>
  <si>
    <t>Energycoin</t>
  </si>
  <si>
    <t>SIBCoin</t>
  </si>
  <si>
    <t>SaluS</t>
  </si>
  <si>
    <t>Quantum</t>
  </si>
  <si>
    <t>Synereo</t>
  </si>
  <si>
    <t>Agoras Tokens</t>
  </si>
  <si>
    <t>RaiBlocks</t>
  </si>
  <si>
    <t>GridCoin</t>
  </si>
  <si>
    <t>Sprouts</t>
  </si>
  <si>
    <t>Burst</t>
  </si>
  <si>
    <t>Aeon</t>
  </si>
  <si>
    <t>Wagerr</t>
  </si>
  <si>
    <t>Ecobit</t>
  </si>
  <si>
    <t>Mooncoin</t>
  </si>
  <si>
    <t>OBITS</t>
  </si>
  <si>
    <t>Spectrecoin</t>
  </si>
  <si>
    <t>Pluton</t>
  </si>
  <si>
    <t>NeosCoin</t>
  </si>
  <si>
    <t>Swarm City</t>
  </si>
  <si>
    <t>Rubycoin</t>
  </si>
  <si>
    <t>BCAP</t>
  </si>
  <si>
    <t>bitCNY</t>
  </si>
  <si>
    <t>E-coin</t>
  </si>
  <si>
    <t>Voxels</t>
  </si>
  <si>
    <t>Diamond</t>
  </si>
  <si>
    <t>BlockCAT</t>
  </si>
  <si>
    <t>FlorinCoin</t>
  </si>
  <si>
    <t>Nimiq</t>
  </si>
  <si>
    <t>XCurrency</t>
  </si>
  <si>
    <t>PRIZM</t>
  </si>
  <si>
    <t>DAO.Casino</t>
  </si>
  <si>
    <t>EarthCoin</t>
  </si>
  <si>
    <t>Blocktix</t>
  </si>
  <si>
    <t>E-Dinar Coin</t>
  </si>
  <si>
    <t>Musicoin</t>
  </si>
  <si>
    <t>Sphere</t>
  </si>
  <si>
    <t>Dent</t>
  </si>
  <si>
    <t>Feathercoin</t>
  </si>
  <si>
    <t>LoMoCoin</t>
  </si>
  <si>
    <t>Gambit</t>
  </si>
  <si>
    <t>Incent</t>
  </si>
  <si>
    <t>PinkCoin</t>
  </si>
  <si>
    <t>Bitcrystals</t>
  </si>
  <si>
    <t>HEAT</t>
  </si>
  <si>
    <t>Einsteinium</t>
  </si>
  <si>
    <t>VeriCoin</t>
  </si>
  <si>
    <t>OKCash</t>
  </si>
  <si>
    <t>ToaCoin</t>
  </si>
  <si>
    <t>Blitzcash</t>
  </si>
  <si>
    <t>DNotes</t>
  </si>
  <si>
    <t>Embers</t>
  </si>
  <si>
    <t>Creditbit</t>
  </si>
  <si>
    <t>FoldingCoin</t>
  </si>
  <si>
    <t>Primecoin</t>
  </si>
  <si>
    <t>NEVERDIE</t>
  </si>
  <si>
    <t>PutinCoin</t>
  </si>
  <si>
    <t>Sequence</t>
  </si>
  <si>
    <t>Bitcoin Plus</t>
  </si>
  <si>
    <t>Pepe Cash</t>
  </si>
  <si>
    <t>Ethereum Movie Venture</t>
  </si>
  <si>
    <t>TrueFlip</t>
  </si>
  <si>
    <t>CryptoCarbon</t>
  </si>
  <si>
    <t>APX</t>
  </si>
  <si>
    <t>OracleChain</t>
  </si>
  <si>
    <t>SolarCoin</t>
  </si>
  <si>
    <t>Infinitecoin</t>
  </si>
  <si>
    <t>Primalbase Token</t>
  </si>
  <si>
    <t>Project Decorum</t>
  </si>
  <si>
    <t>BitBean</t>
  </si>
  <si>
    <t>Qwark</t>
  </si>
  <si>
    <t>Unity Ingot</t>
  </si>
  <si>
    <t>Novacoin</t>
  </si>
  <si>
    <t>DeepOnion</t>
  </si>
  <si>
    <t>MyBit Token</t>
  </si>
  <si>
    <t>ExclusiveCoin</t>
  </si>
  <si>
    <t>WorldCoin</t>
  </si>
  <si>
    <t>ArtByte</t>
  </si>
  <si>
    <t>DubaiCoin</t>
  </si>
  <si>
    <t>NVO</t>
  </si>
  <si>
    <t>LuckChain</t>
  </si>
  <si>
    <t>MergeCoin</t>
  </si>
  <si>
    <t>BitSend</t>
  </si>
  <si>
    <t>Circuits of Value</t>
  </si>
  <si>
    <t>Auroracoin</t>
  </si>
  <si>
    <t>VPNCoin</t>
  </si>
  <si>
    <t>Bela</t>
  </si>
  <si>
    <t>Curecoin</t>
  </si>
  <si>
    <t>Pascal Coin</t>
  </si>
  <si>
    <t>CVCoin</t>
  </si>
  <si>
    <t>Vcash</t>
  </si>
  <si>
    <t>Global Currency Reserve</t>
  </si>
  <si>
    <t>ZrCoin</t>
  </si>
  <si>
    <t>DaxxCoin</t>
  </si>
  <si>
    <t>Quark</t>
  </si>
  <si>
    <t>Signatum</t>
  </si>
  <si>
    <t>SmartCash</t>
  </si>
  <si>
    <t>Darcrus</t>
  </si>
  <si>
    <t>Synergy</t>
  </si>
  <si>
    <t>HTMLCOIN</t>
  </si>
  <si>
    <t>Jinn</t>
  </si>
  <si>
    <t>Stealthcoin</t>
  </si>
  <si>
    <t>Centurion</t>
  </si>
  <si>
    <t>SunContract</t>
  </si>
  <si>
    <t>Dynamic</t>
  </si>
  <si>
    <t>Megacoin</t>
  </si>
  <si>
    <t>GeoCoin</t>
  </si>
  <si>
    <t>GoldCoin</t>
  </si>
  <si>
    <t>Bitswift</t>
  </si>
  <si>
    <t>ZClassic</t>
  </si>
  <si>
    <t>ICO OpenLedger</t>
  </si>
  <si>
    <t>Wild Beast Block</t>
  </si>
  <si>
    <t>Myriad</t>
  </si>
  <si>
    <t>Condensate</t>
  </si>
  <si>
    <t>MaxCoin</t>
  </si>
  <si>
    <t>EuropeCoin</t>
  </si>
  <si>
    <t>Colossuscoin V2</t>
  </si>
  <si>
    <t>Bitmark</t>
  </si>
  <si>
    <t>Breakout Stake</t>
  </si>
  <si>
    <t>FedoraCoin</t>
  </si>
  <si>
    <t>EquiTrader</t>
  </si>
  <si>
    <t>Minereum</t>
  </si>
  <si>
    <t>bitUSD</t>
  </si>
  <si>
    <t>AsiaCoin</t>
  </si>
  <si>
    <t>Cryptonite</t>
  </si>
  <si>
    <t>Espers</t>
  </si>
  <si>
    <t>Zetacoin</t>
  </si>
  <si>
    <t>EmberCoin</t>
  </si>
  <si>
    <t>ChainCoin</t>
  </si>
  <si>
    <t>Mintcoin</t>
  </si>
  <si>
    <t>WhiteCoin</t>
  </si>
  <si>
    <t>Compcoin</t>
  </si>
  <si>
    <t>2GIVE</t>
  </si>
  <si>
    <t>Steem Dollars</t>
  </si>
  <si>
    <t>Zennies</t>
  </si>
  <si>
    <t>Breakout</t>
  </si>
  <si>
    <t>Pesetacoin</t>
  </si>
  <si>
    <t>DopeCoin</t>
  </si>
  <si>
    <t>Riecoin</t>
  </si>
  <si>
    <t>Dimecoin</t>
  </si>
  <si>
    <t>Dentacoin</t>
  </si>
  <si>
    <t>Bata</t>
  </si>
  <si>
    <t>Atmos</t>
  </si>
  <si>
    <t>Terracoin</t>
  </si>
  <si>
    <t>Syndicate</t>
  </si>
  <si>
    <t>Zeitcoin</t>
  </si>
  <si>
    <t>Legends Room</t>
  </si>
  <si>
    <t>VeriumReserve</t>
  </si>
  <si>
    <t>TransferCoin</t>
  </si>
  <si>
    <t>Neutron</t>
  </si>
  <si>
    <t>NuShares</t>
  </si>
  <si>
    <t>ArcticCoin</t>
  </si>
  <si>
    <t>Janus</t>
  </si>
  <si>
    <t>Altcoin</t>
  </si>
  <si>
    <t>Linda</t>
  </si>
  <si>
    <t>InPay</t>
  </si>
  <si>
    <t>808Coin</t>
  </si>
  <si>
    <t>EverGreenCoin</t>
  </si>
  <si>
    <t>HempCoin</t>
  </si>
  <si>
    <t>Starta</t>
  </si>
  <si>
    <t>InsaneCoin</t>
  </si>
  <si>
    <t>Adzcoin</t>
  </si>
  <si>
    <t>Crave</t>
  </si>
  <si>
    <t>HunterCoin</t>
  </si>
  <si>
    <t>CannabisCoin</t>
  </si>
  <si>
    <t>AdShares</t>
  </si>
  <si>
    <t>SkinCoin</t>
  </si>
  <si>
    <t>Tokes</t>
  </si>
  <si>
    <t>vTorrent</t>
  </si>
  <si>
    <t>ParkByte</t>
  </si>
  <si>
    <t>Hush</t>
  </si>
  <si>
    <t>PoSW Coin</t>
  </si>
  <si>
    <t>Visio</t>
  </si>
  <si>
    <t>TagCoin</t>
  </si>
  <si>
    <t>Creativecoin</t>
  </si>
  <si>
    <t>SmileyCoin</t>
  </si>
  <si>
    <t>PIECoin</t>
  </si>
  <si>
    <t>Startcoin</t>
  </si>
  <si>
    <t>TrustPlus</t>
  </si>
  <si>
    <t>Dotcoin</t>
  </si>
  <si>
    <t>e-Gulden</t>
  </si>
  <si>
    <t>CryptoPing</t>
  </si>
  <si>
    <t>Adelphoi</t>
  </si>
  <si>
    <t>HyperStake</t>
  </si>
  <si>
    <t>Magi</t>
  </si>
  <si>
    <t>BlueCoin</t>
  </si>
  <si>
    <t>FuckToken</t>
  </si>
  <si>
    <t>FundYourselfNow</t>
  </si>
  <si>
    <t>Ultimate Secure Cash</t>
  </si>
  <si>
    <t>Ixcoin</t>
  </si>
  <si>
    <t>Bitcore</t>
  </si>
  <si>
    <t>Mercury</t>
  </si>
  <si>
    <t>FinCoin</t>
  </si>
  <si>
    <t>Tao</t>
  </si>
  <si>
    <t>Happycoin</t>
  </si>
  <si>
    <t>BlockPay</t>
  </si>
  <si>
    <t>Pandacoin</t>
  </si>
  <si>
    <t>LiteDoge</t>
  </si>
  <si>
    <t>AudioCoin</t>
  </si>
  <si>
    <t>Eternity</t>
  </si>
  <si>
    <t>Fastcoin</t>
  </si>
  <si>
    <t>IncaKoin</t>
  </si>
  <si>
    <t>GCoin</t>
  </si>
  <si>
    <t>Helleniccoin</t>
  </si>
  <si>
    <t>Etheriya</t>
  </si>
  <si>
    <t>Link Platform</t>
  </si>
  <si>
    <t>Crypto Bullion</t>
  </si>
  <si>
    <t>Renos</t>
  </si>
  <si>
    <t>Bytecent</t>
  </si>
  <si>
    <t>FIMKrypto</t>
  </si>
  <si>
    <t>Cream</t>
  </si>
  <si>
    <t>Sexcoin</t>
  </si>
  <si>
    <t>Unitus</t>
  </si>
  <si>
    <t>Woodcoin</t>
  </si>
  <si>
    <t>Fantomcoin</t>
  </si>
  <si>
    <t>Capricoin</t>
  </si>
  <si>
    <t>Miners' Reward Token</t>
  </si>
  <si>
    <t>Influxcoin</t>
  </si>
  <si>
    <t>Netko</t>
  </si>
  <si>
    <t>Monster Byte</t>
  </si>
  <si>
    <t>E4ROW</t>
  </si>
  <si>
    <t>Moin</t>
  </si>
  <si>
    <t>eBoost</t>
  </si>
  <si>
    <t>Bitradio</t>
  </si>
  <si>
    <t>Ripto Bux</t>
  </si>
  <si>
    <t>ProCurrency</t>
  </si>
  <si>
    <t>Linx</t>
  </si>
  <si>
    <t>Sovereign Hero</t>
  </si>
  <si>
    <t>NobleCoin</t>
  </si>
  <si>
    <t>Unify</t>
  </si>
  <si>
    <t>WavesGo</t>
  </si>
  <si>
    <t>NetCoin</t>
  </si>
  <si>
    <t>UnbreakableCoin</t>
  </si>
  <si>
    <t>Virtacoinplus</t>
  </si>
  <si>
    <t>iDice</t>
  </si>
  <si>
    <t>Dinastycoin</t>
  </si>
  <si>
    <t>Vsync</t>
  </si>
  <si>
    <t>FujiCoin</t>
  </si>
  <si>
    <t>InflationCoin</t>
  </si>
  <si>
    <t>TeslaCoin</t>
  </si>
  <si>
    <t>XP</t>
  </si>
  <si>
    <t>CoinonatX</t>
  </si>
  <si>
    <t>PostCoin</t>
  </si>
  <si>
    <t>Newbium</t>
  </si>
  <si>
    <t>BitAsean</t>
  </si>
  <si>
    <t>DigitalPrice</t>
  </si>
  <si>
    <t>NuBits</t>
  </si>
  <si>
    <t>iTicoin</t>
  </si>
  <si>
    <t>Denarius</t>
  </si>
  <si>
    <t>Electra</t>
  </si>
  <si>
    <t>Phoenixcoin</t>
  </si>
  <si>
    <t>Virta Unique Coin</t>
  </si>
  <si>
    <t>Scorecoin</t>
  </si>
  <si>
    <t>KekCoin</t>
  </si>
  <si>
    <t>TrumpCoin</t>
  </si>
  <si>
    <t>Piggycoin</t>
  </si>
  <si>
    <t>BitTokens</t>
  </si>
  <si>
    <t>Zoin</t>
  </si>
  <si>
    <t>HOdlcoin</t>
  </si>
  <si>
    <t>Rubies</t>
  </si>
  <si>
    <t>8Bit</t>
  </si>
  <si>
    <t>42-coin</t>
  </si>
  <si>
    <t>Machinecoin</t>
  </si>
  <si>
    <t>Pakcoin</t>
  </si>
  <si>
    <t>Sumokoin</t>
  </si>
  <si>
    <t>Veltor</t>
  </si>
  <si>
    <t>Zero</t>
  </si>
  <si>
    <t>MazaCoin</t>
  </si>
  <si>
    <t>Anoncoin</t>
  </si>
  <si>
    <t>Atomic Coin</t>
  </si>
  <si>
    <t>Elcoin</t>
  </si>
  <si>
    <t>Triangles</t>
  </si>
  <si>
    <t>Deutsche eMark</t>
  </si>
  <si>
    <t>CampusCoin</t>
  </si>
  <si>
    <t>Zurcoin</t>
  </si>
  <si>
    <t>FuturXe</t>
  </si>
  <si>
    <t>CHNCoin</t>
  </si>
  <si>
    <t>Truckcoin</t>
  </si>
  <si>
    <t>NewYorkCoin</t>
  </si>
  <si>
    <t>BunnyCoin</t>
  </si>
  <si>
    <t>QubitCoin</t>
  </si>
  <si>
    <t>FlutterCoin</t>
  </si>
  <si>
    <t>GoldBlocks</t>
  </si>
  <si>
    <t>bitBTC</t>
  </si>
  <si>
    <t>Yocoin</t>
  </si>
  <si>
    <t>TEKcoin</t>
  </si>
  <si>
    <t>Francs</t>
  </si>
  <si>
    <t>PureVidz</t>
  </si>
  <si>
    <t>Prototanium</t>
  </si>
  <si>
    <t>OctoCoin</t>
  </si>
  <si>
    <t>CacheCoin</t>
  </si>
  <si>
    <t>bitSilver</t>
  </si>
  <si>
    <t>Eurocoin</t>
  </si>
  <si>
    <t>MojoCoin</t>
  </si>
  <si>
    <t>HiCoin</t>
  </si>
  <si>
    <t>BlakeStar</t>
  </si>
  <si>
    <t>GlobalBoost-Y</t>
  </si>
  <si>
    <t>Pascal Lite</t>
  </si>
  <si>
    <t>Blakecoin</t>
  </si>
  <si>
    <t>TheGCCcoin</t>
  </si>
  <si>
    <t>Rupaya</t>
  </si>
  <si>
    <t>Cryptojacks</t>
  </si>
  <si>
    <t>Flaxscript</t>
  </si>
  <si>
    <t>GameUnits</t>
  </si>
  <si>
    <t>Digitalcoin</t>
  </si>
  <si>
    <t>Master Swiscoin</t>
  </si>
  <si>
    <t>bitGold</t>
  </si>
  <si>
    <t>PRCoin</t>
  </si>
  <si>
    <t>LiteCoin Ultra</t>
  </si>
  <si>
    <t>bitEUR</t>
  </si>
  <si>
    <t>Dalecoin</t>
  </si>
  <si>
    <t>PayCon</t>
  </si>
  <si>
    <t>SwagBucks</t>
  </si>
  <si>
    <t>QuazarCoin</t>
  </si>
  <si>
    <t>Kurrent</t>
  </si>
  <si>
    <t>Coinonat</t>
  </si>
  <si>
    <t>BiblePay</t>
  </si>
  <si>
    <t>GPU Coin</t>
  </si>
  <si>
    <t>SecureCoin</t>
  </si>
  <si>
    <t>Rupee</t>
  </si>
  <si>
    <t>Money</t>
  </si>
  <si>
    <t>ChanCoin</t>
  </si>
  <si>
    <t>Marscoin</t>
  </si>
  <si>
    <t>Marijuanacoin</t>
  </si>
  <si>
    <t>Sojourn</t>
  </si>
  <si>
    <t>Mao Zedong</t>
  </si>
  <si>
    <t>Kittehcoin</t>
  </si>
  <si>
    <t>CrevaCoin</t>
  </si>
  <si>
    <t>CorgiCoin</t>
  </si>
  <si>
    <t>Eryllium</t>
  </si>
  <si>
    <t>Creatio</t>
  </si>
  <si>
    <t>Theresa May Coin</t>
  </si>
  <si>
    <t>Global Tour Coin</t>
  </si>
  <si>
    <t>Onix</t>
  </si>
  <si>
    <t>Tattoocoin (Standard Edition)</t>
  </si>
  <si>
    <t>Coimatic 2.0</t>
  </si>
  <si>
    <t>Neuro</t>
  </si>
  <si>
    <t>EcoCoin</t>
  </si>
  <si>
    <t>Slevin</t>
  </si>
  <si>
    <t>Frazcoin</t>
  </si>
  <si>
    <t>BriaCoin</t>
  </si>
  <si>
    <t>LiteBitcoin</t>
  </si>
  <si>
    <t>Veros</t>
  </si>
  <si>
    <t>Rawcoin</t>
  </si>
  <si>
    <t>AppleCoin</t>
  </si>
  <si>
    <t>Impact</t>
  </si>
  <si>
    <t>Californium</t>
  </si>
  <si>
    <t>Ebittree Coin</t>
  </si>
  <si>
    <t>LevoPlus</t>
  </si>
  <si>
    <t>HarmonyCoin</t>
  </si>
  <si>
    <t>Ulatech</t>
  </si>
  <si>
    <t>SuperNET</t>
  </si>
  <si>
    <t>Bankcoin</t>
  </si>
  <si>
    <t>MarteXcoin</t>
  </si>
  <si>
    <t>Bitpark Coin</t>
  </si>
  <si>
    <t>YashCoin</t>
  </si>
  <si>
    <t>Arcade Token</t>
  </si>
  <si>
    <t>Carboncoin</t>
  </si>
  <si>
    <t>Greencoin</t>
  </si>
  <si>
    <t>Coin(O)</t>
  </si>
  <si>
    <t>Rustbits</t>
  </si>
  <si>
    <t>GlobalCoin</t>
  </si>
  <si>
    <t>FUNCoin</t>
  </si>
  <si>
    <t>ShadowCash</t>
  </si>
  <si>
    <t>Orbitcoin</t>
  </si>
  <si>
    <t>RouletteToken</t>
  </si>
  <si>
    <t>CryptCoin</t>
  </si>
  <si>
    <t>Casino</t>
  </si>
  <si>
    <t>Canada eCoin</t>
  </si>
  <si>
    <t>BTCtalkcoin</t>
  </si>
  <si>
    <t>UFO Coin</t>
  </si>
  <si>
    <t>Bitz</t>
  </si>
  <si>
    <t>MetalCoin</t>
  </si>
  <si>
    <t>CasinoCoin</t>
  </si>
  <si>
    <t>I0Coin</t>
  </si>
  <si>
    <t>GAIA</t>
  </si>
  <si>
    <t>HitCoin</t>
  </si>
  <si>
    <t>CryptoForecast</t>
  </si>
  <si>
    <t>Shorty</t>
  </si>
  <si>
    <t>BTSR</t>
  </si>
  <si>
    <t>Trollcoin</t>
  </si>
  <si>
    <t>Kobocoin</t>
  </si>
  <si>
    <t>Dashcoin</t>
  </si>
  <si>
    <t>CageCoin</t>
  </si>
  <si>
    <t>SuperCoin</t>
  </si>
  <si>
    <t>BitBar</t>
  </si>
  <si>
    <t>Shadow Token</t>
  </si>
  <si>
    <t>BritCoin</t>
  </si>
  <si>
    <t>UltraCoin</t>
  </si>
  <si>
    <t>AmberCoin</t>
  </si>
  <si>
    <t>RussiaCoin</t>
  </si>
  <si>
    <t>Version</t>
  </si>
  <si>
    <t>Bitcloud</t>
  </si>
  <si>
    <t>Stress</t>
  </si>
  <si>
    <t>Universal Currency</t>
  </si>
  <si>
    <t>SmartCoin</t>
  </si>
  <si>
    <t>Joulecoin</t>
  </si>
  <si>
    <t>Bitstar</t>
  </si>
  <si>
    <t>FuelCoin</t>
  </si>
  <si>
    <t>PayCoin</t>
  </si>
  <si>
    <t>Flycoin</t>
  </si>
  <si>
    <t>Titcoin</t>
  </si>
  <si>
    <t>MiloCoin</t>
  </si>
  <si>
    <t>LottoCoin</t>
  </si>
  <si>
    <t>AurumCoin</t>
  </si>
  <si>
    <t>ReeCoin</t>
  </si>
  <si>
    <t>Emerald Crypto</t>
  </si>
  <si>
    <t>Mineum</t>
  </si>
  <si>
    <t>UniCoin</t>
  </si>
  <si>
    <t>Ratecoin</t>
  </si>
  <si>
    <t>LanaCoin</t>
  </si>
  <si>
    <t>Darsek</t>
  </si>
  <si>
    <t>The Cypherfunks</t>
  </si>
  <si>
    <t>ChessCoin</t>
  </si>
  <si>
    <t>Yacoin</t>
  </si>
  <si>
    <t>Bitcoin Scrypt</t>
  </si>
  <si>
    <t>Valorbit</t>
  </si>
  <si>
    <t>KushCoin</t>
  </si>
  <si>
    <t>Universe</t>
  </si>
  <si>
    <t>C-Bit</t>
  </si>
  <si>
    <t>WayGuide</t>
  </si>
  <si>
    <t>MACRON</t>
  </si>
  <si>
    <t>Elementrem</t>
  </si>
  <si>
    <t>Freicoin</t>
  </si>
  <si>
    <t>Swing</t>
  </si>
  <si>
    <t>KibiCoin</t>
  </si>
  <si>
    <t>B3Coin</t>
  </si>
  <si>
    <t>Bit20</t>
  </si>
  <si>
    <t>Coin2.1</t>
  </si>
  <si>
    <t>iCoin</t>
  </si>
  <si>
    <t>Nyancoin</t>
  </si>
  <si>
    <t>TittieCoin</t>
  </si>
  <si>
    <t>Prime-XI</t>
  </si>
  <si>
    <t>Catcoin</t>
  </si>
  <si>
    <t>SproutsExtreme</t>
  </si>
  <si>
    <t>PetroDollar</t>
  </si>
  <si>
    <t>MTMGaming</t>
  </si>
  <si>
    <t>GoldReserve</t>
  </si>
  <si>
    <t>Tigercoin</t>
  </si>
  <si>
    <t>ParallelCoin</t>
  </si>
  <si>
    <t>WMCoin</t>
  </si>
  <si>
    <t>Cypher</t>
  </si>
  <si>
    <t>ICOBID</t>
  </si>
  <si>
    <t>Honey</t>
  </si>
  <si>
    <t>Sterlingcoin</t>
  </si>
  <si>
    <t>Joincoin</t>
  </si>
  <si>
    <t>Evil Coin</t>
  </si>
  <si>
    <t>DigiCube</t>
  </si>
  <si>
    <t>Dollarcoin</t>
  </si>
  <si>
    <t>Dreamcoin</t>
  </si>
  <si>
    <t>Solaris</t>
  </si>
  <si>
    <t>Cannation</t>
  </si>
  <si>
    <t>BERNcash</t>
  </si>
  <si>
    <t>PlatinumBAR</t>
  </si>
  <si>
    <t>Acoin</t>
  </si>
  <si>
    <t>SOILcoin</t>
  </si>
  <si>
    <t>Bolivarcoin</t>
  </si>
  <si>
    <t>PX</t>
  </si>
  <si>
    <t>DIBCOIN</t>
  </si>
  <si>
    <t>Sativacoin</t>
  </si>
  <si>
    <t>RevolverCoin</t>
  </si>
  <si>
    <t>Allion</t>
  </si>
  <si>
    <t>BigUp</t>
  </si>
  <si>
    <t>SpaceCoin</t>
  </si>
  <si>
    <t>AquariusCoin</t>
  </si>
  <si>
    <t>SatoshiMadness</t>
  </si>
  <si>
    <t>RedCoin</t>
  </si>
  <si>
    <t>Jin Coin</t>
  </si>
  <si>
    <t>Aricoin</t>
  </si>
  <si>
    <t>KiloCoin</t>
  </si>
  <si>
    <t>BumbaCoin</t>
  </si>
  <si>
    <t>Grantcoin</t>
  </si>
  <si>
    <t>Guncoin</t>
  </si>
  <si>
    <t>Useless Ethereum Token</t>
  </si>
  <si>
    <t>AllSafe</t>
  </si>
  <si>
    <t>Sling</t>
  </si>
  <si>
    <t>300 Token</t>
  </si>
  <si>
    <t>BoostCoin</t>
  </si>
  <si>
    <t>Philosopher Stones</t>
  </si>
  <si>
    <t>Bitzeny</t>
  </si>
  <si>
    <t>Gapcoin</t>
  </si>
  <si>
    <t>VirtualCoin</t>
  </si>
  <si>
    <t>Spots</t>
  </si>
  <si>
    <t>Bitcoin 21</t>
  </si>
  <si>
    <t>SecretCoin</t>
  </si>
  <si>
    <t>Argentum</t>
  </si>
  <si>
    <t>HealthyWormCoin</t>
  </si>
  <si>
    <t>Independent Money System</t>
  </si>
  <si>
    <t>GuccioneCoin</t>
  </si>
  <si>
    <t>Chronos</t>
  </si>
  <si>
    <t>Asiadigicoin</t>
  </si>
  <si>
    <t>Gold Pressed Latinum</t>
  </si>
  <si>
    <t>PopularCoin</t>
  </si>
  <si>
    <t>CompuCoin</t>
  </si>
  <si>
    <t>BipCoin</t>
  </si>
  <si>
    <t>SocialCoin</t>
  </si>
  <si>
    <t>PonziCoin</t>
  </si>
  <si>
    <t>Halcyon</t>
  </si>
  <si>
    <t>RonPaulCoin</t>
  </si>
  <si>
    <t>Quatloo</t>
  </si>
  <si>
    <t>Franko</t>
  </si>
  <si>
    <t>NevaCoin</t>
  </si>
  <si>
    <t>Rimbit</t>
  </si>
  <si>
    <t>AntiBitcoin</t>
  </si>
  <si>
    <t>Photon</t>
  </si>
  <si>
    <t>X-Coin</t>
  </si>
  <si>
    <t>Debitcoin</t>
  </si>
  <si>
    <t>IslaCoin</t>
  </si>
  <si>
    <t>Evotion</t>
  </si>
  <si>
    <t>SixEleven</t>
  </si>
  <si>
    <t>Torcoin</t>
  </si>
  <si>
    <t>BenjiRolls</t>
  </si>
  <si>
    <t>Bitcoin Planet</t>
  </si>
  <si>
    <t>Dix Asset</t>
  </si>
  <si>
    <t>PLNcoin</t>
  </si>
  <si>
    <t>Wyvern</t>
  </si>
  <si>
    <t>BeaverCoin</t>
  </si>
  <si>
    <t>Hexx</t>
  </si>
  <si>
    <t>Uro</t>
  </si>
  <si>
    <t>Digital Rupees</t>
  </si>
  <si>
    <t>GBCGoldCoin</t>
  </si>
  <si>
    <t>G3N</t>
  </si>
  <si>
    <t>BillaryCoin</t>
  </si>
  <si>
    <t>GoldPieces</t>
  </si>
  <si>
    <t>SoonCoin</t>
  </si>
  <si>
    <t>ARbit</t>
  </si>
  <si>
    <t>GlobalToken</t>
  </si>
  <si>
    <t>Virtacoin</t>
  </si>
  <si>
    <t>Cabbage</t>
  </si>
  <si>
    <t>SongCoin</t>
  </si>
  <si>
    <t>BiosCrypto</t>
  </si>
  <si>
    <t>Firecoin</t>
  </si>
  <si>
    <t>Ammo Rewards</t>
  </si>
  <si>
    <t>Jewels</t>
  </si>
  <si>
    <t>Steps</t>
  </si>
  <si>
    <t>VIP Tokens</t>
  </si>
  <si>
    <t>MindCoin</t>
  </si>
  <si>
    <t>Pulse</t>
  </si>
  <si>
    <t>BnrtxCoin</t>
  </si>
  <si>
    <t>GameBet Coin</t>
  </si>
  <si>
    <t>Unrealcoin</t>
  </si>
  <si>
    <t>Bitcurrency</t>
  </si>
  <si>
    <t>TAGRcoin</t>
  </si>
  <si>
    <t>Cthulhu Offerings</t>
  </si>
  <si>
    <t>CryptoEscudo</t>
  </si>
  <si>
    <t>Metal Music Coin</t>
  </si>
  <si>
    <t>FlavorCoin</t>
  </si>
  <si>
    <t>Zayedcoin</t>
  </si>
  <si>
    <t>BitCoal</t>
  </si>
  <si>
    <t>CryptoWorldX Token</t>
  </si>
  <si>
    <t>BitQuark</t>
  </si>
  <si>
    <t>Destiny</t>
  </si>
  <si>
    <t>Solarflarecoin</t>
  </si>
  <si>
    <t>iBank</t>
  </si>
  <si>
    <t>Blackstar</t>
  </si>
  <si>
    <t>Ride My Car</t>
  </si>
  <si>
    <t>TajCoin</t>
  </si>
  <si>
    <t>ZetaMicron</t>
  </si>
  <si>
    <t>AgrolifeCoin</t>
  </si>
  <si>
    <t>Vault Coin</t>
  </si>
  <si>
    <t>Iconic</t>
  </si>
  <si>
    <t>LeaCoin</t>
  </si>
  <si>
    <t>BlazeCoin</t>
  </si>
  <si>
    <t>MustangCoin</t>
  </si>
  <si>
    <t>Orlycoin</t>
  </si>
  <si>
    <t>Dollar Online</t>
  </si>
  <si>
    <t>VapersCoin</t>
  </si>
  <si>
    <t>Qibuck Asset</t>
  </si>
  <si>
    <t>High Voltage</t>
  </si>
  <si>
    <t>WARP</t>
  </si>
  <si>
    <t>Beatcoin</t>
  </si>
  <si>
    <t>DAPPSTER</t>
  </si>
  <si>
    <t>KingN Coin</t>
  </si>
  <si>
    <t>Artex Coin</t>
  </si>
  <si>
    <t>Luna Coin</t>
  </si>
  <si>
    <t>EGO</t>
  </si>
  <si>
    <t>Speedcash</t>
  </si>
  <si>
    <t>DPAY</t>
  </si>
  <si>
    <t>Xonecoin</t>
  </si>
  <si>
    <t>OsmiumCoin</t>
  </si>
  <si>
    <t>FuzzBalls</t>
  </si>
  <si>
    <t>Cashcoin</t>
  </si>
  <si>
    <t>Comet</t>
  </si>
  <si>
    <t>LiteBar</t>
  </si>
  <si>
    <t>Crypto</t>
  </si>
  <si>
    <t>GanjaCoin</t>
  </si>
  <si>
    <t>LetItRide</t>
  </si>
  <si>
    <t>BowsCoin</t>
  </si>
  <si>
    <t>AnarchistsPrime</t>
  </si>
  <si>
    <t>CRTCoin</t>
  </si>
  <si>
    <t>Printerium</t>
  </si>
  <si>
    <t>PosEx</t>
  </si>
  <si>
    <t>Zonecoin</t>
  </si>
  <si>
    <t>RSGPcoin</t>
  </si>
  <si>
    <t>Antilitecoin</t>
  </si>
  <si>
    <t>ImpulseCoin</t>
  </si>
  <si>
    <t>Litecred</t>
  </si>
  <si>
    <t>JobsCoin</t>
  </si>
  <si>
    <t>CCMiner</t>
  </si>
  <si>
    <t>Concoin</t>
  </si>
  <si>
    <t>Magnum</t>
  </si>
  <si>
    <t>Save and Gain</t>
  </si>
  <si>
    <t>Argus</t>
  </si>
  <si>
    <t>SydPak</t>
  </si>
  <si>
    <t>GeertCoin</t>
  </si>
  <si>
    <t>Tristar Coin</t>
  </si>
  <si>
    <t>Lex4All</t>
  </si>
  <si>
    <t>Bitvolt</t>
  </si>
  <si>
    <t>BioBar</t>
  </si>
  <si>
    <t>BurstOcean</t>
  </si>
  <si>
    <t>Shilling</t>
  </si>
  <si>
    <t>P7Coin</t>
  </si>
  <si>
    <t>Environ</t>
  </si>
  <si>
    <t>Abncoin</t>
  </si>
  <si>
    <t>Selfiecoin</t>
  </si>
  <si>
    <t>NodeCoin</t>
  </si>
  <si>
    <t>Enigma</t>
  </si>
  <si>
    <t>Elysium</t>
  </si>
  <si>
    <t>PizzaCoin</t>
  </si>
  <si>
    <t>Ethbits</t>
  </si>
  <si>
    <t>Future Digital Currency</t>
  </si>
  <si>
    <t>SwapToken</t>
  </si>
  <si>
    <t>Digital Credits</t>
  </si>
  <si>
    <t>Digital Money Bits</t>
  </si>
  <si>
    <t>CaliphCoin</t>
  </si>
  <si>
    <t>VeChain</t>
  </si>
  <si>
    <t>UG Token</t>
  </si>
  <si>
    <t>Walton</t>
  </si>
  <si>
    <t>Fargocoin</t>
  </si>
  <si>
    <t>SIGMAcoin</t>
  </si>
  <si>
    <t>DynamicCoin</t>
  </si>
  <si>
    <t>InfChain</t>
  </si>
  <si>
    <t>BITFID</t>
  </si>
  <si>
    <t>Pura</t>
  </si>
  <si>
    <t>Storjcoin X</t>
  </si>
  <si>
    <t xml:space="preserve">Sphre AIR </t>
  </si>
  <si>
    <t>Internet of People</t>
  </si>
  <si>
    <t>NamoCoin</t>
  </si>
  <si>
    <t>Bitok</t>
  </si>
  <si>
    <t>YOYOW</t>
  </si>
  <si>
    <t>Opus</t>
  </si>
  <si>
    <t>InvestFeed</t>
  </si>
  <si>
    <t>Falcoin</t>
  </si>
  <si>
    <t>EOT Token</t>
  </si>
  <si>
    <t>Centra</t>
  </si>
  <si>
    <t>Po.et</t>
  </si>
  <si>
    <t>Bitcoin Unlimited (Futures)</t>
  </si>
  <si>
    <t>TechShares</t>
  </si>
  <si>
    <t>DeusCoin</t>
  </si>
  <si>
    <t>ClubCoin</t>
  </si>
  <si>
    <t>First Bitcoin Capital</t>
  </si>
  <si>
    <t>bitqy</t>
  </si>
  <si>
    <t>Growers International</t>
  </si>
  <si>
    <t>OX Fina</t>
  </si>
  <si>
    <t>WA Space</t>
  </si>
  <si>
    <t>Alphabit</t>
  </si>
  <si>
    <t>Bitdeal</t>
  </si>
  <si>
    <t>Aseancoin</t>
  </si>
  <si>
    <t>Golos Gold</t>
  </si>
  <si>
    <t>DigitalDevelopersFund</t>
  </si>
  <si>
    <t>Tychocoin</t>
  </si>
  <si>
    <t>Bolenum</t>
  </si>
  <si>
    <t>USDe</t>
  </si>
  <si>
    <t>Suretly</t>
  </si>
  <si>
    <t>XTD Coin</t>
  </si>
  <si>
    <t>Ergo</t>
  </si>
  <si>
    <t>Pabyosi Coin (Special)</t>
  </si>
  <si>
    <t>TeraCoin</t>
  </si>
  <si>
    <t>Zilbercoin</t>
  </si>
  <si>
    <t>AmsterdamCoin</t>
  </si>
  <si>
    <t>AlpaCoin</t>
  </si>
  <si>
    <t>BRAT</t>
  </si>
  <si>
    <t>President Johnson</t>
  </si>
  <si>
    <t>Sakuracoin</t>
  </si>
  <si>
    <t>AdCoin</t>
  </si>
  <si>
    <t>9COIN</t>
  </si>
  <si>
    <t>GulfCoin</t>
  </si>
  <si>
    <t>T-coin</t>
  </si>
  <si>
    <t>WomenCoin</t>
  </si>
  <si>
    <t>President Trump</t>
  </si>
  <si>
    <t>Moneta</t>
  </si>
  <si>
    <t>PeopleCoin</t>
  </si>
  <si>
    <t>Animecoin</t>
  </si>
  <si>
    <t>Fazzcoin</t>
  </si>
  <si>
    <t>Internet of Things</t>
  </si>
  <si>
    <t>Paccoin</t>
  </si>
  <si>
    <t>Protean</t>
  </si>
  <si>
    <t>Happy Creator Coin</t>
  </si>
  <si>
    <t>Flash</t>
  </si>
  <si>
    <t>LandCoin</t>
  </si>
  <si>
    <t>UR</t>
  </si>
  <si>
    <t>RabbitCoin</t>
  </si>
  <si>
    <t>TeslaCoilCoin</t>
  </si>
  <si>
    <t>Project-X</t>
  </si>
  <si>
    <t>BatCoin</t>
  </si>
  <si>
    <t>Remicoin</t>
  </si>
  <si>
    <t>Peacecoin</t>
  </si>
  <si>
    <t>Omicron</t>
  </si>
  <si>
    <t>TerraNova</t>
  </si>
  <si>
    <t>GAY Money</t>
  </si>
  <si>
    <t>STEX</t>
  </si>
  <si>
    <t>Pirate Blocks</t>
  </si>
  <si>
    <t>Motocoin</t>
  </si>
  <si>
    <t>FireFlyCoin</t>
  </si>
  <si>
    <t>StrongHands</t>
  </si>
  <si>
    <t>Coupecoin</t>
  </si>
  <si>
    <t>Braincoin</t>
  </si>
  <si>
    <t>EDRCoin</t>
  </si>
  <si>
    <t>Advanced Internet Blocks</t>
  </si>
  <si>
    <t>Fonziecoin</t>
  </si>
  <si>
    <t>Royalties</t>
  </si>
  <si>
    <t>MarxCoin</t>
  </si>
  <si>
    <t>RubleBit</t>
  </si>
  <si>
    <t>Tellurion</t>
  </si>
  <si>
    <t>Donationcoin</t>
  </si>
  <si>
    <t>UtaCoin</t>
  </si>
  <si>
    <t>First Bitcoin</t>
  </si>
  <si>
    <t>Voyacoin</t>
  </si>
  <si>
    <t>Opal</t>
  </si>
  <si>
    <t>TopCoin</t>
  </si>
  <si>
    <t>KashhCoin</t>
  </si>
  <si>
    <t>OCOW</t>
  </si>
  <si>
    <t>Sharkcoin</t>
  </si>
  <si>
    <t>GoldUnionCoin</t>
  </si>
  <si>
    <t>Primulon</t>
  </si>
  <si>
    <t>PrismChain</t>
  </si>
  <si>
    <t>Halloween Coin</t>
  </si>
  <si>
    <t>SportsCoin</t>
  </si>
  <si>
    <t>SnakeEyes</t>
  </si>
  <si>
    <t>Hyper</t>
  </si>
  <si>
    <t>RoyalCoin</t>
  </si>
  <si>
    <t>TodayCoin</t>
  </si>
  <si>
    <t>AvatarCoin</t>
  </si>
  <si>
    <t>TheCreed</t>
  </si>
  <si>
    <t>Tattoocoin (Limited Edition)</t>
  </si>
  <si>
    <t>FutCoin</t>
  </si>
  <si>
    <t>Avoncoin</t>
  </si>
  <si>
    <t>Wowcoin</t>
  </si>
  <si>
    <t>Elacoin</t>
  </si>
  <si>
    <t>Bitcedi</t>
  </si>
  <si>
    <t>LinkedCoin</t>
  </si>
  <si>
    <t>Clinton</t>
  </si>
  <si>
    <t>PeepCoin</t>
  </si>
  <si>
    <t>Birds</t>
  </si>
  <si>
    <t>Aces</t>
  </si>
  <si>
    <t>BitCentavo</t>
  </si>
  <si>
    <t>MoneyCoin</t>
  </si>
  <si>
    <t>International Diamond</t>
  </si>
  <si>
    <t>Digital Bullion Gold</t>
  </si>
  <si>
    <t>Lazaruscoin</t>
  </si>
  <si>
    <t>netBit</t>
  </si>
  <si>
    <t>ZSEcoin</t>
  </si>
  <si>
    <t>CBD Crystals</t>
  </si>
  <si>
    <t>BestChain</t>
  </si>
  <si>
    <t>Qora</t>
  </si>
  <si>
    <t>GeyserCoin</t>
  </si>
  <si>
    <t>WeAreSatoshi</t>
  </si>
  <si>
    <t>Cubits</t>
  </si>
  <si>
    <t>CyberCoin</t>
  </si>
  <si>
    <t>LePen</t>
  </si>
  <si>
    <t>FrankyWillCoin</t>
  </si>
  <si>
    <t>Psilocybin</t>
  </si>
  <si>
    <t>VegasCoin</t>
  </si>
  <si>
    <t>Wink</t>
  </si>
  <si>
    <t>RHFCoin</t>
  </si>
  <si>
    <t>Yescoin</t>
  </si>
  <si>
    <t>DarkLisk</t>
  </si>
  <si>
    <t>BlazerCoin</t>
  </si>
  <si>
    <t>DraftCoin</t>
  </si>
  <si>
    <t>Quotient</t>
  </si>
  <si>
    <t>Skeincoin</t>
  </si>
  <si>
    <t>Operand</t>
  </si>
  <si>
    <t>BetaCoin</t>
  </si>
  <si>
    <t>Dashs</t>
  </si>
  <si>
    <t>Axiom</t>
  </si>
  <si>
    <t>IrishCoin</t>
  </si>
  <si>
    <t>MobileCash</t>
  </si>
  <si>
    <t>Bitgem</t>
  </si>
  <si>
    <t>The Vegan Initiative</t>
  </si>
  <si>
    <t>SHACoin</t>
  </si>
  <si>
    <t>Dubstep</t>
  </si>
  <si>
    <t>Cycling Coin</t>
  </si>
  <si>
    <t>PokeCoin</t>
  </si>
  <si>
    <t>Global Business Revolution</t>
  </si>
  <si>
    <t>UNCoin</t>
  </si>
  <si>
    <t>Rcoin</t>
  </si>
  <si>
    <t>GoldMaxCoin</t>
  </si>
  <si>
    <t>Karmacoin</t>
  </si>
  <si>
    <t>Topaz Coin</t>
  </si>
  <si>
    <t>Tyrocoin</t>
  </si>
  <si>
    <t>Quebecoin</t>
  </si>
  <si>
    <t>BitAlphaCoin</t>
  </si>
  <si>
    <t>Bongger</t>
  </si>
  <si>
    <t>Opescoin</t>
  </si>
  <si>
    <t>GameLeagueCoin</t>
  </si>
  <si>
    <t>Antimatter</t>
  </si>
  <si>
    <t>Cashme</t>
  </si>
  <si>
    <t>UGAIN</t>
  </si>
  <si>
    <t>CoExistCoin</t>
  </si>
  <si>
    <t>EggCoin</t>
  </si>
  <si>
    <t>X2</t>
  </si>
  <si>
    <t>TurboCoin</t>
  </si>
  <si>
    <t>MMXVI</t>
  </si>
  <si>
    <t>Sync</t>
  </si>
  <si>
    <t>PinkDog</t>
  </si>
  <si>
    <t>DeltaCredits</t>
  </si>
  <si>
    <t>TeamUp</t>
  </si>
  <si>
    <t>Regacoin</t>
  </si>
  <si>
    <t>Mavro</t>
  </si>
  <si>
    <t>TrickyCoin</t>
  </si>
  <si>
    <t>Huncoin</t>
  </si>
  <si>
    <t>Xaucoin</t>
  </si>
  <si>
    <t>InvisibleCoin</t>
  </si>
  <si>
    <t>ZenGold</t>
  </si>
  <si>
    <t>XDE II</t>
  </si>
  <si>
    <t>UniversalRoyalCoin</t>
  </si>
  <si>
    <t>Safe Trade Coin</t>
  </si>
  <si>
    <t>SafeCoin</t>
  </si>
  <si>
    <t>PiCoin</t>
  </si>
  <si>
    <t>RichCoin</t>
  </si>
  <si>
    <t>ShellCoin</t>
  </si>
  <si>
    <t>PayPeer</t>
  </si>
  <si>
    <t>Golfcoin</t>
  </si>
  <si>
    <t>Cheapcoin</t>
  </si>
  <si>
    <t>LAthaan</t>
  </si>
  <si>
    <t>BTC</t>
  </si>
  <si>
    <t>ETH</t>
  </si>
  <si>
    <t>BCH</t>
  </si>
  <si>
    <t>XRP</t>
  </si>
  <si>
    <t>LTC</t>
  </si>
  <si>
    <t>XEM</t>
  </si>
  <si>
    <t>DASH</t>
  </si>
  <si>
    <t>MIOTA</t>
  </si>
  <si>
    <t>XMR</t>
  </si>
  <si>
    <t>ETC</t>
  </si>
  <si>
    <t>OMG</t>
  </si>
  <si>
    <t>HSR</t>
  </si>
  <si>
    <t>QTUM</t>
  </si>
  <si>
    <t>BCC</t>
  </si>
  <si>
    <t>LSK</t>
  </si>
  <si>
    <t>STRAT</t>
  </si>
  <si>
    <t>ZEC</t>
  </si>
  <si>
    <t>WAVES</t>
  </si>
  <si>
    <t>PAY</t>
  </si>
  <si>
    <t>BCN</t>
  </si>
  <si>
    <t>BTS</t>
  </si>
  <si>
    <t>STEEM</t>
  </si>
  <si>
    <t>XLM</t>
  </si>
  <si>
    <t>USDT</t>
  </si>
  <si>
    <t>MAID</t>
  </si>
  <si>
    <t>REP</t>
  </si>
  <si>
    <t>BAT</t>
  </si>
  <si>
    <t>GNT</t>
  </si>
  <si>
    <t>FCT</t>
  </si>
  <si>
    <t>ARK</t>
  </si>
  <si>
    <t>ICN</t>
  </si>
  <si>
    <t>SC</t>
  </si>
  <si>
    <t>DOGE</t>
  </si>
  <si>
    <t>GBYTE</t>
  </si>
  <si>
    <t>MTL</t>
  </si>
  <si>
    <t>BNB</t>
  </si>
  <si>
    <t>DCR</t>
  </si>
  <si>
    <t>DGD</t>
  </si>
  <si>
    <t>GNO</t>
  </si>
  <si>
    <t>ZRX</t>
  </si>
  <si>
    <t>CVC</t>
  </si>
  <si>
    <t>VERI</t>
  </si>
  <si>
    <t>DGB</t>
  </si>
  <si>
    <t>SNT</t>
  </si>
  <si>
    <t>NXS</t>
  </si>
  <si>
    <t>PPT</t>
  </si>
  <si>
    <t>KMD</t>
  </si>
  <si>
    <t>GAS</t>
  </si>
  <si>
    <t>GAME</t>
  </si>
  <si>
    <t>ARDR</t>
  </si>
  <si>
    <t>GXS</t>
  </si>
  <si>
    <t>BLOCK</t>
  </si>
  <si>
    <t>BNT</t>
  </si>
  <si>
    <t>FUN</t>
  </si>
  <si>
    <t>MCO</t>
  </si>
  <si>
    <t>NXT</t>
  </si>
  <si>
    <t>BTM</t>
  </si>
  <si>
    <t>SYS</t>
  </si>
  <si>
    <t>UBQ</t>
  </si>
  <si>
    <t>LKK</t>
  </si>
  <si>
    <t>STORJ</t>
  </si>
  <si>
    <t>ANT</t>
  </si>
  <si>
    <t>PART</t>
  </si>
  <si>
    <t>SNGLS</t>
  </si>
  <si>
    <t>BTCD</t>
  </si>
  <si>
    <t>MGO</t>
  </si>
  <si>
    <t>CFI</t>
  </si>
  <si>
    <t>WINGS</t>
  </si>
  <si>
    <t>XVG</t>
  </si>
  <si>
    <t>ETP</t>
  </si>
  <si>
    <t>TNT</t>
  </si>
  <si>
    <t>NAV</t>
  </si>
  <si>
    <t>DCT</t>
  </si>
  <si>
    <t>DNT</t>
  </si>
  <si>
    <t>XAS</t>
  </si>
  <si>
    <t>RISE</t>
  </si>
  <si>
    <t>ADX</t>
  </si>
  <si>
    <t>CDT</t>
  </si>
  <si>
    <t>EMC</t>
  </si>
  <si>
    <t>TKN</t>
  </si>
  <si>
    <t>1ST</t>
  </si>
  <si>
    <t>MLN</t>
  </si>
  <si>
    <t>RLC</t>
  </si>
  <si>
    <t>PLR</t>
  </si>
  <si>
    <t>PPC</t>
  </si>
  <si>
    <t>LEO</t>
  </si>
  <si>
    <t>FRST</t>
  </si>
  <si>
    <t>NLG</t>
  </si>
  <si>
    <t>RDD</t>
  </si>
  <si>
    <t>XEL</t>
  </si>
  <si>
    <t>NMR</t>
  </si>
  <si>
    <t>STX</t>
  </si>
  <si>
    <t>VIA</t>
  </si>
  <si>
    <t>XZC</t>
  </si>
  <si>
    <t>QRL</t>
  </si>
  <si>
    <t>XCP</t>
  </si>
  <si>
    <t>TAAS</t>
  </si>
  <si>
    <t>MSP</t>
  </si>
  <si>
    <t>XRL</t>
  </si>
  <si>
    <t>VTC</t>
  </si>
  <si>
    <t>VSL</t>
  </si>
  <si>
    <t>ADT</t>
  </si>
  <si>
    <t>FAIR</t>
  </si>
  <si>
    <t>LUN</t>
  </si>
  <si>
    <t>MYST</t>
  </si>
  <si>
    <t>NMC</t>
  </si>
  <si>
    <t>CLOAK</t>
  </si>
  <si>
    <t>DICE</t>
  </si>
  <si>
    <t>SNM</t>
  </si>
  <si>
    <t>SAN</t>
  </si>
  <si>
    <t>PST</t>
  </si>
  <si>
    <t>PLBT</t>
  </si>
  <si>
    <t>PTOY</t>
  </si>
  <si>
    <t>HMQ</t>
  </si>
  <si>
    <t>MONA</t>
  </si>
  <si>
    <t>LBC</t>
  </si>
  <si>
    <t>SAFEX</t>
  </si>
  <si>
    <t>EXP</t>
  </si>
  <si>
    <t>SHIFT</t>
  </si>
  <si>
    <t>POT</t>
  </si>
  <si>
    <t>TCC</t>
  </si>
  <si>
    <t>BAY</t>
  </si>
  <si>
    <t>CRW</t>
  </si>
  <si>
    <t>ZEN</t>
  </si>
  <si>
    <t>TRST</t>
  </si>
  <si>
    <t>XAUR</t>
  </si>
  <si>
    <t>SPR</t>
  </si>
  <si>
    <t>TRIG</t>
  </si>
  <si>
    <t>SKY</t>
  </si>
  <si>
    <t>IXT</t>
  </si>
  <si>
    <t>XDN</t>
  </si>
  <si>
    <t>SOAR</t>
  </si>
  <si>
    <t>GUP</t>
  </si>
  <si>
    <t>NXC</t>
  </si>
  <si>
    <t>RADS</t>
  </si>
  <si>
    <t>PPY</t>
  </si>
  <si>
    <t>CLAM</t>
  </si>
  <si>
    <t>BLK</t>
  </si>
  <si>
    <t>DTB</t>
  </si>
  <si>
    <t>GOLOS</t>
  </si>
  <si>
    <t>TIME</t>
  </si>
  <si>
    <t>MUE</t>
  </si>
  <si>
    <t>OAX</t>
  </si>
  <si>
    <t>OMNI</t>
  </si>
  <si>
    <t>WCT</t>
  </si>
  <si>
    <t>UNO</t>
  </si>
  <si>
    <t>ENRG</t>
  </si>
  <si>
    <t>SIB</t>
  </si>
  <si>
    <t>SLS</t>
  </si>
  <si>
    <t>QAU</t>
  </si>
  <si>
    <t>AMP</t>
  </si>
  <si>
    <t>AGRS</t>
  </si>
  <si>
    <t>XRB</t>
  </si>
  <si>
    <t>GRC</t>
  </si>
  <si>
    <t>SPRTS</t>
  </si>
  <si>
    <t>BURST</t>
  </si>
  <si>
    <t>AEON</t>
  </si>
  <si>
    <t>WGR</t>
  </si>
  <si>
    <t>ECOB</t>
  </si>
  <si>
    <t>MOON</t>
  </si>
  <si>
    <t>XSPEC</t>
  </si>
  <si>
    <t>PLU</t>
  </si>
  <si>
    <t>NEOS</t>
  </si>
  <si>
    <t>SWT</t>
  </si>
  <si>
    <t>RBY</t>
  </si>
  <si>
    <t>BITCNY</t>
  </si>
  <si>
    <t>ECN</t>
  </si>
  <si>
    <t>VOX</t>
  </si>
  <si>
    <t>DMD</t>
  </si>
  <si>
    <t>CAT</t>
  </si>
  <si>
    <t>FLO</t>
  </si>
  <si>
    <t>NET</t>
  </si>
  <si>
    <t>XC</t>
  </si>
  <si>
    <t>PZM</t>
  </si>
  <si>
    <t>BET</t>
  </si>
  <si>
    <t>EAC</t>
  </si>
  <si>
    <t>XBY</t>
  </si>
  <si>
    <t>TIX</t>
  </si>
  <si>
    <t>EDR</t>
  </si>
  <si>
    <t>MUSIC</t>
  </si>
  <si>
    <t>SPHR</t>
  </si>
  <si>
    <t>ECC</t>
  </si>
  <si>
    <t>DENT</t>
  </si>
  <si>
    <t>FTC</t>
  </si>
  <si>
    <t>LMC</t>
  </si>
  <si>
    <t>GAM</t>
  </si>
  <si>
    <t>INCNT</t>
  </si>
  <si>
    <t>PINK</t>
  </si>
  <si>
    <t>BCY</t>
  </si>
  <si>
    <t>EMC2</t>
  </si>
  <si>
    <t>VRC</t>
  </si>
  <si>
    <t>OK</t>
  </si>
  <si>
    <t>TOA</t>
  </si>
  <si>
    <t>BLITZ</t>
  </si>
  <si>
    <t>NOTE</t>
  </si>
  <si>
    <t>MBRS</t>
  </si>
  <si>
    <t>CRB</t>
  </si>
  <si>
    <t>FLDC</t>
  </si>
  <si>
    <t>XPM</t>
  </si>
  <si>
    <t>NDC</t>
  </si>
  <si>
    <t>PUT</t>
  </si>
  <si>
    <t>SEQ</t>
  </si>
  <si>
    <t>XBC</t>
  </si>
  <si>
    <t>PEPECASH</t>
  </si>
  <si>
    <t>EMV</t>
  </si>
  <si>
    <t>TFL</t>
  </si>
  <si>
    <t>CCRB</t>
  </si>
  <si>
    <t>OCT</t>
  </si>
  <si>
    <t>SLR</t>
  </si>
  <si>
    <t>IFC</t>
  </si>
  <si>
    <t>PBT</t>
  </si>
  <si>
    <t>PDC</t>
  </si>
  <si>
    <t>BITB</t>
  </si>
  <si>
    <t>QWARK</t>
  </si>
  <si>
    <t>UNY</t>
  </si>
  <si>
    <t>NVC</t>
  </si>
  <si>
    <t>ONION</t>
  </si>
  <si>
    <t>MYB</t>
  </si>
  <si>
    <t>EXCL</t>
  </si>
  <si>
    <t>WDC</t>
  </si>
  <si>
    <t>ABY</t>
  </si>
  <si>
    <t>DBIX</t>
  </si>
  <si>
    <t>NVST</t>
  </si>
  <si>
    <t>BASH</t>
  </si>
  <si>
    <t>MGC</t>
  </si>
  <si>
    <t>BSD</t>
  </si>
  <si>
    <t>COVAL</t>
  </si>
  <si>
    <t>AUR</t>
  </si>
  <si>
    <t>VASH</t>
  </si>
  <si>
    <t>BELA</t>
  </si>
  <si>
    <t>CURE</t>
  </si>
  <si>
    <t>PASC</t>
  </si>
  <si>
    <t>CVCOIN</t>
  </si>
  <si>
    <t>XVC</t>
  </si>
  <si>
    <t>GCR</t>
  </si>
  <si>
    <t>ZRC</t>
  </si>
  <si>
    <t>DAXX</t>
  </si>
  <si>
    <t>QRK</t>
  </si>
  <si>
    <t>SIGT</t>
  </si>
  <si>
    <t>SMART</t>
  </si>
  <si>
    <t>DAR</t>
  </si>
  <si>
    <t>SNRG</t>
  </si>
  <si>
    <t>KORE</t>
  </si>
  <si>
    <t>HTML5</t>
  </si>
  <si>
    <t>JINN</t>
  </si>
  <si>
    <t>XST</t>
  </si>
  <si>
    <t>CNT</t>
  </si>
  <si>
    <t>SNC</t>
  </si>
  <si>
    <t>DYN</t>
  </si>
  <si>
    <t>MEC</t>
  </si>
  <si>
    <t>GEO</t>
  </si>
  <si>
    <t>GLD</t>
  </si>
  <si>
    <t>SWIFT</t>
  </si>
  <si>
    <t>ZCL</t>
  </si>
  <si>
    <t>ICOO</t>
  </si>
  <si>
    <t>WBB</t>
  </si>
  <si>
    <t>ETT</t>
  </si>
  <si>
    <t>XMY</t>
  </si>
  <si>
    <t>RAIN</t>
  </si>
  <si>
    <t>MAX</t>
  </si>
  <si>
    <t>ERC</t>
  </si>
  <si>
    <t>CV2</t>
  </si>
  <si>
    <t>BRX</t>
  </si>
  <si>
    <t>TIPS</t>
  </si>
  <si>
    <t>EQT</t>
  </si>
  <si>
    <t>MNE</t>
  </si>
  <si>
    <t>BITUSD</t>
  </si>
  <si>
    <t>AC</t>
  </si>
  <si>
    <t>XCN</t>
  </si>
  <si>
    <t>ESP</t>
  </si>
  <si>
    <t>ZET</t>
  </si>
  <si>
    <t>EMB</t>
  </si>
  <si>
    <t>CHC</t>
  </si>
  <si>
    <t>MINT</t>
  </si>
  <si>
    <t>XWC</t>
  </si>
  <si>
    <t>CMP</t>
  </si>
  <si>
    <t>SBD</t>
  </si>
  <si>
    <t>ZENI</t>
  </si>
  <si>
    <t>BRK</t>
  </si>
  <si>
    <t>PTC</t>
  </si>
  <si>
    <t>DOPE</t>
  </si>
  <si>
    <t>RIC</t>
  </si>
  <si>
    <t>DIME</t>
  </si>
  <si>
    <t>DCN</t>
  </si>
  <si>
    <t>BTA</t>
  </si>
  <si>
    <t>ATMS</t>
  </si>
  <si>
    <t>TRC</t>
  </si>
  <si>
    <t>SYNX</t>
  </si>
  <si>
    <t>ZEIT</t>
  </si>
  <si>
    <t>LGD</t>
  </si>
  <si>
    <t>VRM</t>
  </si>
  <si>
    <t>TX</t>
  </si>
  <si>
    <t>NTRN</t>
  </si>
  <si>
    <t>NSR</t>
  </si>
  <si>
    <t>ARC</t>
  </si>
  <si>
    <t>JNS</t>
  </si>
  <si>
    <t>ALT</t>
  </si>
  <si>
    <t>MEME</t>
  </si>
  <si>
    <t>LINDA</t>
  </si>
  <si>
    <t>INPAY</t>
  </si>
  <si>
    <t>EGC</t>
  </si>
  <si>
    <t>THC</t>
  </si>
  <si>
    <t>STA</t>
  </si>
  <si>
    <t>INSN</t>
  </si>
  <si>
    <t>ADZ</t>
  </si>
  <si>
    <t>CRAVE</t>
  </si>
  <si>
    <t>HUC</t>
  </si>
  <si>
    <t>CANN</t>
  </si>
  <si>
    <t>ADST</t>
  </si>
  <si>
    <t>SKIN</t>
  </si>
  <si>
    <t>TKS</t>
  </si>
  <si>
    <t>VTR</t>
  </si>
  <si>
    <t>PKB</t>
  </si>
  <si>
    <t>HUSH</t>
  </si>
  <si>
    <t>POSW</t>
  </si>
  <si>
    <t>VISIO</t>
  </si>
  <si>
    <t>TAG</t>
  </si>
  <si>
    <t>CREA</t>
  </si>
  <si>
    <t>SMLY</t>
  </si>
  <si>
    <t>PIE</t>
  </si>
  <si>
    <t>START</t>
  </si>
  <si>
    <t>TRUST</t>
  </si>
  <si>
    <t>DOT</t>
  </si>
  <si>
    <t>EFL</t>
  </si>
  <si>
    <t>PING</t>
  </si>
  <si>
    <t>ADL</t>
  </si>
  <si>
    <t>HYP</t>
  </si>
  <si>
    <t>XMG</t>
  </si>
  <si>
    <t>BLU</t>
  </si>
  <si>
    <t>FUCK</t>
  </si>
  <si>
    <t>FYN</t>
  </si>
  <si>
    <t>USC</t>
  </si>
  <si>
    <t>IXC</t>
  </si>
  <si>
    <t>BTX</t>
  </si>
  <si>
    <t>MER</t>
  </si>
  <si>
    <t>FNC</t>
  </si>
  <si>
    <t>XTO</t>
  </si>
  <si>
    <t>HPC</t>
  </si>
  <si>
    <t>BLOCKPAY</t>
  </si>
  <si>
    <t>PND</t>
  </si>
  <si>
    <t>LDOGE</t>
  </si>
  <si>
    <t>ADC</t>
  </si>
  <si>
    <t>ENT</t>
  </si>
  <si>
    <t>FST</t>
  </si>
  <si>
    <t>NKA</t>
  </si>
  <si>
    <t>GCN</t>
  </si>
  <si>
    <t>HNC</t>
  </si>
  <si>
    <t>RIYA</t>
  </si>
  <si>
    <t>LNK</t>
  </si>
  <si>
    <t>CBX</t>
  </si>
  <si>
    <t>RNS</t>
  </si>
  <si>
    <t>BYC</t>
  </si>
  <si>
    <t>FIMK</t>
  </si>
  <si>
    <t>CRM</t>
  </si>
  <si>
    <t>SXC</t>
  </si>
  <si>
    <t>UIS</t>
  </si>
  <si>
    <t>LOG</t>
  </si>
  <si>
    <t>FCN</t>
  </si>
  <si>
    <t>CPC</t>
  </si>
  <si>
    <t>MRT</t>
  </si>
  <si>
    <t>INFX</t>
  </si>
  <si>
    <t>NETKO</t>
  </si>
  <si>
    <t>MBI</t>
  </si>
  <si>
    <t>MOIN</t>
  </si>
  <si>
    <t>EBST</t>
  </si>
  <si>
    <t>BRO</t>
  </si>
  <si>
    <t>RBX</t>
  </si>
  <si>
    <t>PROC</t>
  </si>
  <si>
    <t>LINX</t>
  </si>
  <si>
    <t>HERO</t>
  </si>
  <si>
    <t>NOBL</t>
  </si>
  <si>
    <t>UNIFY</t>
  </si>
  <si>
    <t>WGO</t>
  </si>
  <si>
    <t>UNB</t>
  </si>
  <si>
    <t>XVP</t>
  </si>
  <si>
    <t>ICE</t>
  </si>
  <si>
    <t>DCY</t>
  </si>
  <si>
    <t>FJC</t>
  </si>
  <si>
    <t>IFLT</t>
  </si>
  <si>
    <t>TES</t>
  </si>
  <si>
    <t>XCXT</t>
  </si>
  <si>
    <t>POST</t>
  </si>
  <si>
    <t>NEWB</t>
  </si>
  <si>
    <t>BAS</t>
  </si>
  <si>
    <t>USNBT</t>
  </si>
  <si>
    <t>ITI</t>
  </si>
  <si>
    <t>DNR</t>
  </si>
  <si>
    <t>ECA</t>
  </si>
  <si>
    <t>PXC</t>
  </si>
  <si>
    <t>KRB</t>
  </si>
  <si>
    <t>VUC</t>
  </si>
  <si>
    <t>SCORE</t>
  </si>
  <si>
    <t>KEK</t>
  </si>
  <si>
    <t>TRUMP</t>
  </si>
  <si>
    <t>PIGGY</t>
  </si>
  <si>
    <t>BXT</t>
  </si>
  <si>
    <t>ZOI</t>
  </si>
  <si>
    <t>HODL</t>
  </si>
  <si>
    <t>RBIES</t>
  </si>
  <si>
    <t>8BIT</t>
  </si>
  <si>
    <t>MAC</t>
  </si>
  <si>
    <t>PAK</t>
  </si>
  <si>
    <t>SUMO</t>
  </si>
  <si>
    <t>VLT</t>
  </si>
  <si>
    <t>ZER</t>
  </si>
  <si>
    <t>MZC</t>
  </si>
  <si>
    <t>ANC</t>
  </si>
  <si>
    <t>JET</t>
  </si>
  <si>
    <t>ATOM</t>
  </si>
  <si>
    <t>EL</t>
  </si>
  <si>
    <t>TRI</t>
  </si>
  <si>
    <t>DEM</t>
  </si>
  <si>
    <t>CMPCO</t>
  </si>
  <si>
    <t>ZUR</t>
  </si>
  <si>
    <t>FXE</t>
  </si>
  <si>
    <t>CNC</t>
  </si>
  <si>
    <t>TRK</t>
  </si>
  <si>
    <t>NYC</t>
  </si>
  <si>
    <t>BUN</t>
  </si>
  <si>
    <t>Q2C</t>
  </si>
  <si>
    <t>FLT</t>
  </si>
  <si>
    <t>GB</t>
  </si>
  <si>
    <t>BITBTC</t>
  </si>
  <si>
    <t>YOC</t>
  </si>
  <si>
    <t>TEK</t>
  </si>
  <si>
    <t>FRN</t>
  </si>
  <si>
    <t>VIDZ</t>
  </si>
  <si>
    <t>PR</t>
  </si>
  <si>
    <t>CACH</t>
  </si>
  <si>
    <t>BITSILVER</t>
  </si>
  <si>
    <t>EUC</t>
  </si>
  <si>
    <t>MOJO</t>
  </si>
  <si>
    <t>XHI</t>
  </si>
  <si>
    <t>BLAS</t>
  </si>
  <si>
    <t>BSTY</t>
  </si>
  <si>
    <t>PASL</t>
  </si>
  <si>
    <t>BLC</t>
  </si>
  <si>
    <t>GCC</t>
  </si>
  <si>
    <t>RUPX</t>
  </si>
  <si>
    <t>CJ</t>
  </si>
  <si>
    <t>FLAX</t>
  </si>
  <si>
    <t>UNITS</t>
  </si>
  <si>
    <t>DGC</t>
  </si>
  <si>
    <t>MSCN</t>
  </si>
  <si>
    <t>BITGOLD</t>
  </si>
  <si>
    <t>HMP</t>
  </si>
  <si>
    <t>PRC</t>
  </si>
  <si>
    <t>LTCU</t>
  </si>
  <si>
    <t>BITEUR</t>
  </si>
  <si>
    <t>DALC</t>
  </si>
  <si>
    <t>CON</t>
  </si>
  <si>
    <t>BUCKS</t>
  </si>
  <si>
    <t>QCN</t>
  </si>
  <si>
    <t>KURT</t>
  </si>
  <si>
    <t>CXT</t>
  </si>
  <si>
    <t>BBP</t>
  </si>
  <si>
    <t>GPU</t>
  </si>
  <si>
    <t>SRC</t>
  </si>
  <si>
    <t>RUP</t>
  </si>
  <si>
    <t>$$$</t>
  </si>
  <si>
    <t>4CHN</t>
  </si>
  <si>
    <t>MARS</t>
  </si>
  <si>
    <t>MAR</t>
  </si>
  <si>
    <t>SOJ</t>
  </si>
  <si>
    <t>MAO</t>
  </si>
  <si>
    <t>MEOW</t>
  </si>
  <si>
    <t>CREVA</t>
  </si>
  <si>
    <t>BCF</t>
  </si>
  <si>
    <t>CORG</t>
  </si>
  <si>
    <t>BOAT</t>
  </si>
  <si>
    <t>ERY</t>
  </si>
  <si>
    <t>XCRE</t>
  </si>
  <si>
    <t>MAY</t>
  </si>
  <si>
    <t>GTC</t>
  </si>
  <si>
    <t>ONX</t>
  </si>
  <si>
    <t>TSE</t>
  </si>
  <si>
    <t>CTIC2</t>
  </si>
  <si>
    <t>NRO</t>
  </si>
  <si>
    <t>ECO</t>
  </si>
  <si>
    <t>SLEVIN</t>
  </si>
  <si>
    <t>FRAZ</t>
  </si>
  <si>
    <t>BRIA</t>
  </si>
  <si>
    <t>LBTC</t>
  </si>
  <si>
    <t>VRS</t>
  </si>
  <si>
    <t>XRC</t>
  </si>
  <si>
    <t>APW</t>
  </si>
  <si>
    <t>IMX</t>
  </si>
  <si>
    <t>CF</t>
  </si>
  <si>
    <t>EBT</t>
  </si>
  <si>
    <t>LVPS</t>
  </si>
  <si>
    <t>HMC</t>
  </si>
  <si>
    <t>ULA</t>
  </si>
  <si>
    <t>UNITY</t>
  </si>
  <si>
    <t>B@</t>
  </si>
  <si>
    <t>MXT</t>
  </si>
  <si>
    <t>BPC</t>
  </si>
  <si>
    <t>YASH</t>
  </si>
  <si>
    <t>CARBON</t>
  </si>
  <si>
    <t>GRE</t>
  </si>
  <si>
    <t>CNO</t>
  </si>
  <si>
    <t>RUSTBITS</t>
  </si>
  <si>
    <t>GLC</t>
  </si>
  <si>
    <t>FUNC</t>
  </si>
  <si>
    <t>SDC</t>
  </si>
  <si>
    <t>ORB</t>
  </si>
  <si>
    <t>RLT</t>
  </si>
  <si>
    <t>CRYPT</t>
  </si>
  <si>
    <t>CASINO</t>
  </si>
  <si>
    <t>CDN</t>
  </si>
  <si>
    <t>GOOD</t>
  </si>
  <si>
    <t>TALK</t>
  </si>
  <si>
    <t>UFO</t>
  </si>
  <si>
    <t>BITZ</t>
  </si>
  <si>
    <t>METAL</t>
  </si>
  <si>
    <t>CSC</t>
  </si>
  <si>
    <t>I0C</t>
  </si>
  <si>
    <t>HTC</t>
  </si>
  <si>
    <t>CFT</t>
  </si>
  <si>
    <t>SHORTY</t>
  </si>
  <si>
    <t>TROLL</t>
  </si>
  <si>
    <t>KOBO</t>
  </si>
  <si>
    <t>DSH</t>
  </si>
  <si>
    <t>CAGE</t>
  </si>
  <si>
    <t>SUPER</t>
  </si>
  <si>
    <t>BTB</t>
  </si>
  <si>
    <t>SHDW</t>
  </si>
  <si>
    <t>BRIT</t>
  </si>
  <si>
    <t>UTC</t>
  </si>
  <si>
    <t>AMBER</t>
  </si>
  <si>
    <t>RC</t>
  </si>
  <si>
    <t>V</t>
  </si>
  <si>
    <t>STS</t>
  </si>
  <si>
    <t>UNIT</t>
  </si>
  <si>
    <t>SMC</t>
  </si>
  <si>
    <t>XJO</t>
  </si>
  <si>
    <t>BITS</t>
  </si>
  <si>
    <t>CCN</t>
  </si>
  <si>
    <t>FC2</t>
  </si>
  <si>
    <t>XPY</t>
  </si>
  <si>
    <t>FLY</t>
  </si>
  <si>
    <t>TIT</t>
  </si>
  <si>
    <t>MILO</t>
  </si>
  <si>
    <t>LOT</t>
  </si>
  <si>
    <t>AU</t>
  </si>
  <si>
    <t>REE</t>
  </si>
  <si>
    <t>EMD</t>
  </si>
  <si>
    <t>MNM</t>
  </si>
  <si>
    <t>UNIC</t>
  </si>
  <si>
    <t>XRA</t>
  </si>
  <si>
    <t>LANA</t>
  </si>
  <si>
    <t>KED</t>
  </si>
  <si>
    <t>FUNK</t>
  </si>
  <si>
    <t>CHESS</t>
  </si>
  <si>
    <t>YAC</t>
  </si>
  <si>
    <t>BTCS</t>
  </si>
  <si>
    <t>VAL</t>
  </si>
  <si>
    <t>KUSH</t>
  </si>
  <si>
    <t>UNI</t>
  </si>
  <si>
    <t>XCT</t>
  </si>
  <si>
    <t>WAY</t>
  </si>
  <si>
    <t>MCRN</t>
  </si>
  <si>
    <t>ELE</t>
  </si>
  <si>
    <t>FRC</t>
  </si>
  <si>
    <t>SWING</t>
  </si>
  <si>
    <t>KIC</t>
  </si>
  <si>
    <t>B3</t>
  </si>
  <si>
    <t>BTWTY</t>
  </si>
  <si>
    <t>C2</t>
  </si>
  <si>
    <t>NYAN</t>
  </si>
  <si>
    <t>TTC</t>
  </si>
  <si>
    <t>PXI</t>
  </si>
  <si>
    <t>SPEX</t>
  </si>
  <si>
    <t>XPD</t>
  </si>
  <si>
    <t>MTM</t>
  </si>
  <si>
    <t>XGR</t>
  </si>
  <si>
    <t>TGC</t>
  </si>
  <si>
    <t>DUO</t>
  </si>
  <si>
    <t>WMC</t>
  </si>
  <si>
    <t>CYP</t>
  </si>
  <si>
    <t>ICOB</t>
  </si>
  <si>
    <t>HONEY</t>
  </si>
  <si>
    <t>SLG</t>
  </si>
  <si>
    <t>J</t>
  </si>
  <si>
    <t>EVIL</t>
  </si>
  <si>
    <t>CUBE</t>
  </si>
  <si>
    <t>DLC</t>
  </si>
  <si>
    <t>DRM</t>
  </si>
  <si>
    <t>XLR</t>
  </si>
  <si>
    <t>CNNC</t>
  </si>
  <si>
    <t>BERN</t>
  </si>
  <si>
    <t>XPTX</t>
  </si>
  <si>
    <t>ACOIN</t>
  </si>
  <si>
    <t>SOIL</t>
  </si>
  <si>
    <t>BOLI</t>
  </si>
  <si>
    <t>DIBC</t>
  </si>
  <si>
    <t>STV</t>
  </si>
  <si>
    <t>XRE</t>
  </si>
  <si>
    <t>ALL</t>
  </si>
  <si>
    <t>BIGUP</t>
  </si>
  <si>
    <t>SPACE</t>
  </si>
  <si>
    <t>ARCO</t>
  </si>
  <si>
    <t>MAD</t>
  </si>
  <si>
    <t>RED</t>
  </si>
  <si>
    <t>JIN</t>
  </si>
  <si>
    <t>ARI</t>
  </si>
  <si>
    <t>KLC</t>
  </si>
  <si>
    <t>BUMBA</t>
  </si>
  <si>
    <t>GRT</t>
  </si>
  <si>
    <t>GUN</t>
  </si>
  <si>
    <t>UET</t>
  </si>
  <si>
    <t>ASAFE2</t>
  </si>
  <si>
    <t>SLING</t>
  </si>
  <si>
    <t>BOST</t>
  </si>
  <si>
    <t>PHS</t>
  </si>
  <si>
    <t>ZNY</t>
  </si>
  <si>
    <t>GAP</t>
  </si>
  <si>
    <t>VC</t>
  </si>
  <si>
    <t>SPT</t>
  </si>
  <si>
    <t>XBTC21</t>
  </si>
  <si>
    <t>SCRT</t>
  </si>
  <si>
    <t>ARG</t>
  </si>
  <si>
    <t>WORM</t>
  </si>
  <si>
    <t>IMS</t>
  </si>
  <si>
    <t>CRX</t>
  </si>
  <si>
    <t>ADCN</t>
  </si>
  <si>
    <t>GPL</t>
  </si>
  <si>
    <t>VEC2</t>
  </si>
  <si>
    <t>POP</t>
  </si>
  <si>
    <t>CPN</t>
  </si>
  <si>
    <t>BIP</t>
  </si>
  <si>
    <t>SOCC</t>
  </si>
  <si>
    <t>PONZI</t>
  </si>
  <si>
    <t>HAL</t>
  </si>
  <si>
    <t>RPC</t>
  </si>
  <si>
    <t>QTL</t>
  </si>
  <si>
    <t>FRK</t>
  </si>
  <si>
    <t>NEVA</t>
  </si>
  <si>
    <t>RBT</t>
  </si>
  <si>
    <t>ANTI</t>
  </si>
  <si>
    <t>PHO</t>
  </si>
  <si>
    <t>XCO</t>
  </si>
  <si>
    <t>DBTC</t>
  </si>
  <si>
    <t>ISL</t>
  </si>
  <si>
    <t>EVO</t>
  </si>
  <si>
    <t>TOR</t>
  </si>
  <si>
    <t>BENJI</t>
  </si>
  <si>
    <t>BTPL</t>
  </si>
  <si>
    <t>DIX</t>
  </si>
  <si>
    <t>PLNC</t>
  </si>
  <si>
    <t>WYV</t>
  </si>
  <si>
    <t>BVC</t>
  </si>
  <si>
    <t>HXX</t>
  </si>
  <si>
    <t>URO</t>
  </si>
  <si>
    <t>DRS</t>
  </si>
  <si>
    <t>GBC</t>
  </si>
  <si>
    <t>BLRY</t>
  </si>
  <si>
    <t>GP</t>
  </si>
  <si>
    <t>SOON</t>
  </si>
  <si>
    <t>ARB</t>
  </si>
  <si>
    <t>GLT</t>
  </si>
  <si>
    <t>VTA</t>
  </si>
  <si>
    <t>CAB</t>
  </si>
  <si>
    <t>SONG</t>
  </si>
  <si>
    <t>BIOS</t>
  </si>
  <si>
    <t>FIRE</t>
  </si>
  <si>
    <t>AMMO</t>
  </si>
  <si>
    <t>JWL</t>
  </si>
  <si>
    <t>STEPS</t>
  </si>
  <si>
    <t>VIP</t>
  </si>
  <si>
    <t>MND</t>
  </si>
  <si>
    <t>PULSE</t>
  </si>
  <si>
    <t>BNX</t>
  </si>
  <si>
    <t>GBT</t>
  </si>
  <si>
    <t>URC</t>
  </si>
  <si>
    <t>BTCR</t>
  </si>
  <si>
    <t>TAGR</t>
  </si>
  <si>
    <t>OFF</t>
  </si>
  <si>
    <t>CESC</t>
  </si>
  <si>
    <t>MTLMC3</t>
  </si>
  <si>
    <t>FLVR</t>
  </si>
  <si>
    <t>ZYD</t>
  </si>
  <si>
    <t>COAL</t>
  </si>
  <si>
    <t>CWXT</t>
  </si>
  <si>
    <t>BTQ</t>
  </si>
  <si>
    <t>DES</t>
  </si>
  <si>
    <t>SFC</t>
  </si>
  <si>
    <t>IBANK</t>
  </si>
  <si>
    <t>BSTAR</t>
  </si>
  <si>
    <t>RIDE</t>
  </si>
  <si>
    <t>TAJ</t>
  </si>
  <si>
    <t>ZMC</t>
  </si>
  <si>
    <t>AGLC</t>
  </si>
  <si>
    <t>VLTC</t>
  </si>
  <si>
    <t>ICON</t>
  </si>
  <si>
    <t>LEA</t>
  </si>
  <si>
    <t>BLZ</t>
  </si>
  <si>
    <t>MST</t>
  </si>
  <si>
    <t>ORLY</t>
  </si>
  <si>
    <t>DOLLAR</t>
  </si>
  <si>
    <t>VPRC</t>
  </si>
  <si>
    <t>QBK</t>
  </si>
  <si>
    <t>HVCO</t>
  </si>
  <si>
    <t>XBTS</t>
  </si>
  <si>
    <t>DLISK</t>
  </si>
  <si>
    <t>KNC</t>
  </si>
  <si>
    <t>ATX</t>
  </si>
  <si>
    <t>LUNA</t>
  </si>
  <si>
    <t>SCS</t>
  </si>
  <si>
    <t>XOC</t>
  </si>
  <si>
    <t>OS76</t>
  </si>
  <si>
    <t>FUZZ</t>
  </si>
  <si>
    <t>CASH</t>
  </si>
  <si>
    <t>CMT</t>
  </si>
  <si>
    <t>LTB</t>
  </si>
  <si>
    <t>CTO</t>
  </si>
  <si>
    <t>LIR</t>
  </si>
  <si>
    <t>BSC</t>
  </si>
  <si>
    <t>ACP</t>
  </si>
  <si>
    <t>CRT</t>
  </si>
  <si>
    <t>PRX</t>
  </si>
  <si>
    <t>PEX</t>
  </si>
  <si>
    <t>ZNE</t>
  </si>
  <si>
    <t>RSGP</t>
  </si>
  <si>
    <t>ALTC</t>
  </si>
  <si>
    <t>IMPS</t>
  </si>
  <si>
    <t>LTCR</t>
  </si>
  <si>
    <t>JOBS</t>
  </si>
  <si>
    <t>MNC</t>
  </si>
  <si>
    <t>CCM100</t>
  </si>
  <si>
    <t>CONX</t>
  </si>
  <si>
    <t>MGM</t>
  </si>
  <si>
    <t>SANDG</t>
  </si>
  <si>
    <t>ARGUS</t>
  </si>
  <si>
    <t>SDP</t>
  </si>
  <si>
    <t>GEERT</t>
  </si>
  <si>
    <t>TSTR</t>
  </si>
  <si>
    <t>LEX</t>
  </si>
  <si>
    <t>VOLT</t>
  </si>
  <si>
    <t>BIOB</t>
  </si>
  <si>
    <t>OCEAN</t>
  </si>
  <si>
    <t>SH</t>
  </si>
  <si>
    <t>P7C</t>
  </si>
  <si>
    <t>ENV</t>
  </si>
  <si>
    <t>ABN</t>
  </si>
  <si>
    <t>SLFI</t>
  </si>
  <si>
    <t>NODC</t>
  </si>
  <si>
    <t>XNG</t>
  </si>
  <si>
    <t>ELS</t>
  </si>
  <si>
    <t>PIZZA</t>
  </si>
  <si>
    <t>FDC</t>
  </si>
  <si>
    <t>TOKEN</t>
  </si>
  <si>
    <t>DGCS</t>
  </si>
  <si>
    <t>DMB</t>
  </si>
  <si>
    <t>CALC</t>
  </si>
  <si>
    <t>HCC</t>
  </si>
  <si>
    <t>UGT</t>
  </si>
  <si>
    <t>WTC</t>
  </si>
  <si>
    <t>FRGC</t>
  </si>
  <si>
    <t>SIGMA</t>
  </si>
  <si>
    <t>DMC</t>
  </si>
  <si>
    <t>INF</t>
  </si>
  <si>
    <t>FID</t>
  </si>
  <si>
    <t>ELC</t>
  </si>
  <si>
    <t>PURA</t>
  </si>
  <si>
    <t>SJCX</t>
  </si>
  <si>
    <t>XID</t>
  </si>
  <si>
    <t>IOP</t>
  </si>
  <si>
    <t>NAMO</t>
  </si>
  <si>
    <t>ABC</t>
  </si>
  <si>
    <t>BITOK</t>
  </si>
  <si>
    <t>OPT</t>
  </si>
  <si>
    <t>IFT</t>
  </si>
  <si>
    <t>FAL</t>
  </si>
  <si>
    <t>EOT</t>
  </si>
  <si>
    <t>CTR</t>
  </si>
  <si>
    <t>POE</t>
  </si>
  <si>
    <t>AE</t>
  </si>
  <si>
    <t>BTU</t>
  </si>
  <si>
    <t>THS</t>
  </si>
  <si>
    <t>DEUS</t>
  </si>
  <si>
    <t>CLUB</t>
  </si>
  <si>
    <t>BITCF</t>
  </si>
  <si>
    <t>BQ</t>
  </si>
  <si>
    <t>GRWI</t>
  </si>
  <si>
    <t>OX</t>
  </si>
  <si>
    <t>WA</t>
  </si>
  <si>
    <t>BDL</t>
  </si>
  <si>
    <t>ASN</t>
  </si>
  <si>
    <t>GBG</t>
  </si>
  <si>
    <t>DDF</t>
  </si>
  <si>
    <t>TYCHO</t>
  </si>
  <si>
    <t>BLN</t>
  </si>
  <si>
    <t>USDE</t>
  </si>
  <si>
    <t>SUR</t>
  </si>
  <si>
    <t>XTD</t>
  </si>
  <si>
    <t>EFYT</t>
  </si>
  <si>
    <t>PCS</t>
  </si>
  <si>
    <t>TERA</t>
  </si>
  <si>
    <t>ZBC</t>
  </si>
  <si>
    <t>AMS</t>
  </si>
  <si>
    <t>APC</t>
  </si>
  <si>
    <t>XMCC</t>
  </si>
  <si>
    <t>GARY</t>
  </si>
  <si>
    <t>SKR</t>
  </si>
  <si>
    <t>ACC</t>
  </si>
  <si>
    <t>TCOIN</t>
  </si>
  <si>
    <t>WOMEN</t>
  </si>
  <si>
    <t>PRES</t>
  </si>
  <si>
    <t>MONETA</t>
  </si>
  <si>
    <t>MEN</t>
  </si>
  <si>
    <t>ANI</t>
  </si>
  <si>
    <t>FAZZ</t>
  </si>
  <si>
    <t>XOT</t>
  </si>
  <si>
    <t>PAC</t>
  </si>
  <si>
    <t>PRN</t>
  </si>
  <si>
    <t>FLASH</t>
  </si>
  <si>
    <t>LDCN</t>
  </si>
  <si>
    <t>RBBT</t>
  </si>
  <si>
    <t>TESLA</t>
  </si>
  <si>
    <t>NANOX</t>
  </si>
  <si>
    <t>RMC</t>
  </si>
  <si>
    <t>PEC</t>
  </si>
  <si>
    <t>OMC</t>
  </si>
  <si>
    <t>TER</t>
  </si>
  <si>
    <t>GAY</t>
  </si>
  <si>
    <t>SKULL</t>
  </si>
  <si>
    <t>MOTO</t>
  </si>
  <si>
    <t>FFC</t>
  </si>
  <si>
    <t>SHND</t>
  </si>
  <si>
    <t>COUPE</t>
  </si>
  <si>
    <t>BRAIN</t>
  </si>
  <si>
    <t>EDRC</t>
  </si>
  <si>
    <t>AIB</t>
  </si>
  <si>
    <t>FONZ</t>
  </si>
  <si>
    <t>XRY</t>
  </si>
  <si>
    <t>MARX</t>
  </si>
  <si>
    <t>RUBIT</t>
  </si>
  <si>
    <t>TELL</t>
  </si>
  <si>
    <t>DON</t>
  </si>
  <si>
    <t>UTA</t>
  </si>
  <si>
    <t>BIT</t>
  </si>
  <si>
    <t>VOYA</t>
  </si>
  <si>
    <t>OPAL</t>
  </si>
  <si>
    <t>TOP</t>
  </si>
  <si>
    <t>KASHH</t>
  </si>
  <si>
    <t>SAK</t>
  </si>
  <si>
    <t>GUC</t>
  </si>
  <si>
    <t>PRIMU</t>
  </si>
  <si>
    <t>PRM</t>
  </si>
  <si>
    <t>XLC</t>
  </si>
  <si>
    <t>HALLO</t>
  </si>
  <si>
    <t>SPORT</t>
  </si>
  <si>
    <t>SNAKE</t>
  </si>
  <si>
    <t>HYPER</t>
  </si>
  <si>
    <t>ROYAL</t>
  </si>
  <si>
    <t>TODAY</t>
  </si>
  <si>
    <t>AV</t>
  </si>
  <si>
    <t>TCR</t>
  </si>
  <si>
    <t>TLE</t>
  </si>
  <si>
    <t>FUTC</t>
  </si>
  <si>
    <t>ACN</t>
  </si>
  <si>
    <t>WOW</t>
  </si>
  <si>
    <t>BXC</t>
  </si>
  <si>
    <t>LKC</t>
  </si>
  <si>
    <t>CLINT</t>
  </si>
  <si>
    <t>PCN</t>
  </si>
  <si>
    <t>BIRDS</t>
  </si>
  <si>
    <t>ACES</t>
  </si>
  <si>
    <t>NBE</t>
  </si>
  <si>
    <t>MONEY</t>
  </si>
  <si>
    <t>DBG</t>
  </si>
  <si>
    <t>LAZ</t>
  </si>
  <si>
    <t>NBIT</t>
  </si>
  <si>
    <t>ZSE</t>
  </si>
  <si>
    <t>CBD</t>
  </si>
  <si>
    <t>BEST</t>
  </si>
  <si>
    <t>QORA</t>
  </si>
  <si>
    <t>GSR</t>
  </si>
  <si>
    <t>WSX</t>
  </si>
  <si>
    <t>QBT</t>
  </si>
  <si>
    <t>CC</t>
  </si>
  <si>
    <t>LEPEN</t>
  </si>
  <si>
    <t>FRWC</t>
  </si>
  <si>
    <t>PSY</t>
  </si>
  <si>
    <t>VGC</t>
  </si>
  <si>
    <t>WINK</t>
  </si>
  <si>
    <t>RHFC</t>
  </si>
  <si>
    <t>YES</t>
  </si>
  <si>
    <t>DISK</t>
  </si>
  <si>
    <t>BLAZR</t>
  </si>
  <si>
    <t>DFT</t>
  </si>
  <si>
    <t>XQN</t>
  </si>
  <si>
    <t>SKC</t>
  </si>
  <si>
    <t>OP</t>
  </si>
  <si>
    <t>DASHS</t>
  </si>
  <si>
    <t>AXIOM</t>
  </si>
  <si>
    <t>IRL</t>
  </si>
  <si>
    <t>MBL</t>
  </si>
  <si>
    <t>BTG</t>
  </si>
  <si>
    <t>XVE</t>
  </si>
  <si>
    <t>SHA</t>
  </si>
  <si>
    <t>DUB</t>
  </si>
  <si>
    <t>CYC</t>
  </si>
  <si>
    <t>POKE</t>
  </si>
  <si>
    <t>GBRC</t>
  </si>
  <si>
    <t>UNC</t>
  </si>
  <si>
    <t>RCN</t>
  </si>
  <si>
    <t>GMX</t>
  </si>
  <si>
    <t>KARMA</t>
  </si>
  <si>
    <t>TOPAZ</t>
  </si>
  <si>
    <t>TYC</t>
  </si>
  <si>
    <t>QBC</t>
  </si>
  <si>
    <t>BAC</t>
  </si>
  <si>
    <t>BGR</t>
  </si>
  <si>
    <t>OPES</t>
  </si>
  <si>
    <t>GML</t>
  </si>
  <si>
    <t>ANTX</t>
  </si>
  <si>
    <t>CME</t>
  </si>
  <si>
    <t>GAIN</t>
  </si>
  <si>
    <t>COXST</t>
  </si>
  <si>
    <t>EGG</t>
  </si>
  <si>
    <t>TURBO</t>
  </si>
  <si>
    <t>SYNC</t>
  </si>
  <si>
    <t>PDG</t>
  </si>
  <si>
    <t>DCRE</t>
  </si>
  <si>
    <t>TEAM</t>
  </si>
  <si>
    <t>REGA</t>
  </si>
  <si>
    <t>MAVRO</t>
  </si>
  <si>
    <t>TRICK</t>
  </si>
  <si>
    <t>XAU</t>
  </si>
  <si>
    <t>IVZ</t>
  </si>
  <si>
    <t>ZENGOLD</t>
  </si>
  <si>
    <t>XDE2</t>
  </si>
  <si>
    <t>UNRC</t>
  </si>
  <si>
    <t>XSTC</t>
  </si>
  <si>
    <t>SFE</t>
  </si>
  <si>
    <t>PI</t>
  </si>
  <si>
    <t>RICHX</t>
  </si>
  <si>
    <t>SHELL</t>
  </si>
  <si>
    <t>PAYP</t>
  </si>
  <si>
    <t>GOLF</t>
  </si>
  <si>
    <t>CHEAP</t>
  </si>
  <si>
    <t>LTH</t>
  </si>
  <si>
    <t>BTC_Price</t>
  </si>
  <si>
    <t>USD_Price</t>
  </si>
  <si>
    <t>Market Cap USD</t>
  </si>
  <si>
    <t>Available Supply</t>
  </si>
  <si>
    <t>Total Supply</t>
  </si>
  <si>
    <t>%Change 1 hour</t>
  </si>
  <si>
    <t>Rank</t>
  </si>
  <si>
    <t>bitcoin</t>
  </si>
  <si>
    <t>ethereum</t>
  </si>
  <si>
    <t>bitcoin-cash</t>
  </si>
  <si>
    <t>ripple</t>
  </si>
  <si>
    <t>litecoin</t>
  </si>
  <si>
    <t>nem</t>
  </si>
  <si>
    <t>dash</t>
  </si>
  <si>
    <t>iota</t>
  </si>
  <si>
    <t>monero</t>
  </si>
  <si>
    <t>ethereum-classic</t>
  </si>
  <si>
    <t>neo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</si>
  <si>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</si>
  <si>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</si>
  <si>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</si>
  <si>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</si>
  <si>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</si>
  <si>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</si>
  <si>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</si>
  <si>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</si>
  <si>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bytecoin-bcn</t>
  </si>
  <si>
    <t>bitshares</t>
  </si>
  <si>
    <t>tenx</t>
  </si>
  <si>
    <t>eos</t>
  </si>
  <si>
    <t>stellar</t>
  </si>
  <si>
    <t>steem</t>
  </si>
  <si>
    <t>tether</t>
  </si>
  <si>
    <t>maidsafecoin</t>
  </si>
  <si>
    <t>iconomi</t>
  </si>
  <si>
    <t>augur</t>
  </si>
  <si>
    <t>golem-network-tokens</t>
  </si>
  <si>
    <t>factom</t>
  </si>
  <si>
    <t>basic-attention-token</t>
  </si>
  <si>
    <t>ark</t>
  </si>
  <si>
    <t>siacoin</t>
  </si>
  <si>
    <t>dogecoin</t>
  </si>
  <si>
    <t>metal</t>
  </si>
  <si>
    <t>decred</t>
  </si>
  <si>
    <t>binance-coin</t>
  </si>
  <si>
    <t>byteball</t>
  </si>
  <si>
    <t>gnosis-gno</t>
  </si>
  <si>
    <t>pivx</t>
  </si>
  <si>
    <t>digibyte</t>
  </si>
  <si>
    <t>digixdao</t>
  </si>
  <si>
    <t>populous</t>
  </si>
  <si>
    <t>status</t>
  </si>
  <si>
    <t>civic</t>
  </si>
  <si>
    <t>veritaseum</t>
  </si>
  <si>
    <t>gamecredits</t>
  </si>
  <si>
    <t>komodo</t>
  </si>
  <si>
    <t>mcap</t>
  </si>
  <si>
    <t>nexus</t>
  </si>
  <si>
    <t>ardor</t>
  </si>
  <si>
    <t>gxshares</t>
  </si>
  <si>
    <t>blocknet</t>
  </si>
  <si>
    <t>funfair</t>
  </si>
  <si>
    <t>bancor</t>
  </si>
  <si>
    <t>gas</t>
  </si>
  <si>
    <t>nxt</t>
  </si>
  <si>
    <t>syscoin</t>
  </si>
  <si>
    <t>bytom</t>
  </si>
  <si>
    <t>monaco</t>
  </si>
  <si>
    <t>nav-coin</t>
  </si>
  <si>
    <t>ubiq</t>
  </si>
  <si>
    <t>particl</t>
  </si>
  <si>
    <t>lykke</t>
  </si>
  <si>
    <t>aragon</t>
  </si>
  <si>
    <t>storj</t>
  </si>
  <si>
    <t>singulardtv</t>
  </si>
  <si>
    <t>bitcoindark</t>
  </si>
  <si>
    <t>cofound-it</t>
  </si>
  <si>
    <t>mobilego</t>
  </si>
  <si>
    <t>wings</t>
  </si>
  <si>
    <t>metaverse</t>
  </si>
  <si>
    <t>verge</t>
  </si>
  <si>
    <t>decent</t>
  </si>
  <si>
    <t>tierion</t>
  </si>
  <si>
    <t>asch</t>
  </si>
  <si>
    <t>adx-net</t>
  </si>
  <si>
    <t>rlc</t>
  </si>
  <si>
    <t>firstblood</t>
  </si>
  <si>
    <t>melon</t>
  </si>
  <si>
    <t>pillar</t>
  </si>
  <si>
    <t>peercoin</t>
  </si>
  <si>
    <t>coindash</t>
  </si>
  <si>
    <t>gulden</t>
  </si>
  <si>
    <t>emercoin</t>
  </si>
  <si>
    <t>elastic</t>
  </si>
  <si>
    <t>rise</t>
  </si>
  <si>
    <t>leocoin</t>
  </si>
  <si>
    <t>firstcoin</t>
  </si>
  <si>
    <t>tokencard</t>
  </si>
  <si>
    <t>trust</t>
  </si>
  <si>
    <t>reddcoin</t>
  </si>
  <si>
    <t>quantum-resistant-ledger</t>
  </si>
  <si>
    <t>zcoin</t>
  </si>
  <si>
    <t>numeraire</t>
  </si>
  <si>
    <t>counterparty</t>
  </si>
  <si>
    <t>viacoin</t>
  </si>
  <si>
    <t>vertcoin</t>
  </si>
  <si>
    <t>stox</t>
  </si>
  <si>
    <t>rialto</t>
  </si>
  <si>
    <t>mysterium</t>
  </si>
  <si>
    <t>cloakcoin</t>
  </si>
  <si>
    <t>vslice</t>
  </si>
  <si>
    <t>adtoken</t>
  </si>
  <si>
    <t>mothership</t>
  </si>
  <si>
    <t>taas</t>
  </si>
  <si>
    <t>triggers</t>
  </si>
  <si>
    <t>faircoin</t>
  </si>
  <si>
    <t>namecoin</t>
  </si>
  <si>
    <t>patientory</t>
  </si>
  <si>
    <t>lunyr</t>
  </si>
  <si>
    <t>expanse</t>
  </si>
  <si>
    <t>library-credit</t>
  </si>
  <si>
    <t>etheroll</t>
  </si>
  <si>
    <t>ion</t>
  </si>
  <si>
    <t>monacoin</t>
  </si>
  <si>
    <t>sonm</t>
  </si>
  <si>
    <t>polybius</t>
  </si>
  <si>
    <t>humaniq</t>
  </si>
  <si>
    <t>santiment</t>
  </si>
  <si>
    <t>zencash</t>
  </si>
  <si>
    <t>safe-exchange-coin</t>
  </si>
  <si>
    <t>the-champcoin</t>
  </si>
  <si>
    <t>shift</t>
  </si>
  <si>
    <t>potcoin</t>
  </si>
  <si>
    <t>bitbay</t>
  </si>
  <si>
    <t>spreadcoin</t>
  </si>
  <si>
    <t>xaurum</t>
  </si>
  <si>
    <t>peerplays-ppy</t>
  </si>
  <si>
    <t>crown</t>
  </si>
  <si>
    <t>supernet-unity</t>
  </si>
  <si>
    <t>primas</t>
  </si>
  <si>
    <t>skycoin</t>
  </si>
  <si>
    <t>clams</t>
  </si>
  <si>
    <t>blackcoin</t>
  </si>
  <si>
    <t>soarcoin</t>
  </si>
  <si>
    <t>radium</t>
  </si>
  <si>
    <t>guppy</t>
  </si>
  <si>
    <t>sprouts</t>
  </si>
  <si>
    <t>golos</t>
  </si>
  <si>
    <t>monetaryunit</t>
  </si>
  <si>
    <t>digitalnote</t>
  </si>
  <si>
    <t>databits</t>
  </si>
  <si>
    <t>nexium</t>
  </si>
  <si>
    <t>chronobank</t>
  </si>
  <si>
    <t>burst</t>
  </si>
  <si>
    <t>unobtanium</t>
  </si>
  <si>
    <t>omni</t>
  </si>
  <si>
    <t>sibcoin</t>
  </si>
  <si>
    <t>raiblocks</t>
  </si>
  <si>
    <t>synereo</t>
  </si>
  <si>
    <t>salus</t>
  </si>
  <si>
    <t>agoras-tokens</t>
  </si>
  <si>
    <t>quantum</t>
  </si>
  <si>
    <t>gridcoin</t>
  </si>
  <si>
    <t>energycoin</t>
  </si>
  <si>
    <t>waves-community-token</t>
  </si>
  <si>
    <t>eccoin</t>
  </si>
  <si>
    <t>ecobit</t>
  </si>
  <si>
    <t>obits</t>
  </si>
  <si>
    <t>wagerr</t>
  </si>
  <si>
    <t>neoscoin</t>
  </si>
  <si>
    <t>aeon</t>
  </si>
  <si>
    <t>pluton</t>
  </si>
  <si>
    <t>e-coin</t>
  </si>
  <si>
    <t>spectrecoin</t>
  </si>
  <si>
    <t>swarm-city</t>
  </si>
  <si>
    <t>rubycoin</t>
  </si>
  <si>
    <t>bcap</t>
  </si>
  <si>
    <t>voxels</t>
  </si>
  <si>
    <t>xcurrency</t>
  </si>
  <si>
    <t>diamond</t>
  </si>
  <si>
    <t>florincoin</t>
  </si>
  <si>
    <t>bitcny</t>
  </si>
  <si>
    <t>xtrabytes</t>
  </si>
  <si>
    <t>sphere</t>
  </si>
  <si>
    <t>mooncoin</t>
  </si>
  <si>
    <t>blockcat</t>
  </si>
  <si>
    <t>earthcoin</t>
  </si>
  <si>
    <t>dao-casino</t>
  </si>
  <si>
    <t>e-dinar-coin</t>
  </si>
  <si>
    <t>musicoin</t>
  </si>
  <si>
    <t>nimiq</t>
  </si>
  <si>
    <t>feathercoin</t>
  </si>
  <si>
    <t>gambit</t>
  </si>
  <si>
    <t>prizm</t>
  </si>
  <si>
    <t>vericoin</t>
  </si>
  <si>
    <t>lomocoin</t>
  </si>
  <si>
    <t>pinkcoin</t>
  </si>
  <si>
    <t>incent</t>
  </si>
  <si>
    <t>bitcrystals</t>
  </si>
  <si>
    <t>einsteinium</t>
  </si>
  <si>
    <t>toacoin</t>
  </si>
  <si>
    <t>creditbit</t>
  </si>
  <si>
    <t>dnotes</t>
  </si>
  <si>
    <t>encryptotel</t>
  </si>
  <si>
    <t>heat-ledger</t>
  </si>
  <si>
    <t>okcash</t>
  </si>
  <si>
    <t>dent</t>
  </si>
  <si>
    <t>primecoin</t>
  </si>
  <si>
    <t>ethereum-movie-venture</t>
  </si>
  <si>
    <t>neverdie</t>
  </si>
  <si>
    <t>embers</t>
  </si>
  <si>
    <t>foldingcoin</t>
  </si>
  <si>
    <t>sequence</t>
  </si>
  <si>
    <t>bitbean</t>
  </si>
  <si>
    <t>blitzcash</t>
  </si>
  <si>
    <t>bitcoin-plus</t>
  </si>
  <si>
    <t>pepe-cash</t>
  </si>
  <si>
    <t>putincoin</t>
  </si>
  <si>
    <t>apx</t>
  </si>
  <si>
    <t>oraclechain</t>
  </si>
  <si>
    <t>trueflip</t>
  </si>
  <si>
    <t>solarcoin</t>
  </si>
  <si>
    <t>blocktix</t>
  </si>
  <si>
    <t>mybit-token</t>
  </si>
  <si>
    <t>infinitecoin</t>
  </si>
  <si>
    <t>circuits-of-value</t>
  </si>
  <si>
    <t>nvo</t>
  </si>
  <si>
    <t>unity-ingot</t>
  </si>
  <si>
    <t>novacoin</t>
  </si>
  <si>
    <t>project-decorum</t>
  </si>
  <si>
    <t>dubaicoin-dbix</t>
  </si>
  <si>
    <t>bitsend</t>
  </si>
  <si>
    <t>primalbase</t>
  </si>
  <si>
    <t>worldcoin</t>
  </si>
  <si>
    <t>qwark</t>
  </si>
  <si>
    <t>belacoin</t>
  </si>
  <si>
    <t>pascal-coin</t>
  </si>
  <si>
    <t>auroracoin</t>
  </si>
  <si>
    <t>jinn</t>
  </si>
  <si>
    <t>mergecoin</t>
  </si>
  <si>
    <t>curecoin</t>
  </si>
  <si>
    <t>deeponion</t>
  </si>
  <si>
    <t>vpncoin</t>
  </si>
  <si>
    <t>luckchain</t>
  </si>
  <si>
    <t>suncontract</t>
  </si>
  <si>
    <t>cryptocarbon</t>
  </si>
  <si>
    <t>exclusivecoin</t>
  </si>
  <si>
    <t>centurion</t>
  </si>
  <si>
    <t>zclassic</t>
  </si>
  <si>
    <t>htmlcoin</t>
  </si>
  <si>
    <t>zrcoin</t>
  </si>
  <si>
    <t>vcash</t>
  </si>
  <si>
    <t>darcrus</t>
  </si>
  <si>
    <t>global-currency-reserve</t>
  </si>
  <si>
    <t>bitswift</t>
  </si>
  <si>
    <t>synergy</t>
  </si>
  <si>
    <t>quark</t>
  </si>
  <si>
    <t>cvcoin</t>
  </si>
  <si>
    <t>stealthcoin</t>
  </si>
  <si>
    <t>korecoin</t>
  </si>
  <si>
    <t>dynamic</t>
  </si>
  <si>
    <t>daxxcoin</t>
  </si>
  <si>
    <t>goldcoin</t>
  </si>
  <si>
    <t>megacoin</t>
  </si>
  <si>
    <t>signatum</t>
  </si>
  <si>
    <t>colossuscoin-v2</t>
  </si>
  <si>
    <t>smartcash</t>
  </si>
  <si>
    <t>bitmark</t>
  </si>
  <si>
    <t>geocoin</t>
  </si>
  <si>
    <t>wild-beast-block</t>
  </si>
  <si>
    <t>myriad</t>
  </si>
  <si>
    <t>ico-openledger</t>
  </si>
  <si>
    <t>europecoin</t>
  </si>
  <si>
    <t>maxcoin</t>
  </si>
  <si>
    <t>breakout-stake</t>
  </si>
  <si>
    <t>minereum</t>
  </si>
  <si>
    <t>condensate</t>
  </si>
  <si>
    <t>bitusd</t>
  </si>
  <si>
    <t>pesetacoin</t>
  </si>
  <si>
    <t>espers</t>
  </si>
  <si>
    <t>cryptonite</t>
  </si>
  <si>
    <t>embercoin</t>
  </si>
  <si>
    <t>cryptoping</t>
  </si>
  <si>
    <t>mintcoin</t>
  </si>
  <si>
    <t>legends-room</t>
  </si>
  <si>
    <t>zetacoin</t>
  </si>
  <si>
    <t>chaincoin</t>
  </si>
  <si>
    <t>zennies</t>
  </si>
  <si>
    <t>equitrader</t>
  </si>
  <si>
    <t>steem-dollars</t>
  </si>
  <si>
    <t>whitecoin</t>
  </si>
  <si>
    <t>breakout</t>
  </si>
  <si>
    <t>riecoin</t>
  </si>
  <si>
    <t>2give</t>
  </si>
  <si>
    <t>dopecoin</t>
  </si>
  <si>
    <t>bata</t>
  </si>
  <si>
    <t>zeitcoin</t>
  </si>
  <si>
    <t>fedoracoin</t>
  </si>
  <si>
    <t>dentacoin</t>
  </si>
  <si>
    <t>nushares</t>
  </si>
  <si>
    <t>terracoin</t>
  </si>
  <si>
    <t>compcoin</t>
  </si>
  <si>
    <t>veriumreserve</t>
  </si>
  <si>
    <t>transfercoin</t>
  </si>
  <si>
    <t>memetic</t>
  </si>
  <si>
    <t>inpay</t>
  </si>
  <si>
    <t>atmos</t>
  </si>
  <si>
    <t>altcoin-alt</t>
  </si>
  <si>
    <t>linda</t>
  </si>
  <si>
    <t>evergreencoin</t>
  </si>
  <si>
    <t>janus</t>
  </si>
  <si>
    <t>dimecoin</t>
  </si>
  <si>
    <t>syndicate</t>
  </si>
  <si>
    <t>hempcoin</t>
  </si>
  <si>
    <t>cannabiscoin</t>
  </si>
  <si>
    <t>starta</t>
  </si>
  <si>
    <t>neutron</t>
  </si>
  <si>
    <t>crave</t>
  </si>
  <si>
    <t>fundyourselfnow</t>
  </si>
  <si>
    <t>adzcoin</t>
  </si>
  <si>
    <t>visio</t>
  </si>
  <si>
    <t>arcticcoin</t>
  </si>
  <si>
    <t>huntercoin</t>
  </si>
  <si>
    <t>tokes</t>
  </si>
  <si>
    <t>adshares</t>
  </si>
  <si>
    <t>posw-coin</t>
  </si>
  <si>
    <t>insanecoin-insn</t>
  </si>
  <si>
    <t>vtorrent</t>
  </si>
  <si>
    <t>parkbyte</t>
  </si>
  <si>
    <t>hush</t>
  </si>
  <si>
    <t>link-platform</t>
  </si>
  <si>
    <t>creativecoin</t>
  </si>
  <si>
    <t>e-gulden</t>
  </si>
  <si>
    <t>tagcoin</t>
  </si>
  <si>
    <t>smileycoin</t>
  </si>
  <si>
    <t>skincoin</t>
  </si>
  <si>
    <t>startcoin</t>
  </si>
  <si>
    <t>trustplus</t>
  </si>
  <si>
    <t>piecoin</t>
  </si>
  <si>
    <t>mercury</t>
  </si>
  <si>
    <t>magi</t>
  </si>
  <si>
    <t>dotcoin</t>
  </si>
  <si>
    <t>fucktoken</t>
  </si>
  <si>
    <t>happycoin</t>
  </si>
  <si>
    <t>bitcore</t>
  </si>
  <si>
    <t>ultimate-secure-cash</t>
  </si>
  <si>
    <t>hyperstake</t>
  </si>
  <si>
    <t>ixcoin</t>
  </si>
  <si>
    <t>audiocoin</t>
  </si>
  <si>
    <t>adelphoi</t>
  </si>
  <si>
    <t>fincoin</t>
  </si>
  <si>
    <t>pandacoin-pnd</t>
  </si>
  <si>
    <t>808coin</t>
  </si>
  <si>
    <t>blockpay</t>
  </si>
  <si>
    <t>bluecoin</t>
  </si>
  <si>
    <t>eternity</t>
  </si>
  <si>
    <t>litedoge</t>
  </si>
  <si>
    <t>xp</t>
  </si>
  <si>
    <t>renos</t>
  </si>
  <si>
    <t>etheriya</t>
  </si>
  <si>
    <t>cryptcoin</t>
  </si>
  <si>
    <t>fastcoin</t>
  </si>
  <si>
    <t>tao</t>
  </si>
  <si>
    <t>bytecent</t>
  </si>
  <si>
    <t>helleniccoin</t>
  </si>
  <si>
    <t>fantomcoin</t>
  </si>
  <si>
    <t>sexcoin</t>
  </si>
  <si>
    <t>woodcoin</t>
  </si>
  <si>
    <t>cream</t>
  </si>
  <si>
    <t>unitus</t>
  </si>
  <si>
    <t>miners-reward-token</t>
  </si>
  <si>
    <t>moin</t>
  </si>
  <si>
    <t>capricoin</t>
  </si>
  <si>
    <t>fimkrypto</t>
  </si>
  <si>
    <t>influxcoin</t>
  </si>
  <si>
    <t>eboostcoin</t>
  </si>
  <si>
    <t>cryptogenic-bullion</t>
  </si>
  <si>
    <t>ether-for-the-rest-of-the-world</t>
  </si>
  <si>
    <t>netko</t>
  </si>
  <si>
    <t>bitradio</t>
  </si>
  <si>
    <t>wavesgo</t>
  </si>
  <si>
    <t>ripto-bux</t>
  </si>
  <si>
    <t>greencoin</t>
  </si>
  <si>
    <t>monster-byte</t>
  </si>
  <si>
    <t>dashcoin</t>
  </si>
  <si>
    <t>unify</t>
  </si>
  <si>
    <t>linx</t>
  </si>
  <si>
    <t>unbreakablecoin</t>
  </si>
  <si>
    <t>sovereign-hero</t>
  </si>
  <si>
    <t>noblecoin</t>
  </si>
  <si>
    <t>inflationcoin</t>
  </si>
  <si>
    <t>orbitcoin</t>
  </si>
  <si>
    <t>funcoin</t>
  </si>
  <si>
    <t>canada-ecoin</t>
  </si>
  <si>
    <t>coinonatx</t>
  </si>
  <si>
    <t>virtacoinplus</t>
  </si>
  <si>
    <t>dinastycoin</t>
  </si>
  <si>
    <t>piggycoin</t>
  </si>
  <si>
    <t>idice</t>
  </si>
  <si>
    <t>gcoin</t>
  </si>
  <si>
    <t>teslacoin</t>
  </si>
  <si>
    <t>netcoin</t>
  </si>
  <si>
    <t>procurrency</t>
  </si>
  <si>
    <t>newbium</t>
  </si>
  <si>
    <t>fujicoin</t>
  </si>
  <si>
    <t>postcoin</t>
  </si>
  <si>
    <t>digitalprice</t>
  </si>
  <si>
    <t>scorecoin</t>
  </si>
  <si>
    <t>btsr</t>
  </si>
  <si>
    <t>aurumcoin</t>
  </si>
  <si>
    <t>nubits</t>
  </si>
  <si>
    <t>bitasean</t>
  </si>
  <si>
    <t>iticoin</t>
  </si>
  <si>
    <t>ufo-coin</t>
  </si>
  <si>
    <t>denarius-dnr</t>
  </si>
  <si>
    <t>zoin</t>
  </si>
  <si>
    <t>phoenixcoin</t>
  </si>
  <si>
    <t>bitbar</t>
  </si>
  <si>
    <t>rubies</t>
  </si>
  <si>
    <t>virta-unique-coin</t>
  </si>
  <si>
    <t>karbowanec</t>
  </si>
  <si>
    <t>shadow-token</t>
  </si>
  <si>
    <t>trumpcoin</t>
  </si>
  <si>
    <t>anoncoin</t>
  </si>
  <si>
    <t>kekcoin</t>
  </si>
  <si>
    <t>8bit</t>
  </si>
  <si>
    <t>pakcoin</t>
  </si>
  <si>
    <t>bitcloud</t>
  </si>
  <si>
    <t>zero</t>
  </si>
  <si>
    <t>version</t>
  </si>
  <si>
    <t>roulettetoken</t>
  </si>
  <si>
    <t>elcoin-el</t>
  </si>
  <si>
    <t>deutsche-emark</t>
  </si>
  <si>
    <t>atomic-coin</t>
  </si>
  <si>
    <t>sumokoin</t>
  </si>
  <si>
    <t>triangles</t>
  </si>
  <si>
    <t>machinecoin</t>
  </si>
  <si>
    <t>zurcoin</t>
  </si>
  <si>
    <t>bittokens</t>
  </si>
  <si>
    <t>bunnycoin</t>
  </si>
  <si>
    <t>veltor</t>
  </si>
  <si>
    <t>cachecoin</t>
  </si>
  <si>
    <t>campuscoin</t>
  </si>
  <si>
    <t>futurexe</t>
  </si>
  <si>
    <t>chncoin</t>
  </si>
  <si>
    <t>bitbtc</t>
  </si>
  <si>
    <t>bitcoin-scrypt</t>
  </si>
  <si>
    <t>truckcoin</t>
  </si>
  <si>
    <t>lanacoin</t>
  </si>
  <si>
    <t>tekcoin</t>
  </si>
  <si>
    <t>newyorkcoin</t>
  </si>
  <si>
    <t>goldblocks</t>
  </si>
  <si>
    <t>hicoin</t>
  </si>
  <si>
    <t>mojocoin</t>
  </si>
  <si>
    <t>francs</t>
  </si>
  <si>
    <t>rupee</t>
  </si>
  <si>
    <t>eurocoin</t>
  </si>
  <si>
    <t>bitsilver</t>
  </si>
  <si>
    <t>cannation</t>
  </si>
  <si>
    <t>tittiecoin</t>
  </si>
  <si>
    <t>blakestar</t>
  </si>
  <si>
    <t>jetcoin</t>
  </si>
  <si>
    <t>thegcccoin</t>
  </si>
  <si>
    <t>emerald</t>
  </si>
  <si>
    <t>yocoin</t>
  </si>
  <si>
    <t>tradecoin-v2</t>
  </si>
  <si>
    <t>prototanium</t>
  </si>
  <si>
    <t>flaxscript</t>
  </si>
  <si>
    <t>platinumbar</t>
  </si>
  <si>
    <t>digitalcoin</t>
  </si>
  <si>
    <t>master-swiscoin</t>
  </si>
  <si>
    <t>cryptojacks</t>
  </si>
  <si>
    <t>b3coin</t>
  </si>
  <si>
    <t>swagbucks</t>
  </si>
  <si>
    <t>dibcoin</t>
  </si>
  <si>
    <t>bitgold</t>
  </si>
  <si>
    <t>biteur</t>
  </si>
  <si>
    <t>bitcoinfast</t>
  </si>
  <si>
    <t>kilocoin</t>
  </si>
  <si>
    <t>corgicoin</t>
  </si>
  <si>
    <t>soilcoin</t>
  </si>
  <si>
    <t>mao-zedong</t>
  </si>
  <si>
    <t>quazarcoin</t>
  </si>
  <si>
    <t>dalecoin</t>
  </si>
  <si>
    <t>solaris</t>
  </si>
  <si>
    <t>coinonat</t>
  </si>
  <si>
    <t>money</t>
  </si>
  <si>
    <t>prcoin</t>
  </si>
  <si>
    <t>litecoin-ultra</t>
  </si>
  <si>
    <t>marijuanacoin</t>
  </si>
  <si>
    <t>biblepay</t>
  </si>
  <si>
    <t>kurrent</t>
  </si>
  <si>
    <t>chancoin</t>
  </si>
  <si>
    <t>sojourn</t>
  </si>
  <si>
    <t>aricoin</t>
  </si>
  <si>
    <t>doubloon</t>
  </si>
  <si>
    <t>guccionecoin</t>
  </si>
  <si>
    <t>crevacoin</t>
  </si>
  <si>
    <t>bipcoin</t>
  </si>
  <si>
    <t>compucoin</t>
  </si>
  <si>
    <t>eryllium</t>
  </si>
  <si>
    <t>dix-asset</t>
  </si>
  <si>
    <t>torcoin-tor</t>
  </si>
  <si>
    <t>tristar-coin</t>
  </si>
  <si>
    <t>theresa-may-coin</t>
  </si>
  <si>
    <t>plncoin</t>
  </si>
  <si>
    <t>creatio</t>
  </si>
  <si>
    <t>coimatic-2</t>
  </si>
  <si>
    <t>onix</t>
  </si>
  <si>
    <t>ecocoin</t>
  </si>
  <si>
    <t>frazcoin</t>
  </si>
  <si>
    <t>veros</t>
  </si>
  <si>
    <t>litebitcoin</t>
  </si>
  <si>
    <t>briacoin</t>
  </si>
  <si>
    <t>slevin</t>
  </si>
  <si>
    <t>applecoin-apw</t>
  </si>
  <si>
    <t>californium</t>
  </si>
  <si>
    <t>ebittree-coin</t>
  </si>
  <si>
    <t>levoplus</t>
  </si>
  <si>
    <t>abncoin</t>
  </si>
  <si>
    <t>harmonycoin-hmc</t>
  </si>
  <si>
    <t>ulatech</t>
  </si>
  <si>
    <t>bankcoin</t>
  </si>
  <si>
    <t>asiacoin</t>
  </si>
  <si>
    <t>bitpark-coin</t>
  </si>
  <si>
    <t>arcade-token</t>
  </si>
  <si>
    <t>yashcoin</t>
  </si>
  <si>
    <t>martexcoin</t>
  </si>
  <si>
    <t>incakoin</t>
  </si>
  <si>
    <t>metalcoin</t>
  </si>
  <si>
    <t>rustbits</t>
  </si>
  <si>
    <t>coin</t>
  </si>
  <si>
    <t>globalcoin</t>
  </si>
  <si>
    <t>shadowcash</t>
  </si>
  <si>
    <t>casino</t>
  </si>
  <si>
    <t>carboncoin</t>
  </si>
  <si>
    <t>bitz</t>
  </si>
  <si>
    <t>kobocoin</t>
  </si>
  <si>
    <t>i0coin</t>
  </si>
  <si>
    <t>casinocoin</t>
  </si>
  <si>
    <t>hitcoin</t>
  </si>
  <si>
    <t>electra</t>
  </si>
  <si>
    <t>btctalkcoin</t>
  </si>
  <si>
    <t>trollcoin</t>
  </si>
  <si>
    <t>russiacoin</t>
  </si>
  <si>
    <t>shorty</t>
  </si>
  <si>
    <t>cagecoin</t>
  </si>
  <si>
    <t>cryptoforecast</t>
  </si>
  <si>
    <t>hodlcoin</t>
  </si>
  <si>
    <t>ambercoin</t>
  </si>
  <si>
    <t>ultracoin</t>
  </si>
  <si>
    <t>britcoin</t>
  </si>
  <si>
    <t>stress</t>
  </si>
  <si>
    <t>mazacoin</t>
  </si>
  <si>
    <t>supercoin</t>
  </si>
  <si>
    <t>universal-currency</t>
  </si>
  <si>
    <t>gaia</t>
  </si>
  <si>
    <t>smartcoin</t>
  </si>
  <si>
    <t>bitstar</t>
  </si>
  <si>
    <t>lottocoin</t>
  </si>
  <si>
    <t>fuelcoin</t>
  </si>
  <si>
    <t>paycoin2</t>
  </si>
  <si>
    <t>qubitcoin</t>
  </si>
  <si>
    <t>joulecoin</t>
  </si>
  <si>
    <t>flycoin</t>
  </si>
  <si>
    <t>titcoin</t>
  </si>
  <si>
    <t>fluttercoin</t>
  </si>
  <si>
    <t>mineum</t>
  </si>
  <si>
    <t>reecoin</t>
  </si>
  <si>
    <t>chesscoin</t>
  </si>
  <si>
    <t>unicoin</t>
  </si>
  <si>
    <t>purevidz</t>
  </si>
  <si>
    <t>cannacoin</t>
  </si>
  <si>
    <t>octocoin</t>
  </si>
  <si>
    <t>goldreserve</t>
  </si>
  <si>
    <t>ratecoin</t>
  </si>
  <si>
    <t>darsek</t>
  </si>
  <si>
    <t>valorbit</t>
  </si>
  <si>
    <t>universe</t>
  </si>
  <si>
    <t>globalboost-y</t>
  </si>
  <si>
    <t>yacoin</t>
  </si>
  <si>
    <t>pascal-lite</t>
  </si>
  <si>
    <t>rupaya</t>
  </si>
  <si>
    <t>mtmgaming</t>
  </si>
  <si>
    <t>the-cypherfunks</t>
  </si>
  <si>
    <t>cypher</t>
  </si>
  <si>
    <t>bit20</t>
  </si>
  <si>
    <t>wayguide</t>
  </si>
  <si>
    <t>elementrem</t>
  </si>
  <si>
    <t>swing</t>
  </si>
  <si>
    <t>nyancoin</t>
  </si>
  <si>
    <t>blakecoin</t>
  </si>
  <si>
    <t>catcoin</t>
  </si>
  <si>
    <t>kibicoin</t>
  </si>
  <si>
    <t>coin2-1</t>
  </si>
  <si>
    <t>icoin</t>
  </si>
  <si>
    <t>c-bit</t>
  </si>
  <si>
    <t>parallelcoin</t>
  </si>
  <si>
    <t>petrodollar</t>
  </si>
  <si>
    <t>sproutsextreme</t>
  </si>
  <si>
    <t>kushcoin</t>
  </si>
  <si>
    <t>tigercoin</t>
  </si>
  <si>
    <t>hempcoin-hmp</t>
  </si>
  <si>
    <t>icobid</t>
  </si>
  <si>
    <t>sterlingcoin</t>
  </si>
  <si>
    <t>sativacoin</t>
  </si>
  <si>
    <t>acoin</t>
  </si>
  <si>
    <t>dollarcoin</t>
  </si>
  <si>
    <t>gameunits</t>
  </si>
  <si>
    <t>wmcoin</t>
  </si>
  <si>
    <t>joincoin</t>
  </si>
  <si>
    <t>prime-xi</t>
  </si>
  <si>
    <t>digicube</t>
  </si>
  <si>
    <t>berncash</t>
  </si>
  <si>
    <t>evil-coin</t>
  </si>
  <si>
    <t>freicoin</t>
  </si>
  <si>
    <t>dreamcoin</t>
  </si>
  <si>
    <t>honey</t>
  </si>
  <si>
    <t>bolivarcoin</t>
  </si>
  <si>
    <t>bumbacoin</t>
  </si>
  <si>
    <t>300-token</t>
  </si>
  <si>
    <t>bigup</t>
  </si>
  <si>
    <t>marscoin</t>
  </si>
  <si>
    <t>allion</t>
  </si>
  <si>
    <t>revolvercoin</t>
  </si>
  <si>
    <t>satoshimadness</t>
  </si>
  <si>
    <t>gpu-coin</t>
  </si>
  <si>
    <t>redcoin</t>
  </si>
  <si>
    <t>grantcoin</t>
  </si>
  <si>
    <t>spacecoin</t>
  </si>
  <si>
    <t>bitzeny</t>
  </si>
  <si>
    <t>allsafe</t>
  </si>
  <si>
    <t>macron</t>
  </si>
  <si>
    <t>argentum</t>
  </si>
  <si>
    <t>bitcurrency</t>
  </si>
  <si>
    <t>vector</t>
  </si>
  <si>
    <t>paycon</t>
  </si>
  <si>
    <t>securecoin</t>
  </si>
  <si>
    <t>asiadigicoin</t>
  </si>
  <si>
    <t>boostcoin</t>
  </si>
  <si>
    <t>aquariuscoin</t>
  </si>
  <si>
    <t>philosopher-stones</t>
  </si>
  <si>
    <t>photon</t>
  </si>
  <si>
    <t>x-coin</t>
  </si>
  <si>
    <t>px</t>
  </si>
  <si>
    <t>secretcoin</t>
  </si>
  <si>
    <t>virtualcoin</t>
  </si>
  <si>
    <t>tattoocoin</t>
  </si>
  <si>
    <t>guncoin</t>
  </si>
  <si>
    <t>bitcoin-21</t>
  </si>
  <si>
    <t>milocoin</t>
  </si>
  <si>
    <t>sling</t>
  </si>
  <si>
    <t>useless-ethereum-token</t>
  </si>
  <si>
    <t>jin-coin</t>
  </si>
  <si>
    <t>kittehcoin</t>
  </si>
  <si>
    <t>gapcoin</t>
  </si>
  <si>
    <t>ammo-rewards</t>
  </si>
  <si>
    <t>popularcoin</t>
  </si>
  <si>
    <t>gold-pressed-latinum</t>
  </si>
  <si>
    <t>litebar</t>
  </si>
  <si>
    <t>spots</t>
  </si>
  <si>
    <t>independent-money-system</t>
  </si>
  <si>
    <t>beavercoin</t>
  </si>
  <si>
    <t>evotion</t>
  </si>
  <si>
    <t>globaltoken</t>
  </si>
  <si>
    <t>ponzicoin</t>
  </si>
  <si>
    <t>rimbit</t>
  </si>
  <si>
    <t>chronos</t>
  </si>
  <si>
    <t>healthywormcoin</t>
  </si>
  <si>
    <t>nevacoin</t>
  </si>
  <si>
    <t>franko</t>
  </si>
  <si>
    <t>quatloo</t>
  </si>
  <si>
    <t>sixeleven</t>
  </si>
  <si>
    <t>islacoin</t>
  </si>
  <si>
    <t>bitcoin-planet</t>
  </si>
  <si>
    <t>global-tour-coin</t>
  </si>
  <si>
    <t>debitcoin</t>
  </si>
  <si>
    <t>goldpieces</t>
  </si>
  <si>
    <t>socialcoin-socc</t>
  </si>
  <si>
    <t>songcoin</t>
  </si>
  <si>
    <t>antibitcoin</t>
  </si>
  <si>
    <t>wyvern</t>
  </si>
  <si>
    <t>hexx</t>
  </si>
  <si>
    <t>uro</t>
  </si>
  <si>
    <t>ronpaulcoin</t>
  </si>
  <si>
    <t>digital-rupees</t>
  </si>
  <si>
    <t>genstake</t>
  </si>
  <si>
    <t>artex-coin</t>
  </si>
  <si>
    <t>sooncoin</t>
  </si>
  <si>
    <t>billarycoin</t>
  </si>
  <si>
    <t>halcyon</t>
  </si>
  <si>
    <t>virtacoin</t>
  </si>
  <si>
    <t>arbit</t>
  </si>
  <si>
    <t>vip-tokens</t>
  </si>
  <si>
    <t>bitquark</t>
  </si>
  <si>
    <t>cabbage</t>
  </si>
  <si>
    <t>bios-crypto</t>
  </si>
  <si>
    <t>gbcgoldcoin</t>
  </si>
  <si>
    <t>metal-music-coin</t>
  </si>
  <si>
    <t>firecoin</t>
  </si>
  <si>
    <t>jewels</t>
  </si>
  <si>
    <t>mindcoin</t>
  </si>
  <si>
    <t>benjirolls</t>
  </si>
  <si>
    <t>steps</t>
  </si>
  <si>
    <t>gamebet-coin</t>
  </si>
  <si>
    <t>iconic</t>
  </si>
  <si>
    <t>zayedcoin</t>
  </si>
  <si>
    <t>flavorcoin</t>
  </si>
  <si>
    <t>mustangcoin</t>
  </si>
  <si>
    <t>bnrtxcoin</t>
  </si>
  <si>
    <t>unrealcoin</t>
  </si>
  <si>
    <t>tagrcoin</t>
  </si>
  <si>
    <t>cthulhu-offerings</t>
  </si>
  <si>
    <t>cryptoescudo</t>
  </si>
  <si>
    <t>cryptoworldx-token</t>
  </si>
  <si>
    <t>bitcoal</t>
  </si>
  <si>
    <t>vaperscoin</t>
  </si>
  <si>
    <t>blazecoin</t>
  </si>
  <si>
    <t>neuro</t>
  </si>
  <si>
    <t>destiny</t>
  </si>
  <si>
    <t>solarflarecoin</t>
  </si>
  <si>
    <t>ibank</t>
  </si>
  <si>
    <t>blackstar</t>
  </si>
  <si>
    <t>beatcoin</t>
  </si>
  <si>
    <t>ride-my-car</t>
  </si>
  <si>
    <t>qibuck-asset</t>
  </si>
  <si>
    <t>zetamicron</t>
  </si>
  <si>
    <t>leacoin</t>
  </si>
  <si>
    <t>luna-coin</t>
  </si>
  <si>
    <t>tajcoin</t>
  </si>
  <si>
    <t>dollar-online</t>
  </si>
  <si>
    <t>orlycoin</t>
  </si>
  <si>
    <t>comet</t>
  </si>
  <si>
    <t>kingn-coin</t>
  </si>
  <si>
    <t>pulse</t>
  </si>
  <si>
    <t>warp</t>
  </si>
  <si>
    <t>xonecoin</t>
  </si>
  <si>
    <t>dappster</t>
  </si>
  <si>
    <t>printerium</t>
  </si>
  <si>
    <t>speedcash</t>
  </si>
  <si>
    <t>litecred</t>
  </si>
  <si>
    <t>fuzzballs</t>
  </si>
  <si>
    <t>dpay</t>
  </si>
  <si>
    <t>vault-coin</t>
  </si>
  <si>
    <t>high-voltage</t>
  </si>
  <si>
    <t>osmiumcoin</t>
  </si>
  <si>
    <t>agrolifecoin</t>
  </si>
  <si>
    <t>crypto</t>
  </si>
  <si>
    <t>impact</t>
  </si>
  <si>
    <t>letitride</t>
  </si>
  <si>
    <t>ego</t>
  </si>
  <si>
    <t>bowscoin</t>
  </si>
  <si>
    <t>cashcoin</t>
  </si>
  <si>
    <t>ganjacoin</t>
  </si>
  <si>
    <t>anarchistsprime</t>
  </si>
  <si>
    <t>posex</t>
  </si>
  <si>
    <t>crtcoin</t>
  </si>
  <si>
    <t>ccminer</t>
  </si>
  <si>
    <t>shilling</t>
  </si>
  <si>
    <t>impulsecoin</t>
  </si>
  <si>
    <t>zonecoin</t>
  </si>
  <si>
    <t>jobscoin</t>
  </si>
  <si>
    <t>rsgpcoin</t>
  </si>
  <si>
    <t>argus</t>
  </si>
  <si>
    <t>concoin</t>
  </si>
  <si>
    <t>save-and-gain</t>
  </si>
  <si>
    <t>sydpak</t>
  </si>
  <si>
    <t>antilitecoin</t>
  </si>
  <si>
    <t>burstocean</t>
  </si>
  <si>
    <t>geertcoin</t>
  </si>
  <si>
    <t>rawcoin2</t>
  </si>
  <si>
    <t>biobar</t>
  </si>
  <si>
    <t>bitvolt</t>
  </si>
  <si>
    <t>p7coin</t>
  </si>
  <si>
    <t>ethbits</t>
  </si>
  <si>
    <t>magnum</t>
  </si>
  <si>
    <t>lex4all</t>
  </si>
  <si>
    <t>selfiecoin</t>
  </si>
  <si>
    <t>environ</t>
  </si>
  <si>
    <t>nodecoin</t>
  </si>
  <si>
    <t>enigma</t>
  </si>
  <si>
    <t>elysium</t>
  </si>
  <si>
    <t>pizzacoin</t>
  </si>
  <si>
    <t>swaptoken</t>
  </si>
  <si>
    <t>future-digital-currency</t>
  </si>
  <si>
    <t>digital-credits</t>
  </si>
  <si>
    <t>digital-money-bits</t>
  </si>
  <si>
    <t>caliphcoin</t>
  </si>
  <si>
    <t>walton</t>
  </si>
  <si>
    <t>vechain</t>
  </si>
  <si>
    <t>infchain</t>
  </si>
  <si>
    <t>ug-token</t>
  </si>
  <si>
    <t>bitfid</t>
  </si>
  <si>
    <t>techshares</t>
  </si>
  <si>
    <t>sigmacoin</t>
  </si>
  <si>
    <t>dynamiccoin</t>
  </si>
  <si>
    <t>pura</t>
  </si>
  <si>
    <t>storjcoin-x</t>
  </si>
  <si>
    <t>fargocoin</t>
  </si>
  <si>
    <t>bitok</t>
  </si>
  <si>
    <t>sphre-air</t>
  </si>
  <si>
    <t>poet</t>
  </si>
  <si>
    <t>yoyow</t>
  </si>
  <si>
    <t>centra</t>
  </si>
  <si>
    <t>internet-of-people</t>
  </si>
  <si>
    <t>falcoin</t>
  </si>
  <si>
    <t>opus</t>
  </si>
  <si>
    <t>zilbercoin</t>
  </si>
  <si>
    <t>deuscoin</t>
  </si>
  <si>
    <t>investfeed</t>
  </si>
  <si>
    <t>aeternity</t>
  </si>
  <si>
    <t>bitcoin-unlimited</t>
  </si>
  <si>
    <t>digital-developers-fund</t>
  </si>
  <si>
    <t>growers-international</t>
  </si>
  <si>
    <t>tychocoin</t>
  </si>
  <si>
    <t>golos-gold</t>
  </si>
  <si>
    <t>clubcoin</t>
  </si>
  <si>
    <t>bitdeal</t>
  </si>
  <si>
    <t>ox-fina</t>
  </si>
  <si>
    <t>wa-space</t>
  </si>
  <si>
    <t>suretly</t>
  </si>
  <si>
    <t>alphabitcoinfund</t>
  </si>
  <si>
    <t>eot-token</t>
  </si>
  <si>
    <t>brat</t>
  </si>
  <si>
    <t>rublebit</t>
  </si>
  <si>
    <t>bolenum</t>
  </si>
  <si>
    <t>teracoin</t>
  </si>
  <si>
    <t>first-bitcoin-capital</t>
  </si>
  <si>
    <t>universalroyalcoin</t>
  </si>
  <si>
    <t>women</t>
  </si>
  <si>
    <t>gulfcoin</t>
  </si>
  <si>
    <t>aseancoin</t>
  </si>
  <si>
    <t>usde</t>
  </si>
  <si>
    <t>pabyosi-coin-special</t>
  </si>
  <si>
    <t>batcoin</t>
  </si>
  <si>
    <t>flash</t>
  </si>
  <si>
    <t>xtd-coin</t>
  </si>
  <si>
    <t>adcoin</t>
  </si>
  <si>
    <t>ergo</t>
  </si>
  <si>
    <t>turbocoin</t>
  </si>
  <si>
    <t>coupecoin</t>
  </si>
  <si>
    <t>amsterdamcoin</t>
  </si>
  <si>
    <t>monacocoin</t>
  </si>
  <si>
    <t>alpacoin</t>
  </si>
  <si>
    <t>paccoin</t>
  </si>
  <si>
    <t>namocoin</t>
  </si>
  <si>
    <t>peacecoin</t>
  </si>
  <si>
    <t>t-coin</t>
  </si>
  <si>
    <t>president-johnson</t>
  </si>
  <si>
    <t>pirate-blocks</t>
  </si>
  <si>
    <t>halloween-coin</t>
  </si>
  <si>
    <t>moneta2</t>
  </si>
  <si>
    <t>landcoin</t>
  </si>
  <si>
    <t>advanced-internet-blocks</t>
  </si>
  <si>
    <t>stex</t>
  </si>
  <si>
    <t>remicoin</t>
  </si>
  <si>
    <t>9coin</t>
  </si>
  <si>
    <t>sakuracoin</t>
  </si>
  <si>
    <t>fireflycoin</t>
  </si>
  <si>
    <t>gaycoin</t>
  </si>
  <si>
    <t>rabbitcoin</t>
  </si>
  <si>
    <t>terranova</t>
  </si>
  <si>
    <t>avatarcoin</t>
  </si>
  <si>
    <t>stronghands</t>
  </si>
  <si>
    <t>internet-of-things</t>
  </si>
  <si>
    <t>marxcoin</t>
  </si>
  <si>
    <t>aces</t>
  </si>
  <si>
    <t>goldunioncoin</t>
  </si>
  <si>
    <t>karmacoin</t>
  </si>
  <si>
    <t>braincoin</t>
  </si>
  <si>
    <t>project-x</t>
  </si>
  <si>
    <t>protean</t>
  </si>
  <si>
    <t>vegascoin</t>
  </si>
  <si>
    <t>teslacoilcoin</t>
  </si>
  <si>
    <t>leviarcoin</t>
  </si>
  <si>
    <t>president-trump</t>
  </si>
  <si>
    <t>happy-creator-coin</t>
  </si>
  <si>
    <t>royalties</t>
  </si>
  <si>
    <t>donationcoin</t>
  </si>
  <si>
    <t>voyacoin</t>
  </si>
  <si>
    <t>sharkcoin</t>
  </si>
  <si>
    <t>lepen</t>
  </si>
  <si>
    <t>opal</t>
  </si>
  <si>
    <t>kashhcoin</t>
  </si>
  <si>
    <t>thecreed</t>
  </si>
  <si>
    <t>darklisk</t>
  </si>
  <si>
    <t>x2</t>
  </si>
  <si>
    <t>motocoin</t>
  </si>
  <si>
    <t>pokecoin</t>
  </si>
  <si>
    <t>tellurion</t>
  </si>
  <si>
    <t>frankywillcoin</t>
  </si>
  <si>
    <t>linkedcoin</t>
  </si>
  <si>
    <t>first-bitcoin</t>
  </si>
  <si>
    <t>blazercoin</t>
  </si>
  <si>
    <t>primulon</t>
  </si>
  <si>
    <t>elacoin</t>
  </si>
  <si>
    <t>ocow</t>
  </si>
  <si>
    <t>utacoin</t>
  </si>
  <si>
    <t>snakeeyes</t>
  </si>
  <si>
    <t>sportscoin</t>
  </si>
  <si>
    <t>avoncoin</t>
  </si>
  <si>
    <t>geysercoin</t>
  </si>
  <si>
    <t>hyper</t>
  </si>
  <si>
    <t>bitcedi</t>
  </si>
  <si>
    <t>edrcoin</t>
  </si>
  <si>
    <t>animecoin</t>
  </si>
  <si>
    <t>ur</t>
  </si>
  <si>
    <t>fazzcoin</t>
  </si>
  <si>
    <t>zengold</t>
  </si>
  <si>
    <t>fonziecoin</t>
  </si>
  <si>
    <t>clinton</t>
  </si>
  <si>
    <t>omicron</t>
  </si>
  <si>
    <t>topcoin</t>
  </si>
  <si>
    <t>bitgem</t>
  </si>
  <si>
    <t>quotient</t>
  </si>
  <si>
    <t>cybercoin</t>
  </si>
  <si>
    <t>netbit</t>
  </si>
  <si>
    <t>cbd-crystals</t>
  </si>
  <si>
    <t>lazaruscoin</t>
  </si>
  <si>
    <t>bestchain</t>
  </si>
  <si>
    <t>uncoin</t>
  </si>
  <si>
    <t>digital-bullion-gold</t>
  </si>
  <si>
    <t>wearesatoshi</t>
  </si>
  <si>
    <t>birds</t>
  </si>
  <si>
    <t>rhfcoin</t>
  </si>
  <si>
    <t>draftcoin</t>
  </si>
  <si>
    <t>royalcoin</t>
  </si>
  <si>
    <t>peoplecoin</t>
  </si>
  <si>
    <t>yescoin</t>
  </si>
  <si>
    <t>picoin</t>
  </si>
  <si>
    <t>wowcoin</t>
  </si>
  <si>
    <t>todaycoin</t>
  </si>
  <si>
    <t>cubits</t>
  </si>
  <si>
    <t>topaz</t>
  </si>
  <si>
    <t>axiom</t>
  </si>
  <si>
    <t>irishcoin</t>
  </si>
  <si>
    <t>futcoin</t>
  </si>
  <si>
    <t>cycling-coin</t>
  </si>
  <si>
    <t>qora</t>
  </si>
  <si>
    <t>opescoin</t>
  </si>
  <si>
    <t>wink</t>
  </si>
  <si>
    <t>skeincoin</t>
  </si>
  <si>
    <t>dashs</t>
  </si>
  <si>
    <t>zsecoin</t>
  </si>
  <si>
    <t>moneycoin</t>
  </si>
  <si>
    <t>betacoin</t>
  </si>
  <si>
    <t>golfcoin</t>
  </si>
  <si>
    <t>global-business-revolution</t>
  </si>
  <si>
    <t>pinkdog</t>
  </si>
  <si>
    <t>dubstep</t>
  </si>
  <si>
    <t>mobilecash</t>
  </si>
  <si>
    <t>psilocybin</t>
  </si>
  <si>
    <t>bitcentavo</t>
  </si>
  <si>
    <t>peepcoin</t>
  </si>
  <si>
    <t>international-diamond</t>
  </si>
  <si>
    <t>goldmaxcoin</t>
  </si>
  <si>
    <t>xde-ii</t>
  </si>
  <si>
    <t>quebecoin</t>
  </si>
  <si>
    <t>shacoin</t>
  </si>
  <si>
    <t>bongger</t>
  </si>
  <si>
    <t>antimatter</t>
  </si>
  <si>
    <t>gameleaguecoin</t>
  </si>
  <si>
    <t>paypeer</t>
  </si>
  <si>
    <t>the-vegan-initiative</t>
  </si>
  <si>
    <t>cashme</t>
  </si>
  <si>
    <t>ugain</t>
  </si>
  <si>
    <t>cheapcoin</t>
  </si>
  <si>
    <t>mavro</t>
  </si>
  <si>
    <t>trickycoin</t>
  </si>
  <si>
    <t>rcoin</t>
  </si>
  <si>
    <t>teamup</t>
  </si>
  <si>
    <t>mmxvi</t>
  </si>
  <si>
    <t>sync</t>
  </si>
  <si>
    <t>deltacredits</t>
  </si>
  <si>
    <t>bitalphacoin</t>
  </si>
  <si>
    <t>regacoin</t>
  </si>
  <si>
    <t>eggcoin</t>
  </si>
  <si>
    <t>operand</t>
  </si>
  <si>
    <t>tattoocoin-limited</t>
  </si>
  <si>
    <t>coexistcoin</t>
  </si>
  <si>
    <t>huncoin</t>
  </si>
  <si>
    <t>invisiblecoin</t>
  </si>
  <si>
    <t>tyrocoin</t>
  </si>
  <si>
    <t>xaucoin</t>
  </si>
  <si>
    <t>safe-trade-coin</t>
  </si>
  <si>
    <t>safecoin</t>
  </si>
  <si>
    <t>richcoin</t>
  </si>
  <si>
    <t>shellcoin</t>
  </si>
  <si>
    <t>lathaan</t>
  </si>
  <si>
    <t>prismchain</t>
  </si>
  <si>
    <t>ID</t>
  </si>
  <si>
    <t>Symbol</t>
  </si>
  <si>
    <t>24 Hour Volume</t>
  </si>
  <si>
    <t>%Change 24 hours</t>
  </si>
  <si>
    <t>%Change 7 Days</t>
  </si>
  <si>
    <t>Last Update DateTime(UTC)</t>
  </si>
  <si>
    <t>Coin Name</t>
  </si>
  <si>
    <t>fujinto</t>
  </si>
  <si>
    <t>Fujinto</t>
  </si>
  <si>
    <t>NTO</t>
  </si>
  <si>
    <t>giga-watt-token</t>
  </si>
  <si>
    <t>Giga Watt Token</t>
  </si>
  <si>
    <t>WTT</t>
  </si>
  <si>
    <t>blockchain-index</t>
  </si>
  <si>
    <t>Blockchain Index</t>
  </si>
  <si>
    <t>BLX</t>
  </si>
  <si>
    <t>iXledger</t>
  </si>
  <si>
    <t>ixledger</t>
  </si>
  <si>
    <t>#</t>
  </si>
  <si>
    <t>Target Sell Price (BTC)</t>
  </si>
  <si>
    <t>monetha</t>
  </si>
  <si>
    <t>Monetha</t>
  </si>
  <si>
    <t>MTH</t>
  </si>
  <si>
    <t>starcredits</t>
  </si>
  <si>
    <t>StarCredits</t>
  </si>
  <si>
    <t>STRC</t>
  </si>
  <si>
    <t>Goodomy</t>
  </si>
  <si>
    <t>Aeternity</t>
  </si>
  <si>
    <t>aventus</t>
  </si>
  <si>
    <t>Aventus</t>
  </si>
  <si>
    <t>AVT</t>
  </si>
  <si>
    <t>masternodecoin</t>
  </si>
  <si>
    <t>Masternodecoin</t>
  </si>
  <si>
    <t>MTNC</t>
  </si>
  <si>
    <t>ETBS</t>
  </si>
  <si>
    <t>kronecoin</t>
  </si>
  <si>
    <t>Kronecoin</t>
  </si>
  <si>
    <t>KRONE</t>
  </si>
  <si>
    <t>SACoin</t>
  </si>
  <si>
    <t>SAC</t>
  </si>
  <si>
    <t>goodomy</t>
  </si>
  <si>
    <t>sacoin</t>
  </si>
  <si>
    <t>Byteball Bytes</t>
  </si>
  <si>
    <t>DLT</t>
  </si>
  <si>
    <t>Jetcoin</t>
  </si>
  <si>
    <t>hive</t>
  </si>
  <si>
    <t>Hive</t>
  </si>
  <si>
    <t>HVN</t>
  </si>
  <si>
    <t>magnetcoin</t>
  </si>
  <si>
    <t>Magnetcoin</t>
  </si>
  <si>
    <t>MAGN</t>
  </si>
  <si>
    <t>vsync-vsx</t>
  </si>
  <si>
    <t>VSX</t>
  </si>
  <si>
    <t>facecoin</t>
  </si>
  <si>
    <t>Facecoin</t>
  </si>
  <si>
    <t>FC</t>
  </si>
  <si>
    <t>Total Holdings</t>
  </si>
  <si>
    <t>Average Buy Price (BTC)</t>
  </si>
  <si>
    <t>Current BTC_Price</t>
  </si>
  <si>
    <t>Current USD_Price</t>
  </si>
  <si>
    <t>Current Total BTC Value</t>
  </si>
  <si>
    <t>BTDX</t>
  </si>
  <si>
    <t>neblio</t>
  </si>
  <si>
    <t>Neblio</t>
  </si>
  <si>
    <t>NEBL</t>
  </si>
  <si>
    <t>real-estate-tokens</t>
  </si>
  <si>
    <t>REX</t>
  </si>
  <si>
    <t>vivo</t>
  </si>
  <si>
    <t>VIVO</t>
  </si>
  <si>
    <t>oceanlab</t>
  </si>
  <si>
    <t>Oceanlab</t>
  </si>
  <si>
    <t>OCL</t>
  </si>
  <si>
    <t>litecoin-plus</t>
  </si>
  <si>
    <t>Litecoin Plus</t>
  </si>
  <si>
    <t>LCP</t>
  </si>
  <si>
    <t>moeda-loyalty-points</t>
  </si>
  <si>
    <t>Moeda Loyalty Points</t>
  </si>
  <si>
    <t>MDA</t>
  </si>
  <si>
    <t>droxne</t>
  </si>
  <si>
    <t>DROXNE</t>
  </si>
  <si>
    <t>DRXNE</t>
  </si>
  <si>
    <t>buzzcoin</t>
  </si>
  <si>
    <t>BuzzCoin</t>
  </si>
  <si>
    <t>BUZZ</t>
  </si>
  <si>
    <t>TRX</t>
  </si>
  <si>
    <t>credo</t>
  </si>
  <si>
    <t>Credo</t>
  </si>
  <si>
    <t>CREDO</t>
  </si>
  <si>
    <t>DP</t>
  </si>
  <si>
    <t>LeviarCoin</t>
  </si>
  <si>
    <t>cyder</t>
  </si>
  <si>
    <t>Cyder</t>
  </si>
  <si>
    <t>CYDER</t>
  </si>
  <si>
    <t>bowhead</t>
  </si>
  <si>
    <t>Bowhead</t>
  </si>
  <si>
    <t>AHT</t>
  </si>
  <si>
    <t>decentraland</t>
  </si>
  <si>
    <t>Decentraland</t>
  </si>
  <si>
    <t>MANA</t>
  </si>
  <si>
    <t>Current Invesment Value in USD:</t>
  </si>
  <si>
    <t>Agrello</t>
  </si>
  <si>
    <t>Tradecoin</t>
  </si>
  <si>
    <t>TRADE</t>
  </si>
  <si>
    <t>MRJA</t>
  </si>
  <si>
    <t>bubble</t>
  </si>
  <si>
    <t>Bubble</t>
  </si>
  <si>
    <t>BUB</t>
  </si>
  <si>
    <t>Total Investment in USD:</t>
  </si>
  <si>
    <t>xplay</t>
  </si>
  <si>
    <t>XPlay</t>
  </si>
  <si>
    <t>XPA</t>
  </si>
  <si>
    <t>propy</t>
  </si>
  <si>
    <t>Propy</t>
  </si>
  <si>
    <t>PRO</t>
  </si>
  <si>
    <t>ethereum-dark</t>
  </si>
  <si>
    <t>Ethereum Dark</t>
  </si>
  <si>
    <t>ETHD</t>
  </si>
  <si>
    <t>atbcoin</t>
  </si>
  <si>
    <t>ATBCoin</t>
  </si>
  <si>
    <t>ATB</t>
  </si>
  <si>
    <t>iquant</t>
  </si>
  <si>
    <t>iQuant</t>
  </si>
  <si>
    <t>IQT</t>
  </si>
  <si>
    <t>SCL</t>
  </si>
  <si>
    <t>morningstar-payments</t>
  </si>
  <si>
    <t>MorningStar</t>
  </si>
  <si>
    <t>MRNG</t>
  </si>
  <si>
    <t>indorse-token</t>
  </si>
  <si>
    <t>Indorse Token</t>
  </si>
  <si>
    <t>IND</t>
  </si>
  <si>
    <t>agrello-delta</t>
  </si>
  <si>
    <t>aidos-kuneen</t>
  </si>
  <si>
    <t>Aidos Kuneen</t>
  </si>
  <si>
    <t>ADK</t>
  </si>
  <si>
    <t>1337coin</t>
  </si>
  <si>
    <t>List of Coins:</t>
  </si>
  <si>
    <t>Editable fields</t>
  </si>
  <si>
    <t>Current Delta (Profitability)</t>
  </si>
  <si>
    <t xml:space="preserve">BTC: </t>
  </si>
  <si>
    <t>ETH:</t>
  </si>
  <si>
    <t>0xd6E960AF1884092d080f42c9DFe6B14A4019a34F</t>
  </si>
  <si>
    <t>chainlink</t>
  </si>
  <si>
    <t>ChainLink</t>
  </si>
  <si>
    <t>LINK</t>
  </si>
  <si>
    <t>Kayicoin</t>
  </si>
  <si>
    <t>KAYI</t>
  </si>
  <si>
    <t>blackmoon-crypto</t>
  </si>
  <si>
    <t>Blackmoon Crypto</t>
  </si>
  <si>
    <t>BMC</t>
  </si>
  <si>
    <t>granitecoin</t>
  </si>
  <si>
    <t>Granite</t>
  </si>
  <si>
    <t>GRN</t>
  </si>
  <si>
    <t>hobonickels</t>
  </si>
  <si>
    <t>HoboNickels</t>
  </si>
  <si>
    <t>HBN</t>
  </si>
  <si>
    <t>dfscoin</t>
  </si>
  <si>
    <t>DFSCoin</t>
  </si>
  <si>
    <t>DFS</t>
  </si>
  <si>
    <t>wi-coin</t>
  </si>
  <si>
    <t>Wi Coin</t>
  </si>
  <si>
    <t>WIC</t>
  </si>
  <si>
    <t>elixir</t>
  </si>
  <si>
    <t>Elixir</t>
  </si>
  <si>
    <t>ELIX</t>
  </si>
  <si>
    <t>billionaire-token</t>
  </si>
  <si>
    <t>Billionaire Token</t>
  </si>
  <si>
    <t>XBL</t>
  </si>
  <si>
    <t>kyber-network</t>
  </si>
  <si>
    <t>Kyber Network</t>
  </si>
  <si>
    <t>substratum</t>
  </si>
  <si>
    <t>Substratum</t>
  </si>
  <si>
    <t>SUB</t>
  </si>
  <si>
    <t>vibe</t>
  </si>
  <si>
    <t>VIBE</t>
  </si>
  <si>
    <t>chronologic</t>
  </si>
  <si>
    <t>Chronologic</t>
  </si>
  <si>
    <t>DAY</t>
  </si>
  <si>
    <t>chips</t>
  </si>
  <si>
    <t>CHIPS</t>
  </si>
  <si>
    <t>trackr</t>
  </si>
  <si>
    <t>TKR</t>
  </si>
  <si>
    <t>lampix</t>
  </si>
  <si>
    <t>Lampix</t>
  </si>
  <si>
    <t>PIX</t>
  </si>
  <si>
    <t>coss</t>
  </si>
  <si>
    <t>COSS</t>
  </si>
  <si>
    <t>bitdice</t>
  </si>
  <si>
    <t>BitDice</t>
  </si>
  <si>
    <t>CSNO</t>
  </si>
  <si>
    <t>footy-cash</t>
  </si>
  <si>
    <t>Footy Cash</t>
  </si>
  <si>
    <t>XFT</t>
  </si>
  <si>
    <t>rivetz</t>
  </si>
  <si>
    <t>Rivetz</t>
  </si>
  <si>
    <t>RVT</t>
  </si>
  <si>
    <t>Profitability Value in USD:</t>
  </si>
  <si>
    <t>Profitability Value in %:</t>
  </si>
  <si>
    <t>kin</t>
  </si>
  <si>
    <t>Kin</t>
  </si>
  <si>
    <t>KIN</t>
  </si>
  <si>
    <t>TRON</t>
  </si>
  <si>
    <t>Social</t>
  </si>
  <si>
    <t>interzone</t>
  </si>
  <si>
    <t>Interzone</t>
  </si>
  <si>
    <t>ITZ</t>
  </si>
  <si>
    <t>target-coin</t>
  </si>
  <si>
    <t>Target Coin</t>
  </si>
  <si>
    <t>TGT</t>
  </si>
  <si>
    <t>salt</t>
  </si>
  <si>
    <t>SALT</t>
  </si>
  <si>
    <t>ormeus-coin</t>
  </si>
  <si>
    <t>Ormeus Coin</t>
  </si>
  <si>
    <t>ORME</t>
  </si>
  <si>
    <t>trezarcoin</t>
  </si>
  <si>
    <t>TrezarCoin</t>
  </si>
  <si>
    <t>TZC</t>
  </si>
  <si>
    <t>smart-investment-fund-token</t>
  </si>
  <si>
    <t>Smart Investment Fund Token</t>
  </si>
  <si>
    <t>SIFT</t>
  </si>
  <si>
    <t>kolion</t>
  </si>
  <si>
    <t>Kolion</t>
  </si>
  <si>
    <t>KLN</t>
  </si>
  <si>
    <t>hodl-bucks</t>
  </si>
  <si>
    <t>HODL Bucks</t>
  </si>
  <si>
    <t>HDLB</t>
  </si>
  <si>
    <t>colossuscoinxt</t>
  </si>
  <si>
    <t>ColossusCoinXT</t>
  </si>
  <si>
    <t>COLX</t>
  </si>
  <si>
    <t>india-coin</t>
  </si>
  <si>
    <t>India Coin</t>
  </si>
  <si>
    <t>INDIA</t>
  </si>
  <si>
    <t>obsidian</t>
  </si>
  <si>
    <t>Obsidian</t>
  </si>
  <si>
    <t>ODN</t>
  </si>
  <si>
    <t>tron</t>
  </si>
  <si>
    <t>cobinhood</t>
  </si>
  <si>
    <t>Cobinhood</t>
  </si>
  <si>
    <t>COB</t>
  </si>
  <si>
    <t>kayicoin</t>
  </si>
  <si>
    <t>regalcoin</t>
  </si>
  <si>
    <t>Regalcoin</t>
  </si>
  <si>
    <t>REC</t>
  </si>
  <si>
    <t>bismuth</t>
  </si>
  <si>
    <t>Bismuth</t>
  </si>
  <si>
    <t>BIS</t>
  </si>
  <si>
    <t>cardano</t>
  </si>
  <si>
    <t>Cardano</t>
  </si>
  <si>
    <t>ADA</t>
  </si>
  <si>
    <t>msd</t>
  </si>
  <si>
    <t>MSD</t>
  </si>
  <si>
    <t>tezos</t>
  </si>
  <si>
    <t>Tezos (Pre-Launch)</t>
  </si>
  <si>
    <t>XTZ</t>
  </si>
  <si>
    <t>voisecom</t>
  </si>
  <si>
    <t>Voise</t>
  </si>
  <si>
    <t>VOISE</t>
  </si>
  <si>
    <t>infinity-economics</t>
  </si>
  <si>
    <t>Infinity Economics</t>
  </si>
  <si>
    <t>XIN</t>
  </si>
  <si>
    <t>EBTC</t>
  </si>
  <si>
    <t>attention-token-of-media</t>
  </si>
  <si>
    <t>ATM</t>
  </si>
  <si>
    <t>macro1</t>
  </si>
  <si>
    <t>Macro</t>
  </si>
  <si>
    <t>MCR</t>
  </si>
  <si>
    <t>kickico</t>
  </si>
  <si>
    <t>KickCoin</t>
  </si>
  <si>
    <t>KICK</t>
  </si>
  <si>
    <t>EncryptoTel [WAVES]</t>
  </si>
  <si>
    <t>oax</t>
  </si>
  <si>
    <t>minex</t>
  </si>
  <si>
    <t>Minex</t>
  </si>
  <si>
    <t>MINEX</t>
  </si>
  <si>
    <t>social</t>
  </si>
  <si>
    <t>ATMChain</t>
  </si>
  <si>
    <t>viberate</t>
  </si>
  <si>
    <t>Viberate</t>
  </si>
  <si>
    <t>VIB</t>
  </si>
  <si>
    <t>encryptotel-eth</t>
  </si>
  <si>
    <t>EncryptoTel [ETH]</t>
  </si>
  <si>
    <t>cybcsec</t>
  </si>
  <si>
    <t>CybCSec</t>
  </si>
  <si>
    <t>XCS</t>
  </si>
  <si>
    <t>prospectors-gold</t>
  </si>
  <si>
    <t>Prospectors Gold</t>
  </si>
  <si>
    <t>PGL</t>
  </si>
  <si>
    <t>internxt</t>
  </si>
  <si>
    <t>Internxt</t>
  </si>
  <si>
    <t>INXT</t>
  </si>
  <si>
    <t>rchain</t>
  </si>
  <si>
    <t>RChain</t>
  </si>
  <si>
    <t>RHOC</t>
  </si>
  <si>
    <t>whalecoin</t>
  </si>
  <si>
    <t>WhaleCoin</t>
  </si>
  <si>
    <t>WHL</t>
  </si>
  <si>
    <t>ethbet</t>
  </si>
  <si>
    <t>EthBet</t>
  </si>
  <si>
    <t>EBET</t>
  </si>
  <si>
    <t>flik</t>
  </si>
  <si>
    <t>FLiK</t>
  </si>
  <si>
    <t>FLIK</t>
  </si>
  <si>
    <t>Kore</t>
  </si>
  <si>
    <t>real</t>
  </si>
  <si>
    <t>REAL</t>
  </si>
  <si>
    <t>sand-coin</t>
  </si>
  <si>
    <t>Sand Coin</t>
  </si>
  <si>
    <t>SND</t>
  </si>
  <si>
    <t>wild-crypto</t>
  </si>
  <si>
    <t>Wild Crypto</t>
  </si>
  <si>
    <t>WILD</t>
  </si>
  <si>
    <t>hubii-network</t>
  </si>
  <si>
    <t>Hubii Network</t>
  </si>
  <si>
    <t>HBT</t>
  </si>
  <si>
    <t>achain</t>
  </si>
  <si>
    <t>Achain</t>
  </si>
  <si>
    <t>ACT</t>
  </si>
  <si>
    <t>crystal-clear</t>
  </si>
  <si>
    <t xml:space="preserve">Crystal Clear </t>
  </si>
  <si>
    <t>CCT</t>
  </si>
  <si>
    <t>bridgecoin</t>
  </si>
  <si>
    <t>BridgeCoin</t>
  </si>
  <si>
    <t>BCO</t>
  </si>
  <si>
    <t>everex</t>
  </si>
  <si>
    <t>Everex</t>
  </si>
  <si>
    <t>EVX</t>
  </si>
  <si>
    <t>ELTC2</t>
  </si>
  <si>
    <t>paypie</t>
  </si>
  <si>
    <t>PayPie</t>
  </si>
  <si>
    <t>PPP</t>
  </si>
  <si>
    <t>eLTC</t>
  </si>
  <si>
    <t>airtoken</t>
  </si>
  <si>
    <t>AirToken</t>
  </si>
  <si>
    <t>AIR</t>
  </si>
  <si>
    <t>postoken</t>
  </si>
  <si>
    <t>PoSToken</t>
  </si>
  <si>
    <t>POS</t>
  </si>
  <si>
    <t>senderon</t>
  </si>
  <si>
    <t>Senderon</t>
  </si>
  <si>
    <t>SDRN</t>
  </si>
  <si>
    <t>eltc</t>
  </si>
  <si>
    <t>alis</t>
  </si>
  <si>
    <t>ALIS</t>
  </si>
  <si>
    <t>bitcoinz</t>
  </si>
  <si>
    <t>BitcoinZ</t>
  </si>
  <si>
    <t>BTCZ</t>
  </si>
  <si>
    <t>flappycoin</t>
  </si>
  <si>
    <t>FlappyCoin</t>
  </si>
  <si>
    <t>FLAP</t>
  </si>
  <si>
    <t>hellogold</t>
  </si>
  <si>
    <t>HelloGold</t>
  </si>
  <si>
    <t>HGT</t>
  </si>
  <si>
    <t>cryptonex</t>
  </si>
  <si>
    <t>Cryptonex</t>
  </si>
  <si>
    <t>CNX</t>
  </si>
  <si>
    <t>enigma-project</t>
  </si>
  <si>
    <t>ENG</t>
  </si>
  <si>
    <t>cindicator</t>
  </si>
  <si>
    <t>Cindicator</t>
  </si>
  <si>
    <t>CND</t>
  </si>
  <si>
    <t>bastonet</t>
  </si>
  <si>
    <t>Bastonet</t>
  </si>
  <si>
    <t>BSN</t>
  </si>
  <si>
    <t>zeusshield</t>
  </si>
  <si>
    <t>Zeusshield</t>
  </si>
  <si>
    <t>ZSC</t>
  </si>
  <si>
    <t>corion</t>
  </si>
  <si>
    <t>CORION</t>
  </si>
  <si>
    <t>COR</t>
  </si>
  <si>
    <t>ethereumcash</t>
  </si>
  <si>
    <t>ECASH</t>
  </si>
  <si>
    <t>authorship</t>
  </si>
  <si>
    <t>Authorship</t>
  </si>
  <si>
    <t>ATS</t>
  </si>
  <si>
    <t>royal-kingdom-coin</t>
  </si>
  <si>
    <t>Royal Kingdom Coin</t>
  </si>
  <si>
    <t>RKC</t>
  </si>
  <si>
    <t>exchangen</t>
  </si>
  <si>
    <t>ExchangeN</t>
  </si>
  <si>
    <t>EXN</t>
  </si>
  <si>
    <t>Ethereum Cash</t>
  </si>
  <si>
    <t>etherdoge</t>
  </si>
  <si>
    <t>EtherDoge</t>
  </si>
  <si>
    <t>EDOGE</t>
  </si>
  <si>
    <t>akuya-coin</t>
  </si>
  <si>
    <t>Akuya Coin</t>
  </si>
  <si>
    <t>AKY</t>
  </si>
  <si>
    <t>piplcoin</t>
  </si>
  <si>
    <t>PiplCoin</t>
  </si>
  <si>
    <t>PIPL</t>
  </si>
  <si>
    <t>airswap</t>
  </si>
  <si>
    <t>AirSwap</t>
  </si>
  <si>
    <t>AST</t>
  </si>
  <si>
    <t>eidoo</t>
  </si>
  <si>
    <t>Eidoo</t>
  </si>
  <si>
    <t>EDO</t>
  </si>
  <si>
    <t>bitsoar</t>
  </si>
  <si>
    <t>BitSoar</t>
  </si>
  <si>
    <t>BSR</t>
  </si>
  <si>
    <t>change</t>
  </si>
  <si>
    <t>Change</t>
  </si>
  <si>
    <t>CAG</t>
  </si>
  <si>
    <t>blockmason</t>
  </si>
  <si>
    <t>BlockMason Credit Protocol</t>
  </si>
  <si>
    <t>BCPT</t>
  </si>
  <si>
    <t>aion</t>
  </si>
  <si>
    <t>Aion</t>
  </si>
  <si>
    <t>AION</t>
  </si>
  <si>
    <t>maecenas</t>
  </si>
  <si>
    <t>Maecenas</t>
  </si>
  <si>
    <t>ART</t>
  </si>
  <si>
    <t>XGOX</t>
  </si>
  <si>
    <t>lltoken</t>
  </si>
  <si>
    <t>LLToken</t>
  </si>
  <si>
    <t>LLT</t>
  </si>
  <si>
    <t>everus</t>
  </si>
  <si>
    <t>Everus</t>
  </si>
  <si>
    <t>EVR</t>
  </si>
  <si>
    <t>tracto</t>
  </si>
  <si>
    <t>Tracto</t>
  </si>
  <si>
    <t>TRCT</t>
  </si>
  <si>
    <t>dutch-coin</t>
  </si>
  <si>
    <t>Dutch Coin</t>
  </si>
  <si>
    <t>DUTCH</t>
  </si>
  <si>
    <t>domraider</t>
  </si>
  <si>
    <t>DomRaider</t>
  </si>
  <si>
    <t>DRT</t>
  </si>
  <si>
    <t>swapcoin</t>
  </si>
  <si>
    <t>Swapcoin</t>
  </si>
  <si>
    <t>SWP</t>
  </si>
  <si>
    <t>request-network</t>
  </si>
  <si>
    <t>Request Network</t>
  </si>
  <si>
    <t>REQ</t>
  </si>
  <si>
    <t>segwit2x</t>
  </si>
  <si>
    <t>B2X</t>
  </si>
  <si>
    <t>ethereum-gold</t>
  </si>
  <si>
    <t>Ethereum Gold</t>
  </si>
  <si>
    <t>ETG</t>
  </si>
  <si>
    <t>eusd</t>
  </si>
  <si>
    <t>eUSD</t>
  </si>
  <si>
    <t>EUSD</t>
  </si>
  <si>
    <t>coimatic-3</t>
  </si>
  <si>
    <t>Coimatic 3.0</t>
  </si>
  <si>
    <t>CTIC3</t>
  </si>
  <si>
    <t>ethereum-blue</t>
  </si>
  <si>
    <t>BLUE</t>
  </si>
  <si>
    <t>SegWit2x [Futures]</t>
  </si>
  <si>
    <t>CryptoCurrencies to Watch</t>
  </si>
  <si>
    <t>=</t>
  </si>
  <si>
    <t>Remarks/Notes</t>
  </si>
  <si>
    <t>life</t>
  </si>
  <si>
    <t>LIFE</t>
  </si>
  <si>
    <t>hedge</t>
  </si>
  <si>
    <t>Hedge</t>
  </si>
  <si>
    <t>HDG</t>
  </si>
  <si>
    <t>runners</t>
  </si>
  <si>
    <t>Runners</t>
  </si>
  <si>
    <t>RUNNERS</t>
  </si>
  <si>
    <t>Total Investment Value in Bitcoin(Satoshi)</t>
  </si>
  <si>
    <t>Current Bitcoin Value in USD</t>
  </si>
  <si>
    <r>
      <rPr>
        <b/>
        <sz val="20"/>
        <color theme="8" tint="-0.249977111117893"/>
        <rFont val="Calibri"/>
        <family val="2"/>
        <scheme val="minor"/>
      </rPr>
      <t>Excel CryptoCurrency Portfolio Manager</t>
    </r>
    <r>
      <rPr>
        <b/>
        <sz val="18"/>
        <color theme="8" tint="-0.249977111117893"/>
        <rFont val="Calibri"/>
        <family val="2"/>
        <scheme val="minor"/>
      </rPr>
      <t xml:space="preserve"> </t>
    </r>
    <r>
      <rPr>
        <b/>
        <sz val="8"/>
        <color theme="1" tint="0.499984740745262"/>
        <rFont val="Calibri"/>
        <family val="2"/>
        <scheme val="minor"/>
      </rPr>
      <t>by CryptoMarqz</t>
    </r>
  </si>
  <si>
    <t>CryptoInsight</t>
  </si>
  <si>
    <t>bitcoin-gold</t>
  </si>
  <si>
    <t>modum</t>
  </si>
  <si>
    <t>Modum</t>
  </si>
  <si>
    <t>MOD</t>
  </si>
  <si>
    <t>amber</t>
  </si>
  <si>
    <t>AMB</t>
  </si>
  <si>
    <t>icos</t>
  </si>
  <si>
    <t>ICOS</t>
  </si>
  <si>
    <t>10mtoken</t>
  </si>
  <si>
    <t>10M Token</t>
  </si>
  <si>
    <t>10MT</t>
  </si>
  <si>
    <t>litecoin-gold</t>
  </si>
  <si>
    <t>LiteCoin Gold</t>
  </si>
  <si>
    <t>LTG</t>
  </si>
  <si>
    <t>KCS</t>
  </si>
  <si>
    <t>clearpoll</t>
  </si>
  <si>
    <t>ClearPoll</t>
  </si>
  <si>
    <t>POLL</t>
  </si>
  <si>
    <t>bitcoin-red</t>
  </si>
  <si>
    <t>Bitcoin Red</t>
  </si>
  <si>
    <t>exchange-union</t>
  </si>
  <si>
    <t>Exchange Union</t>
  </si>
  <si>
    <t>XUC</t>
  </si>
  <si>
    <t>latoken</t>
  </si>
  <si>
    <t>LAToken</t>
  </si>
  <si>
    <t>LA</t>
  </si>
  <si>
    <t>open-trading-network</t>
  </si>
  <si>
    <t>Open Trading Network</t>
  </si>
  <si>
    <t>OTN</t>
  </si>
  <si>
    <t>exrnchain</t>
  </si>
  <si>
    <t>EXRNchain</t>
  </si>
  <si>
    <t>EXRN</t>
  </si>
  <si>
    <t>nuls</t>
  </si>
  <si>
    <t>Nuls</t>
  </si>
  <si>
    <t>NULS</t>
  </si>
  <si>
    <t>paragon</t>
  </si>
  <si>
    <t>Paragon</t>
  </si>
  <si>
    <t>PRG</t>
  </si>
  <si>
    <t>boscoin</t>
  </si>
  <si>
    <t>BOScoin</t>
  </si>
  <si>
    <t>BOS</t>
  </si>
  <si>
    <t>power-ledger</t>
  </si>
  <si>
    <t>Power Ledger</t>
  </si>
  <si>
    <t>POWR</t>
  </si>
  <si>
    <t>KuCoin Shares</t>
  </si>
  <si>
    <t>streamr-datacoin</t>
  </si>
  <si>
    <t>Streamr DATAcoin</t>
  </si>
  <si>
    <t>DATA</t>
  </si>
  <si>
    <t>red-pulse</t>
  </si>
  <si>
    <t>Red Pulse</t>
  </si>
  <si>
    <t>RPX</t>
  </si>
  <si>
    <t>revain</t>
  </si>
  <si>
    <t>Revain</t>
  </si>
  <si>
    <t>R</t>
  </si>
  <si>
    <t>dovu</t>
  </si>
  <si>
    <t>Dovu</t>
  </si>
  <si>
    <t>DOVU</t>
  </si>
  <si>
    <t>credence-coin</t>
  </si>
  <si>
    <t>Credence Coin</t>
  </si>
  <si>
    <t>CRDNC</t>
  </si>
  <si>
    <t>xios</t>
  </si>
  <si>
    <t>Xios</t>
  </si>
  <si>
    <t>XIOS</t>
  </si>
  <si>
    <t>pirl</t>
  </si>
  <si>
    <t>Pirl</t>
  </si>
  <si>
    <t>PIRL</t>
  </si>
  <si>
    <t>gimli</t>
  </si>
  <si>
    <t>Gimli</t>
  </si>
  <si>
    <t>GIM</t>
  </si>
  <si>
    <t>luxcoin</t>
  </si>
  <si>
    <t>LUXCoin</t>
  </si>
  <si>
    <t>LUX</t>
  </si>
  <si>
    <t>altcommunity-coin</t>
  </si>
  <si>
    <t>AltCommunity Coin</t>
  </si>
  <si>
    <t>ALTCOM</t>
  </si>
  <si>
    <t>XSH</t>
  </si>
  <si>
    <t>ellaism</t>
  </si>
  <si>
    <t>Ellaism</t>
  </si>
  <si>
    <t>ELLA</t>
  </si>
  <si>
    <t>mincoin</t>
  </si>
  <si>
    <t>Mincoin</t>
  </si>
  <si>
    <t>BTCRED</t>
  </si>
  <si>
    <t>iethereum</t>
  </si>
  <si>
    <t>iEthereum</t>
  </si>
  <si>
    <t>IETH</t>
  </si>
  <si>
    <t>playercoin</t>
  </si>
  <si>
    <t>PlayerCoin</t>
  </si>
  <si>
    <t>PLACO</t>
  </si>
  <si>
    <t>ethgas</t>
  </si>
  <si>
    <t>ETHGAS</t>
  </si>
  <si>
    <t>EGAS</t>
  </si>
  <si>
    <t>javascript-token</t>
  </si>
  <si>
    <t>JavaScript Token</t>
  </si>
  <si>
    <t>JS</t>
  </si>
  <si>
    <t>electroneum</t>
  </si>
  <si>
    <t>Electroneum</t>
  </si>
  <si>
    <t>ETN</t>
  </si>
  <si>
    <t>bt2-cst</t>
  </si>
  <si>
    <t>BT2 [CST]</t>
  </si>
  <si>
    <t>BT2</t>
  </si>
  <si>
    <t>octanox</t>
  </si>
  <si>
    <t>Octanox</t>
  </si>
  <si>
    <t>OTX</t>
  </si>
  <si>
    <t>enjin-coin</t>
  </si>
  <si>
    <t>Enjin Coin</t>
  </si>
  <si>
    <t>ENJ</t>
  </si>
  <si>
    <t>ripio-credit-network</t>
  </si>
  <si>
    <t>Ripio Credit Network</t>
  </si>
  <si>
    <t>icon</t>
  </si>
  <si>
    <t>ICX</t>
  </si>
  <si>
    <t>high-gain</t>
  </si>
  <si>
    <t>High Gain</t>
  </si>
  <si>
    <t>HIGH</t>
  </si>
  <si>
    <t>bitbase</t>
  </si>
  <si>
    <t>Bitbase</t>
  </si>
  <si>
    <t>BTBc</t>
  </si>
  <si>
    <t>bt1-cst</t>
  </si>
  <si>
    <t>BT1 [CST]</t>
  </si>
  <si>
    <t>BT1</t>
  </si>
  <si>
    <t>grid</t>
  </si>
  <si>
    <t>Grid+</t>
  </si>
  <si>
    <t>GRID</t>
  </si>
  <si>
    <t>unikoin-gold</t>
  </si>
  <si>
    <t>Unikoin Gold</t>
  </si>
  <si>
    <t>UKG</t>
  </si>
  <si>
    <t>pure</t>
  </si>
  <si>
    <t>Pure</t>
  </si>
  <si>
    <t>PURE</t>
  </si>
  <si>
    <t>force</t>
  </si>
  <si>
    <t>FORCE</t>
  </si>
  <si>
    <t>FOR</t>
  </si>
  <si>
    <t>bixc</t>
  </si>
  <si>
    <t>BIXC</t>
  </si>
  <si>
    <t>etherparty</t>
  </si>
  <si>
    <t>Etherparty</t>
  </si>
  <si>
    <t>FUEL</t>
  </si>
  <si>
    <t>natcoin</t>
  </si>
  <si>
    <t>Natcoin</t>
  </si>
  <si>
    <t>NTC</t>
  </si>
  <si>
    <t>minexcoin</t>
  </si>
  <si>
    <t>MinexCoin</t>
  </si>
  <si>
    <t>MNX</t>
  </si>
  <si>
    <t>ibtc</t>
  </si>
  <si>
    <t>iBTC</t>
  </si>
  <si>
    <t>IBTC</t>
  </si>
  <si>
    <t>bitcoin-silver</t>
  </si>
  <si>
    <t>Bitcoin Silver</t>
  </si>
  <si>
    <t>xenon</t>
  </si>
  <si>
    <t>Xenon</t>
  </si>
  <si>
    <t>XNN</t>
  </si>
  <si>
    <t>atlant</t>
  </si>
  <si>
    <t>ATLANT</t>
  </si>
  <si>
    <t>ATL</t>
  </si>
  <si>
    <t>qvolta</t>
  </si>
  <si>
    <t>Qvolta</t>
  </si>
  <si>
    <t>QVT</t>
  </si>
  <si>
    <t>russian-mining-coin</t>
  </si>
  <si>
    <t>desire</t>
  </si>
  <si>
    <t>Desire</t>
  </si>
  <si>
    <t>DSR</t>
  </si>
  <si>
    <t>autonio</t>
  </si>
  <si>
    <t>Autonio</t>
  </si>
  <si>
    <t>NIO</t>
  </si>
  <si>
    <t>ebtcnew</t>
  </si>
  <si>
    <t>egold</t>
  </si>
  <si>
    <t>eGold</t>
  </si>
  <si>
    <t>EGOLD</t>
  </si>
  <si>
    <t>ethereum-lite</t>
  </si>
  <si>
    <t>Ethereum Lite</t>
  </si>
  <si>
    <t>ELITE</t>
  </si>
  <si>
    <t>mercury-protocol</t>
  </si>
  <si>
    <t>Mercury Protocol</t>
  </si>
  <si>
    <t>GMT</t>
  </si>
  <si>
    <t>eltcoin</t>
  </si>
  <si>
    <t>ELTCOIN</t>
  </si>
  <si>
    <t>vulcano</t>
  </si>
  <si>
    <t>Vulcano</t>
  </si>
  <si>
    <t>VULC</t>
  </si>
  <si>
    <t>flypme</t>
  </si>
  <si>
    <t>FlypMe</t>
  </si>
  <si>
    <t>FYP</t>
  </si>
  <si>
    <t>ebit</t>
  </si>
  <si>
    <t>eBIT</t>
  </si>
  <si>
    <t>EBIT</t>
  </si>
  <si>
    <t>btcmoon</t>
  </si>
  <si>
    <t>BTCMoon</t>
  </si>
  <si>
    <t>BTCM</t>
  </si>
  <si>
    <t>roofs</t>
  </si>
  <si>
    <t>Roofs</t>
  </si>
  <si>
    <t>ROOFS</t>
  </si>
  <si>
    <t>musiconomi</t>
  </si>
  <si>
    <t>Musiconomi</t>
  </si>
  <si>
    <t>MCI</t>
  </si>
  <si>
    <t>cash-poker-pro</t>
  </si>
  <si>
    <t>Cash Poker Pro</t>
  </si>
  <si>
    <t>fapcoin</t>
  </si>
  <si>
    <t>FAPcoin</t>
  </si>
  <si>
    <t>FAP</t>
  </si>
  <si>
    <t>atmcoin</t>
  </si>
  <si>
    <t>ATMCoin</t>
  </si>
  <si>
    <t>ATMC</t>
  </si>
  <si>
    <t>ereal</t>
  </si>
  <si>
    <t>eREAL</t>
  </si>
  <si>
    <t>EREAL</t>
  </si>
  <si>
    <t>network-token</t>
  </si>
  <si>
    <t>Network Token</t>
  </si>
  <si>
    <t>NTWK</t>
  </si>
  <si>
    <t>intelligent-trading-tech</t>
  </si>
  <si>
    <t>Intelligent Trading Tech</t>
  </si>
  <si>
    <t>ITT</t>
  </si>
  <si>
    <t>rupaya-old</t>
  </si>
  <si>
    <t>Rupaya [OLD]</t>
  </si>
  <si>
    <t>loopring</t>
  </si>
  <si>
    <t>Loopring</t>
  </si>
  <si>
    <t>LRC</t>
  </si>
  <si>
    <t>edgeless</t>
  </si>
  <si>
    <t>Edgeless</t>
  </si>
  <si>
    <t>EDG</t>
  </si>
  <si>
    <t>groestlcoin</t>
  </si>
  <si>
    <t>Groestlcoin</t>
  </si>
  <si>
    <t>GRS</t>
  </si>
  <si>
    <t>nolimitcoin</t>
  </si>
  <si>
    <t>NoLimitCoin</t>
  </si>
  <si>
    <t>NLC2</t>
  </si>
  <si>
    <t>iocoin</t>
  </si>
  <si>
    <t>I/O Coin</t>
  </si>
  <si>
    <t>IOC</t>
  </si>
  <si>
    <t>SHIELD</t>
  </si>
  <si>
    <t>confido</t>
  </si>
  <si>
    <t>Confido</t>
  </si>
  <si>
    <t>CFD</t>
  </si>
  <si>
    <t>phore</t>
  </si>
  <si>
    <t>Phore</t>
  </si>
  <si>
    <t>PHR</t>
  </si>
  <si>
    <t>farad</t>
  </si>
  <si>
    <t>Farad</t>
  </si>
  <si>
    <t>FRD</t>
  </si>
  <si>
    <t>cartaxi-token</t>
  </si>
  <si>
    <t>CarTaxi Token</t>
  </si>
  <si>
    <t>CTX</t>
  </si>
  <si>
    <t>starcash-network</t>
  </si>
  <si>
    <t>StarCash Network</t>
  </si>
  <si>
    <t>STARS</t>
  </si>
  <si>
    <t>aeron</t>
  </si>
  <si>
    <t>Aeron</t>
  </si>
  <si>
    <t>ARN</t>
  </si>
  <si>
    <t>rasputin-online-coin</t>
  </si>
  <si>
    <t>Rasputin Online Coin</t>
  </si>
  <si>
    <t>ROC</t>
  </si>
  <si>
    <t>yellow-token</t>
  </si>
  <si>
    <t>Yellow Token</t>
  </si>
  <si>
    <t>YEL</t>
  </si>
  <si>
    <t>raiden-network-token</t>
  </si>
  <si>
    <t>Raiden Network Token</t>
  </si>
  <si>
    <t>RDN</t>
  </si>
  <si>
    <t>innova</t>
  </si>
  <si>
    <t>Innova</t>
  </si>
  <si>
    <t>INN</t>
  </si>
  <si>
    <t>zephyr</t>
  </si>
  <si>
    <t>Zephyr</t>
  </si>
  <si>
    <t>ZEPH</t>
  </si>
  <si>
    <t>delphy</t>
  </si>
  <si>
    <t>Delphy</t>
  </si>
  <si>
    <t>DPY</t>
  </si>
  <si>
    <t>dcorp</t>
  </si>
  <si>
    <t>DCORP</t>
  </si>
  <si>
    <t>DRP</t>
  </si>
  <si>
    <t>blockpool</t>
  </si>
  <si>
    <t>Blockpool</t>
  </si>
  <si>
    <t>BPL</t>
  </si>
  <si>
    <t>ties-network</t>
  </si>
  <si>
    <t>TIES Network</t>
  </si>
  <si>
    <t>TIE</t>
  </si>
  <si>
    <t>grimcoin</t>
  </si>
  <si>
    <t>Grimcoin</t>
  </si>
  <si>
    <t>GRIM</t>
  </si>
  <si>
    <t>erc20</t>
  </si>
  <si>
    <t>ERC20</t>
  </si>
  <si>
    <t>zcash-gold</t>
  </si>
  <si>
    <t>ZCash Gold</t>
  </si>
  <si>
    <t>ZCG</t>
  </si>
  <si>
    <t>kucoin-shares</t>
  </si>
  <si>
    <t>artbyte</t>
  </si>
  <si>
    <t>shield-xsh</t>
  </si>
  <si>
    <t>abjcoin</t>
  </si>
  <si>
    <t>Abjcoin</t>
  </si>
  <si>
    <t>ABJ</t>
  </si>
  <si>
    <t>oxycoin</t>
  </si>
  <si>
    <t>Oxycoin</t>
  </si>
  <si>
    <t>OXY</t>
  </si>
  <si>
    <t>VectorAI</t>
  </si>
  <si>
    <t>interstellar-holdings</t>
  </si>
  <si>
    <t>Interstellar Holdings</t>
  </si>
  <si>
    <t>HOLD</t>
  </si>
  <si>
    <t>emphy</t>
  </si>
  <si>
    <t>Emphy</t>
  </si>
  <si>
    <t>EPY</t>
  </si>
  <si>
    <t>Bitcoin Gold</t>
  </si>
  <si>
    <t>decision-token</t>
  </si>
  <si>
    <t>Decision Token</t>
  </si>
  <si>
    <t>HST</t>
  </si>
  <si>
    <t>neo-gold</t>
  </si>
  <si>
    <t>NEO GOLD</t>
  </si>
  <si>
    <t>NEOG</t>
  </si>
  <si>
    <t>eBitcoin</t>
  </si>
  <si>
    <t>sharechain</t>
  </si>
  <si>
    <t>Sharechain</t>
  </si>
  <si>
    <t>SSS</t>
  </si>
  <si>
    <t>upfiring</t>
  </si>
  <si>
    <t>Upfiring</t>
  </si>
  <si>
    <t>UFR</t>
  </si>
  <si>
    <t>decent-bet</t>
  </si>
  <si>
    <t>DecentBet</t>
  </si>
  <si>
    <t>DBET</t>
  </si>
  <si>
    <t>HAT</t>
  </si>
  <si>
    <t>Hawala.Today</t>
  </si>
  <si>
    <t>student-coin</t>
  </si>
  <si>
    <t>STU</t>
  </si>
  <si>
    <t>Stellar</t>
  </si>
  <si>
    <t>genesis-vision</t>
  </si>
  <si>
    <t>Genesis Vision</t>
  </si>
  <si>
    <t>GVT</t>
  </si>
  <si>
    <t>ea-coin</t>
  </si>
  <si>
    <t>EA Coin</t>
  </si>
  <si>
    <t>EAG</t>
  </si>
  <si>
    <t>privatix</t>
  </si>
  <si>
    <t>Privatix</t>
  </si>
  <si>
    <t>PRIX</t>
  </si>
  <si>
    <t>eaglecoin</t>
  </si>
  <si>
    <t>EagleCoin</t>
  </si>
  <si>
    <t>EAGLE</t>
  </si>
  <si>
    <t>intensecoin</t>
  </si>
  <si>
    <t>IntenseCoin</t>
  </si>
  <si>
    <t>ITNS</t>
  </si>
  <si>
    <t>astro</t>
  </si>
  <si>
    <t>Astro</t>
  </si>
  <si>
    <t>ASTRO</t>
  </si>
  <si>
    <t>pluscoin</t>
  </si>
  <si>
    <t>PlusCoin</t>
  </si>
  <si>
    <t>PLC</t>
  </si>
  <si>
    <t>faceblock</t>
  </si>
  <si>
    <t>Faceblock</t>
  </si>
  <si>
    <t>FBL</t>
  </si>
  <si>
    <t>sisa</t>
  </si>
  <si>
    <t>SISA</t>
  </si>
  <si>
    <t>paypex</t>
  </si>
  <si>
    <t>Paypex</t>
  </si>
  <si>
    <t>PAYX</t>
  </si>
  <si>
    <t>bitJob</t>
  </si>
  <si>
    <t>gold-reward-token</t>
  </si>
  <si>
    <t>GOLD Reward Token</t>
  </si>
  <si>
    <t>GRX</t>
  </si>
  <si>
    <t>xgox</t>
  </si>
  <si>
    <t>aerium</t>
  </si>
  <si>
    <t>Aerium</t>
  </si>
  <si>
    <t>AERM</t>
  </si>
  <si>
    <t>ebitcoin-cash</t>
  </si>
  <si>
    <t>EBCH</t>
  </si>
  <si>
    <t>bitserial</t>
  </si>
  <si>
    <t>BitSerial</t>
  </si>
  <si>
    <t>BTE</t>
  </si>
  <si>
    <t>bitboost</t>
  </si>
  <si>
    <t>BitBoost</t>
  </si>
  <si>
    <t>BBT</t>
  </si>
  <si>
    <t>sugar-exchange</t>
  </si>
  <si>
    <t>Sugar Exchange</t>
  </si>
  <si>
    <t>SGR</t>
  </si>
  <si>
    <t>corethum</t>
  </si>
  <si>
    <t>Corethum</t>
  </si>
  <si>
    <t>CRTM</t>
  </si>
  <si>
    <t>Bitcoin Fast</t>
  </si>
  <si>
    <t>viuly</t>
  </si>
  <si>
    <t>Viuly</t>
  </si>
  <si>
    <t>VIU</t>
  </si>
  <si>
    <t>eBitcoinCash</t>
  </si>
  <si>
    <t>ethos</t>
  </si>
  <si>
    <t>Ethos</t>
  </si>
  <si>
    <t>ETHOS</t>
  </si>
  <si>
    <t>alqo</t>
  </si>
  <si>
    <t>ALQO</t>
  </si>
  <si>
    <t>gobyte</t>
  </si>
  <si>
    <t>GoByte</t>
  </si>
  <si>
    <t>GBX</t>
  </si>
  <si>
    <t>quantstamp</t>
  </si>
  <si>
    <t>Quantstamp</t>
  </si>
  <si>
    <t>QSP</t>
  </si>
  <si>
    <t>win-coin</t>
  </si>
  <si>
    <t>WINCOIN</t>
  </si>
  <si>
    <t>WC</t>
  </si>
  <si>
    <t>maker</t>
  </si>
  <si>
    <t>Maker</t>
  </si>
  <si>
    <t>MKR</t>
  </si>
  <si>
    <t>bodhi</t>
  </si>
  <si>
    <t>Bodhi</t>
  </si>
  <si>
    <t>BOT</t>
  </si>
  <si>
    <t>b2bx</t>
  </si>
  <si>
    <t>bitcoin2x</t>
  </si>
  <si>
    <t>Bitcoin2x</t>
  </si>
  <si>
    <t>BTC2X</t>
  </si>
  <si>
    <t>infinity-pay</t>
  </si>
  <si>
    <t>Infinity Pay</t>
  </si>
  <si>
    <t>IPY</t>
  </si>
  <si>
    <t>copico</t>
  </si>
  <si>
    <t>Copico</t>
  </si>
  <si>
    <t>XCPO</t>
  </si>
  <si>
    <t>encrypgen</t>
  </si>
  <si>
    <t>EncrypGen</t>
  </si>
  <si>
    <t>DNA</t>
  </si>
  <si>
    <t>ink</t>
  </si>
  <si>
    <t>Ink</t>
  </si>
  <si>
    <t>INK</t>
  </si>
  <si>
    <t>oyster-pearl</t>
  </si>
  <si>
    <t>Oyster Pearl</t>
  </si>
  <si>
    <t>PRL</t>
  </si>
  <si>
    <t>phantomx</t>
  </si>
  <si>
    <t>Phantomx</t>
  </si>
  <si>
    <t>PNX</t>
  </si>
  <si>
    <t>digipulse</t>
  </si>
  <si>
    <t>DigiPulse</t>
  </si>
  <si>
    <t>DGPT</t>
  </si>
  <si>
    <t>qash</t>
  </si>
  <si>
    <t>QASH</t>
  </si>
  <si>
    <t>energo</t>
  </si>
  <si>
    <t>Energo</t>
  </si>
  <si>
    <t>TSL</t>
  </si>
  <si>
    <t>zozocoin</t>
  </si>
  <si>
    <t>ZoZoCoin</t>
  </si>
  <si>
    <t>ZZC</t>
  </si>
  <si>
    <t>B2B</t>
  </si>
  <si>
    <t>publica</t>
  </si>
  <si>
    <t>PBL</t>
  </si>
  <si>
    <t>Publica</t>
  </si>
  <si>
    <t>spankchain</t>
  </si>
  <si>
    <t>SpankChain</t>
  </si>
  <si>
    <t>SPANK</t>
  </si>
  <si>
    <t>magnet</t>
  </si>
  <si>
    <t>Magnet</t>
  </si>
  <si>
    <t>MAG</t>
  </si>
  <si>
    <t>mutual-coin</t>
  </si>
  <si>
    <t>Mutual Coin</t>
  </si>
  <si>
    <t>MUT</t>
  </si>
  <si>
    <t>smartbillions</t>
  </si>
  <si>
    <t>SmartBillions</t>
  </si>
  <si>
    <t>votecoin</t>
  </si>
  <si>
    <t>VoteCoin</t>
  </si>
  <si>
    <t>VOT</t>
  </si>
  <si>
    <t>bitcoin-diamond</t>
  </si>
  <si>
    <t>Bitcoin Diamond [Futures]</t>
  </si>
  <si>
    <t>BCD</t>
  </si>
  <si>
    <t>poly-ai</t>
  </si>
  <si>
    <t>POLY AI</t>
  </si>
  <si>
    <t>AI</t>
  </si>
  <si>
    <t>accelerator-network</t>
  </si>
  <si>
    <t>Accelerator Network</t>
  </si>
  <si>
    <t>TRIA</t>
  </si>
  <si>
    <t>monkey-project</t>
  </si>
  <si>
    <t>Monkey Project</t>
  </si>
  <si>
    <t>MONK</t>
  </si>
  <si>
    <t>plexcoin</t>
  </si>
  <si>
    <t>PlexCoin</t>
  </si>
  <si>
    <t>PLX</t>
  </si>
  <si>
    <t>flixxo</t>
  </si>
  <si>
    <t>Flixxo</t>
  </si>
  <si>
    <t>FLIXX</t>
  </si>
  <si>
    <t>dimoncoin</t>
  </si>
  <si>
    <t>DimonCoin</t>
  </si>
  <si>
    <t>FUDD</t>
  </si>
  <si>
    <t>Ambrosus</t>
  </si>
  <si>
    <t>time-new-bank</t>
  </si>
  <si>
    <t>Time New Bank</t>
  </si>
  <si>
    <t>TNB</t>
  </si>
  <si>
    <t>anryze</t>
  </si>
  <si>
    <t>ANRYZE</t>
  </si>
  <si>
    <t>RYZ</t>
  </si>
  <si>
    <t>blockv</t>
  </si>
  <si>
    <t>BLOCKv</t>
  </si>
  <si>
    <t>VEE</t>
  </si>
  <si>
    <t>mywish</t>
  </si>
  <si>
    <t>MyWish</t>
  </si>
  <si>
    <t>WISH</t>
  </si>
  <si>
    <t>divi</t>
  </si>
  <si>
    <t>Divi</t>
  </si>
  <si>
    <t>DIVX</t>
  </si>
  <si>
    <t>hyper-tv</t>
  </si>
  <si>
    <t>Hyper TV</t>
  </si>
  <si>
    <t>HYTV</t>
  </si>
  <si>
    <t>Triaconta</t>
  </si>
  <si>
    <t>boolberry</t>
  </si>
  <si>
    <t>Boolberry</t>
  </si>
  <si>
    <t>BBR</t>
  </si>
  <si>
    <t>glasscoin</t>
  </si>
  <si>
    <t>GlassCoin</t>
  </si>
  <si>
    <t>GLS</t>
  </si>
  <si>
    <t>uahpay</t>
  </si>
  <si>
    <t>UAHPay</t>
  </si>
  <si>
    <t>eventchain</t>
  </si>
  <si>
    <t>EventChain</t>
  </si>
  <si>
    <t>EVC</t>
  </si>
  <si>
    <t>ethlend</t>
  </si>
  <si>
    <t>LEND</t>
  </si>
  <si>
    <t>ongsocial</t>
  </si>
  <si>
    <t>onG.social</t>
  </si>
  <si>
    <t>ONG</t>
  </si>
  <si>
    <t>ccore</t>
  </si>
  <si>
    <t>Ccore</t>
  </si>
  <si>
    <t>CCO</t>
  </si>
  <si>
    <t>dragonchain</t>
  </si>
  <si>
    <t>Dragonchain</t>
  </si>
  <si>
    <t>DRGN</t>
  </si>
  <si>
    <t>qbao</t>
  </si>
  <si>
    <t>Qbao</t>
  </si>
  <si>
    <t>payfair</t>
  </si>
  <si>
    <t>Payfair</t>
  </si>
  <si>
    <t>PFR</t>
  </si>
  <si>
    <t>UAHPAY</t>
  </si>
  <si>
    <t>presearch</t>
  </si>
  <si>
    <t>Presearch</t>
  </si>
  <si>
    <t>PRE</t>
  </si>
  <si>
    <t>triaconta</t>
  </si>
  <si>
    <t>cybermiles</t>
  </si>
  <si>
    <t>CyberMiles</t>
  </si>
  <si>
    <t>eroscoin</t>
  </si>
  <si>
    <t>Eroscoin</t>
  </si>
  <si>
    <t>ERO</t>
  </si>
  <si>
    <t>cappasity</t>
  </si>
  <si>
    <t>Cappasity</t>
  </si>
  <si>
    <t>CAPP</t>
  </si>
  <si>
    <t>santa-coin</t>
  </si>
  <si>
    <t>Santa Coin</t>
  </si>
  <si>
    <t>STC</t>
  </si>
  <si>
    <t>xylo</t>
  </si>
  <si>
    <t>XYLO</t>
  </si>
  <si>
    <t>social-send</t>
  </si>
  <si>
    <t>Social Send</t>
  </si>
  <si>
    <t>SEND</t>
  </si>
  <si>
    <t>blockcdn</t>
  </si>
  <si>
    <t>BlockCDN</t>
  </si>
  <si>
    <t>BCDN</t>
  </si>
  <si>
    <t>iot-chain</t>
  </si>
  <si>
    <t>IoT Chain</t>
  </si>
  <si>
    <t>nekonium</t>
  </si>
  <si>
    <t>Nekonium</t>
  </si>
  <si>
    <t>NUKO</t>
  </si>
  <si>
    <t>Russian Miner Coin</t>
  </si>
  <si>
    <t>magiccoin</t>
  </si>
  <si>
    <t>MagicCoin</t>
  </si>
  <si>
    <t>MAGE</t>
  </si>
  <si>
    <t>bonpay</t>
  </si>
  <si>
    <t>Bonpay</t>
  </si>
  <si>
    <t>BON</t>
  </si>
  <si>
    <t>CannaCoin</t>
  </si>
  <si>
    <t>bulwark</t>
  </si>
  <si>
    <t>Bulwark</t>
  </si>
  <si>
    <t>BWK</t>
  </si>
  <si>
    <t>strikebitclub</t>
  </si>
  <si>
    <t>StrikeBitClub</t>
  </si>
  <si>
    <t>SBC</t>
  </si>
  <si>
    <t>snovio</t>
  </si>
  <si>
    <t>Snovio</t>
  </si>
  <si>
    <t>SNOV</t>
  </si>
  <si>
    <t>sagacoin</t>
  </si>
  <si>
    <t>SagaCoin</t>
  </si>
  <si>
    <t>SAGA</t>
  </si>
  <si>
    <t>ETHLend</t>
  </si>
  <si>
    <t>ITC</t>
  </si>
  <si>
    <t>Memetic / PepeCoin</t>
  </si>
  <si>
    <t>pioneer-coin</t>
  </si>
  <si>
    <t>Pioneer Coin</t>
  </si>
  <si>
    <t>PCOIN</t>
  </si>
  <si>
    <t>kubera-coin</t>
  </si>
  <si>
    <t>Kubera Coin</t>
  </si>
  <si>
    <t>KBR</t>
  </si>
  <si>
    <t>tokugawa</t>
  </si>
  <si>
    <t>Tokugawa</t>
  </si>
  <si>
    <t>TOK</t>
  </si>
  <si>
    <t>crowdcoin</t>
  </si>
  <si>
    <t>CrowdCoin</t>
  </si>
  <si>
    <t>CRC</t>
  </si>
  <si>
    <t>wabi</t>
  </si>
  <si>
    <t>WaBi</t>
  </si>
  <si>
    <t>WABI</t>
  </si>
  <si>
    <t>comsa-eth</t>
  </si>
  <si>
    <t>COMSA [ETH]</t>
  </si>
  <si>
    <t>CMS</t>
  </si>
  <si>
    <t>comsa-xem</t>
  </si>
  <si>
    <t>COMSA [XEM]</t>
  </si>
  <si>
    <t>prochain</t>
  </si>
  <si>
    <t>ProChain</t>
  </si>
  <si>
    <t>smartmesh</t>
  </si>
  <si>
    <t>SmartMesh</t>
  </si>
  <si>
    <t>SMT</t>
  </si>
  <si>
    <t>hollywoodcoin</t>
  </si>
  <si>
    <t>HollyWoodCoin</t>
  </si>
  <si>
    <t>HWC</t>
  </si>
  <si>
    <t>medishares</t>
  </si>
  <si>
    <t>MediShares</t>
  </si>
  <si>
    <t>MDS</t>
  </si>
  <si>
    <t>filecoin</t>
  </si>
  <si>
    <t>Filecoin [Futures]</t>
  </si>
  <si>
    <t>FIL</t>
  </si>
  <si>
    <t>uquid-coin</t>
  </si>
  <si>
    <t>Uquid Coin</t>
  </si>
  <si>
    <t>UQC</t>
  </si>
  <si>
    <t>sportyfi</t>
  </si>
  <si>
    <t>SportyFi</t>
  </si>
  <si>
    <t>SPF</t>
  </si>
  <si>
    <t>ignis</t>
  </si>
  <si>
    <t>Ignis [Futures]</t>
  </si>
  <si>
    <t>IGNIS</t>
  </si>
  <si>
    <t>bitcoinx</t>
  </si>
  <si>
    <t>BitcoinX [Futures]</t>
  </si>
  <si>
    <t>BCX</t>
  </si>
  <si>
    <t>super-bitcoin</t>
  </si>
  <si>
    <t>SBTC</t>
  </si>
  <si>
    <t>verify</t>
  </si>
  <si>
    <t>Verify</t>
  </si>
  <si>
    <t>CRED</t>
  </si>
  <si>
    <t>VET</t>
  </si>
  <si>
    <t>simple-token</t>
  </si>
  <si>
    <t>Simple Token</t>
  </si>
  <si>
    <t>OST</t>
  </si>
  <si>
    <t>lockchain</t>
  </si>
  <si>
    <t>LockChain</t>
  </si>
  <si>
    <t>LOC</t>
  </si>
  <si>
    <t>Monoeci</t>
  </si>
  <si>
    <t>hawala-today</t>
  </si>
  <si>
    <t>BROTHER</t>
  </si>
  <si>
    <t>aelf</t>
  </si>
  <si>
    <t>ELF</t>
  </si>
  <si>
    <t>wax</t>
  </si>
  <si>
    <t>WAX</t>
  </si>
  <si>
    <t>gifto</t>
  </si>
  <si>
    <t>Gifto</t>
  </si>
  <si>
    <t>GTO</t>
  </si>
  <si>
    <t>genaro-network</t>
  </si>
  <si>
    <t>Genaro Network</t>
  </si>
  <si>
    <t>GNX</t>
  </si>
  <si>
    <t>datum</t>
  </si>
  <si>
    <t>Datum</t>
  </si>
  <si>
    <t>DAT</t>
  </si>
  <si>
    <t>Super Bitcoin</t>
  </si>
  <si>
    <t>united-bitcoin</t>
  </si>
  <si>
    <t>United Bitcoin</t>
  </si>
  <si>
    <t>UBTC</t>
  </si>
  <si>
    <t>micromoney</t>
  </si>
  <si>
    <t>MicroMoney</t>
  </si>
  <si>
    <t>AMM</t>
  </si>
  <si>
    <t>storm</t>
  </si>
  <si>
    <t>Storm</t>
  </si>
  <si>
    <t>STORM</t>
  </si>
  <si>
    <t>bitair</t>
  </si>
  <si>
    <t>Bitair</t>
  </si>
  <si>
    <t>BTCA</t>
  </si>
  <si>
    <t>icon-futures</t>
  </si>
  <si>
    <t>ICON [Futures]</t>
  </si>
  <si>
    <t>worldcore</t>
  </si>
  <si>
    <t>Worldcore</t>
  </si>
  <si>
    <t>WRC</t>
  </si>
  <si>
    <t>dynamic-trading-rights</t>
  </si>
  <si>
    <t>Dynamic Trading Rights</t>
  </si>
  <si>
    <t>DTR</t>
  </si>
  <si>
    <t>davorcoin</t>
  </si>
  <si>
    <t>DavorCoin</t>
  </si>
  <si>
    <t>DAV</t>
  </si>
  <si>
    <t>playkey</t>
  </si>
  <si>
    <t>Playkey</t>
  </si>
  <si>
    <t>PKT</t>
  </si>
  <si>
    <t>starbase</t>
  </si>
  <si>
    <t>Starbase</t>
  </si>
  <si>
    <t>STAR</t>
  </si>
  <si>
    <t>soma</t>
  </si>
  <si>
    <t>Soma</t>
  </si>
  <si>
    <t>SCT</t>
  </si>
  <si>
    <t>yenten</t>
  </si>
  <si>
    <t>YENTEN</t>
  </si>
  <si>
    <t>YTN</t>
  </si>
  <si>
    <t>trident</t>
  </si>
  <si>
    <t>Trident Group</t>
  </si>
  <si>
    <t>TRDT</t>
  </si>
  <si>
    <t>Current USD Value</t>
  </si>
  <si>
    <t>dew</t>
  </si>
  <si>
    <t>DEW</t>
  </si>
  <si>
    <t>medibloc</t>
  </si>
  <si>
    <t>Medibloc</t>
  </si>
  <si>
    <t>MED</t>
  </si>
  <si>
    <t>Karbo</t>
  </si>
  <si>
    <t>naga</t>
  </si>
  <si>
    <t>NAGA</t>
  </si>
  <si>
    <t>NGC</t>
  </si>
  <si>
    <t>bread</t>
  </si>
  <si>
    <t>Bread</t>
  </si>
  <si>
    <t>BRD</t>
  </si>
  <si>
    <t>bibox-token</t>
  </si>
  <si>
    <t>Bibox Token</t>
  </si>
  <si>
    <t>BIX</t>
  </si>
  <si>
    <t>Experience Points</t>
  </si>
  <si>
    <t>nebulas-token</t>
  </si>
  <si>
    <t>Nebulas</t>
  </si>
  <si>
    <t>NAS</t>
  </si>
  <si>
    <t>sophiatx</t>
  </si>
  <si>
    <t>SophiaTX</t>
  </si>
  <si>
    <t>SPHTX</t>
  </si>
  <si>
    <t>bounty0x</t>
  </si>
  <si>
    <t>Bounty0x</t>
  </si>
  <si>
    <t>BNTY</t>
  </si>
  <si>
    <t>dai</t>
  </si>
  <si>
    <t>Dai</t>
  </si>
  <si>
    <t>DAI</t>
  </si>
  <si>
    <t>Date/Time Taken</t>
  </si>
  <si>
    <t>Total Investment in USD</t>
  </si>
  <si>
    <t>Total Investment Value in Satoshi</t>
  </si>
  <si>
    <t>Current Invesment Value in USD</t>
  </si>
  <si>
    <t>Profitability Value in USD</t>
  </si>
  <si>
    <t>Profitability Value in %</t>
  </si>
  <si>
    <t>Investment Snapshot</t>
  </si>
  <si>
    <t>dimcoin</t>
  </si>
  <si>
    <t>DIMCOIN</t>
  </si>
  <si>
    <t>DIM</t>
  </si>
  <si>
    <t>Delta</t>
  </si>
  <si>
    <t>1Atr4wRPzge1UWFLZnsKZ7Gayqh47AMA4W</t>
  </si>
  <si>
    <t>Email:</t>
  </si>
  <si>
    <t>cryptomarqz@gmail.com</t>
  </si>
  <si>
    <t>Top 25 CryptoCurrency Portfolio</t>
  </si>
  <si>
    <t>Remarks</t>
  </si>
  <si>
    <t>Please donate for further development.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</si>
</sst>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7" formatCode="&quot;$&quot;#,##0.00_);\(&quot;$&quot;#,##0.00\)"/>
    <numFmt numFmtId="164" formatCode="_-&quot;$&quot;* #,##0.00000_-;\-&quot;$&quot;* #,##0.00000_-;_-&quot;$&quot;* &quot;-&quot;?????_-;_-@_-"/>
    <numFmt numFmtId="165" formatCode="0.00000000"/>
    <numFmt numFmtId="166" formatCode="&quot;$&quot;#,##0"/>
    <numFmt numFmtId="167" formatCode="yyyy/mm/dd\ hh:mm:ss"/>
    <numFmt numFmtId="168" formatCode="&quot;$&quot;#,##0.00000000"/>
    <numFmt numFmtId="169" formatCode="_-&quot;$&quot;* #,##0.0000000_-;\-&quot;$&quot;* #,##0.0000000_-;_-&quot;$&quot;* &quot;-&quot;?????_-;_-@_-"/>
    <numFmt numFmtId="170" formatCode="&quot;$&quot;#,##0.00"/>
    <numFmt numFmtId="171" formatCode="#,##0.000000"/>
    <numFmt numFmtId="172" formatCode="0.000000000"/>
  </numFmts>
  <fonts count="14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8" tint="-0.249977111117893"/>
      <name val="Calibri"/>
      <family val="2"/>
      <scheme val="min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8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color theme="1"/>
      <name val="Calibri Light"/>
      <family val="2"/>
      <scheme val="major"/>
    </font>
    <font>
      <b/>
      <sz val="20"/>
      <color theme="8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2" fillId="0" borderId="0" xfId="1" applyAlignment="1">
      <alignment wrapText="1"/>
    </xf>
    <xf numFmtId="0" fontId="1" fillId="2" borderId="2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0" fontId="0" fillId="0" borderId="9" xfId="0" applyNumberFormat="1" applyBorder="1" applyAlignment="1">
      <alignment horizontal="center" vertical="center" wrapText="1"/>
    </xf>
    <xf numFmtId="10" fontId="0" fillId="0" borderId="9" xfId="2" applyNumberFormat="1" applyFont="1" applyBorder="1" applyAlignment="1">
      <alignment horizontal="center" vertical="center"/>
    </xf>
    <xf numFmtId="165" fontId="5" fillId="0" borderId="5" xfId="0" applyNumberFormat="1" applyFont="1" applyBorder="1" applyAlignment="1" applyProtection="1">
      <alignment horizontal="center" vertical="center" wrapText="1"/>
      <protection hidden="1"/>
    </xf>
    <xf numFmtId="168" fontId="5" fillId="0" borderId="5" xfId="0" applyNumberFormat="1" applyFont="1" applyBorder="1" applyAlignment="1" applyProtection="1">
      <alignment horizontal="center" vertical="center" wrapText="1"/>
      <protection hidden="1"/>
    </xf>
    <xf numFmtId="2" fontId="5" fillId="0" borderId="5" xfId="2" applyNumberFormat="1" applyFont="1" applyBorder="1" applyAlignment="1" applyProtection="1">
      <alignment horizontal="center" vertical="center"/>
      <protection hidden="1"/>
    </xf>
    <xf numFmtId="167" fontId="5" fillId="0" borderId="5" xfId="0" applyNumberFormat="1" applyFont="1" applyBorder="1" applyAlignment="1" applyProtection="1">
      <alignment horizontal="center" vertical="center" wrapText="1"/>
      <protection hidden="1"/>
    </xf>
    <xf numFmtId="10" fontId="5" fillId="0" borderId="5" xfId="2" applyNumberFormat="1" applyFont="1" applyBorder="1" applyAlignment="1" applyProtection="1">
      <alignment horizontal="center" vertical="center"/>
      <protection hidden="1"/>
    </xf>
    <xf numFmtId="166" fontId="5" fillId="0" borderId="5" xfId="0" applyNumberFormat="1" applyFont="1" applyBorder="1" applyAlignment="1" applyProtection="1">
      <alignment horizontal="center" vertical="center" wrapText="1"/>
      <protection hidden="1"/>
    </xf>
    <xf numFmtId="0" fontId="7" fillId="0" borderId="0" xfId="0" applyFont="1"/>
    <xf numFmtId="0" fontId="2" fillId="3" borderId="5" xfId="1" applyFill="1" applyBorder="1" applyAlignment="1" applyProtection="1">
      <alignment horizontal="center" vertical="center"/>
      <protection locked="0"/>
    </xf>
    <xf numFmtId="0" fontId="5" fillId="3" borderId="5" xfId="0" applyFont="1" applyFill="1" applyBorder="1" applyAlignment="1" applyProtection="1">
      <alignment horizontal="center" vertical="center" wrapText="1"/>
      <protection locked="0"/>
    </xf>
    <xf numFmtId="171" fontId="5" fillId="3" borderId="5" xfId="0" applyNumberFormat="1" applyFont="1" applyFill="1" applyBorder="1" applyAlignment="1" applyProtection="1">
      <alignment horizontal="center" vertical="center" wrapText="1"/>
      <protection locked="0"/>
    </xf>
    <xf numFmtId="165" fontId="5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2" fillId="0" borderId="0" xfId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</xf>
    <xf numFmtId="170" fontId="0" fillId="3" borderId="9" xfId="0" applyNumberFormat="1" applyFill="1" applyBorder="1" applyAlignment="1" applyProtection="1">
      <alignment horizontal="center" vertical="center" wrapText="1"/>
      <protection locked="0"/>
    </xf>
    <xf numFmtId="0" fontId="2" fillId="3" borderId="5" xfId="1" applyFill="1" applyBorder="1" applyAlignment="1" applyProtection="1">
      <alignment horizontal="center" vertical="center"/>
    </xf>
    <xf numFmtId="2" fontId="5" fillId="0" borderId="0" xfId="2" applyNumberFormat="1" applyFont="1" applyBorder="1" applyAlignment="1" applyProtection="1">
      <alignment horizontal="center" vertical="center"/>
      <protection locked="0" hidden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Font="1" applyAlignment="1"/>
    <xf numFmtId="170" fontId="0" fillId="0" borderId="9" xfId="2" applyNumberFormat="1" applyFon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165" fontId="5" fillId="3" borderId="7" xfId="0" applyNumberFormat="1" applyFont="1" applyFill="1" applyBorder="1" applyAlignment="1" applyProtection="1">
      <alignment horizontal="center" vertical="center" wrapText="1"/>
      <protection locked="0"/>
    </xf>
    <xf numFmtId="165" fontId="5" fillId="0" borderId="7" xfId="0" applyNumberFormat="1" applyFont="1" applyBorder="1" applyAlignment="1" applyProtection="1">
      <alignment horizontal="center" vertical="center" wrapText="1"/>
      <protection hidden="1"/>
    </xf>
    <xf numFmtId="168" fontId="5" fillId="0" borderId="7" xfId="0" applyNumberFormat="1" applyFont="1" applyBorder="1" applyAlignment="1" applyProtection="1">
      <alignment horizontal="center" vertical="center" wrapText="1"/>
      <protection hidden="1"/>
    </xf>
    <xf numFmtId="166" fontId="5" fillId="0" borderId="7" xfId="0" applyNumberFormat="1" applyFont="1" applyBorder="1" applyAlignment="1" applyProtection="1">
      <alignment horizontal="center" vertical="center" wrapText="1"/>
      <protection hidden="1"/>
    </xf>
    <xf numFmtId="2" fontId="5" fillId="0" borderId="7" xfId="2" applyNumberFormat="1" applyFont="1" applyBorder="1" applyAlignment="1" applyProtection="1">
      <alignment horizontal="center" vertical="center"/>
      <protection hidden="1"/>
    </xf>
    <xf numFmtId="167" fontId="5" fillId="0" borderId="7" xfId="0" applyNumberFormat="1" applyFont="1" applyBorder="1" applyAlignment="1" applyProtection="1">
      <alignment horizontal="center" vertical="center" wrapText="1"/>
      <protection hidden="1"/>
    </xf>
    <xf numFmtId="10" fontId="5" fillId="0" borderId="7" xfId="2" applyNumberFormat="1" applyFont="1" applyBorder="1" applyAlignment="1" applyProtection="1">
      <alignment horizontal="center" vertical="center"/>
      <protection hidden="1"/>
    </xf>
    <xf numFmtId="0" fontId="5" fillId="3" borderId="7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Alignment="1">
      <alignment horizontal="right"/>
    </xf>
    <xf numFmtId="0" fontId="9" fillId="0" borderId="0" xfId="0" applyFont="1" applyAlignment="1">
      <alignment horizontal="right" wrapText="1"/>
    </xf>
    <xf numFmtId="0" fontId="2" fillId="5" borderId="7" xfId="1" applyFill="1" applyBorder="1" applyAlignment="1" applyProtection="1">
      <alignment horizontal="center" vertical="center"/>
    </xf>
    <xf numFmtId="0" fontId="5" fillId="5" borderId="7" xfId="0" applyFont="1" applyFill="1" applyBorder="1" applyAlignment="1" applyProtection="1">
      <alignment horizontal="center" vertical="center" wrapText="1"/>
    </xf>
    <xf numFmtId="0" fontId="0" fillId="4" borderId="11" xfId="0" applyFill="1" applyBorder="1" applyAlignment="1"/>
    <xf numFmtId="0" fontId="0" fillId="4" borderId="12" xfId="0" applyFill="1" applyBorder="1" applyAlignment="1"/>
    <xf numFmtId="0" fontId="0" fillId="4" borderId="0" xfId="0" applyFill="1" applyAlignment="1">
      <alignment wrapText="1"/>
    </xf>
    <xf numFmtId="0" fontId="2" fillId="3" borderId="7" xfId="1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/>
    <xf numFmtId="170" fontId="5" fillId="0" borderId="5" xfId="0" applyNumberFormat="1" applyFont="1" applyBorder="1" applyAlignment="1" applyProtection="1">
      <alignment horizontal="center" vertical="center" wrapText="1"/>
      <protection hidden="1"/>
    </xf>
    <xf numFmtId="22" fontId="0" fillId="0" borderId="0" xfId="0" applyNumberFormat="1"/>
    <xf numFmtId="22" fontId="0" fillId="0" borderId="0" xfId="0" applyNumberFormat="1" applyAlignment="1">
      <alignment horizontal="center" vertical="center"/>
    </xf>
    <xf numFmtId="7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 wrapText="1"/>
    </xf>
    <xf numFmtId="0" fontId="13" fillId="0" borderId="0" xfId="0" applyFont="1" applyAlignment="1">
      <alignment horizontal="left" vertical="top"/>
    </xf>
    <xf numFmtId="0" fontId="2" fillId="0" borderId="0" xfId="1" applyAlignment="1"/>
    <xf numFmtId="14" fontId="11" fillId="3" borderId="6" xfId="0" applyNumberFormat="1" applyFont="1" applyFill="1" applyBorder="1" applyAlignment="1" applyProtection="1">
      <alignment horizontal="center" vertical="center" wrapText="1"/>
      <protection locked="0"/>
    </xf>
    <xf numFmtId="14" fontId="11" fillId="3" borderId="8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15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18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16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19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20" xfId="0" applyNumberFormat="1" applyFont="1" applyFill="1" applyBorder="1" applyAlignment="1" applyProtection="1">
      <alignment horizontal="center" vertical="center" wrapText="1"/>
      <protection locked="0"/>
    </xf>
    <xf numFmtId="171" fontId="11" fillId="3" borderId="2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</cellXfs>
  <cellStyles count="3">
    <cellStyle name="Hyperlink" xfId="1" builtinId="8"/>
    <cellStyle name="Normal" xfId="0" builtinId="0"/>
    <cellStyle name="Percent" xfId="2" builtinId="5"/>
  </cellStyles>
  <dxfs count="1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9525</xdr:rowOff>
        </xdr:from>
        <xdr:to>
          <xdr:col>5</xdr:col>
          <xdr:colOff>419100</xdr:colOff>
          <xdr:row>6</xdr:row>
          <xdr:rowOff>66675</xdr:rowOff>
        </xdr:to>
        <xdr:sp macro="" textlink="">
          <xdr:nvSpPr>
            <xdr:cNvPr id="1027" name="cmbCoinLis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4</xdr:row>
          <xdr:rowOff>47625</xdr:rowOff>
        </xdr:from>
        <xdr:to>
          <xdr:col>6</xdr:col>
          <xdr:colOff>590550</xdr:colOff>
          <xdr:row>6</xdr:row>
          <xdr:rowOff>57150</xdr:rowOff>
        </xdr:to>
        <xdr:sp macro="" textlink="">
          <xdr:nvSpPr>
            <xdr:cNvPr id="1028" name="cmdAddCoi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666750</xdr:colOff>
      <xdr:row>4</xdr:row>
      <xdr:rowOff>28575</xdr:rowOff>
    </xdr:from>
    <xdr:to>
      <xdr:col>7</xdr:col>
      <xdr:colOff>895350</xdr:colOff>
      <xdr:row>6</xdr:row>
      <xdr:rowOff>57150</xdr:rowOff>
    </xdr:to>
    <xdr:sp macro="[0]!RefreshData" textlink="">
      <xdr:nvSpPr>
        <xdr:cNvPr id="4" name="Rounded Rectangle 3"/>
        <xdr:cNvSpPr/>
      </xdr:nvSpPr>
      <xdr:spPr>
        <a:xfrm>
          <a:off x="5181600" y="895350"/>
          <a:ext cx="1190625" cy="4095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Refresh</a:t>
          </a:r>
          <a:r>
            <a:rPr lang="en-CA" sz="1200" baseline="0"/>
            <a:t> Table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36</xdr:row>
          <xdr:rowOff>180975</xdr:rowOff>
        </xdr:from>
        <xdr:to>
          <xdr:col>5</xdr:col>
          <xdr:colOff>400050</xdr:colOff>
          <xdr:row>38</xdr:row>
          <xdr:rowOff>47625</xdr:rowOff>
        </xdr:to>
        <xdr:sp macro="" textlink="">
          <xdr:nvSpPr>
            <xdr:cNvPr id="1031" name="cmbCryptoWatch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36</xdr:row>
          <xdr:rowOff>28575</xdr:rowOff>
        </xdr:from>
        <xdr:to>
          <xdr:col>7</xdr:col>
          <xdr:colOff>571500</xdr:colOff>
          <xdr:row>38</xdr:row>
          <xdr:rowOff>38100</xdr:rowOff>
        </xdr:to>
        <xdr:sp macro="" textlink="">
          <xdr:nvSpPr>
            <xdr:cNvPr id="1032" name="cmdAddWatch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952500</xdr:colOff>
      <xdr:row>4</xdr:row>
      <xdr:rowOff>28575</xdr:rowOff>
    </xdr:from>
    <xdr:to>
      <xdr:col>8</xdr:col>
      <xdr:colOff>914400</xdr:colOff>
      <xdr:row>6</xdr:row>
      <xdr:rowOff>57150</xdr:rowOff>
    </xdr:to>
    <xdr:sp macro="[0]!ClearTable.ClearTable" textlink="">
      <xdr:nvSpPr>
        <xdr:cNvPr id="7" name="Rounded Rectangle 6"/>
        <xdr:cNvSpPr/>
      </xdr:nvSpPr>
      <xdr:spPr>
        <a:xfrm>
          <a:off x="6429375" y="895350"/>
          <a:ext cx="923925" cy="4095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Clear Table</a:t>
          </a:r>
          <a:endParaRPr lang="en-CA" sz="1200" baseline="0"/>
        </a:p>
      </xdr:txBody>
    </xdr:sp>
    <xdr:clientData/>
  </xdr:twoCellAnchor>
  <xdr:twoCellAnchor>
    <xdr:from>
      <xdr:col>7</xdr:col>
      <xdr:colOff>704850</xdr:colOff>
      <xdr:row>36</xdr:row>
      <xdr:rowOff>19050</xdr:rowOff>
    </xdr:from>
    <xdr:to>
      <xdr:col>8</xdr:col>
      <xdr:colOff>666750</xdr:colOff>
      <xdr:row>38</xdr:row>
      <xdr:rowOff>47625</xdr:rowOff>
    </xdr:to>
    <xdr:sp macro="[0]!ClearWatchTable" textlink="">
      <xdr:nvSpPr>
        <xdr:cNvPr id="8" name="Rounded Rectangle 7"/>
        <xdr:cNvSpPr/>
      </xdr:nvSpPr>
      <xdr:spPr>
        <a:xfrm>
          <a:off x="6181725" y="7172325"/>
          <a:ext cx="923925" cy="4095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Clear Table</a:t>
          </a:r>
          <a:endParaRPr lang="en-CA" sz="12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76200</xdr:rowOff>
    </xdr:from>
    <xdr:to>
      <xdr:col>3</xdr:col>
      <xdr:colOff>523875</xdr:colOff>
      <xdr:row>2</xdr:row>
      <xdr:rowOff>142875</xdr:rowOff>
    </xdr:to>
    <xdr:sp macro="[0]!getData" textlink="">
      <xdr:nvSpPr>
        <xdr:cNvPr id="2" name="Rounded Rectangle 1"/>
        <xdr:cNvSpPr/>
      </xdr:nvSpPr>
      <xdr:spPr>
        <a:xfrm>
          <a:off x="647700" y="76200"/>
          <a:ext cx="2314575" cy="4476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Refresh</a:t>
          </a:r>
          <a:r>
            <a:rPr lang="en-CA" sz="1800" baseline="0"/>
            <a:t> Table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image" Target="../media/image3.emf"/><Relationship Id="rId2" Type="http://schemas.openxmlformats.org/officeDocument/2006/relationships/hyperlink" Target="mailto:cryptomarqz@gmail.com" TargetMode="External"/><Relationship Id="rId1" Type="http://schemas.openxmlformats.org/officeDocument/2006/relationships/hyperlink" Target="https://coinmarketcap.com/currencies/bitcoin" TargetMode="External"/><Relationship Id="rId6" Type="http://schemas.openxmlformats.org/officeDocument/2006/relationships/control" Target="../activeX/activeX1.xml"/><Relationship Id="rId11" Type="http://schemas.openxmlformats.org/officeDocument/2006/relationships/control" Target="../activeX/activeX4.xml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coinmarketcap.com/currencies/enjin-coin" TargetMode="External"/><Relationship Id="rId671" Type="http://schemas.openxmlformats.org/officeDocument/2006/relationships/hyperlink" Target="https://coinmarketcap.com/currencies/eternity" TargetMode="External"/><Relationship Id="rId769" Type="http://schemas.openxmlformats.org/officeDocument/2006/relationships/hyperlink" Target="https://coinmarketcap.com/currencies/parallelcoin" TargetMode="External"/><Relationship Id="rId976" Type="http://schemas.openxmlformats.org/officeDocument/2006/relationships/hyperlink" Target="https://coinmarketcap.com/currencies/mindcoin" TargetMode="External"/><Relationship Id="rId21" Type="http://schemas.openxmlformats.org/officeDocument/2006/relationships/hyperlink" Target="https://coinmarketcap.com/currencies/ardor" TargetMode="External"/><Relationship Id="rId324" Type="http://schemas.openxmlformats.org/officeDocument/2006/relationships/hyperlink" Target="https://coinmarketcap.com/currencies/unobtanium" TargetMode="External"/><Relationship Id="rId531" Type="http://schemas.openxmlformats.org/officeDocument/2006/relationships/hyperlink" Target="https://coinmarketcap.com/currencies/centurion" TargetMode="External"/><Relationship Id="rId629" Type="http://schemas.openxmlformats.org/officeDocument/2006/relationships/hyperlink" Target="https://coinmarketcap.com/currencies/8bit" TargetMode="External"/><Relationship Id="rId1161" Type="http://schemas.openxmlformats.org/officeDocument/2006/relationships/hyperlink" Target="https://coinmarketcap.com/currencies/animecoin" TargetMode="External"/><Relationship Id="rId1259" Type="http://schemas.openxmlformats.org/officeDocument/2006/relationships/hyperlink" Target="https://coinmarketcap.com/currencies/linkedcoin" TargetMode="External"/><Relationship Id="rId170" Type="http://schemas.openxmlformats.org/officeDocument/2006/relationships/hyperlink" Target="https://coinmarketcap.com/currencies/poet" TargetMode="External"/><Relationship Id="rId836" Type="http://schemas.openxmlformats.org/officeDocument/2006/relationships/hyperlink" Target="https://coinmarketcap.com/currencies/coimatic-3" TargetMode="External"/><Relationship Id="rId1021" Type="http://schemas.openxmlformats.org/officeDocument/2006/relationships/hyperlink" Target="https://coinmarketcap.com/currencies/bios-crypto" TargetMode="External"/><Relationship Id="rId1119" Type="http://schemas.openxmlformats.org/officeDocument/2006/relationships/hyperlink" Target="https://coinmarketcap.com/currencies/medishares" TargetMode="External"/><Relationship Id="rId268" Type="http://schemas.openxmlformats.org/officeDocument/2006/relationships/hyperlink" Target="https://coinmarketcap.com/currencies/databits" TargetMode="External"/><Relationship Id="rId475" Type="http://schemas.openxmlformats.org/officeDocument/2006/relationships/hyperlink" Target="https://coinmarketcap.com/currencies/social" TargetMode="External"/><Relationship Id="rId682" Type="http://schemas.openxmlformats.org/officeDocument/2006/relationships/hyperlink" Target="https://coinmarketcap.com/currencies/postoken" TargetMode="External"/><Relationship Id="rId903" Type="http://schemas.openxmlformats.org/officeDocument/2006/relationships/hyperlink" Target="https://coinmarketcap.com/currencies/chesscoin" TargetMode="External"/><Relationship Id="rId1326" Type="http://schemas.openxmlformats.org/officeDocument/2006/relationships/hyperlink" Target="https://coinmarketcap.com/currencies/first-bitcoin" TargetMode="External"/><Relationship Id="rId32" Type="http://schemas.openxmlformats.org/officeDocument/2006/relationships/hyperlink" Target="https://coinmarketcap.com/currencies/hshare" TargetMode="External"/><Relationship Id="rId128" Type="http://schemas.openxmlformats.org/officeDocument/2006/relationships/hyperlink" Target="https://coinmarketcap.com/currencies/aragon" TargetMode="External"/><Relationship Id="rId335" Type="http://schemas.openxmlformats.org/officeDocument/2006/relationships/hyperlink" Target="https://coinmarketcap.com/currencies/ethereum-blue" TargetMode="External"/><Relationship Id="rId542" Type="http://schemas.openxmlformats.org/officeDocument/2006/relationships/hyperlink" Target="https://coinmarketcap.com/currencies/hawala-today" TargetMode="External"/><Relationship Id="rId987" Type="http://schemas.openxmlformats.org/officeDocument/2006/relationships/hyperlink" Target="https://coinmarketcap.com/currencies/vip-tokens" TargetMode="External"/><Relationship Id="rId1172" Type="http://schemas.openxmlformats.org/officeDocument/2006/relationships/hyperlink" Target="https://coinmarketcap.com/currencies/sigmacoin" TargetMode="External"/><Relationship Id="rId181" Type="http://schemas.openxmlformats.org/officeDocument/2006/relationships/hyperlink" Target="https://coinmarketcap.com/currencies/ion" TargetMode="External"/><Relationship Id="rId402" Type="http://schemas.openxmlformats.org/officeDocument/2006/relationships/hyperlink" Target="https://coinmarketcap.com/currencies/espers" TargetMode="External"/><Relationship Id="rId847" Type="http://schemas.openxmlformats.org/officeDocument/2006/relationships/hyperlink" Target="https://coinmarketcap.com/currencies/ecobit" TargetMode="External"/><Relationship Id="rId1032" Type="http://schemas.openxmlformats.org/officeDocument/2006/relationships/hyperlink" Target="https://coinmarketcap.com/currencies/braincoin" TargetMode="External"/><Relationship Id="rId279" Type="http://schemas.openxmlformats.org/officeDocument/2006/relationships/hyperlink" Target="https://coinmarketcap.com/currencies/bitsend" TargetMode="External"/><Relationship Id="rId486" Type="http://schemas.openxmlformats.org/officeDocument/2006/relationships/hyperlink" Target="https://coinmarketcap.com/currencies/starta" TargetMode="External"/><Relationship Id="rId693" Type="http://schemas.openxmlformats.org/officeDocument/2006/relationships/hyperlink" Target="https://coinmarketcap.com/currencies/lanacoin" TargetMode="External"/><Relationship Id="rId707" Type="http://schemas.openxmlformats.org/officeDocument/2006/relationships/hyperlink" Target="https://coinmarketcap.com/currencies/postcoin" TargetMode="External"/><Relationship Id="rId914" Type="http://schemas.openxmlformats.org/officeDocument/2006/relationships/hyperlink" Target="https://coinmarketcap.com/currencies/prototanium" TargetMode="External"/><Relationship Id="rId1337" Type="http://schemas.openxmlformats.org/officeDocument/2006/relationships/hyperlink" Target="https://coinmarketcap.com/currencies/futcoin" TargetMode="External"/><Relationship Id="rId43" Type="http://schemas.openxmlformats.org/officeDocument/2006/relationships/hyperlink" Target="https://coinmarketcap.com/currencies/monacoin" TargetMode="External"/><Relationship Id="rId139" Type="http://schemas.openxmlformats.org/officeDocument/2006/relationships/hyperlink" Target="https://coinmarketcap.com/currencies/viacoin" TargetMode="External"/><Relationship Id="rId346" Type="http://schemas.openxmlformats.org/officeDocument/2006/relationships/hyperlink" Target="https://coinmarketcap.com/currencies/trueflip" TargetMode="External"/><Relationship Id="rId553" Type="http://schemas.openxmlformats.org/officeDocument/2006/relationships/hyperlink" Target="https://coinmarketcap.com/currencies/visio" TargetMode="External"/><Relationship Id="rId760" Type="http://schemas.openxmlformats.org/officeDocument/2006/relationships/hyperlink" Target="https://coinmarketcap.com/currencies/interzone" TargetMode="External"/><Relationship Id="rId998" Type="http://schemas.openxmlformats.org/officeDocument/2006/relationships/hyperlink" Target="https://coinmarketcap.com/currencies/ereal" TargetMode="External"/><Relationship Id="rId1183" Type="http://schemas.openxmlformats.org/officeDocument/2006/relationships/hyperlink" Target="https://coinmarketcap.com/currencies/neo-gold" TargetMode="External"/><Relationship Id="rId192" Type="http://schemas.openxmlformats.org/officeDocument/2006/relationships/hyperlink" Target="https://coinmarketcap.com/currencies/synereo" TargetMode="External"/><Relationship Id="rId206" Type="http://schemas.openxmlformats.org/officeDocument/2006/relationships/hyperlink" Target="https://coinmarketcap.com/currencies/bitcny" TargetMode="External"/><Relationship Id="rId413" Type="http://schemas.openxmlformats.org/officeDocument/2006/relationships/hyperlink" Target="https://coinmarketcap.com/currencies/mybit-token" TargetMode="External"/><Relationship Id="rId858" Type="http://schemas.openxmlformats.org/officeDocument/2006/relationships/hyperlink" Target="https://coinmarketcap.com/currencies/bankcoin" TargetMode="External"/><Relationship Id="rId1043" Type="http://schemas.openxmlformats.org/officeDocument/2006/relationships/hyperlink" Target="https://coinmarketcap.com/currencies/frazcoin" TargetMode="External"/><Relationship Id="rId497" Type="http://schemas.openxmlformats.org/officeDocument/2006/relationships/hyperlink" Target="https://coinmarketcap.com/currencies/dotcoin" TargetMode="External"/><Relationship Id="rId620" Type="http://schemas.openxmlformats.org/officeDocument/2006/relationships/hyperlink" Target="https://coinmarketcap.com/currencies/redcoin" TargetMode="External"/><Relationship Id="rId718" Type="http://schemas.openxmlformats.org/officeDocument/2006/relationships/hyperlink" Target="https://coinmarketcap.com/currencies/catcoin" TargetMode="External"/><Relationship Id="rId925" Type="http://schemas.openxmlformats.org/officeDocument/2006/relationships/hyperlink" Target="https://coinmarketcap.com/currencies/cypher" TargetMode="External"/><Relationship Id="rId1250" Type="http://schemas.openxmlformats.org/officeDocument/2006/relationships/hyperlink" Target="https://coinmarketcap.com/currencies/landcoin" TargetMode="External"/><Relationship Id="rId1348" Type="http://schemas.openxmlformats.org/officeDocument/2006/relationships/hyperlink" Target="https://coinmarketcap.com/currencies/opescoin" TargetMode="External"/><Relationship Id="rId357" Type="http://schemas.openxmlformats.org/officeDocument/2006/relationships/hyperlink" Target="https://coinmarketcap.com/currencies/sexcoin" TargetMode="External"/><Relationship Id="rId1110" Type="http://schemas.openxmlformats.org/officeDocument/2006/relationships/hyperlink" Target="https://coinmarketcap.com/currencies/cappasity" TargetMode="External"/><Relationship Id="rId1194" Type="http://schemas.openxmlformats.org/officeDocument/2006/relationships/hyperlink" Target="https://coinmarketcap.com/currencies/everus" TargetMode="External"/><Relationship Id="rId1208" Type="http://schemas.openxmlformats.org/officeDocument/2006/relationships/hyperlink" Target="https://coinmarketcap.com/currencies/flash" TargetMode="External"/><Relationship Id="rId54" Type="http://schemas.openxmlformats.org/officeDocument/2006/relationships/hyperlink" Target="https://coinmarketcap.com/currencies/electroneum" TargetMode="External"/><Relationship Id="rId217" Type="http://schemas.openxmlformats.org/officeDocument/2006/relationships/hyperlink" Target="https://coinmarketcap.com/currencies/radium" TargetMode="External"/><Relationship Id="rId564" Type="http://schemas.openxmlformats.org/officeDocument/2006/relationships/hyperlink" Target="https://coinmarketcap.com/currencies/footy-cash" TargetMode="External"/><Relationship Id="rId771" Type="http://schemas.openxmlformats.org/officeDocument/2006/relationships/hyperlink" Target="https://coinmarketcap.com/currencies/eurocoin" TargetMode="External"/><Relationship Id="rId869" Type="http://schemas.openxmlformats.org/officeDocument/2006/relationships/hyperlink" Target="https://coinmarketcap.com/currencies/intelligent-trading-tech" TargetMode="External"/><Relationship Id="rId424" Type="http://schemas.openxmlformats.org/officeDocument/2006/relationships/hyperlink" Target="https://coinmarketcap.com/currencies/1337coin" TargetMode="External"/><Relationship Id="rId631" Type="http://schemas.openxmlformats.org/officeDocument/2006/relationships/hyperlink" Target="https://coinmarketcap.com/currencies/inflationcoin" TargetMode="External"/><Relationship Id="rId729" Type="http://schemas.openxmlformats.org/officeDocument/2006/relationships/hyperlink" Target="https://coinmarketcap.com/currencies/bitgem" TargetMode="External"/><Relationship Id="rId1054" Type="http://schemas.openxmlformats.org/officeDocument/2006/relationships/hyperlink" Target="https://coinmarketcap.com/currencies/coexistcoin" TargetMode="External"/><Relationship Id="rId1261" Type="http://schemas.openxmlformats.org/officeDocument/2006/relationships/hyperlink" Target="https://coinmarketcap.com/currencies/voyacoin" TargetMode="External"/><Relationship Id="rId1359" Type="http://schemas.openxmlformats.org/officeDocument/2006/relationships/hyperlink" Target="https://coinmarketcap.com/currencies/x2" TargetMode="External"/><Relationship Id="rId270" Type="http://schemas.openxmlformats.org/officeDocument/2006/relationships/hyperlink" Target="https://coinmarketcap.com/currencies/stox" TargetMode="External"/><Relationship Id="rId936" Type="http://schemas.openxmlformats.org/officeDocument/2006/relationships/hyperlink" Target="https://coinmarketcap.com/currencies/independent-money-system" TargetMode="External"/><Relationship Id="rId1121" Type="http://schemas.openxmlformats.org/officeDocument/2006/relationships/hyperlink" Target="https://coinmarketcap.com/currencies/marxcoin" TargetMode="External"/><Relationship Id="rId1219" Type="http://schemas.openxmlformats.org/officeDocument/2006/relationships/hyperlink" Target="https://coinmarketcap.com/currencies/president-johnson" TargetMode="External"/><Relationship Id="rId65" Type="http://schemas.openxmlformats.org/officeDocument/2006/relationships/hyperlink" Target="https://coinmarketcap.com/currencies/kyber-network" TargetMode="External"/><Relationship Id="rId130" Type="http://schemas.openxmlformats.org/officeDocument/2006/relationships/hyperlink" Target="https://coinmarketcap.com/currencies/achain" TargetMode="External"/><Relationship Id="rId368" Type="http://schemas.openxmlformats.org/officeDocument/2006/relationships/hyperlink" Target="https://coinmarketcap.com/currencies/qwark" TargetMode="External"/><Relationship Id="rId575" Type="http://schemas.openxmlformats.org/officeDocument/2006/relationships/hyperlink" Target="https://coinmarketcap.com/currencies/canada-ecoin" TargetMode="External"/><Relationship Id="rId782" Type="http://schemas.openxmlformats.org/officeDocument/2006/relationships/hyperlink" Target="https://coinmarketcap.com/currencies/bitgold" TargetMode="External"/><Relationship Id="rId228" Type="http://schemas.openxmlformats.org/officeDocument/2006/relationships/hyperlink" Target="https://coinmarketcap.com/currencies/moeda-loyalty-points" TargetMode="External"/><Relationship Id="rId435" Type="http://schemas.openxmlformats.org/officeDocument/2006/relationships/hyperlink" Target="https://coinmarketcap.com/currencies/bluecoin" TargetMode="External"/><Relationship Id="rId642" Type="http://schemas.openxmlformats.org/officeDocument/2006/relationships/hyperlink" Target="https://coinmarketcap.com/currencies/piggycoin" TargetMode="External"/><Relationship Id="rId1065" Type="http://schemas.openxmlformats.org/officeDocument/2006/relationships/hyperlink" Target="https://coinmarketcap.com/currencies/morningstar-payments" TargetMode="External"/><Relationship Id="rId1272" Type="http://schemas.openxmlformats.org/officeDocument/2006/relationships/hyperlink" Target="https://coinmarketcap.com/currencies/bitcedi" TargetMode="External"/><Relationship Id="rId281" Type="http://schemas.openxmlformats.org/officeDocument/2006/relationships/hyperlink" Target="https://coinmarketcap.com/currencies/mothership" TargetMode="External"/><Relationship Id="rId502" Type="http://schemas.openxmlformats.org/officeDocument/2006/relationships/hyperlink" Target="https://coinmarketcap.com/currencies/opus" TargetMode="External"/><Relationship Id="rId947" Type="http://schemas.openxmlformats.org/officeDocument/2006/relationships/hyperlink" Target="https://coinmarketcap.com/currencies/goldpieces" TargetMode="External"/><Relationship Id="rId1132" Type="http://schemas.openxmlformats.org/officeDocument/2006/relationships/hyperlink" Target="https://coinmarketcap.com/currencies/davorcoin" TargetMode="External"/><Relationship Id="rId76" Type="http://schemas.openxmlformats.org/officeDocument/2006/relationships/hyperlink" Target="https://coinmarketcap.com/currencies/nav-coin" TargetMode="External"/><Relationship Id="rId141" Type="http://schemas.openxmlformats.org/officeDocument/2006/relationships/hyperlink" Target="https://coinmarketcap.com/currencies/quantstamp" TargetMode="External"/><Relationship Id="rId379" Type="http://schemas.openxmlformats.org/officeDocument/2006/relationships/hyperlink" Target="https://coinmarketcap.com/currencies/dimecoin" TargetMode="External"/><Relationship Id="rId586" Type="http://schemas.openxmlformats.org/officeDocument/2006/relationships/hyperlink" Target="https://coinmarketcap.com/currencies/biblepay" TargetMode="External"/><Relationship Id="rId793" Type="http://schemas.openxmlformats.org/officeDocument/2006/relationships/hyperlink" Target="https://coinmarketcap.com/currencies/mustangcoin" TargetMode="External"/><Relationship Id="rId807" Type="http://schemas.openxmlformats.org/officeDocument/2006/relationships/hyperlink" Target="https://coinmarketcap.com/currencies/b3coin" TargetMode="External"/><Relationship Id="rId7" Type="http://schemas.openxmlformats.org/officeDocument/2006/relationships/hyperlink" Target="https://coinmarketcap.com/currencies/dash" TargetMode="External"/><Relationship Id="rId239" Type="http://schemas.openxmlformats.org/officeDocument/2006/relationships/hyperlink" Target="https://coinmarketcap.com/currencies/zeusshield" TargetMode="External"/><Relationship Id="rId446" Type="http://schemas.openxmlformats.org/officeDocument/2006/relationships/hyperlink" Target="https://coinmarketcap.com/currencies/indorse-token" TargetMode="External"/><Relationship Id="rId653" Type="http://schemas.openxmlformats.org/officeDocument/2006/relationships/hyperlink" Target="https://coinmarketcap.com/currencies/mutual-coin" TargetMode="External"/><Relationship Id="rId1076" Type="http://schemas.openxmlformats.org/officeDocument/2006/relationships/hyperlink" Target="https://coinmarketcap.com/currencies/medibloc" TargetMode="External"/><Relationship Id="rId1283" Type="http://schemas.openxmlformats.org/officeDocument/2006/relationships/hyperlink" Target="https://coinmarketcap.com/currencies/omicron" TargetMode="External"/><Relationship Id="rId292" Type="http://schemas.openxmlformats.org/officeDocument/2006/relationships/hyperlink" Target="https://coinmarketcap.com/currencies/domraider" TargetMode="External"/><Relationship Id="rId306" Type="http://schemas.openxmlformats.org/officeDocument/2006/relationships/hyperlink" Target="https://coinmarketcap.com/currencies/zrcoin" TargetMode="External"/><Relationship Id="rId860" Type="http://schemas.openxmlformats.org/officeDocument/2006/relationships/hyperlink" Target="https://coinmarketcap.com/currencies/inpay" TargetMode="External"/><Relationship Id="rId958" Type="http://schemas.openxmlformats.org/officeDocument/2006/relationships/hyperlink" Target="https://coinmarketcap.com/currencies/sixeleven" TargetMode="External"/><Relationship Id="rId1143" Type="http://schemas.openxmlformats.org/officeDocument/2006/relationships/hyperlink" Target="https://coinmarketcap.com/currencies/social-send" TargetMode="External"/><Relationship Id="rId87" Type="http://schemas.openxmlformats.org/officeDocument/2006/relationships/hyperlink" Target="https://coinmarketcap.com/currencies/bitbay" TargetMode="External"/><Relationship Id="rId513" Type="http://schemas.openxmlformats.org/officeDocument/2006/relationships/hyperlink" Target="https://coinmarketcap.com/currencies/atlant" TargetMode="External"/><Relationship Id="rId597" Type="http://schemas.openxmlformats.org/officeDocument/2006/relationships/hyperlink" Target="https://coinmarketcap.com/currencies/upfiring" TargetMode="External"/><Relationship Id="rId720" Type="http://schemas.openxmlformats.org/officeDocument/2006/relationships/hyperlink" Target="https://coinmarketcap.com/currencies/sagacoin" TargetMode="External"/><Relationship Id="rId818" Type="http://schemas.openxmlformats.org/officeDocument/2006/relationships/hyperlink" Target="https://coinmarketcap.com/currencies/asiadigicoin" TargetMode="External"/><Relationship Id="rId1350" Type="http://schemas.openxmlformats.org/officeDocument/2006/relationships/hyperlink" Target="https://coinmarketcap.com/currencies/invisiblecoin" TargetMode="External"/><Relationship Id="rId152" Type="http://schemas.openxmlformats.org/officeDocument/2006/relationships/hyperlink" Target="https://coinmarketcap.com/currencies/wabi" TargetMode="External"/><Relationship Id="rId457" Type="http://schemas.openxmlformats.org/officeDocument/2006/relationships/hyperlink" Target="https://coinmarketcap.com/currencies/karbowanec" TargetMode="External"/><Relationship Id="rId1003" Type="http://schemas.openxmlformats.org/officeDocument/2006/relationships/hyperlink" Target="https://coinmarketcap.com/currencies/bowscoin" TargetMode="External"/><Relationship Id="rId1087" Type="http://schemas.openxmlformats.org/officeDocument/2006/relationships/hyperlink" Target="https://coinmarketcap.com/currencies/energo" TargetMode="External"/><Relationship Id="rId1210" Type="http://schemas.openxmlformats.org/officeDocument/2006/relationships/hyperlink" Target="https://coinmarketcap.com/currencies/amsterdamcoin" TargetMode="External"/><Relationship Id="rId1294" Type="http://schemas.openxmlformats.org/officeDocument/2006/relationships/hyperlink" Target="https://coinmarketcap.com/currencies/fireflycoin" TargetMode="External"/><Relationship Id="rId1308" Type="http://schemas.openxmlformats.org/officeDocument/2006/relationships/hyperlink" Target="https://coinmarketcap.com/currencies/faceblock" TargetMode="External"/><Relationship Id="rId664" Type="http://schemas.openxmlformats.org/officeDocument/2006/relationships/hyperlink" Target="https://coinmarketcap.com/currencies/blakestar" TargetMode="External"/><Relationship Id="rId871" Type="http://schemas.openxmlformats.org/officeDocument/2006/relationships/hyperlink" Target="https://coinmarketcap.com/currencies/fucktoken" TargetMode="External"/><Relationship Id="rId969" Type="http://schemas.openxmlformats.org/officeDocument/2006/relationships/hyperlink" Target="https://coinmarketcap.com/currencies/cagecoin" TargetMode="External"/><Relationship Id="rId14" Type="http://schemas.openxmlformats.org/officeDocument/2006/relationships/hyperlink" Target="https://coinmarketcap.com/currencies/stellar" TargetMode="External"/><Relationship Id="rId317" Type="http://schemas.openxmlformats.org/officeDocument/2006/relationships/hyperlink" Target="https://coinmarketcap.com/currencies/incent" TargetMode="External"/><Relationship Id="rId524" Type="http://schemas.openxmlformats.org/officeDocument/2006/relationships/hyperlink" Target="https://coinmarketcap.com/currencies/fundyourselfnow" TargetMode="External"/><Relationship Id="rId731" Type="http://schemas.openxmlformats.org/officeDocument/2006/relationships/hyperlink" Target="https://coinmarketcap.com/currencies/goldreserve" TargetMode="External"/><Relationship Id="rId1154" Type="http://schemas.openxmlformats.org/officeDocument/2006/relationships/hyperlink" Target="https://coinmarketcap.com/currencies/deuscoin" TargetMode="External"/><Relationship Id="rId1361" Type="http://schemas.openxmlformats.org/officeDocument/2006/relationships/hyperlink" Target="https://coinmarketcap.com/currencies/clinton" TargetMode="External"/><Relationship Id="rId98" Type="http://schemas.openxmlformats.org/officeDocument/2006/relationships/hyperlink" Target="https://coinmarketcap.com/currencies/blocknet" TargetMode="External"/><Relationship Id="rId163" Type="http://schemas.openxmlformats.org/officeDocument/2006/relationships/hyperlink" Target="https://coinmarketcap.com/currencies/hempcoin" TargetMode="External"/><Relationship Id="rId370" Type="http://schemas.openxmlformats.org/officeDocument/2006/relationships/hyperlink" Target="https://coinmarketcap.com/currencies/blockcat" TargetMode="External"/><Relationship Id="rId829" Type="http://schemas.openxmlformats.org/officeDocument/2006/relationships/hyperlink" Target="https://coinmarketcap.com/currencies/magnum" TargetMode="External"/><Relationship Id="rId1014" Type="http://schemas.openxmlformats.org/officeDocument/2006/relationships/hyperlink" Target="https://coinmarketcap.com/currencies/milocoin" TargetMode="External"/><Relationship Id="rId1221" Type="http://schemas.openxmlformats.org/officeDocument/2006/relationships/hyperlink" Target="https://coinmarketcap.com/currencies/dimoncoin" TargetMode="External"/><Relationship Id="rId230" Type="http://schemas.openxmlformats.org/officeDocument/2006/relationships/hyperlink" Target="https://coinmarketcap.com/currencies/steem-dollars" TargetMode="External"/><Relationship Id="rId468" Type="http://schemas.openxmlformats.org/officeDocument/2006/relationships/hyperlink" Target="https://coinmarketcap.com/currencies/mywish" TargetMode="External"/><Relationship Id="rId675" Type="http://schemas.openxmlformats.org/officeDocument/2006/relationships/hyperlink" Target="https://coinmarketcap.com/currencies/confido" TargetMode="External"/><Relationship Id="rId882" Type="http://schemas.openxmlformats.org/officeDocument/2006/relationships/hyperlink" Target="https://coinmarketcap.com/currencies/bitpark-coin" TargetMode="External"/><Relationship Id="rId1098" Type="http://schemas.openxmlformats.org/officeDocument/2006/relationships/hyperlink" Target="https://coinmarketcap.com/currencies/viuly" TargetMode="External"/><Relationship Id="rId1319" Type="http://schemas.openxmlformats.org/officeDocument/2006/relationships/hyperlink" Target="https://coinmarketcap.com/currencies/psilocybin" TargetMode="External"/><Relationship Id="rId25" Type="http://schemas.openxmlformats.org/officeDocument/2006/relationships/hyperlink" Target="https://coinmarketcap.com/currencies/bitshares" TargetMode="External"/><Relationship Id="rId328" Type="http://schemas.openxmlformats.org/officeDocument/2006/relationships/hyperlink" Target="https://coinmarketcap.com/currencies/blockmason" TargetMode="External"/><Relationship Id="rId535" Type="http://schemas.openxmlformats.org/officeDocument/2006/relationships/hyperlink" Target="https://coinmarketcap.com/currencies/xios" TargetMode="External"/><Relationship Id="rId742" Type="http://schemas.openxmlformats.org/officeDocument/2006/relationships/hyperlink" Target="https://coinmarketcap.com/currencies/satoshimadness" TargetMode="External"/><Relationship Id="rId1165" Type="http://schemas.openxmlformats.org/officeDocument/2006/relationships/hyperlink" Target="https://coinmarketcap.com/currencies/macro1" TargetMode="External"/><Relationship Id="rId1372" Type="http://schemas.openxmlformats.org/officeDocument/2006/relationships/hyperlink" Target="https://coinmarketcap.com/currencies/etherdoge" TargetMode="External"/><Relationship Id="rId174" Type="http://schemas.openxmlformats.org/officeDocument/2006/relationships/hyperlink" Target="https://coinmarketcap.com/currencies/whitecoin" TargetMode="External"/><Relationship Id="rId381" Type="http://schemas.openxmlformats.org/officeDocument/2006/relationships/hyperlink" Target="https://coinmarketcap.com/currencies/sharechain" TargetMode="External"/><Relationship Id="rId602" Type="http://schemas.openxmlformats.org/officeDocument/2006/relationships/hyperlink" Target="https://coinmarketcap.com/currencies/fincoin" TargetMode="External"/><Relationship Id="rId1025" Type="http://schemas.openxmlformats.org/officeDocument/2006/relationships/hyperlink" Target="https://coinmarketcap.com/currencies/posex" TargetMode="External"/><Relationship Id="rId1232" Type="http://schemas.openxmlformats.org/officeDocument/2006/relationships/hyperlink" Target="https://coinmarketcap.com/currencies/minex" TargetMode="External"/><Relationship Id="rId241" Type="http://schemas.openxmlformats.org/officeDocument/2006/relationships/hyperlink" Target="https://coinmarketcap.com/currencies/bitdice" TargetMode="External"/><Relationship Id="rId479" Type="http://schemas.openxmlformats.org/officeDocument/2006/relationships/hyperlink" Target="https://coinmarketcap.com/currencies/privatix" TargetMode="External"/><Relationship Id="rId686" Type="http://schemas.openxmlformats.org/officeDocument/2006/relationships/hyperlink" Target="https://coinmarketcap.com/currencies/trumpcoin" TargetMode="External"/><Relationship Id="rId893" Type="http://schemas.openxmlformats.org/officeDocument/2006/relationships/hyperlink" Target="https://coinmarketcap.com/currencies/halcyon" TargetMode="External"/><Relationship Id="rId907" Type="http://schemas.openxmlformats.org/officeDocument/2006/relationships/hyperlink" Target="https://coinmarketcap.com/currencies/tigercoin" TargetMode="External"/><Relationship Id="rId36" Type="http://schemas.openxmlformats.org/officeDocument/2006/relationships/hyperlink" Target="https://coinmarketcap.com/currencies/siacoin" TargetMode="External"/><Relationship Id="rId339" Type="http://schemas.openxmlformats.org/officeDocument/2006/relationships/hyperlink" Target="https://coinmarketcap.com/currencies/coss" TargetMode="External"/><Relationship Id="rId546" Type="http://schemas.openxmlformats.org/officeDocument/2006/relationships/hyperlink" Target="https://coinmarketcap.com/currencies/digipulse" TargetMode="External"/><Relationship Id="rId753" Type="http://schemas.openxmlformats.org/officeDocument/2006/relationships/hyperlink" Target="https://coinmarketcap.com/currencies/philosopher-stones" TargetMode="External"/><Relationship Id="rId1176" Type="http://schemas.openxmlformats.org/officeDocument/2006/relationships/hyperlink" Target="https://coinmarketcap.com/currencies/sand-coin" TargetMode="External"/><Relationship Id="rId1383" Type="http://schemas.openxmlformats.org/officeDocument/2006/relationships/printerSettings" Target="../printerSettings/printerSettings2.bin"/><Relationship Id="rId101" Type="http://schemas.openxmlformats.org/officeDocument/2006/relationships/hyperlink" Target="https://coinmarketcap.com/currencies/ubiq" TargetMode="External"/><Relationship Id="rId185" Type="http://schemas.openxmlformats.org/officeDocument/2006/relationships/hyperlink" Target="https://coinmarketcap.com/currencies/faircoin" TargetMode="External"/><Relationship Id="rId406" Type="http://schemas.openxmlformats.org/officeDocument/2006/relationships/hyperlink" Target="https://coinmarketcap.com/currencies/blockpool" TargetMode="External"/><Relationship Id="rId960" Type="http://schemas.openxmlformats.org/officeDocument/2006/relationships/hyperlink" Target="https://coinmarketcap.com/currencies/300-token" TargetMode="External"/><Relationship Id="rId1036" Type="http://schemas.openxmlformats.org/officeDocument/2006/relationships/hyperlink" Target="https://coinmarketcap.com/currencies/futurexe" TargetMode="External"/><Relationship Id="rId1243" Type="http://schemas.openxmlformats.org/officeDocument/2006/relationships/hyperlink" Target="https://coinmarketcap.com/currencies/lepen" TargetMode="External"/><Relationship Id="rId392" Type="http://schemas.openxmlformats.org/officeDocument/2006/relationships/hyperlink" Target="https://coinmarketcap.com/currencies/bitdeal" TargetMode="External"/><Relationship Id="rId613" Type="http://schemas.openxmlformats.org/officeDocument/2006/relationships/hyperlink" Target="https://coinmarketcap.com/currencies/hicoin" TargetMode="External"/><Relationship Id="rId697" Type="http://schemas.openxmlformats.org/officeDocument/2006/relationships/hyperlink" Target="https://coinmarketcap.com/currencies/ccore" TargetMode="External"/><Relationship Id="rId820" Type="http://schemas.openxmlformats.org/officeDocument/2006/relationships/hyperlink" Target="https://coinmarketcap.com/currencies/brat" TargetMode="External"/><Relationship Id="rId918" Type="http://schemas.openxmlformats.org/officeDocument/2006/relationships/hyperlink" Target="https://coinmarketcap.com/currencies/kittehcoin" TargetMode="External"/><Relationship Id="rId252" Type="http://schemas.openxmlformats.org/officeDocument/2006/relationships/hyperlink" Target="https://coinmarketcap.com/currencies/bitqy" TargetMode="External"/><Relationship Id="rId1103" Type="http://schemas.openxmlformats.org/officeDocument/2006/relationships/hyperlink" Target="https://coinmarketcap.com/currencies/micromoney" TargetMode="External"/><Relationship Id="rId1187" Type="http://schemas.openxmlformats.org/officeDocument/2006/relationships/hyperlink" Target="https://coinmarketcap.com/currencies/coupecoin" TargetMode="External"/><Relationship Id="rId1310" Type="http://schemas.openxmlformats.org/officeDocument/2006/relationships/hyperlink" Target="https://coinmarketcap.com/currencies/musiconomi" TargetMode="External"/><Relationship Id="rId47" Type="http://schemas.openxmlformats.org/officeDocument/2006/relationships/hyperlink" Target="https://coinmarketcap.com/currencies/zcoin" TargetMode="External"/><Relationship Id="rId112" Type="http://schemas.openxmlformats.org/officeDocument/2006/relationships/hyperlink" Target="https://coinmarketcap.com/currencies/agoras-tokens" TargetMode="External"/><Relationship Id="rId557" Type="http://schemas.openxmlformats.org/officeDocument/2006/relationships/hyperlink" Target="https://coinmarketcap.com/currencies/zennies" TargetMode="External"/><Relationship Id="rId764" Type="http://schemas.openxmlformats.org/officeDocument/2006/relationships/hyperlink" Target="https://coinmarketcap.com/currencies/creatio" TargetMode="External"/><Relationship Id="rId971" Type="http://schemas.openxmlformats.org/officeDocument/2006/relationships/hyperlink" Target="https://coinmarketcap.com/currencies/kronecoin" TargetMode="External"/><Relationship Id="rId196" Type="http://schemas.openxmlformats.org/officeDocument/2006/relationships/hyperlink" Target="https://coinmarketcap.com/currencies/etherparty" TargetMode="External"/><Relationship Id="rId417" Type="http://schemas.openxmlformats.org/officeDocument/2006/relationships/hyperlink" Target="https://coinmarketcap.com/currencies/solaris" TargetMode="External"/><Relationship Id="rId624" Type="http://schemas.openxmlformats.org/officeDocument/2006/relationships/hyperlink" Target="https://coinmarketcap.com/currencies/roulettetoken" TargetMode="External"/><Relationship Id="rId831" Type="http://schemas.openxmlformats.org/officeDocument/2006/relationships/hyperlink" Target="https://coinmarketcap.com/currencies/veros" TargetMode="External"/><Relationship Id="rId1047" Type="http://schemas.openxmlformats.org/officeDocument/2006/relationships/hyperlink" Target="https://coinmarketcap.com/currencies/ibank" TargetMode="External"/><Relationship Id="rId1254" Type="http://schemas.openxmlformats.org/officeDocument/2006/relationships/hyperlink" Target="https://coinmarketcap.com/currencies/avoncoin" TargetMode="External"/><Relationship Id="rId263" Type="http://schemas.openxmlformats.org/officeDocument/2006/relationships/hyperlink" Target="https://coinmarketcap.com/currencies/myriad" TargetMode="External"/><Relationship Id="rId470" Type="http://schemas.openxmlformats.org/officeDocument/2006/relationships/hyperlink" Target="https://coinmarketcap.com/currencies/anoncoin" TargetMode="External"/><Relationship Id="rId929" Type="http://schemas.openxmlformats.org/officeDocument/2006/relationships/hyperlink" Target="https://coinmarketcap.com/currencies/yacoin" TargetMode="External"/><Relationship Id="rId1114" Type="http://schemas.openxmlformats.org/officeDocument/2006/relationships/hyperlink" Target="https://coinmarketcap.com/currencies/infchain" TargetMode="External"/><Relationship Id="rId1321" Type="http://schemas.openxmlformats.org/officeDocument/2006/relationships/hyperlink" Target="https://coinmarketcap.com/currencies/bitok" TargetMode="External"/><Relationship Id="rId58" Type="http://schemas.openxmlformats.org/officeDocument/2006/relationships/hyperlink" Target="https://coinmarketcap.com/currencies/bytom" TargetMode="External"/><Relationship Id="rId123" Type="http://schemas.openxmlformats.org/officeDocument/2006/relationships/hyperlink" Target="https://coinmarketcap.com/currencies/asch" TargetMode="External"/><Relationship Id="rId330" Type="http://schemas.openxmlformats.org/officeDocument/2006/relationships/hyperlink" Target="https://coinmarketcap.com/currencies/kickico" TargetMode="External"/><Relationship Id="rId568" Type="http://schemas.openxmlformats.org/officeDocument/2006/relationships/hyperlink" Target="https://coinmarketcap.com/currencies/xgox" TargetMode="External"/><Relationship Id="rId775" Type="http://schemas.openxmlformats.org/officeDocument/2006/relationships/hyperlink" Target="https://coinmarketcap.com/currencies/votecoin" TargetMode="External"/><Relationship Id="rId982" Type="http://schemas.openxmlformats.org/officeDocument/2006/relationships/hyperlink" Target="https://coinmarketcap.com/currencies/impact" TargetMode="External"/><Relationship Id="rId1198" Type="http://schemas.openxmlformats.org/officeDocument/2006/relationships/hyperlink" Target="https://coinmarketcap.com/currencies/natcoin" TargetMode="External"/><Relationship Id="rId428" Type="http://schemas.openxmlformats.org/officeDocument/2006/relationships/hyperlink" Target="https://coinmarketcap.com/currencies/pirl" TargetMode="External"/><Relationship Id="rId635" Type="http://schemas.openxmlformats.org/officeDocument/2006/relationships/hyperlink" Target="https://coinmarketcap.com/currencies/veltor" TargetMode="External"/><Relationship Id="rId842" Type="http://schemas.openxmlformats.org/officeDocument/2006/relationships/hyperlink" Target="https://coinmarketcap.com/currencies/digital-money-bits" TargetMode="External"/><Relationship Id="rId1058" Type="http://schemas.openxmlformats.org/officeDocument/2006/relationships/hyperlink" Target="https://coinmarketcap.com/currencies/concoin" TargetMode="External"/><Relationship Id="rId1265" Type="http://schemas.openxmlformats.org/officeDocument/2006/relationships/hyperlink" Target="https://coinmarketcap.com/currencies/wearesatoshi" TargetMode="External"/><Relationship Id="rId274" Type="http://schemas.openxmlformats.org/officeDocument/2006/relationships/hyperlink" Target="https://coinmarketcap.com/currencies/oraclechain" TargetMode="External"/><Relationship Id="rId481" Type="http://schemas.openxmlformats.org/officeDocument/2006/relationships/hyperlink" Target="https://coinmarketcap.com/currencies/mercury-protocol" TargetMode="External"/><Relationship Id="rId702" Type="http://schemas.openxmlformats.org/officeDocument/2006/relationships/hyperlink" Target="https://coinmarketcap.com/currencies/icoin" TargetMode="External"/><Relationship Id="rId1125" Type="http://schemas.openxmlformats.org/officeDocument/2006/relationships/hyperlink" Target="https://coinmarketcap.com/currencies/icon-futures" TargetMode="External"/><Relationship Id="rId1332" Type="http://schemas.openxmlformats.org/officeDocument/2006/relationships/hyperlink" Target="https://coinmarketcap.com/currencies/birds" TargetMode="External"/><Relationship Id="rId69" Type="http://schemas.openxmlformats.org/officeDocument/2006/relationships/hyperlink" Target="https://coinmarketcap.com/currencies/0x" TargetMode="External"/><Relationship Id="rId134" Type="http://schemas.openxmlformats.org/officeDocument/2006/relationships/hyperlink" Target="https://coinmarketcap.com/currencies/cofound-it" TargetMode="External"/><Relationship Id="rId579" Type="http://schemas.openxmlformats.org/officeDocument/2006/relationships/hyperlink" Target="https://coinmarketcap.com/currencies/onix" TargetMode="External"/><Relationship Id="rId786" Type="http://schemas.openxmlformats.org/officeDocument/2006/relationships/hyperlink" Target="https://coinmarketcap.com/currencies/dix-asset" TargetMode="External"/><Relationship Id="rId993" Type="http://schemas.openxmlformats.org/officeDocument/2006/relationships/hyperlink" Target="https://coinmarketcap.com/currencies/torcoin-tor" TargetMode="External"/><Relationship Id="rId341" Type="http://schemas.openxmlformats.org/officeDocument/2006/relationships/hyperlink" Target="https://coinmarketcap.com/currencies/memetic" TargetMode="External"/><Relationship Id="rId439" Type="http://schemas.openxmlformats.org/officeDocument/2006/relationships/hyperlink" Target="https://coinmarketcap.com/currencies/evergreencoin" TargetMode="External"/><Relationship Id="rId646" Type="http://schemas.openxmlformats.org/officeDocument/2006/relationships/hyperlink" Target="https://coinmarketcap.com/currencies/ethereum-gold" TargetMode="External"/><Relationship Id="rId1069" Type="http://schemas.openxmlformats.org/officeDocument/2006/relationships/hyperlink" Target="https://coinmarketcap.com/currencies/falcoin" TargetMode="External"/><Relationship Id="rId1276" Type="http://schemas.openxmlformats.org/officeDocument/2006/relationships/hyperlink" Target="https://coinmarketcap.com/currencies/hyper" TargetMode="External"/><Relationship Id="rId201" Type="http://schemas.openxmlformats.org/officeDocument/2006/relationships/hyperlink" Target="https://coinmarketcap.com/currencies/simple-token" TargetMode="External"/><Relationship Id="rId285" Type="http://schemas.openxmlformats.org/officeDocument/2006/relationships/hyperlink" Target="https://coinmarketcap.com/currencies/tokencard" TargetMode="External"/><Relationship Id="rId506" Type="http://schemas.openxmlformats.org/officeDocument/2006/relationships/hyperlink" Target="https://coinmarketcap.com/currencies/legends-room" TargetMode="External"/><Relationship Id="rId853" Type="http://schemas.openxmlformats.org/officeDocument/2006/relationships/hyperlink" Target="https://coinmarketcap.com/currencies/yashcoin" TargetMode="External"/><Relationship Id="rId1136" Type="http://schemas.openxmlformats.org/officeDocument/2006/relationships/hyperlink" Target="https://coinmarketcap.com/currencies/ea-coin" TargetMode="External"/><Relationship Id="rId492" Type="http://schemas.openxmlformats.org/officeDocument/2006/relationships/hyperlink" Target="https://coinmarketcap.com/currencies/equitrader" TargetMode="External"/><Relationship Id="rId713" Type="http://schemas.openxmlformats.org/officeDocument/2006/relationships/hyperlink" Target="https://coinmarketcap.com/currencies/litebitcoin" TargetMode="External"/><Relationship Id="rId797" Type="http://schemas.openxmlformats.org/officeDocument/2006/relationships/hyperlink" Target="https://coinmarketcap.com/currencies/prcoin" TargetMode="External"/><Relationship Id="rId920" Type="http://schemas.openxmlformats.org/officeDocument/2006/relationships/hyperlink" Target="https://coinmarketcap.com/currencies/mojocoin" TargetMode="External"/><Relationship Id="rId1343" Type="http://schemas.openxmlformats.org/officeDocument/2006/relationships/hyperlink" Target="https://coinmarketcap.com/currencies/royalcoin" TargetMode="External"/><Relationship Id="rId145" Type="http://schemas.openxmlformats.org/officeDocument/2006/relationships/hyperlink" Target="https://coinmarketcap.com/currencies/xplay" TargetMode="External"/><Relationship Id="rId352" Type="http://schemas.openxmlformats.org/officeDocument/2006/relationships/hyperlink" Target="https://coinmarketcap.com/currencies/obsidian" TargetMode="External"/><Relationship Id="rId1203" Type="http://schemas.openxmlformats.org/officeDocument/2006/relationships/hyperlink" Target="https://coinmarketcap.com/currencies/bitcoin-silver" TargetMode="External"/><Relationship Id="rId1287" Type="http://schemas.openxmlformats.org/officeDocument/2006/relationships/hyperlink" Target="https://coinmarketcap.com/currencies/teracoin" TargetMode="External"/><Relationship Id="rId212" Type="http://schemas.openxmlformats.org/officeDocument/2006/relationships/hyperlink" Target="https://coinmarketcap.com/currencies/diamond" TargetMode="External"/><Relationship Id="rId657" Type="http://schemas.openxmlformats.org/officeDocument/2006/relationships/hyperlink" Target="https://coinmarketcap.com/currencies/cannacoin" TargetMode="External"/><Relationship Id="rId864" Type="http://schemas.openxmlformats.org/officeDocument/2006/relationships/hyperlink" Target="https://coinmarketcap.com/currencies/piplcoin" TargetMode="External"/><Relationship Id="rId296" Type="http://schemas.openxmlformats.org/officeDocument/2006/relationships/hyperlink" Target="https://coinmarketcap.com/currencies/boolberry" TargetMode="External"/><Relationship Id="rId517" Type="http://schemas.openxmlformats.org/officeDocument/2006/relationships/hyperlink" Target="https://coinmarketcap.com/currencies/erc20" TargetMode="External"/><Relationship Id="rId724" Type="http://schemas.openxmlformats.org/officeDocument/2006/relationships/hyperlink" Target="https://coinmarketcap.com/currencies/cannation" TargetMode="External"/><Relationship Id="rId931" Type="http://schemas.openxmlformats.org/officeDocument/2006/relationships/hyperlink" Target="https://coinmarketcap.com/currencies/evotion" TargetMode="External"/><Relationship Id="rId1147" Type="http://schemas.openxmlformats.org/officeDocument/2006/relationships/hyperlink" Target="https://coinmarketcap.com/currencies/kubera-coin" TargetMode="External"/><Relationship Id="rId1354" Type="http://schemas.openxmlformats.org/officeDocument/2006/relationships/hyperlink" Target="https://coinmarketcap.com/currencies/paypeer" TargetMode="External"/><Relationship Id="rId60" Type="http://schemas.openxmlformats.org/officeDocument/2006/relationships/hyperlink" Target="https://coinmarketcap.com/currencies/digixdao" TargetMode="External"/><Relationship Id="rId156" Type="http://schemas.openxmlformats.org/officeDocument/2006/relationships/hyperlink" Target="https://coinmarketcap.com/currencies/counterparty" TargetMode="External"/><Relationship Id="rId363" Type="http://schemas.openxmlformats.org/officeDocument/2006/relationships/hyperlink" Target="https://coinmarketcap.com/currencies/b2bx" TargetMode="External"/><Relationship Id="rId570" Type="http://schemas.openxmlformats.org/officeDocument/2006/relationships/hyperlink" Target="https://coinmarketcap.com/currencies/photon" TargetMode="External"/><Relationship Id="rId1007" Type="http://schemas.openxmlformats.org/officeDocument/2006/relationships/hyperlink" Target="https://coinmarketcap.com/currencies/ego" TargetMode="External"/><Relationship Id="rId1214" Type="http://schemas.openxmlformats.org/officeDocument/2006/relationships/hyperlink" Target="https://coinmarketcap.com/currencies/fapcoin" TargetMode="External"/><Relationship Id="rId223" Type="http://schemas.openxmlformats.org/officeDocument/2006/relationships/hyperlink" Target="https://coinmarketcap.com/currencies/unikoin-gold" TargetMode="External"/><Relationship Id="rId430" Type="http://schemas.openxmlformats.org/officeDocument/2006/relationships/hyperlink" Target="https://coinmarketcap.com/currencies/unbreakablecoin" TargetMode="External"/><Relationship Id="rId668" Type="http://schemas.openxmlformats.org/officeDocument/2006/relationships/hyperlink" Target="https://coinmarketcap.com/currencies/c-bit" TargetMode="External"/><Relationship Id="rId875" Type="http://schemas.openxmlformats.org/officeDocument/2006/relationships/hyperlink" Target="https://coinmarketcap.com/currencies/aurumcoin" TargetMode="External"/><Relationship Id="rId1060" Type="http://schemas.openxmlformats.org/officeDocument/2006/relationships/hyperlink" Target="https://coinmarketcap.com/currencies/socialcoin-socc" TargetMode="External"/><Relationship Id="rId1298" Type="http://schemas.openxmlformats.org/officeDocument/2006/relationships/hyperlink" Target="https://coinmarketcap.com/currencies/quotient" TargetMode="External"/><Relationship Id="rId18" Type="http://schemas.openxmlformats.org/officeDocument/2006/relationships/hyperlink" Target="https://coinmarketcap.com/currencies/tron" TargetMode="External"/><Relationship Id="rId528" Type="http://schemas.openxmlformats.org/officeDocument/2006/relationships/hyperlink" Target="https://coinmarketcap.com/currencies/linda" TargetMode="External"/><Relationship Id="rId735" Type="http://schemas.openxmlformats.org/officeDocument/2006/relationships/hyperlink" Target="https://coinmarketcap.com/currencies/globalboost-y" TargetMode="External"/><Relationship Id="rId942" Type="http://schemas.openxmlformats.org/officeDocument/2006/relationships/hyperlink" Target="https://coinmarketcap.com/currencies/bitz" TargetMode="External"/><Relationship Id="rId1158" Type="http://schemas.openxmlformats.org/officeDocument/2006/relationships/hyperlink" Target="https://coinmarketcap.com/currencies/rcoin" TargetMode="External"/><Relationship Id="rId1365" Type="http://schemas.openxmlformats.org/officeDocument/2006/relationships/hyperlink" Target="https://coinmarketcap.com/currencies/bitfid" TargetMode="External"/><Relationship Id="rId167" Type="http://schemas.openxmlformats.org/officeDocument/2006/relationships/hyperlink" Target="https://coinmarketcap.com/currencies/potcoin" TargetMode="External"/><Relationship Id="rId374" Type="http://schemas.openxmlformats.org/officeDocument/2006/relationships/hyperlink" Target="https://coinmarketcap.com/currencies/pesetacoin" TargetMode="External"/><Relationship Id="rId581" Type="http://schemas.openxmlformats.org/officeDocument/2006/relationships/hyperlink" Target="https://coinmarketcap.com/currencies/digitalprice" TargetMode="External"/><Relationship Id="rId1018" Type="http://schemas.openxmlformats.org/officeDocument/2006/relationships/hyperlink" Target="https://coinmarketcap.com/currencies/destiny" TargetMode="External"/><Relationship Id="rId1225" Type="http://schemas.openxmlformats.org/officeDocument/2006/relationships/hyperlink" Target="https://coinmarketcap.com/currencies/internet-of-things" TargetMode="External"/><Relationship Id="rId71" Type="http://schemas.openxmlformats.org/officeDocument/2006/relationships/hyperlink" Target="https://coinmarketcap.com/currencies/dent" TargetMode="External"/><Relationship Id="rId234" Type="http://schemas.openxmlformats.org/officeDocument/2006/relationships/hyperlink" Target="https://coinmarketcap.com/currencies/bitbean" TargetMode="External"/><Relationship Id="rId679" Type="http://schemas.openxmlformats.org/officeDocument/2006/relationships/hyperlink" Target="https://coinmarketcap.com/currencies/tychocoin" TargetMode="External"/><Relationship Id="rId802" Type="http://schemas.openxmlformats.org/officeDocument/2006/relationships/hyperlink" Target="https://coinmarketcap.com/currencies/iconic" TargetMode="External"/><Relationship Id="rId886" Type="http://schemas.openxmlformats.org/officeDocument/2006/relationships/hyperlink" Target="https://coinmarketcap.com/currencies/i0coin" TargetMode="External"/><Relationship Id="rId2" Type="http://schemas.openxmlformats.org/officeDocument/2006/relationships/hyperlink" Target="https://coinmarketcap.com/currencies/bitcoin-cash" TargetMode="External"/><Relationship Id="rId29" Type="http://schemas.openxmlformats.org/officeDocument/2006/relationships/hyperlink" Target="https://coinmarketcap.com/currencies/raiblocks" TargetMode="External"/><Relationship Id="rId441" Type="http://schemas.openxmlformats.org/officeDocument/2006/relationships/hyperlink" Target="https://coinmarketcap.com/currencies/voisecom" TargetMode="External"/><Relationship Id="rId539" Type="http://schemas.openxmlformats.org/officeDocument/2006/relationships/hyperlink" Target="https://coinmarketcap.com/currencies/procurrency" TargetMode="External"/><Relationship Id="rId746" Type="http://schemas.openxmlformats.org/officeDocument/2006/relationships/hyperlink" Target="https://coinmarketcap.com/currencies/kayicoin" TargetMode="External"/><Relationship Id="rId1071" Type="http://schemas.openxmlformats.org/officeDocument/2006/relationships/hyperlink" Target="https://coinmarketcap.com/currencies/applecoin-apw" TargetMode="External"/><Relationship Id="rId1169" Type="http://schemas.openxmlformats.org/officeDocument/2006/relationships/hyperlink" Target="https://coinmarketcap.com/currencies/corion" TargetMode="External"/><Relationship Id="rId1376" Type="http://schemas.openxmlformats.org/officeDocument/2006/relationships/hyperlink" Target="https://coinmarketcap.com/currencies/bitcentavo" TargetMode="External"/><Relationship Id="rId178" Type="http://schemas.openxmlformats.org/officeDocument/2006/relationships/hyperlink" Target="https://coinmarketcap.com/currencies/gulden" TargetMode="External"/><Relationship Id="rId301" Type="http://schemas.openxmlformats.org/officeDocument/2006/relationships/hyperlink" Target="https://coinmarketcap.com/currencies/ixledger" TargetMode="External"/><Relationship Id="rId953" Type="http://schemas.openxmlformats.org/officeDocument/2006/relationships/hyperlink" Target="https://coinmarketcap.com/currencies/jin-coin" TargetMode="External"/><Relationship Id="rId1029" Type="http://schemas.openxmlformats.org/officeDocument/2006/relationships/hyperlink" Target="https://coinmarketcap.com/currencies/zonecoin" TargetMode="External"/><Relationship Id="rId1236" Type="http://schemas.openxmlformats.org/officeDocument/2006/relationships/hyperlink" Target="https://coinmarketcap.com/currencies/bubble" TargetMode="External"/><Relationship Id="rId82" Type="http://schemas.openxmlformats.org/officeDocument/2006/relationships/hyperlink" Target="https://coinmarketcap.com/currencies/funfair" TargetMode="External"/><Relationship Id="rId385" Type="http://schemas.openxmlformats.org/officeDocument/2006/relationships/hyperlink" Target="https://coinmarketcap.com/currencies/synergy" TargetMode="External"/><Relationship Id="rId592" Type="http://schemas.openxmlformats.org/officeDocument/2006/relationships/hyperlink" Target="https://coinmarketcap.com/currencies/royal-kingdom-coin" TargetMode="External"/><Relationship Id="rId606" Type="http://schemas.openxmlformats.org/officeDocument/2006/relationships/hyperlink" Target="https://coinmarketcap.com/currencies/marscoin" TargetMode="External"/><Relationship Id="rId813" Type="http://schemas.openxmlformats.org/officeDocument/2006/relationships/hyperlink" Target="https://coinmarketcap.com/currencies/elysium" TargetMode="External"/><Relationship Id="rId245" Type="http://schemas.openxmlformats.org/officeDocument/2006/relationships/hyperlink" Target="https://coinmarketcap.com/currencies/primas" TargetMode="External"/><Relationship Id="rId452" Type="http://schemas.openxmlformats.org/officeDocument/2006/relationships/hyperlink" Target="https://coinmarketcap.com/currencies/putincoin" TargetMode="External"/><Relationship Id="rId897" Type="http://schemas.openxmlformats.org/officeDocument/2006/relationships/hyperlink" Target="https://coinmarketcap.com/currencies/zurcoin" TargetMode="External"/><Relationship Id="rId1082" Type="http://schemas.openxmlformats.org/officeDocument/2006/relationships/hyperlink" Target="https://coinmarketcap.com/currencies/gifto" TargetMode="External"/><Relationship Id="rId1303" Type="http://schemas.openxmlformats.org/officeDocument/2006/relationships/hyperlink" Target="https://coinmarketcap.com/currencies/cheapcoin" TargetMode="External"/><Relationship Id="rId105" Type="http://schemas.openxmlformats.org/officeDocument/2006/relationships/hyperlink" Target="https://coinmarketcap.com/currencies/kucoin-shares" TargetMode="External"/><Relationship Id="rId312" Type="http://schemas.openxmlformats.org/officeDocument/2006/relationships/hyperlink" Target="https://coinmarketcap.com/currencies/newyorkcoin" TargetMode="External"/><Relationship Id="rId757" Type="http://schemas.openxmlformats.org/officeDocument/2006/relationships/hyperlink" Target="https://coinmarketcap.com/currencies/rupaya" TargetMode="External"/><Relationship Id="rId964" Type="http://schemas.openxmlformats.org/officeDocument/2006/relationships/hyperlink" Target="https://coinmarketcap.com/currencies/californium" TargetMode="External"/><Relationship Id="rId93" Type="http://schemas.openxmlformats.org/officeDocument/2006/relationships/hyperlink" Target="https://coinmarketcap.com/currencies/ethos" TargetMode="External"/><Relationship Id="rId189" Type="http://schemas.openxmlformats.org/officeDocument/2006/relationships/hyperlink" Target="https://coinmarketcap.com/currencies/aeon" TargetMode="External"/><Relationship Id="rId396" Type="http://schemas.openxmlformats.org/officeDocument/2006/relationships/hyperlink" Target="https://coinmarketcap.com/currencies/hellogold" TargetMode="External"/><Relationship Id="rId617" Type="http://schemas.openxmlformats.org/officeDocument/2006/relationships/hyperlink" Target="https://coinmarketcap.com/currencies/digitalcoin" TargetMode="External"/><Relationship Id="rId824" Type="http://schemas.openxmlformats.org/officeDocument/2006/relationships/hyperlink" Target="https://coinmarketcap.com/currencies/bnrtxcoin" TargetMode="External"/><Relationship Id="rId1247" Type="http://schemas.openxmlformats.org/officeDocument/2006/relationships/hyperlink" Target="https://coinmarketcap.com/currencies/bitbase" TargetMode="External"/><Relationship Id="rId256" Type="http://schemas.openxmlformats.org/officeDocument/2006/relationships/hyperlink" Target="https://coinmarketcap.com/currencies/russian-mining-coin" TargetMode="External"/><Relationship Id="rId463" Type="http://schemas.openxmlformats.org/officeDocument/2006/relationships/hyperlink" Target="https://coinmarketcap.com/currencies/trezarcoin" TargetMode="External"/><Relationship Id="rId670" Type="http://schemas.openxmlformats.org/officeDocument/2006/relationships/hyperlink" Target="https://coinmarketcap.com/currencies/tittiecoin" TargetMode="External"/><Relationship Id="rId1093" Type="http://schemas.openxmlformats.org/officeDocument/2006/relationships/hyperlink" Target="https://coinmarketcap.com/currencies/snovio" TargetMode="External"/><Relationship Id="rId1107" Type="http://schemas.openxmlformats.org/officeDocument/2006/relationships/hyperlink" Target="https://coinmarketcap.com/currencies/win-coin" TargetMode="External"/><Relationship Id="rId1314" Type="http://schemas.openxmlformats.org/officeDocument/2006/relationships/hyperlink" Target="https://coinmarketcap.com/currencies/swapcoin" TargetMode="External"/><Relationship Id="rId116" Type="http://schemas.openxmlformats.org/officeDocument/2006/relationships/hyperlink" Target="https://coinmarketcap.com/currencies/revain" TargetMode="External"/><Relationship Id="rId323" Type="http://schemas.openxmlformats.org/officeDocument/2006/relationships/hyperlink" Target="https://coinmarketcap.com/currencies/etheroll" TargetMode="External"/><Relationship Id="rId530" Type="http://schemas.openxmlformats.org/officeDocument/2006/relationships/hyperlink" Target="https://coinmarketcap.com/currencies/litedoge" TargetMode="External"/><Relationship Id="rId768" Type="http://schemas.openxmlformats.org/officeDocument/2006/relationships/hyperlink" Target="https://coinmarketcap.com/currencies/honey" TargetMode="External"/><Relationship Id="rId975" Type="http://schemas.openxmlformats.org/officeDocument/2006/relationships/hyperlink" Target="https://coinmarketcap.com/currencies/mtmgaming" TargetMode="External"/><Relationship Id="rId1160" Type="http://schemas.openxmlformats.org/officeDocument/2006/relationships/hyperlink" Target="https://coinmarketcap.com/currencies/ibtc" TargetMode="External"/><Relationship Id="rId20" Type="http://schemas.openxmlformats.org/officeDocument/2006/relationships/hyperlink" Target="https://coinmarketcap.com/currencies/zcash" TargetMode="External"/><Relationship Id="rId628" Type="http://schemas.openxmlformats.org/officeDocument/2006/relationships/hyperlink" Target="https://coinmarketcap.com/currencies/cryptocarbon" TargetMode="External"/><Relationship Id="rId835" Type="http://schemas.openxmlformats.org/officeDocument/2006/relationships/hyperlink" Target="https://coinmarketcap.com/currencies/geysercoin" TargetMode="External"/><Relationship Id="rId1258" Type="http://schemas.openxmlformats.org/officeDocument/2006/relationships/hyperlink" Target="https://coinmarketcap.com/currencies/pokecoin" TargetMode="External"/><Relationship Id="rId267" Type="http://schemas.openxmlformats.org/officeDocument/2006/relationships/hyperlink" Target="https://coinmarketcap.com/currencies/lunyr" TargetMode="External"/><Relationship Id="rId474" Type="http://schemas.openxmlformats.org/officeDocument/2006/relationships/hyperlink" Target="https://coinmarketcap.com/currencies/ergo" TargetMode="External"/><Relationship Id="rId1020" Type="http://schemas.openxmlformats.org/officeDocument/2006/relationships/hyperlink" Target="https://coinmarketcap.com/currencies/osmiumcoin" TargetMode="External"/><Relationship Id="rId1118" Type="http://schemas.openxmlformats.org/officeDocument/2006/relationships/hyperlink" Target="https://coinmarketcap.com/currencies/eroscoin" TargetMode="External"/><Relationship Id="rId1325" Type="http://schemas.openxmlformats.org/officeDocument/2006/relationships/hyperlink" Target="https://coinmarketcap.com/currencies/wink" TargetMode="External"/><Relationship Id="rId127" Type="http://schemas.openxmlformats.org/officeDocument/2006/relationships/hyperlink" Target="https://coinmarketcap.com/currencies/emercoin" TargetMode="External"/><Relationship Id="rId681" Type="http://schemas.openxmlformats.org/officeDocument/2006/relationships/hyperlink" Target="https://coinmarketcap.com/currencies/unicoin" TargetMode="External"/><Relationship Id="rId779" Type="http://schemas.openxmlformats.org/officeDocument/2006/relationships/hyperlink" Target="https://coinmarketcap.com/currencies/ronpaulcoin" TargetMode="External"/><Relationship Id="rId902" Type="http://schemas.openxmlformats.org/officeDocument/2006/relationships/hyperlink" Target="https://coinmarketcap.com/currencies/jetcoin" TargetMode="External"/><Relationship Id="rId986" Type="http://schemas.openxmlformats.org/officeDocument/2006/relationships/hyperlink" Target="https://coinmarketcap.com/currencies/qibuck-asset" TargetMode="External"/><Relationship Id="rId31" Type="http://schemas.openxmlformats.org/officeDocument/2006/relationships/hyperlink" Target="https://coinmarketcap.com/currencies/bytecoin-bcn" TargetMode="External"/><Relationship Id="rId334" Type="http://schemas.openxmlformats.org/officeDocument/2006/relationships/hyperlink" Target="https://coinmarketcap.com/currencies/sequence" TargetMode="External"/><Relationship Id="rId541" Type="http://schemas.openxmlformats.org/officeDocument/2006/relationships/hyperlink" Target="https://coinmarketcap.com/currencies/bitcoin-red" TargetMode="External"/><Relationship Id="rId639" Type="http://schemas.openxmlformats.org/officeDocument/2006/relationships/hyperlink" Target="https://coinmarketcap.com/currencies/tagcoin" TargetMode="External"/><Relationship Id="rId1171" Type="http://schemas.openxmlformats.org/officeDocument/2006/relationships/hyperlink" Target="https://coinmarketcap.com/currencies/uahpay" TargetMode="External"/><Relationship Id="rId1269" Type="http://schemas.openxmlformats.org/officeDocument/2006/relationships/hyperlink" Target="https://coinmarketcap.com/currencies/qora" TargetMode="External"/><Relationship Id="rId180" Type="http://schemas.openxmlformats.org/officeDocument/2006/relationships/hyperlink" Target="https://coinmarketcap.com/currencies/cobinhood" TargetMode="External"/><Relationship Id="rId278" Type="http://schemas.openxmlformats.org/officeDocument/2006/relationships/hyperlink" Target="https://coinmarketcap.com/currencies/suncontract" TargetMode="External"/><Relationship Id="rId401" Type="http://schemas.openxmlformats.org/officeDocument/2006/relationships/hyperlink" Target="https://coinmarketcap.com/currencies/farad" TargetMode="External"/><Relationship Id="rId846" Type="http://schemas.openxmlformats.org/officeDocument/2006/relationships/hyperlink" Target="https://coinmarketcap.com/currencies/virtacoin" TargetMode="External"/><Relationship Id="rId1031" Type="http://schemas.openxmlformats.org/officeDocument/2006/relationships/hyperlink" Target="https://coinmarketcap.com/currencies/ride-my-car" TargetMode="External"/><Relationship Id="rId1129" Type="http://schemas.openxmlformats.org/officeDocument/2006/relationships/hyperlink" Target="https://coinmarketcap.com/currencies/uquid-coin" TargetMode="External"/><Relationship Id="rId485" Type="http://schemas.openxmlformats.org/officeDocument/2006/relationships/hyperlink" Target="https://coinmarketcap.com/currencies/embercoin" TargetMode="External"/><Relationship Id="rId692" Type="http://schemas.openxmlformats.org/officeDocument/2006/relationships/hyperlink" Target="https://coinmarketcap.com/currencies/bitcoinfast" TargetMode="External"/><Relationship Id="rId706" Type="http://schemas.openxmlformats.org/officeDocument/2006/relationships/hyperlink" Target="https://coinmarketcap.com/currencies/newbium" TargetMode="External"/><Relationship Id="rId913" Type="http://schemas.openxmlformats.org/officeDocument/2006/relationships/hyperlink" Target="https://coinmarketcap.com/currencies/shilling" TargetMode="External"/><Relationship Id="rId1336" Type="http://schemas.openxmlformats.org/officeDocument/2006/relationships/hyperlink" Target="https://coinmarketcap.com/currencies/aseancoin" TargetMode="External"/><Relationship Id="rId42" Type="http://schemas.openxmlformats.org/officeDocument/2006/relationships/hyperlink" Target="https://coinmarketcap.com/currencies/digibyte" TargetMode="External"/><Relationship Id="rId138" Type="http://schemas.openxmlformats.org/officeDocument/2006/relationships/hyperlink" Target="https://coinmarketcap.com/currencies/wagerr" TargetMode="External"/><Relationship Id="rId345" Type="http://schemas.openxmlformats.org/officeDocument/2006/relationships/hyperlink" Target="https://coinmarketcap.com/currencies/chronobank" TargetMode="External"/><Relationship Id="rId552" Type="http://schemas.openxmlformats.org/officeDocument/2006/relationships/hyperlink" Target="https://coinmarketcap.com/currencies/cartaxi-token" TargetMode="External"/><Relationship Id="rId997" Type="http://schemas.openxmlformats.org/officeDocument/2006/relationships/hyperlink" Target="https://coinmarketcap.com/currencies/fuzzballs" TargetMode="External"/><Relationship Id="rId1182" Type="http://schemas.openxmlformats.org/officeDocument/2006/relationships/hyperlink" Target="https://coinmarketcap.com/currencies/ethereum-lite" TargetMode="External"/><Relationship Id="rId191" Type="http://schemas.openxmlformats.org/officeDocument/2006/relationships/hyperlink" Target="https://coinmarketcap.com/currencies/iot-chain" TargetMode="External"/><Relationship Id="rId205" Type="http://schemas.openxmlformats.org/officeDocument/2006/relationships/hyperlink" Target="https://coinmarketcap.com/currencies/zclassic" TargetMode="External"/><Relationship Id="rId412" Type="http://schemas.openxmlformats.org/officeDocument/2006/relationships/hyperlink" Target="https://coinmarketcap.com/currencies/alqo" TargetMode="External"/><Relationship Id="rId857" Type="http://schemas.openxmlformats.org/officeDocument/2006/relationships/hyperlink" Target="https://coinmarketcap.com/currencies/cryptcoin" TargetMode="External"/><Relationship Id="rId1042" Type="http://schemas.openxmlformats.org/officeDocument/2006/relationships/hyperlink" Target="https://coinmarketcap.com/currencies/kingn-coin" TargetMode="External"/><Relationship Id="rId289" Type="http://schemas.openxmlformats.org/officeDocument/2006/relationships/hyperlink" Target="https://coinmarketcap.com/currencies/transfercoin" TargetMode="External"/><Relationship Id="rId496" Type="http://schemas.openxmlformats.org/officeDocument/2006/relationships/hyperlink" Target="https://coinmarketcap.com/currencies/crystal-clear" TargetMode="External"/><Relationship Id="rId717" Type="http://schemas.openxmlformats.org/officeDocument/2006/relationships/hyperlink" Target="https://coinmarketcap.com/currencies/zcash-gold" TargetMode="External"/><Relationship Id="rId924" Type="http://schemas.openxmlformats.org/officeDocument/2006/relationships/hyperlink" Target="https://coinmarketcap.com/currencies/ripto-bux" TargetMode="External"/><Relationship Id="rId1347" Type="http://schemas.openxmlformats.org/officeDocument/2006/relationships/hyperlink" Target="https://coinmarketcap.com/currencies/cybercoin" TargetMode="External"/><Relationship Id="rId53" Type="http://schemas.openxmlformats.org/officeDocument/2006/relationships/hyperlink" Target="https://coinmarketcap.com/currencies/byteball" TargetMode="External"/><Relationship Id="rId149" Type="http://schemas.openxmlformats.org/officeDocument/2006/relationships/hyperlink" Target="https://coinmarketcap.com/currencies/library-credit" TargetMode="External"/><Relationship Id="rId356" Type="http://schemas.openxmlformats.org/officeDocument/2006/relationships/hyperlink" Target="https://coinmarketcap.com/currencies/atmos" TargetMode="External"/><Relationship Id="rId563" Type="http://schemas.openxmlformats.org/officeDocument/2006/relationships/hyperlink" Target="https://coinmarketcap.com/currencies/noblecoin" TargetMode="External"/><Relationship Id="rId770" Type="http://schemas.openxmlformats.org/officeDocument/2006/relationships/hyperlink" Target="https://coinmarketcap.com/currencies/tekcoin" TargetMode="External"/><Relationship Id="rId1193" Type="http://schemas.openxmlformats.org/officeDocument/2006/relationships/hyperlink" Target="https://coinmarketcap.com/currencies/chronologic" TargetMode="External"/><Relationship Id="rId1207" Type="http://schemas.openxmlformats.org/officeDocument/2006/relationships/hyperlink" Target="https://coinmarketcap.com/currencies/zilbercoin" TargetMode="External"/><Relationship Id="rId216" Type="http://schemas.openxmlformats.org/officeDocument/2006/relationships/hyperlink" Target="https://coinmarketcap.com/currencies/blocktix" TargetMode="External"/><Relationship Id="rId423" Type="http://schemas.openxmlformats.org/officeDocument/2006/relationships/hyperlink" Target="https://coinmarketcap.com/currencies/trustplus" TargetMode="External"/><Relationship Id="rId868" Type="http://schemas.openxmlformats.org/officeDocument/2006/relationships/hyperlink" Target="https://coinmarketcap.com/currencies/bowhead" TargetMode="External"/><Relationship Id="rId1053" Type="http://schemas.openxmlformats.org/officeDocument/2006/relationships/hyperlink" Target="https://coinmarketcap.com/currencies/levoplus" TargetMode="External"/><Relationship Id="rId1260" Type="http://schemas.openxmlformats.org/officeDocument/2006/relationships/hyperlink" Target="https://coinmarketcap.com/currencies/shacoin" TargetMode="External"/><Relationship Id="rId630" Type="http://schemas.openxmlformats.org/officeDocument/2006/relationships/hyperlink" Target="https://coinmarketcap.com/currencies/trackr" TargetMode="External"/><Relationship Id="rId728" Type="http://schemas.openxmlformats.org/officeDocument/2006/relationships/hyperlink" Target="https://coinmarketcap.com/currencies/bolivarcoin" TargetMode="External"/><Relationship Id="rId935" Type="http://schemas.openxmlformats.org/officeDocument/2006/relationships/hyperlink" Target="https://coinmarketcap.com/currencies/quatloo" TargetMode="External"/><Relationship Id="rId1358" Type="http://schemas.openxmlformats.org/officeDocument/2006/relationships/hyperlink" Target="https://coinmarketcap.com/currencies/shellcoin" TargetMode="External"/><Relationship Id="rId64" Type="http://schemas.openxmlformats.org/officeDocument/2006/relationships/hyperlink" Target="https://coinmarketcap.com/currencies/aion" TargetMode="External"/><Relationship Id="rId367" Type="http://schemas.openxmlformats.org/officeDocument/2006/relationships/hyperlink" Target="https://coinmarketcap.com/currencies/neutron" TargetMode="External"/><Relationship Id="rId574" Type="http://schemas.openxmlformats.org/officeDocument/2006/relationships/hyperlink" Target="https://coinmarketcap.com/currencies/kekcoin" TargetMode="External"/><Relationship Id="rId1120" Type="http://schemas.openxmlformats.org/officeDocument/2006/relationships/hyperlink" Target="https://coinmarketcap.com/currencies/sphre-air" TargetMode="External"/><Relationship Id="rId1218" Type="http://schemas.openxmlformats.org/officeDocument/2006/relationships/hyperlink" Target="https://coinmarketcap.com/currencies/protean" TargetMode="External"/><Relationship Id="rId227" Type="http://schemas.openxmlformats.org/officeDocument/2006/relationships/hyperlink" Target="https://coinmarketcap.com/currencies/open-trading-network" TargetMode="External"/><Relationship Id="rId781" Type="http://schemas.openxmlformats.org/officeDocument/2006/relationships/hyperlink" Target="https://coinmarketcap.com/currencies/argentum" TargetMode="External"/><Relationship Id="rId879" Type="http://schemas.openxmlformats.org/officeDocument/2006/relationships/hyperlink" Target="https://coinmarketcap.com/currencies/goodomy" TargetMode="External"/><Relationship Id="rId434" Type="http://schemas.openxmlformats.org/officeDocument/2006/relationships/hyperlink" Target="https://coinmarketcap.com/currencies/gobyte" TargetMode="External"/><Relationship Id="rId641" Type="http://schemas.openxmlformats.org/officeDocument/2006/relationships/hyperlink" Target="https://coinmarketcap.com/currencies/ultracoin" TargetMode="External"/><Relationship Id="rId739" Type="http://schemas.openxmlformats.org/officeDocument/2006/relationships/hyperlink" Target="https://coinmarketcap.com/currencies/ganjacoin" TargetMode="External"/><Relationship Id="rId1064" Type="http://schemas.openxmlformats.org/officeDocument/2006/relationships/hyperlink" Target="https://coinmarketcap.com/currencies/pizzacoin" TargetMode="External"/><Relationship Id="rId1271" Type="http://schemas.openxmlformats.org/officeDocument/2006/relationships/hyperlink" Target="https://coinmarketcap.com/currencies/cyder" TargetMode="External"/><Relationship Id="rId1369" Type="http://schemas.openxmlformats.org/officeDocument/2006/relationships/hyperlink" Target="https://coinmarketcap.com/currencies/bitcentavo" TargetMode="External"/><Relationship Id="rId280" Type="http://schemas.openxmlformats.org/officeDocument/2006/relationships/hyperlink" Target="https://coinmarketcap.com/currencies/soarcoin" TargetMode="External"/><Relationship Id="rId501" Type="http://schemas.openxmlformats.org/officeDocument/2006/relationships/hyperlink" Target="https://coinmarketcap.com/currencies/autonio" TargetMode="External"/><Relationship Id="rId946" Type="http://schemas.openxmlformats.org/officeDocument/2006/relationships/hyperlink" Target="https://coinmarketcap.com/currencies/islacoin" TargetMode="External"/><Relationship Id="rId1131" Type="http://schemas.openxmlformats.org/officeDocument/2006/relationships/hyperlink" Target="https://coinmarketcap.com/currencies/bitsoar" TargetMode="External"/><Relationship Id="rId1229" Type="http://schemas.openxmlformats.org/officeDocument/2006/relationships/hyperlink" Target="https://coinmarketcap.com/currencies/topcoin" TargetMode="External"/><Relationship Id="rId75" Type="http://schemas.openxmlformats.org/officeDocument/2006/relationships/hyperlink" Target="https://coinmarketcap.com/currencies/aelf" TargetMode="External"/><Relationship Id="rId140" Type="http://schemas.openxmlformats.org/officeDocument/2006/relationships/hyperlink" Target="https://coinmarketcap.com/currencies/humaniq" TargetMode="External"/><Relationship Id="rId378" Type="http://schemas.openxmlformats.org/officeDocument/2006/relationships/hyperlink" Target="https://coinmarketcap.com/currencies/belacoin" TargetMode="External"/><Relationship Id="rId585" Type="http://schemas.openxmlformats.org/officeDocument/2006/relationships/hyperlink" Target="https://coinmarketcap.com/currencies/monster-byte" TargetMode="External"/><Relationship Id="rId792" Type="http://schemas.openxmlformats.org/officeDocument/2006/relationships/hyperlink" Target="https://coinmarketcap.com/currencies/biteur" TargetMode="External"/><Relationship Id="rId806" Type="http://schemas.openxmlformats.org/officeDocument/2006/relationships/hyperlink" Target="https://coinmarketcap.com/currencies/project-x" TargetMode="External"/><Relationship Id="rId6" Type="http://schemas.openxmlformats.org/officeDocument/2006/relationships/hyperlink" Target="https://coinmarketcap.com/currencies/cardano" TargetMode="External"/><Relationship Id="rId238" Type="http://schemas.openxmlformats.org/officeDocument/2006/relationships/hyperlink" Target="https://coinmarketcap.com/currencies/stealthcoin" TargetMode="External"/><Relationship Id="rId445" Type="http://schemas.openxmlformats.org/officeDocument/2006/relationships/hyperlink" Target="https://coinmarketcap.com/currencies/mcap" TargetMode="External"/><Relationship Id="rId652" Type="http://schemas.openxmlformats.org/officeDocument/2006/relationships/hyperlink" Target="https://coinmarketcap.com/currencies/bunnycoin" TargetMode="External"/><Relationship Id="rId1075" Type="http://schemas.openxmlformats.org/officeDocument/2006/relationships/hyperlink" Target="https://coinmarketcap.com/currencies/bitcoin-diamond" TargetMode="External"/><Relationship Id="rId1282" Type="http://schemas.openxmlformats.org/officeDocument/2006/relationships/hyperlink" Target="https://coinmarketcap.com/currencies/high-gain" TargetMode="External"/><Relationship Id="rId291" Type="http://schemas.openxmlformats.org/officeDocument/2006/relationships/hyperlink" Target="https://coinmarketcap.com/currencies/bitusd" TargetMode="External"/><Relationship Id="rId305" Type="http://schemas.openxmlformats.org/officeDocument/2006/relationships/hyperlink" Target="https://coinmarketcap.com/currencies/vcash" TargetMode="External"/><Relationship Id="rId512" Type="http://schemas.openxmlformats.org/officeDocument/2006/relationships/hyperlink" Target="https://coinmarketcap.com/currencies/neverdie" TargetMode="External"/><Relationship Id="rId957" Type="http://schemas.openxmlformats.org/officeDocument/2006/relationships/hyperlink" Target="https://coinmarketcap.com/currencies/debitcoin" TargetMode="External"/><Relationship Id="rId1142" Type="http://schemas.openxmlformats.org/officeDocument/2006/relationships/hyperlink" Target="https://coinmarketcap.com/currencies/tokugawa" TargetMode="External"/><Relationship Id="rId86" Type="http://schemas.openxmlformats.org/officeDocument/2006/relationships/hyperlink" Target="https://coinmarketcap.com/currencies/enigma-project" TargetMode="External"/><Relationship Id="rId151" Type="http://schemas.openxmlformats.org/officeDocument/2006/relationships/hyperlink" Target="https://coinmarketcap.com/currencies/salus" TargetMode="External"/><Relationship Id="rId389" Type="http://schemas.openxmlformats.org/officeDocument/2006/relationships/hyperlink" Target="https://coinmarketcap.com/currencies/verify" TargetMode="External"/><Relationship Id="rId596" Type="http://schemas.openxmlformats.org/officeDocument/2006/relationships/hyperlink" Target="https://coinmarketcap.com/currencies/netko" TargetMode="External"/><Relationship Id="rId817" Type="http://schemas.openxmlformats.org/officeDocument/2006/relationships/hyperlink" Target="https://coinmarketcap.com/currencies/bipcoin" TargetMode="External"/><Relationship Id="rId1002" Type="http://schemas.openxmlformats.org/officeDocument/2006/relationships/hyperlink" Target="https://coinmarketcap.com/currencies/genstake" TargetMode="External"/><Relationship Id="rId249" Type="http://schemas.openxmlformats.org/officeDocument/2006/relationships/hyperlink" Target="https://coinmarketcap.com/currencies/everex" TargetMode="External"/><Relationship Id="rId456" Type="http://schemas.openxmlformats.org/officeDocument/2006/relationships/hyperlink" Target="https://coinmarketcap.com/currencies/bulwark" TargetMode="External"/><Relationship Id="rId663" Type="http://schemas.openxmlformats.org/officeDocument/2006/relationships/hyperlink" Target="https://coinmarketcap.com/currencies/elcoin-el" TargetMode="External"/><Relationship Id="rId870" Type="http://schemas.openxmlformats.org/officeDocument/2006/relationships/hyperlink" Target="https://coinmarketcap.com/currencies/coin" TargetMode="External"/><Relationship Id="rId1086" Type="http://schemas.openxmlformats.org/officeDocument/2006/relationships/hyperlink" Target="https://coinmarketcap.com/currencies/bitcoinx" TargetMode="External"/><Relationship Id="rId1293" Type="http://schemas.openxmlformats.org/officeDocument/2006/relationships/hyperlink" Target="https://coinmarketcap.com/currencies/9coin" TargetMode="External"/><Relationship Id="rId1307" Type="http://schemas.openxmlformats.org/officeDocument/2006/relationships/hyperlink" Target="https://coinmarketcap.com/currencies/kashhcoin" TargetMode="External"/><Relationship Id="rId13" Type="http://schemas.openxmlformats.org/officeDocument/2006/relationships/hyperlink" Target="https://coinmarketcap.com/currencies/qtum" TargetMode="External"/><Relationship Id="rId109" Type="http://schemas.openxmlformats.org/officeDocument/2006/relationships/hyperlink" Target="https://coinmarketcap.com/currencies/burst" TargetMode="External"/><Relationship Id="rId316" Type="http://schemas.openxmlformats.org/officeDocument/2006/relationships/hyperlink" Target="https://coinmarketcap.com/currencies/polybius" TargetMode="External"/><Relationship Id="rId523" Type="http://schemas.openxmlformats.org/officeDocument/2006/relationships/hyperlink" Target="https://coinmarketcap.com/currencies/capricoin" TargetMode="External"/><Relationship Id="rId968" Type="http://schemas.openxmlformats.org/officeDocument/2006/relationships/hyperlink" Target="https://coinmarketcap.com/currencies/vector" TargetMode="External"/><Relationship Id="rId1153" Type="http://schemas.openxmlformats.org/officeDocument/2006/relationships/hyperlink" Target="https://coinmarketcap.com/currencies/royalties" TargetMode="External"/><Relationship Id="rId97" Type="http://schemas.openxmlformats.org/officeDocument/2006/relationships/hyperlink" Target="https://coinmarketcap.com/currencies/nexus" TargetMode="External"/><Relationship Id="rId730" Type="http://schemas.openxmlformats.org/officeDocument/2006/relationships/hyperlink" Target="https://coinmarketcap.com/currencies/blakecoin" TargetMode="External"/><Relationship Id="rId828" Type="http://schemas.openxmlformats.org/officeDocument/2006/relationships/hyperlink" Target="https://coinmarketcap.com/currencies/credence-coin" TargetMode="External"/><Relationship Id="rId1013" Type="http://schemas.openxmlformats.org/officeDocument/2006/relationships/hyperlink" Target="https://coinmarketcap.com/currencies/plncoin" TargetMode="External"/><Relationship Id="rId1360" Type="http://schemas.openxmlformats.org/officeDocument/2006/relationships/hyperlink" Target="https://coinmarketcap.com/currencies/operand" TargetMode="External"/><Relationship Id="rId162" Type="http://schemas.openxmlformats.org/officeDocument/2006/relationships/hyperlink" Target="https://coinmarketcap.com/currencies/pillar" TargetMode="External"/><Relationship Id="rId467" Type="http://schemas.openxmlformats.org/officeDocument/2006/relationships/hyperlink" Target="https://coinmarketcap.com/currencies/luxcoin" TargetMode="External"/><Relationship Id="rId1097" Type="http://schemas.openxmlformats.org/officeDocument/2006/relationships/hyperlink" Target="https://coinmarketcap.com/currencies/clubcoin" TargetMode="External"/><Relationship Id="rId1220" Type="http://schemas.openxmlformats.org/officeDocument/2006/relationships/hyperlink" Target="https://coinmarketcap.com/currencies/soma" TargetMode="External"/><Relationship Id="rId1318" Type="http://schemas.openxmlformats.org/officeDocument/2006/relationships/hyperlink" Target="https://coinmarketcap.com/currencies/darklisk" TargetMode="External"/><Relationship Id="rId674" Type="http://schemas.openxmlformats.org/officeDocument/2006/relationships/hyperlink" Target="https://coinmarketcap.com/currencies/altcommunity-coin" TargetMode="External"/><Relationship Id="rId881" Type="http://schemas.openxmlformats.org/officeDocument/2006/relationships/hyperlink" Target="https://coinmarketcap.com/currencies/opal" TargetMode="External"/><Relationship Id="rId979" Type="http://schemas.openxmlformats.org/officeDocument/2006/relationships/hyperlink" Target="https://coinmarketcap.com/currencies/warp" TargetMode="External"/><Relationship Id="rId24" Type="http://schemas.openxmlformats.org/officeDocument/2006/relationships/hyperlink" Target="https://coinmarketcap.com/currencies/icon" TargetMode="External"/><Relationship Id="rId327" Type="http://schemas.openxmlformats.org/officeDocument/2006/relationships/hyperlink" Target="https://coinmarketcap.com/currencies/posw-coin" TargetMode="External"/><Relationship Id="rId534" Type="http://schemas.openxmlformats.org/officeDocument/2006/relationships/hyperlink" Target="https://coinmarketcap.com/currencies/zero" TargetMode="External"/><Relationship Id="rId741" Type="http://schemas.openxmlformats.org/officeDocument/2006/relationships/hyperlink" Target="https://coinmarketcap.com/currencies/mineum" TargetMode="External"/><Relationship Id="rId839" Type="http://schemas.openxmlformats.org/officeDocument/2006/relationships/hyperlink" Target="https://coinmarketcap.com/currencies/ebittree-coin" TargetMode="External"/><Relationship Id="rId1164" Type="http://schemas.openxmlformats.org/officeDocument/2006/relationships/hyperlink" Target="https://coinmarketcap.com/currencies/international-diamond" TargetMode="External"/><Relationship Id="rId1371" Type="http://schemas.openxmlformats.org/officeDocument/2006/relationships/hyperlink" Target="https://coinmarketcap.com/currencies/facecoin" TargetMode="External"/><Relationship Id="rId173" Type="http://schemas.openxmlformats.org/officeDocument/2006/relationships/hyperlink" Target="https://coinmarketcap.com/currencies/viberate" TargetMode="External"/><Relationship Id="rId380" Type="http://schemas.openxmlformats.org/officeDocument/2006/relationships/hyperlink" Target="https://coinmarketcap.com/currencies/aeron" TargetMode="External"/><Relationship Id="rId601" Type="http://schemas.openxmlformats.org/officeDocument/2006/relationships/hyperlink" Target="https://coinmarketcap.com/currencies/signatum" TargetMode="External"/><Relationship Id="rId1024" Type="http://schemas.openxmlformats.org/officeDocument/2006/relationships/hyperlink" Target="https://coinmarketcap.com/currencies/roofs" TargetMode="External"/><Relationship Id="rId1231" Type="http://schemas.openxmlformats.org/officeDocument/2006/relationships/hyperlink" Target="https://coinmarketcap.com/currencies/iquant" TargetMode="External"/><Relationship Id="rId240" Type="http://schemas.openxmlformats.org/officeDocument/2006/relationships/hyperlink" Target="https://coinmarketcap.com/currencies/ormeus-coin" TargetMode="External"/><Relationship Id="rId478" Type="http://schemas.openxmlformats.org/officeDocument/2006/relationships/hyperlink" Target="https://coinmarketcap.com/currencies/magnet" TargetMode="External"/><Relationship Id="rId685" Type="http://schemas.openxmlformats.org/officeDocument/2006/relationships/hyperlink" Target="https://coinmarketcap.com/currencies/qubitcoin" TargetMode="External"/><Relationship Id="rId892" Type="http://schemas.openxmlformats.org/officeDocument/2006/relationships/hyperlink" Target="https://coinmarketcap.com/currencies/wayguide" TargetMode="External"/><Relationship Id="rId906" Type="http://schemas.openxmlformats.org/officeDocument/2006/relationships/hyperlink" Target="https://coinmarketcap.com/currencies/swing" TargetMode="External"/><Relationship Id="rId1329" Type="http://schemas.openxmlformats.org/officeDocument/2006/relationships/hyperlink" Target="https://coinmarketcap.com/currencies/safe-trade-coin" TargetMode="External"/><Relationship Id="rId35" Type="http://schemas.openxmlformats.org/officeDocument/2006/relationships/hyperlink" Target="https://coinmarketcap.com/currencies/binance-coin" TargetMode="External"/><Relationship Id="rId100" Type="http://schemas.openxmlformats.org/officeDocument/2006/relationships/hyperlink" Target="https://coinmarketcap.com/currencies/chainlink" TargetMode="External"/><Relationship Id="rId338" Type="http://schemas.openxmlformats.org/officeDocument/2006/relationships/hyperlink" Target="https://coinmarketcap.com/currencies/primecoin" TargetMode="External"/><Relationship Id="rId545" Type="http://schemas.openxmlformats.org/officeDocument/2006/relationships/hyperlink" Target="https://coinmarketcap.com/currencies/cryptogenic-bullion" TargetMode="External"/><Relationship Id="rId752" Type="http://schemas.openxmlformats.org/officeDocument/2006/relationships/hyperlink" Target="https://coinmarketcap.com/currencies/acoin" TargetMode="External"/><Relationship Id="rId1175" Type="http://schemas.openxmlformats.org/officeDocument/2006/relationships/hyperlink" Target="https://coinmarketcap.com/currencies/litecoin-gold" TargetMode="External"/><Relationship Id="rId1382" Type="http://schemas.openxmlformats.org/officeDocument/2006/relationships/hyperlink" Target="https://coinmarketcap.com/currencies/etherdoge" TargetMode="External"/><Relationship Id="rId184" Type="http://schemas.openxmlformats.org/officeDocument/2006/relationships/hyperlink" Target="https://coinmarketcap.com/currencies/tierion" TargetMode="External"/><Relationship Id="rId391" Type="http://schemas.openxmlformats.org/officeDocument/2006/relationships/hyperlink" Target="https://coinmarketcap.com/currencies/riecoin" TargetMode="External"/><Relationship Id="rId405" Type="http://schemas.openxmlformats.org/officeDocument/2006/relationships/hyperlink" Target="https://coinmarketcap.com/currencies/startcoin" TargetMode="External"/><Relationship Id="rId612" Type="http://schemas.openxmlformats.org/officeDocument/2006/relationships/hyperlink" Target="https://coinmarketcap.com/currencies/deutsche-emark" TargetMode="External"/><Relationship Id="rId1035" Type="http://schemas.openxmlformats.org/officeDocument/2006/relationships/hyperlink" Target="https://coinmarketcap.com/currencies/ccminer" TargetMode="External"/><Relationship Id="rId1242" Type="http://schemas.openxmlformats.org/officeDocument/2006/relationships/hyperlink" Target="https://coinmarketcap.com/currencies/elacoin" TargetMode="External"/><Relationship Id="rId251" Type="http://schemas.openxmlformats.org/officeDocument/2006/relationships/hyperlink" Target="https://coinmarketcap.com/currencies/foldingcoin" TargetMode="External"/><Relationship Id="rId489" Type="http://schemas.openxmlformats.org/officeDocument/2006/relationships/hyperlink" Target="https://coinmarketcap.com/currencies/real" TargetMode="External"/><Relationship Id="rId696" Type="http://schemas.openxmlformats.org/officeDocument/2006/relationships/hyperlink" Target="https://coinmarketcap.com/currencies/digital-developers-fund" TargetMode="External"/><Relationship Id="rId917" Type="http://schemas.openxmlformats.org/officeDocument/2006/relationships/hyperlink" Target="https://coinmarketcap.com/currencies/gapcoin" TargetMode="External"/><Relationship Id="rId1102" Type="http://schemas.openxmlformats.org/officeDocument/2006/relationships/hyperlink" Target="https://coinmarketcap.com/currencies/magiccoin" TargetMode="External"/><Relationship Id="rId46" Type="http://schemas.openxmlformats.org/officeDocument/2006/relationships/hyperlink" Target="https://coinmarketcap.com/currencies/decred" TargetMode="External"/><Relationship Id="rId349" Type="http://schemas.openxmlformats.org/officeDocument/2006/relationships/hyperlink" Target="https://coinmarketcap.com/currencies/dopecoin" TargetMode="External"/><Relationship Id="rId556" Type="http://schemas.openxmlformats.org/officeDocument/2006/relationships/hyperlink" Target="https://coinmarketcap.com/currencies/greencoin" TargetMode="External"/><Relationship Id="rId763" Type="http://schemas.openxmlformats.org/officeDocument/2006/relationships/hyperlink" Target="https://coinmarketcap.com/currencies/hempcoin-hmp" TargetMode="External"/><Relationship Id="rId1186" Type="http://schemas.openxmlformats.org/officeDocument/2006/relationships/hyperlink" Target="https://coinmarketcap.com/currencies/vulcano" TargetMode="External"/><Relationship Id="rId111" Type="http://schemas.openxmlformats.org/officeDocument/2006/relationships/hyperlink" Target="https://coinmarketcap.com/currencies/time-new-bank" TargetMode="External"/><Relationship Id="rId195" Type="http://schemas.openxmlformats.org/officeDocument/2006/relationships/hyperlink" Target="https://coinmarketcap.com/currencies/trust" TargetMode="External"/><Relationship Id="rId209" Type="http://schemas.openxmlformats.org/officeDocument/2006/relationships/hyperlink" Target="https://coinmarketcap.com/currencies/numeraire" TargetMode="External"/><Relationship Id="rId416" Type="http://schemas.openxmlformats.org/officeDocument/2006/relationships/hyperlink" Target="https://coinmarketcap.com/currencies/encryptotel" TargetMode="External"/><Relationship Id="rId970" Type="http://schemas.openxmlformats.org/officeDocument/2006/relationships/hyperlink" Target="https://coinmarketcap.com/currencies/secretcoin" TargetMode="External"/><Relationship Id="rId1046" Type="http://schemas.openxmlformats.org/officeDocument/2006/relationships/hyperlink" Target="https://coinmarketcap.com/currencies/corethum" TargetMode="External"/><Relationship Id="rId1253" Type="http://schemas.openxmlformats.org/officeDocument/2006/relationships/hyperlink" Target="https://coinmarketcap.com/currencies/moneycoin" TargetMode="External"/><Relationship Id="rId623" Type="http://schemas.openxmlformats.org/officeDocument/2006/relationships/hyperlink" Target="https://coinmarketcap.com/currencies/ethbits" TargetMode="External"/><Relationship Id="rId830" Type="http://schemas.openxmlformats.org/officeDocument/2006/relationships/hyperlink" Target="https://coinmarketcap.com/currencies/vault-coin" TargetMode="External"/><Relationship Id="rId928" Type="http://schemas.openxmlformats.org/officeDocument/2006/relationships/hyperlink" Target="https://coinmarketcap.com/currencies/darsek" TargetMode="External"/><Relationship Id="rId57" Type="http://schemas.openxmlformats.org/officeDocument/2006/relationships/hyperlink" Target="https://coinmarketcap.com/currencies/reddcoin" TargetMode="External"/><Relationship Id="rId262" Type="http://schemas.openxmlformats.org/officeDocument/2006/relationships/hyperlink" Target="https://coinmarketcap.com/currencies/hive" TargetMode="External"/><Relationship Id="rId567" Type="http://schemas.openxmlformats.org/officeDocument/2006/relationships/hyperlink" Target="https://coinmarketcap.com/currencies/gcoin" TargetMode="External"/><Relationship Id="rId1113" Type="http://schemas.openxmlformats.org/officeDocument/2006/relationships/hyperlink" Target="https://coinmarketcap.com/currencies/filecoin" TargetMode="External"/><Relationship Id="rId1197" Type="http://schemas.openxmlformats.org/officeDocument/2006/relationships/hyperlink" Target="https://coinmarketcap.com/currencies/encryptotel-eth" TargetMode="External"/><Relationship Id="rId1320" Type="http://schemas.openxmlformats.org/officeDocument/2006/relationships/hyperlink" Target="https://coinmarketcap.com/currencies/primulon" TargetMode="External"/><Relationship Id="rId122" Type="http://schemas.openxmlformats.org/officeDocument/2006/relationships/hyperlink" Target="https://coinmarketcap.com/currencies/quantum-resistant-ledger" TargetMode="External"/><Relationship Id="rId774" Type="http://schemas.openxmlformats.org/officeDocument/2006/relationships/hyperlink" Target="https://coinmarketcap.com/currencies/theresa-may-coin" TargetMode="External"/><Relationship Id="rId981" Type="http://schemas.openxmlformats.org/officeDocument/2006/relationships/hyperlink" Target="https://coinmarketcap.com/currencies/jewels" TargetMode="External"/><Relationship Id="rId1057" Type="http://schemas.openxmlformats.org/officeDocument/2006/relationships/hyperlink" Target="https://coinmarketcap.com/currencies/burstocean" TargetMode="External"/><Relationship Id="rId427" Type="http://schemas.openxmlformats.org/officeDocument/2006/relationships/hyperlink" Target="https://coinmarketcap.com/currencies/astro" TargetMode="External"/><Relationship Id="rId634" Type="http://schemas.openxmlformats.org/officeDocument/2006/relationships/hyperlink" Target="https://coinmarketcap.com/currencies/moin" TargetMode="External"/><Relationship Id="rId841" Type="http://schemas.openxmlformats.org/officeDocument/2006/relationships/hyperlink" Target="https://coinmarketcap.com/currencies/harmonycoin-hmc" TargetMode="External"/><Relationship Id="rId1264" Type="http://schemas.openxmlformats.org/officeDocument/2006/relationships/hyperlink" Target="https://coinmarketcap.com/currencies/halloween-coin" TargetMode="External"/><Relationship Id="rId273" Type="http://schemas.openxmlformats.org/officeDocument/2006/relationships/hyperlink" Target="https://coinmarketcap.com/currencies/vibe" TargetMode="External"/><Relationship Id="rId480" Type="http://schemas.openxmlformats.org/officeDocument/2006/relationships/hyperlink" Target="https://coinmarketcap.com/currencies/kolion" TargetMode="External"/><Relationship Id="rId701" Type="http://schemas.openxmlformats.org/officeDocument/2006/relationships/hyperlink" Target="https://coinmarketcap.com/currencies/petrodollar" TargetMode="External"/><Relationship Id="rId939" Type="http://schemas.openxmlformats.org/officeDocument/2006/relationships/hyperlink" Target="https://coinmarketcap.com/currencies/gpu-coin" TargetMode="External"/><Relationship Id="rId1124" Type="http://schemas.openxmlformats.org/officeDocument/2006/relationships/hyperlink" Target="https://coinmarketcap.com/currencies/united-bitcoin" TargetMode="External"/><Relationship Id="rId1331" Type="http://schemas.openxmlformats.org/officeDocument/2006/relationships/hyperlink" Target="https://coinmarketcap.com/currencies/avatarcoin" TargetMode="External"/><Relationship Id="rId68" Type="http://schemas.openxmlformats.org/officeDocument/2006/relationships/hyperlink" Target="https://coinmarketcap.com/currencies/vertcoin" TargetMode="External"/><Relationship Id="rId133" Type="http://schemas.openxmlformats.org/officeDocument/2006/relationships/hyperlink" Target="https://coinmarketcap.com/currencies/decent" TargetMode="External"/><Relationship Id="rId340" Type="http://schemas.openxmlformats.org/officeDocument/2006/relationships/hyperlink" Target="https://coinmarketcap.com/currencies/encrypgen" TargetMode="External"/><Relationship Id="rId578" Type="http://schemas.openxmlformats.org/officeDocument/2006/relationships/hyperlink" Target="https://coinmarketcap.com/currencies/hodlcoin" TargetMode="External"/><Relationship Id="rId785" Type="http://schemas.openxmlformats.org/officeDocument/2006/relationships/hyperlink" Target="https://coinmarketcap.com/currencies/neuro" TargetMode="External"/><Relationship Id="rId992" Type="http://schemas.openxmlformats.org/officeDocument/2006/relationships/hyperlink" Target="https://coinmarketcap.com/currencies/healthywormcoin" TargetMode="External"/><Relationship Id="rId200" Type="http://schemas.openxmlformats.org/officeDocument/2006/relationships/hyperlink" Target="https://coinmarketcap.com/currencies/monetaryunit" TargetMode="External"/><Relationship Id="rId438" Type="http://schemas.openxmlformats.org/officeDocument/2006/relationships/hyperlink" Target="https://coinmarketcap.com/currencies/ebtcnew" TargetMode="External"/><Relationship Id="rId645" Type="http://schemas.openxmlformats.org/officeDocument/2006/relationships/hyperlink" Target="https://coinmarketcap.com/currencies/dashcoin" TargetMode="External"/><Relationship Id="rId852" Type="http://schemas.openxmlformats.org/officeDocument/2006/relationships/hyperlink" Target="https://coinmarketcap.com/currencies/xcurrency" TargetMode="External"/><Relationship Id="rId1068" Type="http://schemas.openxmlformats.org/officeDocument/2006/relationships/hyperlink" Target="https://coinmarketcap.com/currencies/environ" TargetMode="External"/><Relationship Id="rId1275" Type="http://schemas.openxmlformats.org/officeDocument/2006/relationships/hyperlink" Target="https://coinmarketcap.com/currencies/ties-network" TargetMode="External"/><Relationship Id="rId284" Type="http://schemas.openxmlformats.org/officeDocument/2006/relationships/hyperlink" Target="https://coinmarketcap.com/currencies/latoken" TargetMode="External"/><Relationship Id="rId491" Type="http://schemas.openxmlformats.org/officeDocument/2006/relationships/hyperlink" Target="https://coinmarketcap.com/currencies/quark" TargetMode="External"/><Relationship Id="rId505" Type="http://schemas.openxmlformats.org/officeDocument/2006/relationships/hyperlink" Target="https://coinmarketcap.com/currencies/ixcoin" TargetMode="External"/><Relationship Id="rId712" Type="http://schemas.openxmlformats.org/officeDocument/2006/relationships/hyperlink" Target="https://coinmarketcap.com/currencies/leviarcoin" TargetMode="External"/><Relationship Id="rId1135" Type="http://schemas.openxmlformats.org/officeDocument/2006/relationships/hyperlink" Target="https://coinmarketcap.com/currencies/blockcdn" TargetMode="External"/><Relationship Id="rId1342" Type="http://schemas.openxmlformats.org/officeDocument/2006/relationships/hyperlink" Target="https://coinmarketcap.com/currencies/the-vegan-initiative" TargetMode="External"/><Relationship Id="rId79" Type="http://schemas.openxmlformats.org/officeDocument/2006/relationships/hyperlink" Target="https://coinmarketcap.com/currencies/cryptonex" TargetMode="External"/><Relationship Id="rId144" Type="http://schemas.openxmlformats.org/officeDocument/2006/relationships/hyperlink" Target="https://coinmarketcap.com/currencies/mobilego" TargetMode="External"/><Relationship Id="rId589" Type="http://schemas.openxmlformats.org/officeDocument/2006/relationships/hyperlink" Target="https://coinmarketcap.com/currencies/student-coin" TargetMode="External"/><Relationship Id="rId796" Type="http://schemas.openxmlformats.org/officeDocument/2006/relationships/hyperlink" Target="https://coinmarketcap.com/currencies/global-tour-coin" TargetMode="External"/><Relationship Id="rId1202" Type="http://schemas.openxmlformats.org/officeDocument/2006/relationships/hyperlink" Target="https://coinmarketcap.com/currencies/bitalphacoin" TargetMode="External"/><Relationship Id="rId351" Type="http://schemas.openxmlformats.org/officeDocument/2006/relationships/hyperlink" Target="https://coinmarketcap.com/currencies/korecoin" TargetMode="External"/><Relationship Id="rId449" Type="http://schemas.openxmlformats.org/officeDocument/2006/relationships/hyperlink" Target="https://coinmarketcap.com/currencies/divi" TargetMode="External"/><Relationship Id="rId656" Type="http://schemas.openxmlformats.org/officeDocument/2006/relationships/hyperlink" Target="https://coinmarketcap.com/currencies/cryptojacks" TargetMode="External"/><Relationship Id="rId863" Type="http://schemas.openxmlformats.org/officeDocument/2006/relationships/hyperlink" Target="https://coinmarketcap.com/currencies/blockpay" TargetMode="External"/><Relationship Id="rId1079" Type="http://schemas.openxmlformats.org/officeDocument/2006/relationships/hyperlink" Target="https://coinmarketcap.com/currencies/bt2-cst" TargetMode="External"/><Relationship Id="rId1286" Type="http://schemas.openxmlformats.org/officeDocument/2006/relationships/hyperlink" Target="https://coinmarketcap.com/currencies/ugain" TargetMode="External"/><Relationship Id="rId211" Type="http://schemas.openxmlformats.org/officeDocument/2006/relationships/hyperlink" Target="https://coinmarketcap.com/currencies/okcash" TargetMode="External"/><Relationship Id="rId295" Type="http://schemas.openxmlformats.org/officeDocument/2006/relationships/hyperlink" Target="https://coinmarketcap.com/currencies/deeponion" TargetMode="External"/><Relationship Id="rId309" Type="http://schemas.openxmlformats.org/officeDocument/2006/relationships/hyperlink" Target="https://coinmarketcap.com/currencies/exchange-union" TargetMode="External"/><Relationship Id="rId516" Type="http://schemas.openxmlformats.org/officeDocument/2006/relationships/hyperlink" Target="https://coinmarketcap.com/currencies/zeitcoin" TargetMode="External"/><Relationship Id="rId1146" Type="http://schemas.openxmlformats.org/officeDocument/2006/relationships/hyperlink" Target="https://coinmarketcap.com/currencies/sisa" TargetMode="External"/><Relationship Id="rId48" Type="http://schemas.openxmlformats.org/officeDocument/2006/relationships/hyperlink" Target="https://coinmarketcap.com/currencies/status" TargetMode="External"/><Relationship Id="rId113" Type="http://schemas.openxmlformats.org/officeDocument/2006/relationships/hyperlink" Target="https://coinmarketcap.com/currencies/singulardtv" TargetMode="External"/><Relationship Id="rId320" Type="http://schemas.openxmlformats.org/officeDocument/2006/relationships/hyperlink" Target="https://coinmarketcap.com/currencies/oyster-pearl" TargetMode="External"/><Relationship Id="rId558" Type="http://schemas.openxmlformats.org/officeDocument/2006/relationships/hyperlink" Target="https://coinmarketcap.com/currencies/condensate" TargetMode="External"/><Relationship Id="rId723" Type="http://schemas.openxmlformats.org/officeDocument/2006/relationships/hyperlink" Target="https://coinmarketcap.com/currencies/bitcurrency" TargetMode="External"/><Relationship Id="rId765" Type="http://schemas.openxmlformats.org/officeDocument/2006/relationships/hyperlink" Target="https://coinmarketcap.com/currencies/gold-pressed-latinum" TargetMode="External"/><Relationship Id="rId930" Type="http://schemas.openxmlformats.org/officeDocument/2006/relationships/hyperlink" Target="https://coinmarketcap.com/currencies/franko" TargetMode="External"/><Relationship Id="rId972" Type="http://schemas.openxmlformats.org/officeDocument/2006/relationships/hyperlink" Target="https://coinmarketcap.com/currencies/crypto" TargetMode="External"/><Relationship Id="rId1006" Type="http://schemas.openxmlformats.org/officeDocument/2006/relationships/hyperlink" Target="https://coinmarketcap.com/currencies/ponzicoin" TargetMode="External"/><Relationship Id="rId1188" Type="http://schemas.openxmlformats.org/officeDocument/2006/relationships/hyperlink" Target="https://coinmarketcap.com/currencies/rabbitcoin" TargetMode="External"/><Relationship Id="rId1353" Type="http://schemas.openxmlformats.org/officeDocument/2006/relationships/hyperlink" Target="https://coinmarketcap.com/currencies/cashme" TargetMode="External"/><Relationship Id="rId155" Type="http://schemas.openxmlformats.org/officeDocument/2006/relationships/hyperlink" Target="https://coinmarketcap.com/currencies/sibcoin" TargetMode="External"/><Relationship Id="rId197" Type="http://schemas.openxmlformats.org/officeDocument/2006/relationships/hyperlink" Target="https://coinmarketcap.com/currencies/coindash" TargetMode="External"/><Relationship Id="rId362" Type="http://schemas.openxmlformats.org/officeDocument/2006/relationships/hyperlink" Target="https://coinmarketcap.com/currencies/dao-casino" TargetMode="External"/><Relationship Id="rId418" Type="http://schemas.openxmlformats.org/officeDocument/2006/relationships/hyperlink" Target="https://coinmarketcap.com/currencies/bitswift" TargetMode="External"/><Relationship Id="rId625" Type="http://schemas.openxmlformats.org/officeDocument/2006/relationships/hyperlink" Target="https://coinmarketcap.com/currencies/machinecoin" TargetMode="External"/><Relationship Id="rId832" Type="http://schemas.openxmlformats.org/officeDocument/2006/relationships/hyperlink" Target="https://coinmarketcap.com/currencies/cybcsec" TargetMode="External"/><Relationship Id="rId1048" Type="http://schemas.openxmlformats.org/officeDocument/2006/relationships/hyperlink" Target="https://coinmarketcap.com/currencies/selfiecoin" TargetMode="External"/><Relationship Id="rId1213" Type="http://schemas.openxmlformats.org/officeDocument/2006/relationships/hyperlink" Target="https://coinmarketcap.com/currencies/alphabitcoinfund" TargetMode="External"/><Relationship Id="rId1255" Type="http://schemas.openxmlformats.org/officeDocument/2006/relationships/hyperlink" Target="https://coinmarketcap.com/currencies/alpacoin" TargetMode="External"/><Relationship Id="rId1297" Type="http://schemas.openxmlformats.org/officeDocument/2006/relationships/hyperlink" Target="https://coinmarketcap.com/currencies/hodl-bucks" TargetMode="External"/><Relationship Id="rId222" Type="http://schemas.openxmlformats.org/officeDocument/2006/relationships/hyperlink" Target="https://coinmarketcap.com/currencies/gridcoin" TargetMode="External"/><Relationship Id="rId264" Type="http://schemas.openxmlformats.org/officeDocument/2006/relationships/hyperlink" Target="https://coinmarketcap.com/currencies/grid" TargetMode="External"/><Relationship Id="rId471" Type="http://schemas.openxmlformats.org/officeDocument/2006/relationships/hyperlink" Target="https://coinmarketcap.com/currencies/cryptoping" TargetMode="External"/><Relationship Id="rId667" Type="http://schemas.openxmlformats.org/officeDocument/2006/relationships/hyperlink" Target="https://coinmarketcap.com/currencies/bitboost" TargetMode="External"/><Relationship Id="rId874" Type="http://schemas.openxmlformats.org/officeDocument/2006/relationships/hyperlink" Target="https://coinmarketcap.com/currencies/metalcoin" TargetMode="External"/><Relationship Id="rId1115" Type="http://schemas.openxmlformats.org/officeDocument/2006/relationships/hyperlink" Target="https://coinmarketcap.com/currencies/gold-reward-token" TargetMode="External"/><Relationship Id="rId1322" Type="http://schemas.openxmlformats.org/officeDocument/2006/relationships/hyperlink" Target="https://coinmarketcap.com/currencies/prismchain" TargetMode="External"/><Relationship Id="rId17" Type="http://schemas.openxmlformats.org/officeDocument/2006/relationships/hyperlink" Target="https://coinmarketcap.com/currencies/bitconnect" TargetMode="External"/><Relationship Id="rId59" Type="http://schemas.openxmlformats.org/officeDocument/2006/relationships/hyperlink" Target="https://coinmarketcap.com/currencies/bitcoindark" TargetMode="External"/><Relationship Id="rId124" Type="http://schemas.openxmlformats.org/officeDocument/2006/relationships/hyperlink" Target="https://coinmarketcap.com/currencies/wings" TargetMode="External"/><Relationship Id="rId527" Type="http://schemas.openxmlformats.org/officeDocument/2006/relationships/hyperlink" Target="https://coinmarketcap.com/currencies/copico" TargetMode="External"/><Relationship Id="rId569" Type="http://schemas.openxmlformats.org/officeDocument/2006/relationships/hyperlink" Target="https://coinmarketcap.com/currencies/elementrem" TargetMode="External"/><Relationship Id="rId734" Type="http://schemas.openxmlformats.org/officeDocument/2006/relationships/hyperlink" Target="https://coinmarketcap.com/currencies/tattoocoin" TargetMode="External"/><Relationship Id="rId776" Type="http://schemas.openxmlformats.org/officeDocument/2006/relationships/hyperlink" Target="https://coinmarketcap.com/currencies/virta-unique-coin" TargetMode="External"/><Relationship Id="rId941" Type="http://schemas.openxmlformats.org/officeDocument/2006/relationships/hyperlink" Target="https://coinmarketcap.com/currencies/quazarcoin" TargetMode="External"/><Relationship Id="rId983" Type="http://schemas.openxmlformats.org/officeDocument/2006/relationships/hyperlink" Target="https://coinmarketcap.com/currencies/songcoin" TargetMode="External"/><Relationship Id="rId1157" Type="http://schemas.openxmlformats.org/officeDocument/2006/relationships/hyperlink" Target="https://coinmarketcap.com/currencies/ignis" TargetMode="External"/><Relationship Id="rId1199" Type="http://schemas.openxmlformats.org/officeDocument/2006/relationships/hyperlink" Target="https://coinmarketcap.com/currencies/mavro" TargetMode="External"/><Relationship Id="rId1364" Type="http://schemas.openxmlformats.org/officeDocument/2006/relationships/hyperlink" Target="https://coinmarketcap.com/currencies/aidos-kuneen" TargetMode="External"/><Relationship Id="rId70" Type="http://schemas.openxmlformats.org/officeDocument/2006/relationships/hyperlink" Target="https://coinmarketcap.com/currencies/walton" TargetMode="External"/><Relationship Id="rId166" Type="http://schemas.openxmlformats.org/officeDocument/2006/relationships/hyperlink" Target="https://coinmarketcap.com/currencies/cybermiles" TargetMode="External"/><Relationship Id="rId331" Type="http://schemas.openxmlformats.org/officeDocument/2006/relationships/hyperlink" Target="https://coinmarketcap.com/currencies/blitzcash" TargetMode="External"/><Relationship Id="rId373" Type="http://schemas.openxmlformats.org/officeDocument/2006/relationships/hyperlink" Target="https://coinmarketcap.com/currencies/flypme" TargetMode="External"/><Relationship Id="rId429" Type="http://schemas.openxmlformats.org/officeDocument/2006/relationships/hyperlink" Target="https://coinmarketcap.com/currencies/cannabiscoin" TargetMode="External"/><Relationship Id="rId580" Type="http://schemas.openxmlformats.org/officeDocument/2006/relationships/hyperlink" Target="https://coinmarketcap.com/currencies/netcoin" TargetMode="External"/><Relationship Id="rId636" Type="http://schemas.openxmlformats.org/officeDocument/2006/relationships/hyperlink" Target="https://coinmarketcap.com/currencies/zozocoin" TargetMode="External"/><Relationship Id="rId801" Type="http://schemas.openxmlformats.org/officeDocument/2006/relationships/hyperlink" Target="https://coinmarketcap.com/currencies/aerium" TargetMode="External"/><Relationship Id="rId1017" Type="http://schemas.openxmlformats.org/officeDocument/2006/relationships/hyperlink" Target="https://coinmarketcap.com/currencies/playercoin" TargetMode="External"/><Relationship Id="rId1059" Type="http://schemas.openxmlformats.org/officeDocument/2006/relationships/hyperlink" Target="https://coinmarketcap.com/currencies/save-and-gain" TargetMode="External"/><Relationship Id="rId1224" Type="http://schemas.openxmlformats.org/officeDocument/2006/relationships/hyperlink" Target="https://coinmarketcap.com/currencies/namocoin" TargetMode="External"/><Relationship Id="rId1266" Type="http://schemas.openxmlformats.org/officeDocument/2006/relationships/hyperlink" Target="https://coinmarketcap.com/currencies/goldunioncoin" TargetMode="External"/><Relationship Id="rId1" Type="http://schemas.openxmlformats.org/officeDocument/2006/relationships/hyperlink" Target="https://coinmarketcap.com/currencies/ethereum" TargetMode="External"/><Relationship Id="rId233" Type="http://schemas.openxmlformats.org/officeDocument/2006/relationships/hyperlink" Target="https://coinmarketcap.com/currencies/paypex" TargetMode="External"/><Relationship Id="rId440" Type="http://schemas.openxmlformats.org/officeDocument/2006/relationships/hyperlink" Target="https://coinmarketcap.com/currencies/intensecoin" TargetMode="External"/><Relationship Id="rId678" Type="http://schemas.openxmlformats.org/officeDocument/2006/relationships/hyperlink" Target="https://coinmarketcap.com/currencies/bitasean" TargetMode="External"/><Relationship Id="rId843" Type="http://schemas.openxmlformats.org/officeDocument/2006/relationships/hyperlink" Target="https://coinmarketcap.com/currencies/caliphcoin" TargetMode="External"/><Relationship Id="rId885" Type="http://schemas.openxmlformats.org/officeDocument/2006/relationships/hyperlink" Target="https://coinmarketcap.com/currencies/swagbucks" TargetMode="External"/><Relationship Id="rId1070" Type="http://schemas.openxmlformats.org/officeDocument/2006/relationships/hyperlink" Target="https://coinmarketcap.com/currencies/future-digital-currency" TargetMode="External"/><Relationship Id="rId1126" Type="http://schemas.openxmlformats.org/officeDocument/2006/relationships/hyperlink" Target="https://coinmarketcap.com/currencies/bitair" TargetMode="External"/><Relationship Id="rId28" Type="http://schemas.openxmlformats.org/officeDocument/2006/relationships/hyperlink" Target="https://coinmarketcap.com/currencies/populous" TargetMode="External"/><Relationship Id="rId275" Type="http://schemas.openxmlformats.org/officeDocument/2006/relationships/hyperlink" Target="https://coinmarketcap.com/currencies/global-currency-reserve" TargetMode="External"/><Relationship Id="rId300" Type="http://schemas.openxmlformats.org/officeDocument/2006/relationships/hyperlink" Target="https://coinmarketcap.com/currencies/obits" TargetMode="External"/><Relationship Id="rId482" Type="http://schemas.openxmlformats.org/officeDocument/2006/relationships/hyperlink" Target="https://coinmarketcap.com/currencies/smartbillions" TargetMode="External"/><Relationship Id="rId538" Type="http://schemas.openxmlformats.org/officeDocument/2006/relationships/hyperlink" Target="https://coinmarketcap.com/currencies/woodcoin" TargetMode="External"/><Relationship Id="rId703" Type="http://schemas.openxmlformats.org/officeDocument/2006/relationships/hyperlink" Target="https://coinmarketcap.com/currencies/litebar" TargetMode="External"/><Relationship Id="rId745" Type="http://schemas.openxmlformats.org/officeDocument/2006/relationships/hyperlink" Target="https://coinmarketcap.com/currencies/network-token" TargetMode="External"/><Relationship Id="rId910" Type="http://schemas.openxmlformats.org/officeDocument/2006/relationships/hyperlink" Target="https://coinmarketcap.com/currencies/octocoin" TargetMode="External"/><Relationship Id="rId952" Type="http://schemas.openxmlformats.org/officeDocument/2006/relationships/hyperlink" Target="https://coinmarketcap.com/currencies/sooncoin" TargetMode="External"/><Relationship Id="rId1168" Type="http://schemas.openxmlformats.org/officeDocument/2006/relationships/hyperlink" Target="https://coinmarketcap.com/currencies/ox-fina" TargetMode="External"/><Relationship Id="rId1333" Type="http://schemas.openxmlformats.org/officeDocument/2006/relationships/hyperlink" Target="https://coinmarketcap.com/currencies/xtd-coin" TargetMode="External"/><Relationship Id="rId1375" Type="http://schemas.openxmlformats.org/officeDocument/2006/relationships/hyperlink" Target="https://coinmarketcap.com/currencies/sync" TargetMode="External"/><Relationship Id="rId81" Type="http://schemas.openxmlformats.org/officeDocument/2006/relationships/hyperlink" Target="https://coinmarketcap.com/currencies/iconomi" TargetMode="External"/><Relationship Id="rId135" Type="http://schemas.openxmlformats.org/officeDocument/2006/relationships/hyperlink" Target="https://coinmarketcap.com/currencies/kin" TargetMode="External"/><Relationship Id="rId177" Type="http://schemas.openxmlformats.org/officeDocument/2006/relationships/hyperlink" Target="https://coinmarketcap.com/currencies/mercury" TargetMode="External"/><Relationship Id="rId342" Type="http://schemas.openxmlformats.org/officeDocument/2006/relationships/hyperlink" Target="https://coinmarketcap.com/currencies/pluton" TargetMode="External"/><Relationship Id="rId384" Type="http://schemas.openxmlformats.org/officeDocument/2006/relationships/hyperlink" Target="https://coinmarketcap.com/currencies/lampix" TargetMode="External"/><Relationship Id="rId591" Type="http://schemas.openxmlformats.org/officeDocument/2006/relationships/hyperlink" Target="https://coinmarketcap.com/currencies/remicoin" TargetMode="External"/><Relationship Id="rId605" Type="http://schemas.openxmlformats.org/officeDocument/2006/relationships/hyperlink" Target="https://coinmarketcap.com/currencies/octanox" TargetMode="External"/><Relationship Id="rId787" Type="http://schemas.openxmlformats.org/officeDocument/2006/relationships/hyperlink" Target="https://coinmarketcap.com/currencies/reecoin" TargetMode="External"/><Relationship Id="rId812" Type="http://schemas.openxmlformats.org/officeDocument/2006/relationships/hyperlink" Target="https://coinmarketcap.com/currencies/litecoin-ultra" TargetMode="External"/><Relationship Id="rId994" Type="http://schemas.openxmlformats.org/officeDocument/2006/relationships/hyperlink" Target="https://coinmarketcap.com/currencies/flavorcoin" TargetMode="External"/><Relationship Id="rId1028" Type="http://schemas.openxmlformats.org/officeDocument/2006/relationships/hyperlink" Target="https://coinmarketcap.com/currencies/high-voltage" TargetMode="External"/><Relationship Id="rId1235" Type="http://schemas.openxmlformats.org/officeDocument/2006/relationships/hyperlink" Target="https://coinmarketcap.com/currencies/president-trump" TargetMode="External"/><Relationship Id="rId202" Type="http://schemas.openxmlformats.org/officeDocument/2006/relationships/hyperlink" Target="https://coinmarketcap.com/currencies/nuls" TargetMode="External"/><Relationship Id="rId244" Type="http://schemas.openxmlformats.org/officeDocument/2006/relationships/hyperlink" Target="https://coinmarketcap.com/currencies/fedoracoin" TargetMode="External"/><Relationship Id="rId647" Type="http://schemas.openxmlformats.org/officeDocument/2006/relationships/hyperlink" Target="https://coinmarketcap.com/currencies/accelerator-network" TargetMode="External"/><Relationship Id="rId689" Type="http://schemas.openxmlformats.org/officeDocument/2006/relationships/hyperlink" Target="https://coinmarketcap.com/currencies/fujinto" TargetMode="External"/><Relationship Id="rId854" Type="http://schemas.openxmlformats.org/officeDocument/2006/relationships/hyperlink" Target="https://coinmarketcap.com/currencies/fimkrypto" TargetMode="External"/><Relationship Id="rId896" Type="http://schemas.openxmlformats.org/officeDocument/2006/relationships/hyperlink" Target="https://coinmarketcap.com/currencies/ether-for-the-rest-of-the-world" TargetMode="External"/><Relationship Id="rId1081" Type="http://schemas.openxmlformats.org/officeDocument/2006/relationships/hyperlink" Target="https://coinmarketcap.com/currencies/bibox-token" TargetMode="External"/><Relationship Id="rId1277" Type="http://schemas.openxmlformats.org/officeDocument/2006/relationships/hyperlink" Target="https://coinmarketcap.com/currencies/stex" TargetMode="External"/><Relationship Id="rId1302" Type="http://schemas.openxmlformats.org/officeDocument/2006/relationships/hyperlink" Target="https://coinmarketcap.com/currencies/cubits" TargetMode="External"/><Relationship Id="rId39" Type="http://schemas.openxmlformats.org/officeDocument/2006/relationships/hyperlink" Target="https://coinmarketcap.com/currencies/ark" TargetMode="External"/><Relationship Id="rId286" Type="http://schemas.openxmlformats.org/officeDocument/2006/relationships/hyperlink" Target="https://coinmarketcap.com/currencies/eccoin" TargetMode="External"/><Relationship Id="rId451" Type="http://schemas.openxmlformats.org/officeDocument/2006/relationships/hyperlink" Target="https://coinmarketcap.com/currencies/parkbyte" TargetMode="External"/><Relationship Id="rId493" Type="http://schemas.openxmlformats.org/officeDocument/2006/relationships/hyperlink" Target="https://coinmarketcap.com/currencies/pandacoin-pnd" TargetMode="External"/><Relationship Id="rId507" Type="http://schemas.openxmlformats.org/officeDocument/2006/relationships/hyperlink" Target="https://coinmarketcap.com/currencies/vsync-vsx" TargetMode="External"/><Relationship Id="rId549" Type="http://schemas.openxmlformats.org/officeDocument/2006/relationships/hyperlink" Target="https://coinmarketcap.com/currencies/britcoin" TargetMode="External"/><Relationship Id="rId714" Type="http://schemas.openxmlformats.org/officeDocument/2006/relationships/hyperlink" Target="https://coinmarketcap.com/currencies/sativacoin" TargetMode="External"/><Relationship Id="rId756" Type="http://schemas.openxmlformats.org/officeDocument/2006/relationships/hyperlink" Target="https://coinmarketcap.com/currencies/chancoin" TargetMode="External"/><Relationship Id="rId921" Type="http://schemas.openxmlformats.org/officeDocument/2006/relationships/hyperlink" Target="https://coinmarketcap.com/currencies/wmcoin" TargetMode="External"/><Relationship Id="rId1137" Type="http://schemas.openxmlformats.org/officeDocument/2006/relationships/hyperlink" Target="https://coinmarketcap.com/currencies/techshares" TargetMode="External"/><Relationship Id="rId1179" Type="http://schemas.openxmlformats.org/officeDocument/2006/relationships/hyperlink" Target="https://coinmarketcap.com/currencies/netbit" TargetMode="External"/><Relationship Id="rId1344" Type="http://schemas.openxmlformats.org/officeDocument/2006/relationships/hyperlink" Target="https://coinmarketcap.com/currencies/teamup" TargetMode="External"/><Relationship Id="rId50" Type="http://schemas.openxmlformats.org/officeDocument/2006/relationships/hyperlink" Target="https://coinmarketcap.com/currencies/tenx" TargetMode="External"/><Relationship Id="rId104" Type="http://schemas.openxmlformats.org/officeDocument/2006/relationships/hyperlink" Target="https://coinmarketcap.com/currencies/storj" TargetMode="External"/><Relationship Id="rId146" Type="http://schemas.openxmlformats.org/officeDocument/2006/relationships/hyperlink" Target="https://coinmarketcap.com/currencies/delphy" TargetMode="External"/><Relationship Id="rId188" Type="http://schemas.openxmlformats.org/officeDocument/2006/relationships/hyperlink" Target="https://coinmarketcap.com/currencies/airswap" TargetMode="External"/><Relationship Id="rId311" Type="http://schemas.openxmlformats.org/officeDocument/2006/relationships/hyperlink" Target="https://coinmarketcap.com/currencies/artbyte" TargetMode="External"/><Relationship Id="rId353" Type="http://schemas.openxmlformats.org/officeDocument/2006/relationships/hyperlink" Target="https://coinmarketcap.com/currencies/clearpoll" TargetMode="External"/><Relationship Id="rId395" Type="http://schemas.openxmlformats.org/officeDocument/2006/relationships/hyperlink" Target="https://coinmarketcap.com/currencies/zoin" TargetMode="External"/><Relationship Id="rId409" Type="http://schemas.openxmlformats.org/officeDocument/2006/relationships/hyperlink" Target="https://coinmarketcap.com/currencies/masternodecoin" TargetMode="External"/><Relationship Id="rId560" Type="http://schemas.openxmlformats.org/officeDocument/2006/relationships/hyperlink" Target="https://coinmarketcap.com/currencies/denarius-dnr" TargetMode="External"/><Relationship Id="rId798" Type="http://schemas.openxmlformats.org/officeDocument/2006/relationships/hyperlink" Target="https://coinmarketcap.com/currencies/eryllium" TargetMode="External"/><Relationship Id="rId963" Type="http://schemas.openxmlformats.org/officeDocument/2006/relationships/hyperlink" Target="https://coinmarketcap.com/currencies/sling" TargetMode="External"/><Relationship Id="rId1039" Type="http://schemas.openxmlformats.org/officeDocument/2006/relationships/hyperlink" Target="https://coinmarketcap.com/currencies/antilitecoin" TargetMode="External"/><Relationship Id="rId1190" Type="http://schemas.openxmlformats.org/officeDocument/2006/relationships/hyperlink" Target="https://coinmarketcap.com/currencies/compcoin" TargetMode="External"/><Relationship Id="rId1204" Type="http://schemas.openxmlformats.org/officeDocument/2006/relationships/hyperlink" Target="https://coinmarketcap.com/currencies/glasscoin" TargetMode="External"/><Relationship Id="rId1246" Type="http://schemas.openxmlformats.org/officeDocument/2006/relationships/hyperlink" Target="https://coinmarketcap.com/currencies/ur" TargetMode="External"/><Relationship Id="rId92" Type="http://schemas.openxmlformats.org/officeDocument/2006/relationships/hyperlink" Target="https://coinmarketcap.com/currencies/raiden-network-token" TargetMode="External"/><Relationship Id="rId213" Type="http://schemas.openxmlformats.org/officeDocument/2006/relationships/hyperlink" Target="https://coinmarketcap.com/currencies/pascal-coin" TargetMode="External"/><Relationship Id="rId420" Type="http://schemas.openxmlformats.org/officeDocument/2006/relationships/hyperlink" Target="https://coinmarketcap.com/currencies/bonpay" TargetMode="External"/><Relationship Id="rId616" Type="http://schemas.openxmlformats.org/officeDocument/2006/relationships/hyperlink" Target="https://coinmarketcap.com/currencies/titcoin" TargetMode="External"/><Relationship Id="rId658" Type="http://schemas.openxmlformats.org/officeDocument/2006/relationships/hyperlink" Target="https://coinmarketcap.com/currencies/nyancoin" TargetMode="External"/><Relationship Id="rId823" Type="http://schemas.openxmlformats.org/officeDocument/2006/relationships/hyperlink" Target="https://coinmarketcap.com/currencies/doubloon" TargetMode="External"/><Relationship Id="rId865" Type="http://schemas.openxmlformats.org/officeDocument/2006/relationships/hyperlink" Target="https://coinmarketcap.com/currencies/gimli" TargetMode="External"/><Relationship Id="rId1050" Type="http://schemas.openxmlformats.org/officeDocument/2006/relationships/hyperlink" Target="https://coinmarketcap.com/currencies/bitvolt" TargetMode="External"/><Relationship Id="rId1288" Type="http://schemas.openxmlformats.org/officeDocument/2006/relationships/hyperlink" Target="https://coinmarketcap.com/currencies/eltc" TargetMode="External"/><Relationship Id="rId255" Type="http://schemas.openxmlformats.org/officeDocument/2006/relationships/hyperlink" Target="https://coinmarketcap.com/currencies/heat-ledger" TargetMode="External"/><Relationship Id="rId297" Type="http://schemas.openxmlformats.org/officeDocument/2006/relationships/hyperlink" Target="https://coinmarketcap.com/currencies/xaurum" TargetMode="External"/><Relationship Id="rId462" Type="http://schemas.openxmlformats.org/officeDocument/2006/relationships/hyperlink" Target="https://coinmarketcap.com/currencies/asiacoin" TargetMode="External"/><Relationship Id="rId518" Type="http://schemas.openxmlformats.org/officeDocument/2006/relationships/hyperlink" Target="https://coinmarketcap.com/currencies/payfair" TargetMode="External"/><Relationship Id="rId725" Type="http://schemas.openxmlformats.org/officeDocument/2006/relationships/hyperlink" Target="https://coinmarketcap.com/currencies/motocoin" TargetMode="External"/><Relationship Id="rId932" Type="http://schemas.openxmlformats.org/officeDocument/2006/relationships/hyperlink" Target="https://coinmarketcap.com/currencies/hexx" TargetMode="External"/><Relationship Id="rId1092" Type="http://schemas.openxmlformats.org/officeDocument/2006/relationships/hyperlink" Target="https://coinmarketcap.com/currencies/sophiatx" TargetMode="External"/><Relationship Id="rId1106" Type="http://schemas.openxmlformats.org/officeDocument/2006/relationships/hyperlink" Target="https://coinmarketcap.com/currencies/ug-token" TargetMode="External"/><Relationship Id="rId1148" Type="http://schemas.openxmlformats.org/officeDocument/2006/relationships/hyperlink" Target="https://coinmarketcap.com/currencies/msd" TargetMode="External"/><Relationship Id="rId1313" Type="http://schemas.openxmlformats.org/officeDocument/2006/relationships/hyperlink" Target="https://coinmarketcap.com/currencies/lathaan" TargetMode="External"/><Relationship Id="rId1355" Type="http://schemas.openxmlformats.org/officeDocument/2006/relationships/hyperlink" Target="https://coinmarketcap.com/currencies/lazaruscoin" TargetMode="External"/><Relationship Id="rId115" Type="http://schemas.openxmlformats.org/officeDocument/2006/relationships/hyperlink" Target="https://coinmarketcap.com/currencies/metaverse" TargetMode="External"/><Relationship Id="rId157" Type="http://schemas.openxmlformats.org/officeDocument/2006/relationships/hyperlink" Target="https://coinmarketcap.com/currencies/monetha" TargetMode="External"/><Relationship Id="rId322" Type="http://schemas.openxmlformats.org/officeDocument/2006/relationships/hyperlink" Target="https://coinmarketcap.com/currencies/oxycoin" TargetMode="External"/><Relationship Id="rId364" Type="http://schemas.openxmlformats.org/officeDocument/2006/relationships/hyperlink" Target="https://coinmarketcap.com/currencies/htmlcoin" TargetMode="External"/><Relationship Id="rId767" Type="http://schemas.openxmlformats.org/officeDocument/2006/relationships/hyperlink" Target="https://coinmarketcap.com/currencies/808coin" TargetMode="External"/><Relationship Id="rId974" Type="http://schemas.openxmlformats.org/officeDocument/2006/relationships/hyperlink" Target="https://coinmarketcap.com/currencies/litecred" TargetMode="External"/><Relationship Id="rId1008" Type="http://schemas.openxmlformats.org/officeDocument/2006/relationships/hyperlink" Target="https://coinmarketcap.com/currencies/cryptoworldx-token" TargetMode="External"/><Relationship Id="rId1215" Type="http://schemas.openxmlformats.org/officeDocument/2006/relationships/hyperlink" Target="https://coinmarketcap.com/currencies/xylo" TargetMode="External"/><Relationship Id="rId61" Type="http://schemas.openxmlformats.org/officeDocument/2006/relationships/hyperlink" Target="https://coinmarketcap.com/currencies/santiment" TargetMode="External"/><Relationship Id="rId199" Type="http://schemas.openxmlformats.org/officeDocument/2006/relationships/hyperlink" Target="https://coinmarketcap.com/currencies/crown" TargetMode="External"/><Relationship Id="rId571" Type="http://schemas.openxmlformats.org/officeDocument/2006/relationships/hyperlink" Target="https://coinmarketcap.com/currencies/supercoin" TargetMode="External"/><Relationship Id="rId627" Type="http://schemas.openxmlformats.org/officeDocument/2006/relationships/hyperlink" Target="https://coinmarketcap.com/currencies/gaia" TargetMode="External"/><Relationship Id="rId669" Type="http://schemas.openxmlformats.org/officeDocument/2006/relationships/hyperlink" Target="https://coinmarketcap.com/currencies/paycoin2" TargetMode="External"/><Relationship Id="rId834" Type="http://schemas.openxmlformats.org/officeDocument/2006/relationships/hyperlink" Target="https://coinmarketcap.com/currencies/argus" TargetMode="External"/><Relationship Id="rId876" Type="http://schemas.openxmlformats.org/officeDocument/2006/relationships/hyperlink" Target="https://coinmarketcap.com/currencies/etheriya" TargetMode="External"/><Relationship Id="rId1257" Type="http://schemas.openxmlformats.org/officeDocument/2006/relationships/hyperlink" Target="https://coinmarketcap.com/currencies/eusd" TargetMode="External"/><Relationship Id="rId1299" Type="http://schemas.openxmlformats.org/officeDocument/2006/relationships/hyperlink" Target="https://coinmarketcap.com/currencies/mobilecash" TargetMode="External"/><Relationship Id="rId19" Type="http://schemas.openxmlformats.org/officeDocument/2006/relationships/hyperlink" Target="https://coinmarketcap.com/currencies/verge" TargetMode="External"/><Relationship Id="rId224" Type="http://schemas.openxmlformats.org/officeDocument/2006/relationships/hyperlink" Target="https://coinmarketcap.com/currencies/peerplays-ppy" TargetMode="External"/><Relationship Id="rId266" Type="http://schemas.openxmlformats.org/officeDocument/2006/relationships/hyperlink" Target="https://coinmarketcap.com/currencies/clams" TargetMode="External"/><Relationship Id="rId431" Type="http://schemas.openxmlformats.org/officeDocument/2006/relationships/hyperlink" Target="https://coinmarketcap.com/currencies/sportyfi" TargetMode="External"/><Relationship Id="rId473" Type="http://schemas.openxmlformats.org/officeDocument/2006/relationships/hyperlink" Target="https://coinmarketcap.com/currencies/adshares" TargetMode="External"/><Relationship Id="rId529" Type="http://schemas.openxmlformats.org/officeDocument/2006/relationships/hyperlink" Target="https://coinmarketcap.com/currencies/bitcoinz" TargetMode="External"/><Relationship Id="rId680" Type="http://schemas.openxmlformats.org/officeDocument/2006/relationships/hyperlink" Target="https://coinmarketcap.com/currencies/litecoin-plus" TargetMode="External"/><Relationship Id="rId736" Type="http://schemas.openxmlformats.org/officeDocument/2006/relationships/hyperlink" Target="https://coinmarketcap.com/currencies/dalecoin" TargetMode="External"/><Relationship Id="rId901" Type="http://schemas.openxmlformats.org/officeDocument/2006/relationships/hyperlink" Target="https://coinmarketcap.com/currencies/iticoin" TargetMode="External"/><Relationship Id="rId1061" Type="http://schemas.openxmlformats.org/officeDocument/2006/relationships/hyperlink" Target="https://coinmarketcap.com/currencies/nodecoin" TargetMode="External"/><Relationship Id="rId1117" Type="http://schemas.openxmlformats.org/officeDocument/2006/relationships/hyperlink" Target="https://coinmarketcap.com/currencies/dynamic-trading-rights" TargetMode="External"/><Relationship Id="rId1159" Type="http://schemas.openxmlformats.org/officeDocument/2006/relationships/hyperlink" Target="https://coinmarketcap.com/currencies/suretly" TargetMode="External"/><Relationship Id="rId1324" Type="http://schemas.openxmlformats.org/officeDocument/2006/relationships/hyperlink" Target="https://coinmarketcap.com/currencies/antimatter" TargetMode="External"/><Relationship Id="rId1366" Type="http://schemas.openxmlformats.org/officeDocument/2006/relationships/hyperlink" Target="https://coinmarketcap.com/currencies/yellow-token" TargetMode="External"/><Relationship Id="rId30" Type="http://schemas.openxmlformats.org/officeDocument/2006/relationships/hyperlink" Target="https://coinmarketcap.com/currencies/tether" TargetMode="External"/><Relationship Id="rId126" Type="http://schemas.openxmlformats.org/officeDocument/2006/relationships/hyperlink" Target="https://coinmarketcap.com/currencies/zencash" TargetMode="External"/><Relationship Id="rId168" Type="http://schemas.openxmlformats.org/officeDocument/2006/relationships/hyperlink" Target="https://coinmarketcap.com/currencies/amber" TargetMode="External"/><Relationship Id="rId333" Type="http://schemas.openxmlformats.org/officeDocument/2006/relationships/hyperlink" Target="https://coinmarketcap.com/currencies/propy" TargetMode="External"/><Relationship Id="rId540" Type="http://schemas.openxmlformats.org/officeDocument/2006/relationships/hyperlink" Target="https://coinmarketcap.com/currencies/crowdcoin" TargetMode="External"/><Relationship Id="rId778" Type="http://schemas.openxmlformats.org/officeDocument/2006/relationships/hyperlink" Target="https://coinmarketcap.com/currencies/usde" TargetMode="External"/><Relationship Id="rId943" Type="http://schemas.openxmlformats.org/officeDocument/2006/relationships/hyperlink" Target="https://coinmarketcap.com/currencies/zetamicron" TargetMode="External"/><Relationship Id="rId985" Type="http://schemas.openxmlformats.org/officeDocument/2006/relationships/hyperlink" Target="https://coinmarketcap.com/currencies/flaxscript" TargetMode="External"/><Relationship Id="rId1019" Type="http://schemas.openxmlformats.org/officeDocument/2006/relationships/hyperlink" Target="https://coinmarketcap.com/currencies/arbit" TargetMode="External"/><Relationship Id="rId1170" Type="http://schemas.openxmlformats.org/officeDocument/2006/relationships/hyperlink" Target="https://coinmarketcap.com/currencies/exrnchain" TargetMode="External"/><Relationship Id="rId72" Type="http://schemas.openxmlformats.org/officeDocument/2006/relationships/hyperlink" Target="https://coinmarketcap.com/currencies/gas" TargetMode="External"/><Relationship Id="rId375" Type="http://schemas.openxmlformats.org/officeDocument/2006/relationships/hyperlink" Target="https://coinmarketcap.com/currencies/dynamic" TargetMode="External"/><Relationship Id="rId582" Type="http://schemas.openxmlformats.org/officeDocument/2006/relationships/hyperlink" Target="https://coinmarketcap.com/currencies/dinastycoin" TargetMode="External"/><Relationship Id="rId638" Type="http://schemas.openxmlformats.org/officeDocument/2006/relationships/hyperlink" Target="https://coinmarketcap.com/currencies/unity-ingot" TargetMode="External"/><Relationship Id="rId803" Type="http://schemas.openxmlformats.org/officeDocument/2006/relationships/hyperlink" Target="https://coinmarketcap.com/currencies/solarflarecoin" TargetMode="External"/><Relationship Id="rId845" Type="http://schemas.openxmlformats.org/officeDocument/2006/relationships/hyperlink" Target="https://coinmarketcap.com/currencies/supernet-unity" TargetMode="External"/><Relationship Id="rId1030" Type="http://schemas.openxmlformats.org/officeDocument/2006/relationships/hyperlink" Target="https://coinmarketcap.com/currencies/agrolifecoin" TargetMode="External"/><Relationship Id="rId1226" Type="http://schemas.openxmlformats.org/officeDocument/2006/relationships/hyperlink" Target="https://coinmarketcap.com/currencies/anryze" TargetMode="External"/><Relationship Id="rId1268" Type="http://schemas.openxmlformats.org/officeDocument/2006/relationships/hyperlink" Target="https://coinmarketcap.com/currencies/universalroyalcoin" TargetMode="External"/><Relationship Id="rId3" Type="http://schemas.openxmlformats.org/officeDocument/2006/relationships/hyperlink" Target="https://coinmarketcap.com/currencies/ripple" TargetMode="External"/><Relationship Id="rId235" Type="http://schemas.openxmlformats.org/officeDocument/2006/relationships/hyperlink" Target="https://coinmarketcap.com/currencies/adtoken" TargetMode="External"/><Relationship Id="rId277" Type="http://schemas.openxmlformats.org/officeDocument/2006/relationships/hyperlink" Target="https://coinmarketcap.com/currencies/rivetz" TargetMode="External"/><Relationship Id="rId400" Type="http://schemas.openxmlformats.org/officeDocument/2006/relationships/hyperlink" Target="https://coinmarketcap.com/currencies/dubaicoin-dbix" TargetMode="External"/><Relationship Id="rId442" Type="http://schemas.openxmlformats.org/officeDocument/2006/relationships/hyperlink" Target="https://coinmarketcap.com/currencies/primalbase" TargetMode="External"/><Relationship Id="rId484" Type="http://schemas.openxmlformats.org/officeDocument/2006/relationships/hyperlink" Target="https://coinmarketcap.com/currencies/vivo" TargetMode="External"/><Relationship Id="rId705" Type="http://schemas.openxmlformats.org/officeDocument/2006/relationships/hyperlink" Target="https://coinmarketcap.com/currencies/ethereum-dark" TargetMode="External"/><Relationship Id="rId887" Type="http://schemas.openxmlformats.org/officeDocument/2006/relationships/hyperlink" Target="https://coinmarketcap.com/currencies/purevidz" TargetMode="External"/><Relationship Id="rId1072" Type="http://schemas.openxmlformats.org/officeDocument/2006/relationships/hyperlink" Target="https://coinmarketcap.com/currencies/atmcoin" TargetMode="External"/><Relationship Id="rId1128" Type="http://schemas.openxmlformats.org/officeDocument/2006/relationships/hyperlink" Target="https://coinmarketcap.com/currencies/safe-exchange-coin" TargetMode="External"/><Relationship Id="rId1335" Type="http://schemas.openxmlformats.org/officeDocument/2006/relationships/hyperlink" Target="https://coinmarketcap.com/currencies/bongger" TargetMode="External"/><Relationship Id="rId137" Type="http://schemas.openxmlformats.org/officeDocument/2006/relationships/hyperlink" Target="https://coinmarketcap.com/currencies/loopring" TargetMode="External"/><Relationship Id="rId302" Type="http://schemas.openxmlformats.org/officeDocument/2006/relationships/hyperlink" Target="https://coinmarketcap.com/currencies/change" TargetMode="External"/><Relationship Id="rId344" Type="http://schemas.openxmlformats.org/officeDocument/2006/relationships/hyperlink" Target="https://coinmarketcap.com/currencies/bounty0x" TargetMode="External"/><Relationship Id="rId691" Type="http://schemas.openxmlformats.org/officeDocument/2006/relationships/hyperlink" Target="https://coinmarketcap.com/currencies/pakcoin" TargetMode="External"/><Relationship Id="rId747" Type="http://schemas.openxmlformats.org/officeDocument/2006/relationships/hyperlink" Target="https://coinmarketcap.com/currencies/wyvern" TargetMode="External"/><Relationship Id="rId789" Type="http://schemas.openxmlformats.org/officeDocument/2006/relationships/hyperlink" Target="https://coinmarketcap.com/currencies/cachecoin" TargetMode="External"/><Relationship Id="rId912" Type="http://schemas.openxmlformats.org/officeDocument/2006/relationships/hyperlink" Target="https://coinmarketcap.com/currencies/advanced-internet-blocks" TargetMode="External"/><Relationship Id="rId954" Type="http://schemas.openxmlformats.org/officeDocument/2006/relationships/hyperlink" Target="https://coinmarketcap.com/currencies/digital-rupees" TargetMode="External"/><Relationship Id="rId996" Type="http://schemas.openxmlformats.org/officeDocument/2006/relationships/hyperlink" Target="https://coinmarketcap.com/currencies/useless-ethereum-token" TargetMode="External"/><Relationship Id="rId1377" Type="http://schemas.openxmlformats.org/officeDocument/2006/relationships/hyperlink" Target="https://coinmarketcap.com/currencies/bixc" TargetMode="External"/><Relationship Id="rId41" Type="http://schemas.openxmlformats.org/officeDocument/2006/relationships/hyperlink" Target="https://coinmarketcap.com/currencies/veritaseum" TargetMode="External"/><Relationship Id="rId83" Type="http://schemas.openxmlformats.org/officeDocument/2006/relationships/hyperlink" Target="https://coinmarketcap.com/currencies/gnosis-gno" TargetMode="External"/><Relationship Id="rId179" Type="http://schemas.openxmlformats.org/officeDocument/2006/relationships/hyperlink" Target="https://coinmarketcap.com/currencies/yoyow" TargetMode="External"/><Relationship Id="rId386" Type="http://schemas.openxmlformats.org/officeDocument/2006/relationships/hyperlink" Target="https://coinmarketcap.com/currencies/goldcoin" TargetMode="External"/><Relationship Id="rId551" Type="http://schemas.openxmlformats.org/officeDocument/2006/relationships/hyperlink" Target="https://coinmarketcap.com/currencies/swaptoken" TargetMode="External"/><Relationship Id="rId593" Type="http://schemas.openxmlformats.org/officeDocument/2006/relationships/hyperlink" Target="https://coinmarketcap.com/currencies/shadowcash" TargetMode="External"/><Relationship Id="rId607" Type="http://schemas.openxmlformats.org/officeDocument/2006/relationships/hyperlink" Target="https://coinmarketcap.com/currencies/orbitcoin" TargetMode="External"/><Relationship Id="rId649" Type="http://schemas.openxmlformats.org/officeDocument/2006/relationships/hyperlink" Target="https://coinmarketcap.com/currencies/kurrent" TargetMode="External"/><Relationship Id="rId814" Type="http://schemas.openxmlformats.org/officeDocument/2006/relationships/hyperlink" Target="https://coinmarketcap.com/currencies/coinonat" TargetMode="External"/><Relationship Id="rId856" Type="http://schemas.openxmlformats.org/officeDocument/2006/relationships/hyperlink" Target="https://coinmarketcap.com/currencies/ico-openledger" TargetMode="External"/><Relationship Id="rId1181" Type="http://schemas.openxmlformats.org/officeDocument/2006/relationships/hyperlink" Target="https://coinmarketcap.com/currencies/peepcoin" TargetMode="External"/><Relationship Id="rId1237" Type="http://schemas.openxmlformats.org/officeDocument/2006/relationships/hyperlink" Target="https://coinmarketcap.com/currencies/rublebit" TargetMode="External"/><Relationship Id="rId1279" Type="http://schemas.openxmlformats.org/officeDocument/2006/relationships/hyperlink" Target="https://coinmarketcap.com/currencies/rupaya-old" TargetMode="External"/><Relationship Id="rId190" Type="http://schemas.openxmlformats.org/officeDocument/2006/relationships/hyperlink" Target="https://coinmarketcap.com/currencies/lykke" TargetMode="External"/><Relationship Id="rId204" Type="http://schemas.openxmlformats.org/officeDocument/2006/relationships/hyperlink" Target="https://coinmarketcap.com/currencies/minexcoin" TargetMode="External"/><Relationship Id="rId246" Type="http://schemas.openxmlformats.org/officeDocument/2006/relationships/hyperlink" Target="https://coinmarketcap.com/currencies/genesis-vision" TargetMode="External"/><Relationship Id="rId288" Type="http://schemas.openxmlformats.org/officeDocument/2006/relationships/hyperlink" Target="https://coinmarketcap.com/currencies/leocoin" TargetMode="External"/><Relationship Id="rId411" Type="http://schemas.openxmlformats.org/officeDocument/2006/relationships/hyperlink" Target="https://coinmarketcap.com/currencies/hedge" TargetMode="External"/><Relationship Id="rId453" Type="http://schemas.openxmlformats.org/officeDocument/2006/relationships/hyperlink" Target="https://coinmarketcap.com/currencies/pure" TargetMode="External"/><Relationship Id="rId509" Type="http://schemas.openxmlformats.org/officeDocument/2006/relationships/hyperlink" Target="https://coinmarketcap.com/currencies/worldcoin" TargetMode="External"/><Relationship Id="rId660" Type="http://schemas.openxmlformats.org/officeDocument/2006/relationships/hyperlink" Target="https://coinmarketcap.com/currencies/maxcoin" TargetMode="External"/><Relationship Id="rId898" Type="http://schemas.openxmlformats.org/officeDocument/2006/relationships/hyperlink" Target="https://coinmarketcap.com/currencies/freicoin" TargetMode="External"/><Relationship Id="rId1041" Type="http://schemas.openxmlformats.org/officeDocument/2006/relationships/hyperlink" Target="https://coinmarketcap.com/currencies/p7coin" TargetMode="External"/><Relationship Id="rId1083" Type="http://schemas.openxmlformats.org/officeDocument/2006/relationships/hyperlink" Target="https://coinmarketcap.com/currencies/comsa-eth" TargetMode="External"/><Relationship Id="rId1139" Type="http://schemas.openxmlformats.org/officeDocument/2006/relationships/hyperlink" Target="https://coinmarketcap.com/currencies/stronghands" TargetMode="External"/><Relationship Id="rId1290" Type="http://schemas.openxmlformats.org/officeDocument/2006/relationships/hyperlink" Target="https://coinmarketcap.com/currencies/moneta2" TargetMode="External"/><Relationship Id="rId1304" Type="http://schemas.openxmlformats.org/officeDocument/2006/relationships/hyperlink" Target="https://coinmarketcap.com/currencies/10mtoken" TargetMode="External"/><Relationship Id="rId1346" Type="http://schemas.openxmlformats.org/officeDocument/2006/relationships/hyperlink" Target="https://coinmarketcap.com/currencies/peoplecoin" TargetMode="External"/><Relationship Id="rId106" Type="http://schemas.openxmlformats.org/officeDocument/2006/relationships/hyperlink" Target="https://coinmarketcap.com/currencies/particl" TargetMode="External"/><Relationship Id="rId313" Type="http://schemas.openxmlformats.org/officeDocument/2006/relationships/hyperlink" Target="https://coinmarketcap.com/currencies/bismuth" TargetMode="External"/><Relationship Id="rId495" Type="http://schemas.openxmlformats.org/officeDocument/2006/relationships/hyperlink" Target="https://coinmarketcap.com/currencies/embers" TargetMode="External"/><Relationship Id="rId716" Type="http://schemas.openxmlformats.org/officeDocument/2006/relationships/hyperlink" Target="https://coinmarketcap.com/currencies/aricoin" TargetMode="External"/><Relationship Id="rId758" Type="http://schemas.openxmlformats.org/officeDocument/2006/relationships/hyperlink" Target="https://coinmarketcap.com/currencies/grimcoin" TargetMode="External"/><Relationship Id="rId923" Type="http://schemas.openxmlformats.org/officeDocument/2006/relationships/hyperlink" Target="https://coinmarketcap.com/currencies/bumbacoin" TargetMode="External"/><Relationship Id="rId965" Type="http://schemas.openxmlformats.org/officeDocument/2006/relationships/hyperlink" Target="https://coinmarketcap.com/currencies/compucoin" TargetMode="External"/><Relationship Id="rId1150" Type="http://schemas.openxmlformats.org/officeDocument/2006/relationships/hyperlink" Target="https://coinmarketcap.com/currencies/adcoin" TargetMode="External"/><Relationship Id="rId10" Type="http://schemas.openxmlformats.org/officeDocument/2006/relationships/hyperlink" Target="https://coinmarketcap.com/currencies/eos" TargetMode="External"/><Relationship Id="rId52" Type="http://schemas.openxmlformats.org/officeDocument/2006/relationships/hyperlink" Target="https://coinmarketcap.com/currencies/maidsafecoin" TargetMode="External"/><Relationship Id="rId94" Type="http://schemas.openxmlformats.org/officeDocument/2006/relationships/hyperlink" Target="https://coinmarketcap.com/currencies/einsteinium" TargetMode="External"/><Relationship Id="rId148" Type="http://schemas.openxmlformats.org/officeDocument/2006/relationships/hyperlink" Target="https://coinmarketcap.com/currencies/pura" TargetMode="External"/><Relationship Id="rId355" Type="http://schemas.openxmlformats.org/officeDocument/2006/relationships/hyperlink" Target="https://coinmarketcap.com/currencies/earthcoin" TargetMode="External"/><Relationship Id="rId397" Type="http://schemas.openxmlformats.org/officeDocument/2006/relationships/hyperlink" Target="https://coinmarketcap.com/currencies/kilocoin" TargetMode="External"/><Relationship Id="rId520" Type="http://schemas.openxmlformats.org/officeDocument/2006/relationships/hyperlink" Target="https://coinmarketcap.com/currencies/luckchain" TargetMode="External"/><Relationship Id="rId562" Type="http://schemas.openxmlformats.org/officeDocument/2006/relationships/hyperlink" Target="https://coinmarketcap.com/currencies/goldblocks" TargetMode="External"/><Relationship Id="rId618" Type="http://schemas.openxmlformats.org/officeDocument/2006/relationships/hyperlink" Target="https://coinmarketcap.com/currencies/fluttercoin" TargetMode="External"/><Relationship Id="rId825" Type="http://schemas.openxmlformats.org/officeDocument/2006/relationships/hyperlink" Target="https://coinmarketcap.com/currencies/vaperscoin" TargetMode="External"/><Relationship Id="rId1192" Type="http://schemas.openxmlformats.org/officeDocument/2006/relationships/hyperlink" Target="https://coinmarketcap.com/currencies/phantomx" TargetMode="External"/><Relationship Id="rId1206" Type="http://schemas.openxmlformats.org/officeDocument/2006/relationships/hyperlink" Target="https://coinmarketcap.com/currencies/pluscoin" TargetMode="External"/><Relationship Id="rId1248" Type="http://schemas.openxmlformats.org/officeDocument/2006/relationships/hyperlink" Target="https://coinmarketcap.com/currencies/pinkdog" TargetMode="External"/><Relationship Id="rId215" Type="http://schemas.openxmlformats.org/officeDocument/2006/relationships/hyperlink" Target="https://coinmarketcap.com/currencies/phore" TargetMode="External"/><Relationship Id="rId257" Type="http://schemas.openxmlformats.org/officeDocument/2006/relationships/hyperlink" Target="https://coinmarketcap.com/currencies/nimiq" TargetMode="External"/><Relationship Id="rId422" Type="http://schemas.openxmlformats.org/officeDocument/2006/relationships/hyperlink" Target="https://coinmarketcap.com/currencies/dcorp" TargetMode="External"/><Relationship Id="rId464" Type="http://schemas.openxmlformats.org/officeDocument/2006/relationships/hyperlink" Target="https://coinmarketcap.com/currencies/hyperstake" TargetMode="External"/><Relationship Id="rId867" Type="http://schemas.openxmlformats.org/officeDocument/2006/relationships/hyperlink" Target="https://coinmarketcap.com/currencies/shorty" TargetMode="External"/><Relationship Id="rId1010" Type="http://schemas.openxmlformats.org/officeDocument/2006/relationships/hyperlink" Target="https://coinmarketcap.com/currencies/tagrcoin" TargetMode="External"/><Relationship Id="rId1052" Type="http://schemas.openxmlformats.org/officeDocument/2006/relationships/hyperlink" Target="https://coinmarketcap.com/currencies/tradecoin-v2" TargetMode="External"/><Relationship Id="rId1094" Type="http://schemas.openxmlformats.org/officeDocument/2006/relationships/hyperlink" Target="https://coinmarketcap.com/currencies/genaro-network" TargetMode="External"/><Relationship Id="rId1108" Type="http://schemas.openxmlformats.org/officeDocument/2006/relationships/hyperlink" Target="https://coinmarketcap.com/currencies/naga" TargetMode="External"/><Relationship Id="rId1315" Type="http://schemas.openxmlformats.org/officeDocument/2006/relationships/hyperlink" Target="https://coinmarketcap.com/currencies/quebecoin" TargetMode="External"/><Relationship Id="rId299" Type="http://schemas.openxmlformats.org/officeDocument/2006/relationships/hyperlink" Target="https://coinmarketcap.com/currencies/circuits-of-value" TargetMode="External"/><Relationship Id="rId727" Type="http://schemas.openxmlformats.org/officeDocument/2006/relationships/hyperlink" Target="https://coinmarketcap.com/currencies/digicube" TargetMode="External"/><Relationship Id="rId934" Type="http://schemas.openxmlformats.org/officeDocument/2006/relationships/hyperlink" Target="https://coinmarketcap.com/currencies/grantcoin" TargetMode="External"/><Relationship Id="rId1357" Type="http://schemas.openxmlformats.org/officeDocument/2006/relationships/hyperlink" Target="https://coinmarketcap.com/currencies/trickycoin" TargetMode="External"/><Relationship Id="rId63" Type="http://schemas.openxmlformats.org/officeDocument/2006/relationships/hyperlink" Target="https://coinmarketcap.com/currencies/qash" TargetMode="External"/><Relationship Id="rId159" Type="http://schemas.openxmlformats.org/officeDocument/2006/relationships/hyperlink" Target="https://coinmarketcap.com/currencies/ethlend" TargetMode="External"/><Relationship Id="rId366" Type="http://schemas.openxmlformats.org/officeDocument/2006/relationships/hyperlink" Target="https://coinmarketcap.com/currencies/project-decorum" TargetMode="External"/><Relationship Id="rId573" Type="http://schemas.openxmlformats.org/officeDocument/2006/relationships/hyperlink" Target="https://coinmarketcap.com/currencies/tracto" TargetMode="External"/><Relationship Id="rId780" Type="http://schemas.openxmlformats.org/officeDocument/2006/relationships/hyperlink" Target="https://coinmarketcap.com/currencies/dfscoin" TargetMode="External"/><Relationship Id="rId1217" Type="http://schemas.openxmlformats.org/officeDocument/2006/relationships/hyperlink" Target="https://coinmarketcap.com/currencies/fonziecoin" TargetMode="External"/><Relationship Id="rId226" Type="http://schemas.openxmlformats.org/officeDocument/2006/relationships/hyperlink" Target="https://coinmarketcap.com/currencies/mysterium" TargetMode="External"/><Relationship Id="rId433" Type="http://schemas.openxmlformats.org/officeDocument/2006/relationships/hyperlink" Target="https://coinmarketcap.com/currencies/toacoin" TargetMode="External"/><Relationship Id="rId878" Type="http://schemas.openxmlformats.org/officeDocument/2006/relationships/hyperlink" Target="https://coinmarketcap.com/currencies/btsr" TargetMode="External"/><Relationship Id="rId1063" Type="http://schemas.openxmlformats.org/officeDocument/2006/relationships/hyperlink" Target="https://coinmarketcap.com/currencies/sojourn" TargetMode="External"/><Relationship Id="rId1270" Type="http://schemas.openxmlformats.org/officeDocument/2006/relationships/hyperlink" Target="https://coinmarketcap.com/currencies/mmxvi" TargetMode="External"/><Relationship Id="rId640" Type="http://schemas.openxmlformats.org/officeDocument/2006/relationships/hyperlink" Target="https://coinmarketcap.com/currencies/ethbet" TargetMode="External"/><Relationship Id="rId738" Type="http://schemas.openxmlformats.org/officeDocument/2006/relationships/hyperlink" Target="https://coinmarketcap.com/currencies/virtacoinplus" TargetMode="External"/><Relationship Id="rId945" Type="http://schemas.openxmlformats.org/officeDocument/2006/relationships/hyperlink" Target="https://coinmarketcap.com/currencies/px" TargetMode="External"/><Relationship Id="rId1368" Type="http://schemas.openxmlformats.org/officeDocument/2006/relationships/hyperlink" Target="https://coinmarketcap.com/currencies/sync" TargetMode="External"/><Relationship Id="rId74" Type="http://schemas.openxmlformats.org/officeDocument/2006/relationships/hyperlink" Target="https://coinmarketcap.com/currencies/skycoin" TargetMode="External"/><Relationship Id="rId377" Type="http://schemas.openxmlformats.org/officeDocument/2006/relationships/hyperlink" Target="https://coinmarketcap.com/currencies/internxt" TargetMode="External"/><Relationship Id="rId500" Type="http://schemas.openxmlformats.org/officeDocument/2006/relationships/hyperlink" Target="https://coinmarketcap.com/currencies/bytecent" TargetMode="External"/><Relationship Id="rId584" Type="http://schemas.openxmlformats.org/officeDocument/2006/relationships/hyperlink" Target="https://coinmarketcap.com/currencies/unify" TargetMode="External"/><Relationship Id="rId805" Type="http://schemas.openxmlformats.org/officeDocument/2006/relationships/hyperlink" Target="https://coinmarketcap.com/currencies/dreamcoin" TargetMode="External"/><Relationship Id="rId1130" Type="http://schemas.openxmlformats.org/officeDocument/2006/relationships/hyperlink" Target="https://coinmarketcap.com/currencies/golos-gold" TargetMode="External"/><Relationship Id="rId1228" Type="http://schemas.openxmlformats.org/officeDocument/2006/relationships/hyperlink" Target="https://coinmarketcap.com/currencies/regacoin" TargetMode="External"/><Relationship Id="rId5" Type="http://schemas.openxmlformats.org/officeDocument/2006/relationships/hyperlink" Target="https://coinmarketcap.com/currencies/iota" TargetMode="External"/><Relationship Id="rId237" Type="http://schemas.openxmlformats.org/officeDocument/2006/relationships/hyperlink" Target="https://coinmarketcap.com/currencies/bitcore" TargetMode="External"/><Relationship Id="rId791" Type="http://schemas.openxmlformats.org/officeDocument/2006/relationships/hyperlink" Target="https://coinmarketcap.com/currencies/globaltoken" TargetMode="External"/><Relationship Id="rId889" Type="http://schemas.openxmlformats.org/officeDocument/2006/relationships/hyperlink" Target="https://coinmarketcap.com/currencies/ultimate-secure-cash" TargetMode="External"/><Relationship Id="rId1074" Type="http://schemas.openxmlformats.org/officeDocument/2006/relationships/hyperlink" Target="https://coinmarketcap.com/currencies/smartmesh" TargetMode="External"/><Relationship Id="rId444" Type="http://schemas.openxmlformats.org/officeDocument/2006/relationships/hyperlink" Target="https://coinmarketcap.com/currencies/yocoin" TargetMode="External"/><Relationship Id="rId651" Type="http://schemas.openxmlformats.org/officeDocument/2006/relationships/hyperlink" Target="https://coinmarketcap.com/currencies/joulecoin" TargetMode="External"/><Relationship Id="rId749" Type="http://schemas.openxmlformats.org/officeDocument/2006/relationships/hyperlink" Target="https://coinmarketcap.com/currencies/icobid" TargetMode="External"/><Relationship Id="rId1281" Type="http://schemas.openxmlformats.org/officeDocument/2006/relationships/hyperlink" Target="https://coinmarketcap.com/currencies/goldmaxcoin" TargetMode="External"/><Relationship Id="rId1379" Type="http://schemas.openxmlformats.org/officeDocument/2006/relationships/hyperlink" Target="https://coinmarketcap.com/currencies/tyrocoin" TargetMode="External"/><Relationship Id="rId290" Type="http://schemas.openxmlformats.org/officeDocument/2006/relationships/hyperlink" Target="https://coinmarketcap.com/currencies/airtoken" TargetMode="External"/><Relationship Id="rId304" Type="http://schemas.openxmlformats.org/officeDocument/2006/relationships/hyperlink" Target="https://coinmarketcap.com/currencies/atbcoin" TargetMode="External"/><Relationship Id="rId388" Type="http://schemas.openxmlformats.org/officeDocument/2006/relationships/hyperlink" Target="https://coinmarketcap.com/currencies/creditbit" TargetMode="External"/><Relationship Id="rId511" Type="http://schemas.openxmlformats.org/officeDocument/2006/relationships/hyperlink" Target="https://coinmarketcap.com/currencies/hubii-network" TargetMode="External"/><Relationship Id="rId609" Type="http://schemas.openxmlformats.org/officeDocument/2006/relationships/hyperlink" Target="https://coinmarketcap.com/currencies/growers-international" TargetMode="External"/><Relationship Id="rId956" Type="http://schemas.openxmlformats.org/officeDocument/2006/relationships/hyperlink" Target="https://coinmarketcap.com/currencies/nevacoin" TargetMode="External"/><Relationship Id="rId1141" Type="http://schemas.openxmlformats.org/officeDocument/2006/relationships/hyperlink" Target="https://coinmarketcap.com/currencies/infinitecoin" TargetMode="External"/><Relationship Id="rId1239" Type="http://schemas.openxmlformats.org/officeDocument/2006/relationships/hyperlink" Target="https://coinmarketcap.com/currencies/francs" TargetMode="External"/><Relationship Id="rId85" Type="http://schemas.openxmlformats.org/officeDocument/2006/relationships/hyperlink" Target="https://coinmarketcap.com/currencies/adx-net" TargetMode="External"/><Relationship Id="rId150" Type="http://schemas.openxmlformats.org/officeDocument/2006/relationships/hyperlink" Target="https://coinmarketcap.com/currencies/rlc" TargetMode="External"/><Relationship Id="rId595" Type="http://schemas.openxmlformats.org/officeDocument/2006/relationships/hyperlink" Target="https://coinmarketcap.com/currencies/authorship" TargetMode="External"/><Relationship Id="rId816" Type="http://schemas.openxmlformats.org/officeDocument/2006/relationships/hyperlink" Target="https://coinmarketcap.com/currencies/allsafe" TargetMode="External"/><Relationship Id="rId1001" Type="http://schemas.openxmlformats.org/officeDocument/2006/relationships/hyperlink" Target="https://coinmarketcap.com/currencies/chncoin" TargetMode="External"/><Relationship Id="rId248" Type="http://schemas.openxmlformats.org/officeDocument/2006/relationships/hyperlink" Target="https://coinmarketcap.com/currencies/rubycoin" TargetMode="External"/><Relationship Id="rId455" Type="http://schemas.openxmlformats.org/officeDocument/2006/relationships/hyperlink" Target="https://coinmarketcap.com/currencies/darcrus" TargetMode="External"/><Relationship Id="rId662" Type="http://schemas.openxmlformats.org/officeDocument/2006/relationships/hyperlink" Target="https://coinmarketcap.com/currencies/guncoin" TargetMode="External"/><Relationship Id="rId1085" Type="http://schemas.openxmlformats.org/officeDocument/2006/relationships/hyperlink" Target="https://coinmarketcap.com/currencies/poly-ai" TargetMode="External"/><Relationship Id="rId1292" Type="http://schemas.openxmlformats.org/officeDocument/2006/relationships/hyperlink" Target="https://coinmarketcap.com/currencies/yescoin" TargetMode="External"/><Relationship Id="rId1306" Type="http://schemas.openxmlformats.org/officeDocument/2006/relationships/hyperlink" Target="https://coinmarketcap.com/currencies/snakeeyes" TargetMode="External"/><Relationship Id="rId12" Type="http://schemas.openxmlformats.org/officeDocument/2006/relationships/hyperlink" Target="https://coinmarketcap.com/currencies/neo" TargetMode="External"/><Relationship Id="rId108" Type="http://schemas.openxmlformats.org/officeDocument/2006/relationships/hyperlink" Target="https://coinmarketcap.com/currencies/rise" TargetMode="External"/><Relationship Id="rId315" Type="http://schemas.openxmlformats.org/officeDocument/2006/relationships/hyperlink" Target="https://coinmarketcap.com/currencies/regalcoin" TargetMode="External"/><Relationship Id="rId522" Type="http://schemas.openxmlformats.org/officeDocument/2006/relationships/hyperlink" Target="https://coinmarketcap.com/currencies/adelphoi" TargetMode="External"/><Relationship Id="rId967" Type="http://schemas.openxmlformats.org/officeDocument/2006/relationships/hyperlink" Target="https://coinmarketcap.com/currencies/guccionecoin" TargetMode="External"/><Relationship Id="rId1152" Type="http://schemas.openxmlformats.org/officeDocument/2006/relationships/hyperlink" Target="https://coinmarketcap.com/currencies/storjcoin-x" TargetMode="External"/><Relationship Id="rId96" Type="http://schemas.openxmlformats.org/officeDocument/2006/relationships/hyperlink" Target="https://coinmarketcap.com/currencies/edgeless" TargetMode="External"/><Relationship Id="rId161" Type="http://schemas.openxmlformats.org/officeDocument/2006/relationships/hyperlink" Target="https://coinmarketcap.com/currencies/feathercoin" TargetMode="External"/><Relationship Id="rId399" Type="http://schemas.openxmlformats.org/officeDocument/2006/relationships/hyperlink" Target="https://coinmarketcap.com/currencies/universal-currency" TargetMode="External"/><Relationship Id="rId827" Type="http://schemas.openxmlformats.org/officeDocument/2006/relationships/hyperlink" Target="https://coinmarketcap.com/currencies/master-swiscoin" TargetMode="External"/><Relationship Id="rId1012" Type="http://schemas.openxmlformats.org/officeDocument/2006/relationships/hyperlink" Target="https://coinmarketcap.com/currencies/wild-beast-block" TargetMode="External"/><Relationship Id="rId259" Type="http://schemas.openxmlformats.org/officeDocument/2006/relationships/hyperlink" Target="https://coinmarketcap.com/currencies/mooncoin" TargetMode="External"/><Relationship Id="rId466" Type="http://schemas.openxmlformats.org/officeDocument/2006/relationships/hyperlink" Target="https://coinmarketcap.com/currencies/draftcoin" TargetMode="External"/><Relationship Id="rId673" Type="http://schemas.openxmlformats.org/officeDocument/2006/relationships/hyperlink" Target="https://coinmarketcap.com/currencies/whalecoin" TargetMode="External"/><Relationship Id="rId880" Type="http://schemas.openxmlformats.org/officeDocument/2006/relationships/hyperlink" Target="https://coinmarketcap.com/currencies/valorbit" TargetMode="External"/><Relationship Id="rId1096" Type="http://schemas.openxmlformats.org/officeDocument/2006/relationships/hyperlink" Target="https://coinmarketcap.com/currencies/tezos" TargetMode="External"/><Relationship Id="rId1317" Type="http://schemas.openxmlformats.org/officeDocument/2006/relationships/hyperlink" Target="https://coinmarketcap.com/currencies/turbocoin" TargetMode="External"/><Relationship Id="rId23" Type="http://schemas.openxmlformats.org/officeDocument/2006/relationships/hyperlink" Target="https://coinmarketcap.com/currencies/nxt" TargetMode="External"/><Relationship Id="rId119" Type="http://schemas.openxmlformats.org/officeDocument/2006/relationships/hyperlink" Target="https://coinmarketcap.com/currencies/rchain" TargetMode="External"/><Relationship Id="rId326" Type="http://schemas.openxmlformats.org/officeDocument/2006/relationships/hyperlink" Target="https://coinmarketcap.com/currencies/oax" TargetMode="External"/><Relationship Id="rId533" Type="http://schemas.openxmlformats.org/officeDocument/2006/relationships/hyperlink" Target="https://coinmarketcap.com/currencies/smart-investment-fund-token" TargetMode="External"/><Relationship Id="rId978" Type="http://schemas.openxmlformats.org/officeDocument/2006/relationships/hyperlink" Target="https://coinmarketcap.com/currencies/virtualcoin" TargetMode="External"/><Relationship Id="rId1163" Type="http://schemas.openxmlformats.org/officeDocument/2006/relationships/hyperlink" Target="https://coinmarketcap.com/currencies/btcmoon" TargetMode="External"/><Relationship Id="rId1370" Type="http://schemas.openxmlformats.org/officeDocument/2006/relationships/hyperlink" Target="https://coinmarketcap.com/currencies/gulfcoin" TargetMode="External"/><Relationship Id="rId740" Type="http://schemas.openxmlformats.org/officeDocument/2006/relationships/hyperlink" Target="https://coinmarketcap.com/currencies/ratecoin" TargetMode="External"/><Relationship Id="rId838" Type="http://schemas.openxmlformats.org/officeDocument/2006/relationships/hyperlink" Target="https://coinmarketcap.com/currencies/rawcoin2" TargetMode="External"/><Relationship Id="rId1023" Type="http://schemas.openxmlformats.org/officeDocument/2006/relationships/hyperlink" Target="https://coinmarketcap.com/currencies/steps" TargetMode="External"/><Relationship Id="rId172" Type="http://schemas.openxmlformats.org/officeDocument/2006/relationships/hyperlink" Target="https://coinmarketcap.com/currencies/pepe-cash" TargetMode="External"/><Relationship Id="rId477" Type="http://schemas.openxmlformats.org/officeDocument/2006/relationships/hyperlink" Target="https://coinmarketcap.com/currencies/oceanlab" TargetMode="External"/><Relationship Id="rId600" Type="http://schemas.openxmlformats.org/officeDocument/2006/relationships/hyperlink" Target="https://coinmarketcap.com/currencies/campuscoin" TargetMode="External"/><Relationship Id="rId684" Type="http://schemas.openxmlformats.org/officeDocument/2006/relationships/hyperlink" Target="https://coinmarketcap.com/currencies/kushcoin" TargetMode="External"/><Relationship Id="rId1230" Type="http://schemas.openxmlformats.org/officeDocument/2006/relationships/hyperlink" Target="https://coinmarketcap.com/currencies/akuya-coin" TargetMode="External"/><Relationship Id="rId1328" Type="http://schemas.openxmlformats.org/officeDocument/2006/relationships/hyperlink" Target="https://coinmarketcap.com/currencies/xaucoin" TargetMode="External"/><Relationship Id="rId337" Type="http://schemas.openxmlformats.org/officeDocument/2006/relationships/hyperlink" Target="https://coinmarketcap.com/currencies/maecenas" TargetMode="External"/><Relationship Id="rId891" Type="http://schemas.openxmlformats.org/officeDocument/2006/relationships/hyperlink" Target="https://coinmarketcap.com/currencies/sacoin" TargetMode="External"/><Relationship Id="rId905" Type="http://schemas.openxmlformats.org/officeDocument/2006/relationships/hyperlink" Target="https://coinmarketcap.com/currencies/macron" TargetMode="External"/><Relationship Id="rId989" Type="http://schemas.openxmlformats.org/officeDocument/2006/relationships/hyperlink" Target="https://coinmarketcap.com/currencies/artex-coin" TargetMode="External"/><Relationship Id="rId34" Type="http://schemas.openxmlformats.org/officeDocument/2006/relationships/hyperlink" Target="https://coinmarketcap.com/currencies/komodo" TargetMode="External"/><Relationship Id="rId544" Type="http://schemas.openxmlformats.org/officeDocument/2006/relationships/hyperlink" Target="https://coinmarketcap.com/currencies/wavesgo" TargetMode="External"/><Relationship Id="rId751" Type="http://schemas.openxmlformats.org/officeDocument/2006/relationships/hyperlink" Target="https://coinmarketcap.com/currencies/prime-xi" TargetMode="External"/><Relationship Id="rId849" Type="http://schemas.openxmlformats.org/officeDocument/2006/relationships/hyperlink" Target="https://coinmarketcap.com/currencies/tao" TargetMode="External"/><Relationship Id="rId1174" Type="http://schemas.openxmlformats.org/officeDocument/2006/relationships/hyperlink" Target="https://coinmarketcap.com/currencies/t-coin" TargetMode="External"/><Relationship Id="rId1381" Type="http://schemas.openxmlformats.org/officeDocument/2006/relationships/hyperlink" Target="https://coinmarketcap.com/currencies/gulfcoin" TargetMode="External"/><Relationship Id="rId183" Type="http://schemas.openxmlformats.org/officeDocument/2006/relationships/hyperlink" Target="https://coinmarketcap.com/currencies/modum" TargetMode="External"/><Relationship Id="rId390" Type="http://schemas.openxmlformats.org/officeDocument/2006/relationships/hyperlink" Target="https://coinmarketcap.com/currencies/veriumreserve" TargetMode="External"/><Relationship Id="rId404" Type="http://schemas.openxmlformats.org/officeDocument/2006/relationships/hyperlink" Target="https://coinmarketcap.com/currencies/creativecoin" TargetMode="External"/><Relationship Id="rId611" Type="http://schemas.openxmlformats.org/officeDocument/2006/relationships/hyperlink" Target="https://coinmarketcap.com/currencies/teslacoin" TargetMode="External"/><Relationship Id="rId1034" Type="http://schemas.openxmlformats.org/officeDocument/2006/relationships/hyperlink" Target="https://coinmarketcap.com/currencies/letitride" TargetMode="External"/><Relationship Id="rId1241" Type="http://schemas.openxmlformats.org/officeDocument/2006/relationships/hyperlink" Target="https://coinmarketcap.com/currencies/dynamiccoin" TargetMode="External"/><Relationship Id="rId1339" Type="http://schemas.openxmlformats.org/officeDocument/2006/relationships/hyperlink" Target="https://coinmarketcap.com/currencies/tattoocoin-limited" TargetMode="External"/><Relationship Id="rId250" Type="http://schemas.openxmlformats.org/officeDocument/2006/relationships/hyperlink" Target="https://coinmarketcap.com/currencies/vericoin" TargetMode="External"/><Relationship Id="rId488" Type="http://schemas.openxmlformats.org/officeDocument/2006/relationships/hyperlink" Target="https://coinmarketcap.com/currencies/terracoin" TargetMode="External"/><Relationship Id="rId695" Type="http://schemas.openxmlformats.org/officeDocument/2006/relationships/hyperlink" Target="https://coinmarketcap.com/currencies/helleniccoin" TargetMode="External"/><Relationship Id="rId709" Type="http://schemas.openxmlformats.org/officeDocument/2006/relationships/hyperlink" Target="https://coinmarketcap.com/currencies/senderon" TargetMode="External"/><Relationship Id="rId916" Type="http://schemas.openxmlformats.org/officeDocument/2006/relationships/hyperlink" Target="https://coinmarketcap.com/currencies/blazecoin" TargetMode="External"/><Relationship Id="rId1101" Type="http://schemas.openxmlformats.org/officeDocument/2006/relationships/hyperlink" Target="https://coinmarketcap.com/currencies/santa-coin" TargetMode="External"/><Relationship Id="rId45" Type="http://schemas.openxmlformats.org/officeDocument/2006/relationships/hyperlink" Target="https://coinmarketcap.com/currencies/pivx" TargetMode="External"/><Relationship Id="rId110" Type="http://schemas.openxmlformats.org/officeDocument/2006/relationships/hyperlink" Target="https://coinmarketcap.com/currencies/centra" TargetMode="External"/><Relationship Id="rId348" Type="http://schemas.openxmlformats.org/officeDocument/2006/relationships/hyperlink" Target="https://coinmarketcap.com/currencies/nvo" TargetMode="External"/><Relationship Id="rId555" Type="http://schemas.openxmlformats.org/officeDocument/2006/relationships/hyperlink" Target="https://coinmarketcap.com/currencies/ellaism" TargetMode="External"/><Relationship Id="rId762" Type="http://schemas.openxmlformats.org/officeDocument/2006/relationships/hyperlink" Target="https://coinmarketcap.com/currencies/coinonatx" TargetMode="External"/><Relationship Id="rId1185" Type="http://schemas.openxmlformats.org/officeDocument/2006/relationships/hyperlink" Target="https://coinmarketcap.com/currencies/tellurion" TargetMode="External"/><Relationship Id="rId194" Type="http://schemas.openxmlformats.org/officeDocument/2006/relationships/hyperlink" Target="https://coinmarketcap.com/currencies/xp" TargetMode="External"/><Relationship Id="rId208" Type="http://schemas.openxmlformats.org/officeDocument/2006/relationships/hyperlink" Target="https://coinmarketcap.com/currencies/blackcoin" TargetMode="External"/><Relationship Id="rId415" Type="http://schemas.openxmlformats.org/officeDocument/2006/relationships/hyperlink" Target="https://coinmarketcap.com/currencies/flixxo" TargetMode="External"/><Relationship Id="rId622" Type="http://schemas.openxmlformats.org/officeDocument/2006/relationships/hyperlink" Target="https://coinmarketcap.com/currencies/incakoin" TargetMode="External"/><Relationship Id="rId1045" Type="http://schemas.openxmlformats.org/officeDocument/2006/relationships/hyperlink" Target="https://coinmarketcap.com/currencies/rsgpcoin" TargetMode="External"/><Relationship Id="rId1252" Type="http://schemas.openxmlformats.org/officeDocument/2006/relationships/hyperlink" Target="https://coinmarketcap.com/currencies/magnetcoin" TargetMode="External"/><Relationship Id="rId261" Type="http://schemas.openxmlformats.org/officeDocument/2006/relationships/hyperlink" Target="https://coinmarketcap.com/currencies/firstcoin" TargetMode="External"/><Relationship Id="rId499" Type="http://schemas.openxmlformats.org/officeDocument/2006/relationships/hyperlink" Target="https://coinmarketcap.com/currencies/audiocoin" TargetMode="External"/><Relationship Id="rId927" Type="http://schemas.openxmlformats.org/officeDocument/2006/relationships/hyperlink" Target="https://coinmarketcap.com/currencies/mincoin" TargetMode="External"/><Relationship Id="rId1112" Type="http://schemas.openxmlformats.org/officeDocument/2006/relationships/hyperlink" Target="https://coinmarketcap.com/currencies/prochain" TargetMode="External"/><Relationship Id="rId56" Type="http://schemas.openxmlformats.org/officeDocument/2006/relationships/hyperlink" Target="https://coinmarketcap.com/currencies/factom" TargetMode="External"/><Relationship Id="rId359" Type="http://schemas.openxmlformats.org/officeDocument/2006/relationships/hyperlink" Target="https://coinmarketcap.com/currencies/prizm" TargetMode="External"/><Relationship Id="rId566" Type="http://schemas.openxmlformats.org/officeDocument/2006/relationships/hyperlink" Target="https://coinmarketcap.com/currencies/unitus" TargetMode="External"/><Relationship Id="rId773" Type="http://schemas.openxmlformats.org/officeDocument/2006/relationships/hyperlink" Target="https://coinmarketcap.com/currencies/chronos" TargetMode="External"/><Relationship Id="rId1196" Type="http://schemas.openxmlformats.org/officeDocument/2006/relationships/hyperlink" Target="https://coinmarketcap.com/currencies/zsecoin" TargetMode="External"/><Relationship Id="rId121" Type="http://schemas.openxmlformats.org/officeDocument/2006/relationships/hyperlink" Target="https://coinmarketcap.com/currencies/smartcash" TargetMode="External"/><Relationship Id="rId219" Type="http://schemas.openxmlformats.org/officeDocument/2006/relationships/hyperlink" Target="https://coinmarketcap.com/currencies/spankchain" TargetMode="External"/><Relationship Id="rId426" Type="http://schemas.openxmlformats.org/officeDocument/2006/relationships/hyperlink" Target="https://coinmarketcap.com/currencies/bitcloud" TargetMode="External"/><Relationship Id="rId633" Type="http://schemas.openxmlformats.org/officeDocument/2006/relationships/hyperlink" Target="https://coinmarketcap.com/currencies/phoenixcoin" TargetMode="External"/><Relationship Id="rId980" Type="http://schemas.openxmlformats.org/officeDocument/2006/relationships/hyperlink" Target="https://coinmarketcap.com/currencies/billarycoin" TargetMode="External"/><Relationship Id="rId1056" Type="http://schemas.openxmlformats.org/officeDocument/2006/relationships/hyperlink" Target="https://coinmarketcap.com/currencies/lex4all" TargetMode="External"/><Relationship Id="rId1263" Type="http://schemas.openxmlformats.org/officeDocument/2006/relationships/hyperlink" Target="https://coinmarketcap.com/currencies/infinity-pay" TargetMode="External"/><Relationship Id="rId840" Type="http://schemas.openxmlformats.org/officeDocument/2006/relationships/hyperlink" Target="https://coinmarketcap.com/currencies/enigma" TargetMode="External"/><Relationship Id="rId938" Type="http://schemas.openxmlformats.org/officeDocument/2006/relationships/hyperlink" Target="https://coinmarketcap.com/currencies/antibitcoin" TargetMode="External"/><Relationship Id="rId67" Type="http://schemas.openxmlformats.org/officeDocument/2006/relationships/hyperlink" Target="https://coinmarketcap.com/currencies/civic" TargetMode="External"/><Relationship Id="rId272" Type="http://schemas.openxmlformats.org/officeDocument/2006/relationships/hyperlink" Target="https://coinmarketcap.com/currencies/gambit" TargetMode="External"/><Relationship Id="rId577" Type="http://schemas.openxmlformats.org/officeDocument/2006/relationships/hyperlink" Target="https://coinmarketcap.com/currencies/zetacoin" TargetMode="External"/><Relationship Id="rId700" Type="http://schemas.openxmlformats.org/officeDocument/2006/relationships/hyperlink" Target="https://coinmarketcap.com/currencies/sterlingcoin" TargetMode="External"/><Relationship Id="rId1123" Type="http://schemas.openxmlformats.org/officeDocument/2006/relationships/hyperlink" Target="https://coinmarketcap.com/currencies/worldcore" TargetMode="External"/><Relationship Id="rId1330" Type="http://schemas.openxmlformats.org/officeDocument/2006/relationships/hyperlink" Target="https://coinmarketcap.com/currencies/karmacoin" TargetMode="External"/><Relationship Id="rId132" Type="http://schemas.openxmlformats.org/officeDocument/2006/relationships/hyperlink" Target="https://coinmarketcap.com/currencies/ink" TargetMode="External"/><Relationship Id="rId784" Type="http://schemas.openxmlformats.org/officeDocument/2006/relationships/hyperlink" Target="https://coinmarketcap.com/currencies/securecoin" TargetMode="External"/><Relationship Id="rId991" Type="http://schemas.openxmlformats.org/officeDocument/2006/relationships/hyperlink" Target="https://coinmarketcap.com/currencies/pulse" TargetMode="External"/><Relationship Id="rId1067" Type="http://schemas.openxmlformats.org/officeDocument/2006/relationships/hyperlink" Target="https://coinmarketcap.com/currencies/abncoin" TargetMode="External"/><Relationship Id="rId437" Type="http://schemas.openxmlformats.org/officeDocument/2006/relationships/hyperlink" Target="https://coinmarketcap.com/currencies/chaincoin" TargetMode="External"/><Relationship Id="rId644" Type="http://schemas.openxmlformats.org/officeDocument/2006/relationships/hyperlink" Target="https://coinmarketcap.com/currencies/atomic-coin" TargetMode="External"/><Relationship Id="rId851" Type="http://schemas.openxmlformats.org/officeDocument/2006/relationships/hyperlink" Target="https://coinmarketcap.com/currencies/arcade-token" TargetMode="External"/><Relationship Id="rId1274" Type="http://schemas.openxmlformats.org/officeDocument/2006/relationships/hyperlink" Target="https://coinmarketcap.com/currencies/eggcoin" TargetMode="External"/><Relationship Id="rId283" Type="http://schemas.openxmlformats.org/officeDocument/2006/relationships/hyperlink" Target="https://coinmarketcap.com/currencies/internet-of-people" TargetMode="External"/><Relationship Id="rId490" Type="http://schemas.openxmlformats.org/officeDocument/2006/relationships/hyperlink" Target="https://coinmarketcap.com/currencies/crave" TargetMode="External"/><Relationship Id="rId504" Type="http://schemas.openxmlformats.org/officeDocument/2006/relationships/hyperlink" Target="https://coinmarketcap.com/currencies/eboostcoin" TargetMode="External"/><Relationship Id="rId711" Type="http://schemas.openxmlformats.org/officeDocument/2006/relationships/hyperlink" Target="https://coinmarketcap.com/currencies/scorecoin" TargetMode="External"/><Relationship Id="rId949" Type="http://schemas.openxmlformats.org/officeDocument/2006/relationships/hyperlink" Target="https://coinmarketcap.com/currencies/bitcoin-21" TargetMode="External"/><Relationship Id="rId1134" Type="http://schemas.openxmlformats.org/officeDocument/2006/relationships/hyperlink" Target="https://coinmarketcap.com/currencies/playkey" TargetMode="External"/><Relationship Id="rId1341" Type="http://schemas.openxmlformats.org/officeDocument/2006/relationships/hyperlink" Target="https://coinmarketcap.com/currencies/cbd-crystals" TargetMode="External"/><Relationship Id="rId78" Type="http://schemas.openxmlformats.org/officeDocument/2006/relationships/hyperlink" Target="https://coinmarketcap.com/currencies/gxshares" TargetMode="External"/><Relationship Id="rId143" Type="http://schemas.openxmlformats.org/officeDocument/2006/relationships/hyperlink" Target="https://coinmarketcap.com/currencies/bread" TargetMode="External"/><Relationship Id="rId350" Type="http://schemas.openxmlformats.org/officeDocument/2006/relationships/hyperlink" Target="https://coinmarketcap.com/currencies/paccoin" TargetMode="External"/><Relationship Id="rId588" Type="http://schemas.openxmlformats.org/officeDocument/2006/relationships/hyperlink" Target="https://coinmarketcap.com/currencies/miners-reward-token" TargetMode="External"/><Relationship Id="rId795" Type="http://schemas.openxmlformats.org/officeDocument/2006/relationships/hyperlink" Target="https://coinmarketcap.com/currencies/marijuanacoin" TargetMode="External"/><Relationship Id="rId809" Type="http://schemas.openxmlformats.org/officeDocument/2006/relationships/hyperlink" Target="https://coinmarketcap.com/currencies/ethgas" TargetMode="External"/><Relationship Id="rId1201" Type="http://schemas.openxmlformats.org/officeDocument/2006/relationships/hyperlink" Target="https://coinmarketcap.com/currencies/sakuracoin" TargetMode="External"/><Relationship Id="rId9" Type="http://schemas.openxmlformats.org/officeDocument/2006/relationships/hyperlink" Target="https://coinmarketcap.com/currencies/monero" TargetMode="External"/><Relationship Id="rId210" Type="http://schemas.openxmlformats.org/officeDocument/2006/relationships/hyperlink" Target="https://coinmarketcap.com/currencies/taas" TargetMode="External"/><Relationship Id="rId448" Type="http://schemas.openxmlformats.org/officeDocument/2006/relationships/hyperlink" Target="https://coinmarketcap.com/currencies/chips" TargetMode="External"/><Relationship Id="rId655" Type="http://schemas.openxmlformats.org/officeDocument/2006/relationships/hyperlink" Target="https://coinmarketcap.com/currencies/bitbtc" TargetMode="External"/><Relationship Id="rId862" Type="http://schemas.openxmlformats.org/officeDocument/2006/relationships/hyperlink" Target="https://coinmarketcap.com/currencies/casino" TargetMode="External"/><Relationship Id="rId1078" Type="http://schemas.openxmlformats.org/officeDocument/2006/relationships/hyperlink" Target="https://coinmarketcap.com/currencies/nubits" TargetMode="External"/><Relationship Id="rId1285" Type="http://schemas.openxmlformats.org/officeDocument/2006/relationships/hyperlink" Target="https://coinmarketcap.com/currencies/pirate-blocks" TargetMode="External"/><Relationship Id="rId294" Type="http://schemas.openxmlformats.org/officeDocument/2006/relationships/hyperlink" Target="https://coinmarketcap.com/currencies/energycoin" TargetMode="External"/><Relationship Id="rId308" Type="http://schemas.openxmlformats.org/officeDocument/2006/relationships/hyperlink" Target="https://coinmarketcap.com/currencies/decent-bet" TargetMode="External"/><Relationship Id="rId515" Type="http://schemas.openxmlformats.org/officeDocument/2006/relationships/hyperlink" Target="https://coinmarketcap.com/currencies/arcticcoin" TargetMode="External"/><Relationship Id="rId722" Type="http://schemas.openxmlformats.org/officeDocument/2006/relationships/hyperlink" Target="https://coinmarketcap.com/currencies/bitsilver" TargetMode="External"/><Relationship Id="rId1145" Type="http://schemas.openxmlformats.org/officeDocument/2006/relationships/hyperlink" Target="https://coinmarketcap.com/currencies/vpncoin" TargetMode="External"/><Relationship Id="rId1352" Type="http://schemas.openxmlformats.org/officeDocument/2006/relationships/hyperlink" Target="https://coinmarketcap.com/currencies/rhfcoin" TargetMode="External"/><Relationship Id="rId89" Type="http://schemas.openxmlformats.org/officeDocument/2006/relationships/hyperlink" Target="https://coinmarketcap.com/currencies/dragonchain" TargetMode="External"/><Relationship Id="rId154" Type="http://schemas.openxmlformats.org/officeDocument/2006/relationships/hyperlink" Target="https://coinmarketcap.com/currencies/firstblood" TargetMode="External"/><Relationship Id="rId361" Type="http://schemas.openxmlformats.org/officeDocument/2006/relationships/hyperlink" Target="https://coinmarketcap.com/currencies/investfeed" TargetMode="External"/><Relationship Id="rId599" Type="http://schemas.openxmlformats.org/officeDocument/2006/relationships/hyperlink" Target="https://coinmarketcap.com/currencies/adzcoin" TargetMode="External"/><Relationship Id="rId1005" Type="http://schemas.openxmlformats.org/officeDocument/2006/relationships/hyperlink" Target="https://coinmarketcap.com/currencies/crtcoin" TargetMode="External"/><Relationship Id="rId1212" Type="http://schemas.openxmlformats.org/officeDocument/2006/relationships/hyperlink" Target="https://coinmarketcap.com/currencies/hyper-tv" TargetMode="External"/><Relationship Id="rId459" Type="http://schemas.openxmlformats.org/officeDocument/2006/relationships/hyperlink" Target="https://coinmarketcap.com/currencies/thegcccoin" TargetMode="External"/><Relationship Id="rId666" Type="http://schemas.openxmlformats.org/officeDocument/2006/relationships/hyperlink" Target="https://coinmarketcap.com/currencies/rasputin-online-coin" TargetMode="External"/><Relationship Id="rId873" Type="http://schemas.openxmlformats.org/officeDocument/2006/relationships/hyperlink" Target="https://coinmarketcap.com/currencies/cream" TargetMode="External"/><Relationship Id="rId1089" Type="http://schemas.openxmlformats.org/officeDocument/2006/relationships/hyperlink" Target="https://coinmarketcap.com/currencies/dew" TargetMode="External"/><Relationship Id="rId1296" Type="http://schemas.openxmlformats.org/officeDocument/2006/relationships/hyperlink" Target="https://coinmarketcap.com/currencies/egold" TargetMode="External"/><Relationship Id="rId16" Type="http://schemas.openxmlformats.org/officeDocument/2006/relationships/hyperlink" Target="https://coinmarketcap.com/currencies/lisk" TargetMode="External"/><Relationship Id="rId221" Type="http://schemas.openxmlformats.org/officeDocument/2006/relationships/hyperlink" Target="https://coinmarketcap.com/currencies/spectrecoin" TargetMode="External"/><Relationship Id="rId319" Type="http://schemas.openxmlformats.org/officeDocument/2006/relationships/hyperlink" Target="https://coinmarketcap.com/currencies/sphere" TargetMode="External"/><Relationship Id="rId526" Type="http://schemas.openxmlformats.org/officeDocument/2006/relationships/hyperlink" Target="https://coinmarketcap.com/currencies/ongsocial" TargetMode="External"/><Relationship Id="rId1156" Type="http://schemas.openxmlformats.org/officeDocument/2006/relationships/hyperlink" Target="https://coinmarketcap.com/currencies/mergecoin" TargetMode="External"/><Relationship Id="rId1363" Type="http://schemas.openxmlformats.org/officeDocument/2006/relationships/hyperlink" Target="https://coinmarketcap.com/currencies/sportscoin" TargetMode="External"/><Relationship Id="rId733" Type="http://schemas.openxmlformats.org/officeDocument/2006/relationships/hyperlink" Target="https://coinmarketcap.com/currencies/billionaire-token" TargetMode="External"/><Relationship Id="rId940" Type="http://schemas.openxmlformats.org/officeDocument/2006/relationships/hyperlink" Target="https://coinmarketcap.com/currencies/aquariuscoin" TargetMode="External"/><Relationship Id="rId1016" Type="http://schemas.openxmlformats.org/officeDocument/2006/relationships/hyperlink" Target="https://coinmarketcap.com/currencies/jobscoin" TargetMode="External"/><Relationship Id="rId165" Type="http://schemas.openxmlformats.org/officeDocument/2006/relationships/hyperlink" Target="https://coinmarketcap.com/currencies/bridgecoin" TargetMode="External"/><Relationship Id="rId372" Type="http://schemas.openxmlformats.org/officeDocument/2006/relationships/hyperlink" Target="https://coinmarketcap.com/currencies/target-coin" TargetMode="External"/><Relationship Id="rId677" Type="http://schemas.openxmlformats.org/officeDocument/2006/relationships/hyperlink" Target="https://coinmarketcap.com/currencies/spacecoin" TargetMode="External"/><Relationship Id="rId800" Type="http://schemas.openxmlformats.org/officeDocument/2006/relationships/hyperlink" Target="https://coinmarketcap.com/currencies/comet" TargetMode="External"/><Relationship Id="rId1223" Type="http://schemas.openxmlformats.org/officeDocument/2006/relationships/hyperlink" Target="https://coinmarketcap.com/currencies/teslacoilcoin" TargetMode="External"/><Relationship Id="rId232" Type="http://schemas.openxmlformats.org/officeDocument/2006/relationships/hyperlink" Target="https://coinmarketcap.com/currencies/golos" TargetMode="External"/><Relationship Id="rId884" Type="http://schemas.openxmlformats.org/officeDocument/2006/relationships/hyperlink" Target="https://coinmarketcap.com/currencies/stress" TargetMode="External"/><Relationship Id="rId27" Type="http://schemas.openxmlformats.org/officeDocument/2006/relationships/hyperlink" Target="https://coinmarketcap.com/currencies/stratis" TargetMode="External"/><Relationship Id="rId537" Type="http://schemas.openxmlformats.org/officeDocument/2006/relationships/hyperlink" Target="https://coinmarketcap.com/currencies/interstellar-holdings" TargetMode="External"/><Relationship Id="rId744" Type="http://schemas.openxmlformats.org/officeDocument/2006/relationships/hyperlink" Target="https://coinmarketcap.com/currencies/sugar-exchange" TargetMode="External"/><Relationship Id="rId951" Type="http://schemas.openxmlformats.org/officeDocument/2006/relationships/hyperlink" Target="https://coinmarketcap.com/currencies/boostcoin" TargetMode="External"/><Relationship Id="rId1167" Type="http://schemas.openxmlformats.org/officeDocument/2006/relationships/hyperlink" Target="https://coinmarketcap.com/currencies/wild-crypto" TargetMode="External"/><Relationship Id="rId1374" Type="http://schemas.openxmlformats.org/officeDocument/2006/relationships/hyperlink" Target="https://coinmarketcap.com/currencies/vegascoin" TargetMode="External"/><Relationship Id="rId80" Type="http://schemas.openxmlformats.org/officeDocument/2006/relationships/hyperlink" Target="https://coinmarketcap.com/currencies/dentacoin" TargetMode="External"/><Relationship Id="rId176" Type="http://schemas.openxmlformats.org/officeDocument/2006/relationships/hyperlink" Target="https://coinmarketcap.com/currencies/district0x" TargetMode="External"/><Relationship Id="rId383" Type="http://schemas.openxmlformats.org/officeDocument/2006/relationships/hyperlink" Target="https://coinmarketcap.com/currencies/apx" TargetMode="External"/><Relationship Id="rId590" Type="http://schemas.openxmlformats.org/officeDocument/2006/relationships/hyperlink" Target="https://coinmarketcap.com/currencies/renos" TargetMode="External"/><Relationship Id="rId604" Type="http://schemas.openxmlformats.org/officeDocument/2006/relationships/hyperlink" Target="https://coinmarketcap.com/currencies/skincoin" TargetMode="External"/><Relationship Id="rId811" Type="http://schemas.openxmlformats.org/officeDocument/2006/relationships/hyperlink" Target="https://coinmarketcap.com/currencies/luna-coin" TargetMode="External"/><Relationship Id="rId1027" Type="http://schemas.openxmlformats.org/officeDocument/2006/relationships/hyperlink" Target="https://coinmarketcap.com/currencies/gbcgoldcoin" TargetMode="External"/><Relationship Id="rId1234" Type="http://schemas.openxmlformats.org/officeDocument/2006/relationships/hyperlink" Target="https://coinmarketcap.com/currencies/wa-space" TargetMode="External"/><Relationship Id="rId243" Type="http://schemas.openxmlformats.org/officeDocument/2006/relationships/hyperlink" Target="https://coinmarketcap.com/currencies/agrello-delta" TargetMode="External"/><Relationship Id="rId450" Type="http://schemas.openxmlformats.org/officeDocument/2006/relationships/hyperlink" Target="https://coinmarketcap.com/currencies/dnotes" TargetMode="External"/><Relationship Id="rId688" Type="http://schemas.openxmlformats.org/officeDocument/2006/relationships/hyperlink" Target="https://coinmarketcap.com/currencies/truckcoin" TargetMode="External"/><Relationship Id="rId895" Type="http://schemas.openxmlformats.org/officeDocument/2006/relationships/hyperlink" Target="https://coinmarketcap.com/currencies/coin2-1" TargetMode="External"/><Relationship Id="rId909" Type="http://schemas.openxmlformats.org/officeDocument/2006/relationships/hyperlink" Target="https://coinmarketcap.com/currencies/ambercoin" TargetMode="External"/><Relationship Id="rId1080" Type="http://schemas.openxmlformats.org/officeDocument/2006/relationships/hyperlink" Target="https://coinmarketcap.com/currencies/wax" TargetMode="External"/><Relationship Id="rId1301" Type="http://schemas.openxmlformats.org/officeDocument/2006/relationships/hyperlink" Target="https://coinmarketcap.com/currencies/safecoin" TargetMode="External"/><Relationship Id="rId38" Type="http://schemas.openxmlformats.org/officeDocument/2006/relationships/hyperlink" Target="https://coinmarketcap.com/currencies/steem" TargetMode="External"/><Relationship Id="rId103" Type="http://schemas.openxmlformats.org/officeDocument/2006/relationships/hyperlink" Target="https://coinmarketcap.com/currencies/metal" TargetMode="External"/><Relationship Id="rId310" Type="http://schemas.openxmlformats.org/officeDocument/2006/relationships/hyperlink" Target="https://coinmarketcap.com/currencies/solarcoin" TargetMode="External"/><Relationship Id="rId548" Type="http://schemas.openxmlformats.org/officeDocument/2006/relationships/hyperlink" Target="https://coinmarketcap.com/currencies/buzzcoin" TargetMode="External"/><Relationship Id="rId755" Type="http://schemas.openxmlformats.org/officeDocument/2006/relationships/hyperlink" Target="https://coinmarketcap.com/currencies/x-coin" TargetMode="External"/><Relationship Id="rId962" Type="http://schemas.openxmlformats.org/officeDocument/2006/relationships/hyperlink" Target="https://coinmarketcap.com/currencies/unrealcoin" TargetMode="External"/><Relationship Id="rId1178" Type="http://schemas.openxmlformats.org/officeDocument/2006/relationships/hyperlink" Target="https://coinmarketcap.com/currencies/ocow" TargetMode="External"/><Relationship Id="rId91" Type="http://schemas.openxmlformats.org/officeDocument/2006/relationships/hyperlink" Target="https://coinmarketcap.com/currencies/request-network" TargetMode="External"/><Relationship Id="rId187" Type="http://schemas.openxmlformats.org/officeDocument/2006/relationships/hyperlink" Target="https://coinmarketcap.com/currencies/blockv" TargetMode="External"/><Relationship Id="rId394" Type="http://schemas.openxmlformats.org/officeDocument/2006/relationships/hyperlink" Target="https://coinmarketcap.com/currencies/martexcoin" TargetMode="External"/><Relationship Id="rId408" Type="http://schemas.openxmlformats.org/officeDocument/2006/relationships/hyperlink" Target="https://coinmarketcap.com/currencies/prospectors-gold" TargetMode="External"/><Relationship Id="rId615" Type="http://schemas.openxmlformats.org/officeDocument/2006/relationships/hyperlink" Target="https://coinmarketcap.com/currencies/desire" TargetMode="External"/><Relationship Id="rId822" Type="http://schemas.openxmlformats.org/officeDocument/2006/relationships/hyperlink" Target="https://coinmarketcap.com/currencies/cashcoin" TargetMode="External"/><Relationship Id="rId1038" Type="http://schemas.openxmlformats.org/officeDocument/2006/relationships/hyperlink" Target="https://coinmarketcap.com/currencies/speedcash" TargetMode="External"/><Relationship Id="rId1245" Type="http://schemas.openxmlformats.org/officeDocument/2006/relationships/hyperlink" Target="https://coinmarketcap.com/currencies/sharkcoin" TargetMode="External"/><Relationship Id="rId254" Type="http://schemas.openxmlformats.org/officeDocument/2006/relationships/hyperlink" Target="https://coinmarketcap.com/currencies/nolimitcoin" TargetMode="External"/><Relationship Id="rId699" Type="http://schemas.openxmlformats.org/officeDocument/2006/relationships/hyperlink" Target="https://coinmarketcap.com/currencies/lottocoin" TargetMode="External"/><Relationship Id="rId1091" Type="http://schemas.openxmlformats.org/officeDocument/2006/relationships/hyperlink" Target="https://coinmarketcap.com/currencies/fargocoin" TargetMode="External"/><Relationship Id="rId1105" Type="http://schemas.openxmlformats.org/officeDocument/2006/relationships/hyperlink" Target="https://coinmarketcap.com/currencies/bitserial" TargetMode="External"/><Relationship Id="rId1312" Type="http://schemas.openxmlformats.org/officeDocument/2006/relationships/hyperlink" Target="https://coinmarketcap.com/currencies/utacoin" TargetMode="External"/><Relationship Id="rId49" Type="http://schemas.openxmlformats.org/officeDocument/2006/relationships/hyperlink" Target="https://coinmarketcap.com/currencies/syscoin" TargetMode="External"/><Relationship Id="rId114" Type="http://schemas.openxmlformats.org/officeDocument/2006/relationships/hyperlink" Target="https://coinmarketcap.com/currencies/paypie" TargetMode="External"/><Relationship Id="rId461" Type="http://schemas.openxmlformats.org/officeDocument/2006/relationships/hyperlink" Target="https://coinmarketcap.com/currencies/vslice" TargetMode="External"/><Relationship Id="rId559" Type="http://schemas.openxmlformats.org/officeDocument/2006/relationships/hyperlink" Target="https://coinmarketcap.com/currencies/starcredits" TargetMode="External"/><Relationship Id="rId766" Type="http://schemas.openxmlformats.org/officeDocument/2006/relationships/hyperlink" Target="https://coinmarketcap.com/currencies/ecocoin" TargetMode="External"/><Relationship Id="rId1189" Type="http://schemas.openxmlformats.org/officeDocument/2006/relationships/hyperlink" Target="https://coinmarketcap.com/currencies/first-bitcoin-capital" TargetMode="External"/><Relationship Id="rId198" Type="http://schemas.openxmlformats.org/officeDocument/2006/relationships/hyperlink" Target="https://coinmarketcap.com/currencies/iocoin" TargetMode="External"/><Relationship Id="rId321" Type="http://schemas.openxmlformats.org/officeDocument/2006/relationships/hyperlink" Target="https://coinmarketcap.com/currencies/icos" TargetMode="External"/><Relationship Id="rId419" Type="http://schemas.openxmlformats.org/officeDocument/2006/relationships/hyperlink" Target="https://coinmarketcap.com/currencies/cvcoin" TargetMode="External"/><Relationship Id="rId626" Type="http://schemas.openxmlformats.org/officeDocument/2006/relationships/hyperlink" Target="https://coinmarketcap.com/currencies/the-cypherfunks" TargetMode="External"/><Relationship Id="rId973" Type="http://schemas.openxmlformats.org/officeDocument/2006/relationships/hyperlink" Target="https://coinmarketcap.com/currencies/cthulhu-offerings" TargetMode="External"/><Relationship Id="rId1049" Type="http://schemas.openxmlformats.org/officeDocument/2006/relationships/hyperlink" Target="https://coinmarketcap.com/currencies/biobar" TargetMode="External"/><Relationship Id="rId1256" Type="http://schemas.openxmlformats.org/officeDocument/2006/relationships/hyperlink" Target="https://coinmarketcap.com/currencies/topaz" TargetMode="External"/><Relationship Id="rId833" Type="http://schemas.openxmlformats.org/officeDocument/2006/relationships/hyperlink" Target="https://coinmarketcap.com/currencies/crevacoin" TargetMode="External"/><Relationship Id="rId1116" Type="http://schemas.openxmlformats.org/officeDocument/2006/relationships/hyperlink" Target="https://coinmarketcap.com/currencies/lltoken" TargetMode="External"/><Relationship Id="rId265" Type="http://schemas.openxmlformats.org/officeDocument/2006/relationships/hyperlink" Target="https://coinmarketcap.com/currencies/lomocoin" TargetMode="External"/><Relationship Id="rId472" Type="http://schemas.openxmlformats.org/officeDocument/2006/relationships/hyperlink" Target="https://coinmarketcap.com/currencies/life" TargetMode="External"/><Relationship Id="rId900" Type="http://schemas.openxmlformats.org/officeDocument/2006/relationships/hyperlink" Target="https://coinmarketcap.com/currencies/sproutsextreme" TargetMode="External"/><Relationship Id="rId1323" Type="http://schemas.openxmlformats.org/officeDocument/2006/relationships/hyperlink" Target="https://coinmarketcap.com/currencies/dashs" TargetMode="External"/><Relationship Id="rId125" Type="http://schemas.openxmlformats.org/officeDocument/2006/relationships/hyperlink" Target="https://coinmarketcap.com/currencies/peercoin" TargetMode="External"/><Relationship Id="rId332" Type="http://schemas.openxmlformats.org/officeDocument/2006/relationships/hyperlink" Target="https://coinmarketcap.com/currencies/bitmark" TargetMode="External"/><Relationship Id="rId777" Type="http://schemas.openxmlformats.org/officeDocument/2006/relationships/hyperlink" Target="https://coinmarketcap.com/currencies/bitcoin-planet" TargetMode="External"/><Relationship Id="rId984" Type="http://schemas.openxmlformats.org/officeDocument/2006/relationships/hyperlink" Target="https://coinmarketcap.com/currencies/printerium" TargetMode="External"/><Relationship Id="rId637" Type="http://schemas.openxmlformats.org/officeDocument/2006/relationships/hyperlink" Target="https://coinmarketcap.com/currencies/bitradio" TargetMode="External"/><Relationship Id="rId844" Type="http://schemas.openxmlformats.org/officeDocument/2006/relationships/hyperlink" Target="https://coinmarketcap.com/currencies/jinn" TargetMode="External"/><Relationship Id="rId1267" Type="http://schemas.openxmlformats.org/officeDocument/2006/relationships/hyperlink" Target="https://coinmarketcap.com/currencies/wi-coin" TargetMode="External"/><Relationship Id="rId276" Type="http://schemas.openxmlformats.org/officeDocument/2006/relationships/hyperlink" Target="https://coinmarketcap.com/currencies/aventus" TargetMode="External"/><Relationship Id="rId483" Type="http://schemas.openxmlformats.org/officeDocument/2006/relationships/hyperlink" Target="https://coinmarketcap.com/currencies/eltcoin" TargetMode="External"/><Relationship Id="rId690" Type="http://schemas.openxmlformats.org/officeDocument/2006/relationships/hyperlink" Target="https://coinmarketcap.com/currencies/droxne" TargetMode="External"/><Relationship Id="rId704" Type="http://schemas.openxmlformats.org/officeDocument/2006/relationships/hyperlink" Target="https://coinmarketcap.com/currencies/gameunits" TargetMode="External"/><Relationship Id="rId911" Type="http://schemas.openxmlformats.org/officeDocument/2006/relationships/hyperlink" Target="https://coinmarketcap.com/currencies/berncash" TargetMode="External"/><Relationship Id="rId1127" Type="http://schemas.openxmlformats.org/officeDocument/2006/relationships/hyperlink" Target="https://coinmarketcap.com/currencies/infinity-economics" TargetMode="External"/><Relationship Id="rId1334" Type="http://schemas.openxmlformats.org/officeDocument/2006/relationships/hyperlink" Target="https://coinmarketcap.com/currencies/dubstep" TargetMode="External"/><Relationship Id="rId40" Type="http://schemas.openxmlformats.org/officeDocument/2006/relationships/hyperlink" Target="https://coinmarketcap.com/currencies/salt" TargetMode="External"/><Relationship Id="rId136" Type="http://schemas.openxmlformats.org/officeDocument/2006/relationships/hyperlink" Target="https://coinmarketcap.com/currencies/cloakcoin" TargetMode="External"/><Relationship Id="rId343" Type="http://schemas.openxmlformats.org/officeDocument/2006/relationships/hyperlink" Target="https://coinmarketcap.com/currencies/mintcoin" TargetMode="External"/><Relationship Id="rId550" Type="http://schemas.openxmlformats.org/officeDocument/2006/relationships/hyperlink" Target="https://coinmarketcap.com/currencies/carboncoin" TargetMode="External"/><Relationship Id="rId788" Type="http://schemas.openxmlformats.org/officeDocument/2006/relationships/hyperlink" Target="https://coinmarketcap.com/currencies/money" TargetMode="External"/><Relationship Id="rId995" Type="http://schemas.openxmlformats.org/officeDocument/2006/relationships/hyperlink" Target="https://coinmarketcap.com/currencies/exchangen" TargetMode="External"/><Relationship Id="rId1180" Type="http://schemas.openxmlformats.org/officeDocument/2006/relationships/hyperlink" Target="https://coinmarketcap.com/currencies/yenten" TargetMode="External"/><Relationship Id="rId203" Type="http://schemas.openxmlformats.org/officeDocument/2006/relationships/hyperlink" Target="https://coinmarketcap.com/currencies/shield-xsh" TargetMode="External"/><Relationship Id="rId648" Type="http://schemas.openxmlformats.org/officeDocument/2006/relationships/hyperlink" Target="https://coinmarketcap.com/currencies/happycoin" TargetMode="External"/><Relationship Id="rId855" Type="http://schemas.openxmlformats.org/officeDocument/2006/relationships/hyperlink" Target="https://coinmarketcap.com/currencies/ethereum-movie-venture" TargetMode="External"/><Relationship Id="rId1040" Type="http://schemas.openxmlformats.org/officeDocument/2006/relationships/hyperlink" Target="https://coinmarketcap.com/currencies/cryptoescudo" TargetMode="External"/><Relationship Id="rId1278" Type="http://schemas.openxmlformats.org/officeDocument/2006/relationships/hyperlink" Target="https://coinmarketcap.com/currencies/betacoin" TargetMode="External"/><Relationship Id="rId287" Type="http://schemas.openxmlformats.org/officeDocument/2006/relationships/hyperlink" Target="https://coinmarketcap.com/currencies/alis" TargetMode="External"/><Relationship Id="rId410" Type="http://schemas.openxmlformats.org/officeDocument/2006/relationships/hyperlink" Target="https://coinmarketcap.com/currencies/europecoin" TargetMode="External"/><Relationship Id="rId494" Type="http://schemas.openxmlformats.org/officeDocument/2006/relationships/hyperlink" Target="https://coinmarketcap.com/currencies/rupee" TargetMode="External"/><Relationship Id="rId508" Type="http://schemas.openxmlformats.org/officeDocument/2006/relationships/hyperlink" Target="https://coinmarketcap.com/currencies/fastcoin" TargetMode="External"/><Relationship Id="rId715" Type="http://schemas.openxmlformats.org/officeDocument/2006/relationships/hyperlink" Target="https://coinmarketcap.com/currencies/funcoin" TargetMode="External"/><Relationship Id="rId922" Type="http://schemas.openxmlformats.org/officeDocument/2006/relationships/hyperlink" Target="https://coinmarketcap.com/currencies/evil-coin" TargetMode="External"/><Relationship Id="rId1138" Type="http://schemas.openxmlformats.org/officeDocument/2006/relationships/hyperlink" Target="https://coinmarketcap.com/currencies/boscoin" TargetMode="External"/><Relationship Id="rId1345" Type="http://schemas.openxmlformats.org/officeDocument/2006/relationships/hyperlink" Target="https://coinmarketcap.com/currencies/thecreed" TargetMode="External"/><Relationship Id="rId147" Type="http://schemas.openxmlformats.org/officeDocument/2006/relationships/hyperlink" Target="https://coinmarketcap.com/currencies/neblio" TargetMode="External"/><Relationship Id="rId354" Type="http://schemas.openxmlformats.org/officeDocument/2006/relationships/hyperlink" Target="https://coinmarketcap.com/currencies/syndicate" TargetMode="External"/><Relationship Id="rId799" Type="http://schemas.openxmlformats.org/officeDocument/2006/relationships/hyperlink" Target="https://coinmarketcap.com/currencies/soilcoin" TargetMode="External"/><Relationship Id="rId1191" Type="http://schemas.openxmlformats.org/officeDocument/2006/relationships/hyperlink" Target="https://coinmarketcap.com/currencies/wowcoin" TargetMode="External"/><Relationship Id="rId1205" Type="http://schemas.openxmlformats.org/officeDocument/2006/relationships/hyperlink" Target="https://coinmarketcap.com/currencies/bitcoin2x" TargetMode="External"/><Relationship Id="rId51" Type="http://schemas.openxmlformats.org/officeDocument/2006/relationships/hyperlink" Target="https://coinmarketcap.com/currencies/vechain" TargetMode="External"/><Relationship Id="rId561" Type="http://schemas.openxmlformats.org/officeDocument/2006/relationships/hyperlink" Target="https://coinmarketcap.com/currencies/smileycoin" TargetMode="External"/><Relationship Id="rId659" Type="http://schemas.openxmlformats.org/officeDocument/2006/relationships/hyperlink" Target="https://coinmarketcap.com/currencies/cryptoforecast" TargetMode="External"/><Relationship Id="rId866" Type="http://schemas.openxmlformats.org/officeDocument/2006/relationships/hyperlink" Target="https://coinmarketcap.com/currencies/hitcoin" TargetMode="External"/><Relationship Id="rId1289" Type="http://schemas.openxmlformats.org/officeDocument/2006/relationships/hyperlink" Target="https://coinmarketcap.com/currencies/fazzcoin" TargetMode="External"/><Relationship Id="rId214" Type="http://schemas.openxmlformats.org/officeDocument/2006/relationships/hyperlink" Target="https://coinmarketcap.com/currencies/bodhi" TargetMode="External"/><Relationship Id="rId298" Type="http://schemas.openxmlformats.org/officeDocument/2006/relationships/hyperlink" Target="https://coinmarketcap.com/currencies/rialto" TargetMode="External"/><Relationship Id="rId421" Type="http://schemas.openxmlformats.org/officeDocument/2006/relationships/hyperlink" Target="https://coinmarketcap.com/currencies/breakout-stake" TargetMode="External"/><Relationship Id="rId519" Type="http://schemas.openxmlformats.org/officeDocument/2006/relationships/hyperlink" Target="https://coinmarketcap.com/currencies/qvolta" TargetMode="External"/><Relationship Id="rId1051" Type="http://schemas.openxmlformats.org/officeDocument/2006/relationships/hyperlink" Target="https://coinmarketcap.com/currencies/cabbage" TargetMode="External"/><Relationship Id="rId1149" Type="http://schemas.openxmlformats.org/officeDocument/2006/relationships/hyperlink" Target="https://coinmarketcap.com/currencies/terranova" TargetMode="External"/><Relationship Id="rId1356" Type="http://schemas.openxmlformats.org/officeDocument/2006/relationships/hyperlink" Target="https://coinmarketcap.com/currencies/gameleaguecoin" TargetMode="External"/><Relationship Id="rId158" Type="http://schemas.openxmlformats.org/officeDocument/2006/relationships/hyperlink" Target="https://coinmarketcap.com/currencies/melon" TargetMode="External"/><Relationship Id="rId726" Type="http://schemas.openxmlformats.org/officeDocument/2006/relationships/hyperlink" Target="https://coinmarketcap.com/currencies/iethereum" TargetMode="External"/><Relationship Id="rId933" Type="http://schemas.openxmlformats.org/officeDocument/2006/relationships/hyperlink" Target="https://coinmarketcap.com/currencies/metal-music-coin" TargetMode="External"/><Relationship Id="rId1009" Type="http://schemas.openxmlformats.org/officeDocument/2006/relationships/hyperlink" Target="https://coinmarketcap.com/currencies/piecoin" TargetMode="External"/><Relationship Id="rId62" Type="http://schemas.openxmlformats.org/officeDocument/2006/relationships/hyperlink" Target="https://coinmarketcap.com/currencies/aeternity" TargetMode="External"/><Relationship Id="rId365" Type="http://schemas.openxmlformats.org/officeDocument/2006/relationships/hyperlink" Target="https://coinmarketcap.com/currencies/auroracoin" TargetMode="External"/><Relationship Id="rId572" Type="http://schemas.openxmlformats.org/officeDocument/2006/relationships/hyperlink" Target="https://coinmarketcap.com/currencies/mazacoin" TargetMode="External"/><Relationship Id="rId1216" Type="http://schemas.openxmlformats.org/officeDocument/2006/relationships/hyperlink" Target="https://coinmarketcap.com/currencies/gaycoin" TargetMode="External"/><Relationship Id="rId225" Type="http://schemas.openxmlformats.org/officeDocument/2006/relationships/hyperlink" Target="https://coinmarketcap.com/currencies/decision-token" TargetMode="External"/><Relationship Id="rId432" Type="http://schemas.openxmlformats.org/officeDocument/2006/relationships/hyperlink" Target="https://coinmarketcap.com/currencies/geocoin" TargetMode="External"/><Relationship Id="rId877" Type="http://schemas.openxmlformats.org/officeDocument/2006/relationships/hyperlink" Target="https://coinmarketcap.com/currencies/hobonickels" TargetMode="External"/><Relationship Id="rId1062" Type="http://schemas.openxmlformats.org/officeDocument/2006/relationships/hyperlink" Target="https://coinmarketcap.com/currencies/tristar-coin" TargetMode="External"/><Relationship Id="rId737" Type="http://schemas.openxmlformats.org/officeDocument/2006/relationships/hyperlink" Target="https://coinmarketcap.com/currencies/eaglecoin" TargetMode="External"/><Relationship Id="rId944" Type="http://schemas.openxmlformats.org/officeDocument/2006/relationships/hyperlink" Target="https://coinmarketcap.com/currencies/firecoin" TargetMode="External"/><Relationship Id="rId1367" Type="http://schemas.openxmlformats.org/officeDocument/2006/relationships/hyperlink" Target="https://coinmarketcap.com/currencies/casinocoin" TargetMode="External"/><Relationship Id="rId73" Type="http://schemas.openxmlformats.org/officeDocument/2006/relationships/hyperlink" Target="https://coinmarketcap.com/currencies/gamecredits" TargetMode="External"/><Relationship Id="rId169" Type="http://schemas.openxmlformats.org/officeDocument/2006/relationships/hyperlink" Target="https://coinmarketcap.com/currencies/guppy" TargetMode="External"/><Relationship Id="rId376" Type="http://schemas.openxmlformats.org/officeDocument/2006/relationships/hyperlink" Target="https://coinmarketcap.com/currencies/colossuscoinxt" TargetMode="External"/><Relationship Id="rId583" Type="http://schemas.openxmlformats.org/officeDocument/2006/relationships/hyperlink" Target="https://coinmarketcap.com/currencies/insanecoin-insn" TargetMode="External"/><Relationship Id="rId790" Type="http://schemas.openxmlformats.org/officeDocument/2006/relationships/hyperlink" Target="https://coinmarketcap.com/currencies/ammo-rewards" TargetMode="External"/><Relationship Id="rId804" Type="http://schemas.openxmlformats.org/officeDocument/2006/relationships/hyperlink" Target="https://coinmarketcap.com/currencies/paycon" TargetMode="External"/><Relationship Id="rId1227" Type="http://schemas.openxmlformats.org/officeDocument/2006/relationships/hyperlink" Target="https://coinmarketcap.com/currencies/runners" TargetMode="External"/><Relationship Id="rId4" Type="http://schemas.openxmlformats.org/officeDocument/2006/relationships/hyperlink" Target="https://coinmarketcap.com/currencies/litecoin" TargetMode="External"/><Relationship Id="rId236" Type="http://schemas.openxmlformats.org/officeDocument/2006/relationships/hyperlink" Target="https://coinmarketcap.com/currencies/presearch" TargetMode="External"/><Relationship Id="rId443" Type="http://schemas.openxmlformats.org/officeDocument/2006/relationships/hyperlink" Target="https://coinmarketcap.com/currencies/hush" TargetMode="External"/><Relationship Id="rId650" Type="http://schemas.openxmlformats.org/officeDocument/2006/relationships/hyperlink" Target="https://coinmarketcap.com/currencies/minereum" TargetMode="External"/><Relationship Id="rId888" Type="http://schemas.openxmlformats.org/officeDocument/2006/relationships/hyperlink" Target="https://coinmarketcap.com/currencies/shadow-token" TargetMode="External"/><Relationship Id="rId1073" Type="http://schemas.openxmlformats.org/officeDocument/2006/relationships/hyperlink" Target="https://coinmarketcap.com/currencies/nebulas-token" TargetMode="External"/><Relationship Id="rId1280" Type="http://schemas.openxmlformats.org/officeDocument/2006/relationships/hyperlink" Target="https://coinmarketcap.com/currencies/bastonet" TargetMode="External"/><Relationship Id="rId303" Type="http://schemas.openxmlformats.org/officeDocument/2006/relationships/hyperlink" Target="https://coinmarketcap.com/currencies/blackmoon-crypto" TargetMode="External"/><Relationship Id="rId748" Type="http://schemas.openxmlformats.org/officeDocument/2006/relationships/hyperlink" Target="https://coinmarketcap.com/currencies/eot-token" TargetMode="External"/><Relationship Id="rId955" Type="http://schemas.openxmlformats.org/officeDocument/2006/relationships/hyperlink" Target="https://coinmarketcap.com/currencies/uro" TargetMode="External"/><Relationship Id="rId1140" Type="http://schemas.openxmlformats.org/officeDocument/2006/relationships/hyperlink" Target="https://coinmarketcap.com/currencies/starbase" TargetMode="External"/><Relationship Id="rId1378" Type="http://schemas.openxmlformats.org/officeDocument/2006/relationships/hyperlink" Target="https://coinmarketcap.com/currencies/bitcoin" TargetMode="External"/><Relationship Id="rId84" Type="http://schemas.openxmlformats.org/officeDocument/2006/relationships/hyperlink" Target="https://coinmarketcap.com/currencies/monaco" TargetMode="External"/><Relationship Id="rId387" Type="http://schemas.openxmlformats.org/officeDocument/2006/relationships/hyperlink" Target="https://coinmarketcap.com/currencies/electra" TargetMode="External"/><Relationship Id="rId510" Type="http://schemas.openxmlformats.org/officeDocument/2006/relationships/hyperlink" Target="https://coinmarketcap.com/currencies/monacocoin" TargetMode="External"/><Relationship Id="rId594" Type="http://schemas.openxmlformats.org/officeDocument/2006/relationships/hyperlink" Target="https://coinmarketcap.com/currencies/abjcoin" TargetMode="External"/><Relationship Id="rId608" Type="http://schemas.openxmlformats.org/officeDocument/2006/relationships/hyperlink" Target="https://coinmarketcap.com/currencies/giga-watt-token" TargetMode="External"/><Relationship Id="rId815" Type="http://schemas.openxmlformats.org/officeDocument/2006/relationships/hyperlink" Target="https://coinmarketcap.com/currencies/slevin" TargetMode="External"/><Relationship Id="rId1238" Type="http://schemas.openxmlformats.org/officeDocument/2006/relationships/hyperlink" Target="https://coinmarketcap.com/currencies/bestchain" TargetMode="External"/><Relationship Id="rId247" Type="http://schemas.openxmlformats.org/officeDocument/2006/relationships/hyperlink" Target="https://coinmarketcap.com/currencies/colossuscoin-v2" TargetMode="External"/><Relationship Id="rId899" Type="http://schemas.openxmlformats.org/officeDocument/2006/relationships/hyperlink" Target="https://coinmarketcap.com/currencies/idice" TargetMode="External"/><Relationship Id="rId1000" Type="http://schemas.openxmlformats.org/officeDocument/2006/relationships/hyperlink" Target="https://coinmarketcap.com/currencies/dappster" TargetMode="External"/><Relationship Id="rId1084" Type="http://schemas.openxmlformats.org/officeDocument/2006/relationships/hyperlink" Target="https://coinmarketcap.com/currencies/dimcoin" TargetMode="External"/><Relationship Id="rId1305" Type="http://schemas.openxmlformats.org/officeDocument/2006/relationships/hyperlink" Target="https://coinmarketcap.com/currencies/blazercoin" TargetMode="External"/><Relationship Id="rId107" Type="http://schemas.openxmlformats.org/officeDocument/2006/relationships/hyperlink" Target="https://coinmarketcap.com/currencies/streamr-datacoin" TargetMode="External"/><Relationship Id="rId454" Type="http://schemas.openxmlformats.org/officeDocument/2006/relationships/hyperlink" Target="https://coinmarketcap.com/currencies/huntercoin" TargetMode="External"/><Relationship Id="rId661" Type="http://schemas.openxmlformats.org/officeDocument/2006/relationships/hyperlink" Target="https://coinmarketcap.com/currencies/smartcoin" TargetMode="External"/><Relationship Id="rId759" Type="http://schemas.openxmlformats.org/officeDocument/2006/relationships/hyperlink" Target="https://coinmarketcap.com/currencies/rimbit" TargetMode="External"/><Relationship Id="rId966" Type="http://schemas.openxmlformats.org/officeDocument/2006/relationships/hyperlink" Target="https://coinmarketcap.com/currencies/allion" TargetMode="External"/><Relationship Id="rId1291" Type="http://schemas.openxmlformats.org/officeDocument/2006/relationships/hyperlink" Target="https://coinmarketcap.com/currencies/frankywillcoin" TargetMode="External"/><Relationship Id="rId11" Type="http://schemas.openxmlformats.org/officeDocument/2006/relationships/hyperlink" Target="https://coinmarketcap.com/currencies/bitcoin-gold" TargetMode="External"/><Relationship Id="rId314" Type="http://schemas.openxmlformats.org/officeDocument/2006/relationships/hyperlink" Target="https://coinmarketcap.com/currencies/bitcrystals" TargetMode="External"/><Relationship Id="rId398" Type="http://schemas.openxmlformats.org/officeDocument/2006/relationships/hyperlink" Target="https://coinmarketcap.com/currencies/lockchain" TargetMode="External"/><Relationship Id="rId521" Type="http://schemas.openxmlformats.org/officeDocument/2006/relationships/hyperlink" Target="https://coinmarketcap.com/currencies/influxcoin" TargetMode="External"/><Relationship Id="rId619" Type="http://schemas.openxmlformats.org/officeDocument/2006/relationships/hyperlink" Target="https://coinmarketcap.com/currencies/daxxcoin" TargetMode="External"/><Relationship Id="rId1151" Type="http://schemas.openxmlformats.org/officeDocument/2006/relationships/hyperlink" Target="https://coinmarketcap.com/currencies/peacecoin" TargetMode="External"/><Relationship Id="rId1249" Type="http://schemas.openxmlformats.org/officeDocument/2006/relationships/hyperlink" Target="https://coinmarketcap.com/currencies/flappycoin" TargetMode="External"/><Relationship Id="rId95" Type="http://schemas.openxmlformats.org/officeDocument/2006/relationships/hyperlink" Target="https://coinmarketcap.com/currencies/decentraland" TargetMode="External"/><Relationship Id="rId160" Type="http://schemas.openxmlformats.org/officeDocument/2006/relationships/hyperlink" Target="https://coinmarketcap.com/currencies/attention-token-of-media" TargetMode="External"/><Relationship Id="rId826" Type="http://schemas.openxmlformats.org/officeDocument/2006/relationships/hyperlink" Target="https://coinmarketcap.com/currencies/women" TargetMode="External"/><Relationship Id="rId1011" Type="http://schemas.openxmlformats.org/officeDocument/2006/relationships/hyperlink" Target="https://coinmarketcap.com/currencies/orlycoin" TargetMode="External"/><Relationship Id="rId1109" Type="http://schemas.openxmlformats.org/officeDocument/2006/relationships/hyperlink" Target="https://coinmarketcap.com/currencies/dai" TargetMode="External"/><Relationship Id="rId258" Type="http://schemas.openxmlformats.org/officeDocument/2006/relationships/hyperlink" Target="https://coinmarketcap.com/currencies/florincoin" TargetMode="External"/><Relationship Id="rId465" Type="http://schemas.openxmlformats.org/officeDocument/2006/relationships/hyperlink" Target="https://coinmarketcap.com/currencies/innova" TargetMode="External"/><Relationship Id="rId672" Type="http://schemas.openxmlformats.org/officeDocument/2006/relationships/hyperlink" Target="https://coinmarketcap.com/currencies/mao-zedong" TargetMode="External"/><Relationship Id="rId1095" Type="http://schemas.openxmlformats.org/officeDocument/2006/relationships/hyperlink" Target="https://coinmarketcap.com/currencies/hollywoodcoin" TargetMode="External"/><Relationship Id="rId1316" Type="http://schemas.openxmlformats.org/officeDocument/2006/relationships/hyperlink" Target="https://coinmarketcap.com/currencies/golfcoin" TargetMode="External"/><Relationship Id="rId22" Type="http://schemas.openxmlformats.org/officeDocument/2006/relationships/hyperlink" Target="https://coinmarketcap.com/currencies/omisego" TargetMode="External"/><Relationship Id="rId118" Type="http://schemas.openxmlformats.org/officeDocument/2006/relationships/hyperlink" Target="https://coinmarketcap.com/currencies/red-pulse" TargetMode="External"/><Relationship Id="rId325" Type="http://schemas.openxmlformats.org/officeDocument/2006/relationships/hyperlink" Target="https://coinmarketcap.com/currencies/xenon" TargetMode="External"/><Relationship Id="rId532" Type="http://schemas.openxmlformats.org/officeDocument/2006/relationships/hyperlink" Target="https://coinmarketcap.com/currencies/altcoin-alt" TargetMode="External"/><Relationship Id="rId977" Type="http://schemas.openxmlformats.org/officeDocument/2006/relationships/hyperlink" Target="https://coinmarketcap.com/currencies/blackstar" TargetMode="External"/><Relationship Id="rId1162" Type="http://schemas.openxmlformats.org/officeDocument/2006/relationships/hyperlink" Target="https://coinmarketcap.com/currencies/plexcoin" TargetMode="External"/><Relationship Id="rId171" Type="http://schemas.openxmlformats.org/officeDocument/2006/relationships/hyperlink" Target="https://coinmarketcap.com/currencies/shift" TargetMode="External"/><Relationship Id="rId837" Type="http://schemas.openxmlformats.org/officeDocument/2006/relationships/hyperlink" Target="https://coinmarketcap.com/currencies/coimatic-2" TargetMode="External"/><Relationship Id="rId1022" Type="http://schemas.openxmlformats.org/officeDocument/2006/relationships/hyperlink" Target="https://coinmarketcap.com/currencies/impulsecoin" TargetMode="External"/><Relationship Id="rId269" Type="http://schemas.openxmlformats.org/officeDocument/2006/relationships/hyperlink" Target="https://coinmarketcap.com/currencies/bcap" TargetMode="External"/><Relationship Id="rId476" Type="http://schemas.openxmlformats.org/officeDocument/2006/relationships/hyperlink" Target="https://coinmarketcap.com/currencies/ufo-coin" TargetMode="External"/><Relationship Id="rId683" Type="http://schemas.openxmlformats.org/officeDocument/2006/relationships/hyperlink" Target="https://coinmarketcap.com/currencies/bigup" TargetMode="External"/><Relationship Id="rId890" Type="http://schemas.openxmlformats.org/officeDocument/2006/relationships/hyperlink" Target="https://coinmarketcap.com/currencies/universe" TargetMode="External"/><Relationship Id="rId904" Type="http://schemas.openxmlformats.org/officeDocument/2006/relationships/hyperlink" Target="https://coinmarketcap.com/currencies/globalcoin" TargetMode="External"/><Relationship Id="rId1327" Type="http://schemas.openxmlformats.org/officeDocument/2006/relationships/hyperlink" Target="https://coinmarketcap.com/currencies/axiom" TargetMode="External"/><Relationship Id="rId33" Type="http://schemas.openxmlformats.org/officeDocument/2006/relationships/hyperlink" Target="https://coinmarketcap.com/currencies/dogecoin" TargetMode="External"/><Relationship Id="rId129" Type="http://schemas.openxmlformats.org/officeDocument/2006/relationships/hyperlink" Target="https://coinmarketcap.com/currencies/triggers" TargetMode="External"/><Relationship Id="rId336" Type="http://schemas.openxmlformats.org/officeDocument/2006/relationships/hyperlink" Target="https://coinmarketcap.com/currencies/bitzeny" TargetMode="External"/><Relationship Id="rId543" Type="http://schemas.openxmlformats.org/officeDocument/2006/relationships/hyperlink" Target="https://coinmarketcap.com/currencies/sprouts" TargetMode="External"/><Relationship Id="rId988" Type="http://schemas.openxmlformats.org/officeDocument/2006/relationships/hyperlink" Target="https://coinmarketcap.com/currencies/dibcoin" TargetMode="External"/><Relationship Id="rId1173" Type="http://schemas.openxmlformats.org/officeDocument/2006/relationships/hyperlink" Target="https://coinmarketcap.com/currencies/donationcoin" TargetMode="External"/><Relationship Id="rId1380" Type="http://schemas.openxmlformats.org/officeDocument/2006/relationships/hyperlink" Target="https://coinmarketcap.com/currencies/picoin" TargetMode="External"/><Relationship Id="rId182" Type="http://schemas.openxmlformats.org/officeDocument/2006/relationships/hyperlink" Target="https://coinmarketcap.com/currencies/namecoin" TargetMode="External"/><Relationship Id="rId403" Type="http://schemas.openxmlformats.org/officeDocument/2006/relationships/hyperlink" Target="https://coinmarketcap.com/currencies/spreadcoin" TargetMode="External"/><Relationship Id="rId750" Type="http://schemas.openxmlformats.org/officeDocument/2006/relationships/hyperlink" Target="https://coinmarketcap.com/currencies/starcash-network" TargetMode="External"/><Relationship Id="rId848" Type="http://schemas.openxmlformats.org/officeDocument/2006/relationships/hyperlink" Target="https://coinmarketcap.com/currencies/janus" TargetMode="External"/><Relationship Id="rId1033" Type="http://schemas.openxmlformats.org/officeDocument/2006/relationships/hyperlink" Target="https://coinmarketcap.com/currencies/xonecoin" TargetMode="External"/><Relationship Id="rId487" Type="http://schemas.openxmlformats.org/officeDocument/2006/relationships/hyperlink" Target="https://coinmarketcap.com/currencies/version" TargetMode="External"/><Relationship Id="rId610" Type="http://schemas.openxmlformats.org/officeDocument/2006/relationships/hyperlink" Target="https://coinmarketcap.com/currencies/emphy" TargetMode="External"/><Relationship Id="rId694" Type="http://schemas.openxmlformats.org/officeDocument/2006/relationships/hyperlink" Target="https://coinmarketcap.com/currencies/briacoin" TargetMode="External"/><Relationship Id="rId708" Type="http://schemas.openxmlformats.org/officeDocument/2006/relationships/hyperlink" Target="https://coinmarketcap.com/currencies/ebitcoin-cash" TargetMode="External"/><Relationship Id="rId915" Type="http://schemas.openxmlformats.org/officeDocument/2006/relationships/hyperlink" Target="https://coinmarketcap.com/currencies/bittokens" TargetMode="External"/><Relationship Id="rId1240" Type="http://schemas.openxmlformats.org/officeDocument/2006/relationships/hyperlink" Target="https://coinmarketcap.com/currencies/dutch-coin" TargetMode="External"/><Relationship Id="rId1338" Type="http://schemas.openxmlformats.org/officeDocument/2006/relationships/hyperlink" Target="https://coinmarketcap.com/currencies/global-business-revolution" TargetMode="External"/><Relationship Id="rId347" Type="http://schemas.openxmlformats.org/officeDocument/2006/relationships/hyperlink" Target="https://coinmarketcap.com/currencies/exclusivecoin" TargetMode="External"/><Relationship Id="rId999" Type="http://schemas.openxmlformats.org/officeDocument/2006/relationships/hyperlink" Target="https://coinmarketcap.com/currencies/zayedcoin" TargetMode="External"/><Relationship Id="rId1100" Type="http://schemas.openxmlformats.org/officeDocument/2006/relationships/hyperlink" Target="https://coinmarketcap.com/currencies/qbao" TargetMode="External"/><Relationship Id="rId1184" Type="http://schemas.openxmlformats.org/officeDocument/2006/relationships/hyperlink" Target="https://coinmarketcap.com/currencies/eventchain" TargetMode="External"/><Relationship Id="rId44" Type="http://schemas.openxmlformats.org/officeDocument/2006/relationships/hyperlink" Target="https://coinmarketcap.com/currencies/golem-network-tokens" TargetMode="External"/><Relationship Id="rId554" Type="http://schemas.openxmlformats.org/officeDocument/2006/relationships/hyperlink" Target="https://coinmarketcap.com/currencies/42-coin" TargetMode="External"/><Relationship Id="rId761" Type="http://schemas.openxmlformats.org/officeDocument/2006/relationships/hyperlink" Target="https://coinmarketcap.com/currencies/monkey-project" TargetMode="External"/><Relationship Id="rId859" Type="http://schemas.openxmlformats.org/officeDocument/2006/relationships/hyperlink" Target="https://coinmarketcap.com/currencies/russiacoin" TargetMode="External"/><Relationship Id="rId193" Type="http://schemas.openxmlformats.org/officeDocument/2006/relationships/hyperlink" Target="https://coinmarketcap.com/currencies/expanse" TargetMode="External"/><Relationship Id="rId207" Type="http://schemas.openxmlformats.org/officeDocument/2006/relationships/hyperlink" Target="https://coinmarketcap.com/currencies/swarm-city" TargetMode="External"/><Relationship Id="rId414" Type="http://schemas.openxmlformats.org/officeDocument/2006/relationships/hyperlink" Target="https://coinmarketcap.com/currencies/publica" TargetMode="External"/><Relationship Id="rId498" Type="http://schemas.openxmlformats.org/officeDocument/2006/relationships/hyperlink" Target="https://coinmarketcap.com/currencies/cryptonite" TargetMode="External"/><Relationship Id="rId621" Type="http://schemas.openxmlformats.org/officeDocument/2006/relationships/hyperlink" Target="https://coinmarketcap.com/currencies/fuelcoin" TargetMode="External"/><Relationship Id="rId1044" Type="http://schemas.openxmlformats.org/officeDocument/2006/relationships/hyperlink" Target="https://coinmarketcap.com/currencies/sydpak" TargetMode="External"/><Relationship Id="rId1251" Type="http://schemas.openxmlformats.org/officeDocument/2006/relationships/hyperlink" Target="https://coinmarketcap.com/currencies/ebit" TargetMode="External"/><Relationship Id="rId1349" Type="http://schemas.openxmlformats.org/officeDocument/2006/relationships/hyperlink" Target="https://coinmarketcap.com/currencies/todaycoin" TargetMode="External"/><Relationship Id="rId260" Type="http://schemas.openxmlformats.org/officeDocument/2006/relationships/hyperlink" Target="https://coinmarketcap.com/currencies/neoscoin" TargetMode="External"/><Relationship Id="rId719" Type="http://schemas.openxmlformats.org/officeDocument/2006/relationships/hyperlink" Target="https://coinmarketcap.com/currencies/corgicoin" TargetMode="External"/><Relationship Id="rId926" Type="http://schemas.openxmlformats.org/officeDocument/2006/relationships/hyperlink" Target="https://coinmarketcap.com/currencies/btctalkcoin" TargetMode="External"/><Relationship Id="rId1111" Type="http://schemas.openxmlformats.org/officeDocument/2006/relationships/hyperlink" Target="https://coinmarketcap.com/currencies/bitcoin-unlimited" TargetMode="External"/><Relationship Id="rId55" Type="http://schemas.openxmlformats.org/officeDocument/2006/relationships/hyperlink" Target="https://coinmarketcap.com/currencies/basic-attention-token" TargetMode="External"/><Relationship Id="rId120" Type="http://schemas.openxmlformats.org/officeDocument/2006/relationships/hyperlink" Target="https://coinmarketcap.com/currencies/groestlcoin" TargetMode="External"/><Relationship Id="rId358" Type="http://schemas.openxmlformats.org/officeDocument/2006/relationships/hyperlink" Target="https://coinmarketcap.com/currencies/elixir" TargetMode="External"/><Relationship Id="rId565" Type="http://schemas.openxmlformats.org/officeDocument/2006/relationships/hyperlink" Target="https://coinmarketcap.com/currencies/fujicoin" TargetMode="External"/><Relationship Id="rId772" Type="http://schemas.openxmlformats.org/officeDocument/2006/relationships/hyperlink" Target="https://coinmarketcap.com/currencies/trident" TargetMode="External"/><Relationship Id="rId1195" Type="http://schemas.openxmlformats.org/officeDocument/2006/relationships/hyperlink" Target="https://coinmarketcap.com/currencies/irishcoin" TargetMode="External"/><Relationship Id="rId1209" Type="http://schemas.openxmlformats.org/officeDocument/2006/relationships/hyperlink" Target="https://coinmarketcap.com/currencies/cash-poker-pro" TargetMode="External"/><Relationship Id="rId218" Type="http://schemas.openxmlformats.org/officeDocument/2006/relationships/hyperlink" Target="https://coinmarketcap.com/currencies/patientory" TargetMode="External"/><Relationship Id="rId425" Type="http://schemas.openxmlformats.org/officeDocument/2006/relationships/hyperlink" Target="https://coinmarketcap.com/currencies/dovu" TargetMode="External"/><Relationship Id="rId632" Type="http://schemas.openxmlformats.org/officeDocument/2006/relationships/hyperlink" Target="https://coinmarketcap.com/currencies/triangles" TargetMode="External"/><Relationship Id="rId1055" Type="http://schemas.openxmlformats.org/officeDocument/2006/relationships/hyperlink" Target="https://coinmarketcap.com/currencies/ulatech" TargetMode="External"/><Relationship Id="rId1262" Type="http://schemas.openxmlformats.org/officeDocument/2006/relationships/hyperlink" Target="https://coinmarketcap.com/currencies/pabyosi-coin-special" TargetMode="External"/><Relationship Id="rId271" Type="http://schemas.openxmlformats.org/officeDocument/2006/relationships/hyperlink" Target="https://coinmarketcap.com/currencies/nexium" TargetMode="External"/><Relationship Id="rId937" Type="http://schemas.openxmlformats.org/officeDocument/2006/relationships/hyperlink" Target="https://coinmarketcap.com/currencies/dollarcoin" TargetMode="External"/><Relationship Id="rId1122" Type="http://schemas.openxmlformats.org/officeDocument/2006/relationships/hyperlink" Target="https://coinmarketcap.com/currencies/bt1-cst" TargetMode="External"/><Relationship Id="rId66" Type="http://schemas.openxmlformats.org/officeDocument/2006/relationships/hyperlink" Target="https://coinmarketcap.com/currencies/power-ledger" TargetMode="External"/><Relationship Id="rId131" Type="http://schemas.openxmlformats.org/officeDocument/2006/relationships/hyperlink" Target="https://coinmarketcap.com/currencies/sonm" TargetMode="External"/><Relationship Id="rId369" Type="http://schemas.openxmlformats.org/officeDocument/2006/relationships/hyperlink" Target="https://coinmarketcap.com/currencies/bitcoin-plus" TargetMode="External"/><Relationship Id="rId576" Type="http://schemas.openxmlformats.org/officeDocument/2006/relationships/hyperlink" Target="https://coinmarketcap.com/currencies/bata" TargetMode="External"/><Relationship Id="rId783" Type="http://schemas.openxmlformats.org/officeDocument/2006/relationships/hyperlink" Target="https://coinmarketcap.com/currencies/bitcoal" TargetMode="External"/><Relationship Id="rId990" Type="http://schemas.openxmlformats.org/officeDocument/2006/relationships/hyperlink" Target="https://coinmarketcap.com/currencies/bitquark" TargetMode="External"/><Relationship Id="rId229" Type="http://schemas.openxmlformats.org/officeDocument/2006/relationships/hyperlink" Target="https://coinmarketcap.com/currencies/nushares" TargetMode="External"/><Relationship Id="rId436" Type="http://schemas.openxmlformats.org/officeDocument/2006/relationships/hyperlink" Target="https://coinmarketcap.com/currencies/sumokoin" TargetMode="External"/><Relationship Id="rId643" Type="http://schemas.openxmlformats.org/officeDocument/2006/relationships/hyperlink" Target="https://coinmarketcap.com/currencies/trollcoin" TargetMode="External"/><Relationship Id="rId1066" Type="http://schemas.openxmlformats.org/officeDocument/2006/relationships/hyperlink" Target="https://coinmarketcap.com/currencies/digital-credits" TargetMode="External"/><Relationship Id="rId1273" Type="http://schemas.openxmlformats.org/officeDocument/2006/relationships/hyperlink" Target="https://coinmarketcap.com/currencies/deltacredits" TargetMode="External"/><Relationship Id="rId850" Type="http://schemas.openxmlformats.org/officeDocument/2006/relationships/hyperlink" Target="https://coinmarketcap.com/currencies/credo" TargetMode="External"/><Relationship Id="rId948" Type="http://schemas.openxmlformats.org/officeDocument/2006/relationships/hyperlink" Target="https://coinmarketcap.com/currencies/beatcoin" TargetMode="External"/><Relationship Id="rId1133" Type="http://schemas.openxmlformats.org/officeDocument/2006/relationships/hyperlink" Target="https://coinmarketcap.com/currencies/strikebitclub" TargetMode="External"/><Relationship Id="rId77" Type="http://schemas.openxmlformats.org/officeDocument/2006/relationships/hyperlink" Target="https://coinmarketcap.com/currencies/substratum" TargetMode="External"/><Relationship Id="rId282" Type="http://schemas.openxmlformats.org/officeDocument/2006/relationships/hyperlink" Target="https://coinmarketcap.com/currencies/e-coin" TargetMode="External"/><Relationship Id="rId503" Type="http://schemas.openxmlformats.org/officeDocument/2006/relationships/hyperlink" Target="https://coinmarketcap.com/currencies/real-estate-tokens" TargetMode="External"/><Relationship Id="rId587" Type="http://schemas.openxmlformats.org/officeDocument/2006/relationships/hyperlink" Target="https://coinmarketcap.com/currencies/nekonium" TargetMode="External"/><Relationship Id="rId710" Type="http://schemas.openxmlformats.org/officeDocument/2006/relationships/hyperlink" Target="https://coinmarketcap.com/currencies/popularcoin" TargetMode="External"/><Relationship Id="rId808" Type="http://schemas.openxmlformats.org/officeDocument/2006/relationships/hyperlink" Target="https://coinmarketcap.com/currencies/benjirolls" TargetMode="External"/><Relationship Id="rId1340" Type="http://schemas.openxmlformats.org/officeDocument/2006/relationships/hyperlink" Target="https://coinmarketcap.com/currencies/uncoin" TargetMode="External"/><Relationship Id="rId8" Type="http://schemas.openxmlformats.org/officeDocument/2006/relationships/hyperlink" Target="https://coinmarketcap.com/currencies/nem" TargetMode="External"/><Relationship Id="rId142" Type="http://schemas.openxmlformats.org/officeDocument/2006/relationships/hyperlink" Target="https://coinmarketcap.com/currencies/xtrabytes" TargetMode="External"/><Relationship Id="rId447" Type="http://schemas.openxmlformats.org/officeDocument/2006/relationships/hyperlink" Target="https://coinmarketcap.com/currencies/vtorrent" TargetMode="External"/><Relationship Id="rId794" Type="http://schemas.openxmlformats.org/officeDocument/2006/relationships/hyperlink" Target="https://coinmarketcap.com/currencies/spots" TargetMode="External"/><Relationship Id="rId1077" Type="http://schemas.openxmlformats.org/officeDocument/2006/relationships/hyperlink" Target="https://coinmarketcap.com/currencies/segwit2x" TargetMode="External"/><Relationship Id="rId1200" Type="http://schemas.openxmlformats.org/officeDocument/2006/relationships/hyperlink" Target="https://coinmarketcap.com/currencies/triaconta" TargetMode="External"/><Relationship Id="rId654" Type="http://schemas.openxmlformats.org/officeDocument/2006/relationships/hyperlink" Target="https://coinmarketcap.com/currencies/sovereign-hero" TargetMode="External"/><Relationship Id="rId861" Type="http://schemas.openxmlformats.org/officeDocument/2006/relationships/hyperlink" Target="https://coinmarketcap.com/currencies/rustbits" TargetMode="External"/><Relationship Id="rId959" Type="http://schemas.openxmlformats.org/officeDocument/2006/relationships/hyperlink" Target="https://coinmarketcap.com/currencies/beavercoin" TargetMode="External"/><Relationship Id="rId1284" Type="http://schemas.openxmlformats.org/officeDocument/2006/relationships/hyperlink" Target="https://coinmarketcap.com/currencies/digital-bullion-gold" TargetMode="External"/><Relationship Id="rId293" Type="http://schemas.openxmlformats.org/officeDocument/2006/relationships/hyperlink" Target="https://coinmarketcap.com/currencies/musicoin" TargetMode="External"/><Relationship Id="rId307" Type="http://schemas.openxmlformats.org/officeDocument/2006/relationships/hyperlink" Target="https://coinmarketcap.com/currencies/pinkcoin" TargetMode="External"/><Relationship Id="rId514" Type="http://schemas.openxmlformats.org/officeDocument/2006/relationships/hyperlink" Target="https://coinmarketcap.com/currencies/megacoin" TargetMode="External"/><Relationship Id="rId721" Type="http://schemas.openxmlformats.org/officeDocument/2006/relationships/hyperlink" Target="https://coinmarketcap.com/currencies/platinumbar" TargetMode="External"/><Relationship Id="rId1144" Type="http://schemas.openxmlformats.org/officeDocument/2006/relationships/hyperlink" Target="https://coinmarketcap.com/currencies/force" TargetMode="External"/><Relationship Id="rId1351" Type="http://schemas.openxmlformats.org/officeDocument/2006/relationships/hyperlink" Target="https://coinmarketcap.com/currencies/cycling-coin" TargetMode="External"/><Relationship Id="rId88" Type="http://schemas.openxmlformats.org/officeDocument/2006/relationships/hyperlink" Target="https://coinmarketcap.com/currencies/ripio-credit-network" TargetMode="External"/><Relationship Id="rId153" Type="http://schemas.openxmlformats.org/officeDocument/2006/relationships/hyperlink" Target="https://coinmarketcap.com/currencies/eidoo" TargetMode="External"/><Relationship Id="rId360" Type="http://schemas.openxmlformats.org/officeDocument/2006/relationships/hyperlink" Target="https://coinmarketcap.com/currencies/novacoin" TargetMode="External"/><Relationship Id="rId598" Type="http://schemas.openxmlformats.org/officeDocument/2006/relationships/hyperlink" Target="https://coinmarketcap.com/currencies/bitcoin-scrypt" TargetMode="External"/><Relationship Id="rId819" Type="http://schemas.openxmlformats.org/officeDocument/2006/relationships/hyperlink" Target="https://coinmarketcap.com/currencies/javascript-token" TargetMode="External"/><Relationship Id="rId1004" Type="http://schemas.openxmlformats.org/officeDocument/2006/relationships/hyperlink" Target="https://coinmarketcap.com/currencies/gamebet-coin" TargetMode="External"/><Relationship Id="rId1211" Type="http://schemas.openxmlformats.org/officeDocument/2006/relationships/hyperlink" Target="https://coinmarketcap.com/currencies/edrcoin" TargetMode="External"/><Relationship Id="rId220" Type="http://schemas.openxmlformats.org/officeDocument/2006/relationships/hyperlink" Target="https://coinmarketcap.com/currencies/omni" TargetMode="External"/><Relationship Id="rId458" Type="http://schemas.openxmlformats.org/officeDocument/2006/relationships/hyperlink" Target="https://coinmarketcap.com/currencies/e-gulden" TargetMode="External"/><Relationship Id="rId665" Type="http://schemas.openxmlformats.org/officeDocument/2006/relationships/hyperlink" Target="https://coinmarketcap.com/currencies/pioneer-coin" TargetMode="External"/><Relationship Id="rId872" Type="http://schemas.openxmlformats.org/officeDocument/2006/relationships/hyperlink" Target="https://coinmarketcap.com/currencies/link-platform" TargetMode="External"/><Relationship Id="rId1088" Type="http://schemas.openxmlformats.org/officeDocument/2006/relationships/hyperlink" Target="https://coinmarketcap.com/currencies/comsa-xem" TargetMode="External"/><Relationship Id="rId1295" Type="http://schemas.openxmlformats.org/officeDocument/2006/relationships/hyperlink" Target="https://coinmarketcap.com/currencies/huncoin" TargetMode="External"/><Relationship Id="rId1309" Type="http://schemas.openxmlformats.org/officeDocument/2006/relationships/hyperlink" Target="https://coinmarketcap.com/currencies/granitecoin" TargetMode="External"/><Relationship Id="rId15" Type="http://schemas.openxmlformats.org/officeDocument/2006/relationships/hyperlink" Target="https://coinmarketcap.com/currencies/ethereum-classic" TargetMode="External"/><Relationship Id="rId318" Type="http://schemas.openxmlformats.org/officeDocument/2006/relationships/hyperlink" Target="https://coinmarketcap.com/currencies/curecoin" TargetMode="External"/><Relationship Id="rId525" Type="http://schemas.openxmlformats.org/officeDocument/2006/relationships/hyperlink" Target="https://coinmarketcap.com/currencies/fantomcoin" TargetMode="External"/><Relationship Id="rId732" Type="http://schemas.openxmlformats.org/officeDocument/2006/relationships/hyperlink" Target="https://coinmarketcap.com/currencies/emerald" TargetMode="External"/><Relationship Id="rId1155" Type="http://schemas.openxmlformats.org/officeDocument/2006/relationships/hyperlink" Target="https://coinmarketcap.com/currencies/zengold" TargetMode="External"/><Relationship Id="rId1362" Type="http://schemas.openxmlformats.org/officeDocument/2006/relationships/hyperlink" Target="https://coinmarketcap.com/currencies/richcoin" TargetMode="External"/><Relationship Id="rId99" Type="http://schemas.openxmlformats.org/officeDocument/2006/relationships/hyperlink" Target="https://coinmarketcap.com/currencies/digitalnote" TargetMode="External"/><Relationship Id="rId164" Type="http://schemas.openxmlformats.org/officeDocument/2006/relationships/hyperlink" Target="https://coinmarketcap.com/currencies/cindicator" TargetMode="External"/><Relationship Id="rId371" Type="http://schemas.openxmlformats.org/officeDocument/2006/relationships/hyperlink" Target="https://coinmarketcap.com/currencies/2give" TargetMode="External"/><Relationship Id="rId1015" Type="http://schemas.openxmlformats.org/officeDocument/2006/relationships/hyperlink" Target="https://coinmarketcap.com/currencies/dpay" TargetMode="External"/><Relationship Id="rId1222" Type="http://schemas.openxmlformats.org/officeDocument/2006/relationships/hyperlink" Target="https://coinmarketcap.com/currencies/blockchain-index" TargetMode="External"/><Relationship Id="rId469" Type="http://schemas.openxmlformats.org/officeDocument/2006/relationships/hyperlink" Target="https://coinmarketcap.com/currencies/tokes" TargetMode="External"/><Relationship Id="rId676" Type="http://schemas.openxmlformats.org/officeDocument/2006/relationships/hyperlink" Target="https://coinmarketcap.com/currencies/bit20" TargetMode="External"/><Relationship Id="rId883" Type="http://schemas.openxmlformats.org/officeDocument/2006/relationships/hyperlink" Target="https://coinmarketcap.com/currencies/bitstar" TargetMode="External"/><Relationship Id="rId1099" Type="http://schemas.openxmlformats.org/officeDocument/2006/relationships/hyperlink" Target="https://coinmarketcap.com/currencies/maker" TargetMode="External"/><Relationship Id="rId26" Type="http://schemas.openxmlformats.org/officeDocument/2006/relationships/hyperlink" Target="https://coinmarketcap.com/currencies/waves" TargetMode="External"/><Relationship Id="rId231" Type="http://schemas.openxmlformats.org/officeDocument/2006/relationships/hyperlink" Target="https://coinmarketcap.com/currencies/paragon" TargetMode="External"/><Relationship Id="rId329" Type="http://schemas.openxmlformats.org/officeDocument/2006/relationships/hyperlink" Target="https://coinmarketcap.com/currencies/the-champcoin" TargetMode="External"/><Relationship Id="rId536" Type="http://schemas.openxmlformats.org/officeDocument/2006/relationships/hyperlink" Target="https://coinmarketcap.com/currencies/linx" TargetMode="External"/><Relationship Id="rId1166" Type="http://schemas.openxmlformats.org/officeDocument/2006/relationships/hyperlink" Target="https://coinmarketcap.com/currencies/batcoin" TargetMode="External"/><Relationship Id="rId1373" Type="http://schemas.openxmlformats.org/officeDocument/2006/relationships/hyperlink" Target="https://coinmarketcap.com/currencies/casinocoin" TargetMode="External"/><Relationship Id="rId175" Type="http://schemas.openxmlformats.org/officeDocument/2006/relationships/hyperlink" Target="https://coinmarketcap.com/currencies/storm" TargetMode="External"/><Relationship Id="rId743" Type="http://schemas.openxmlformats.org/officeDocument/2006/relationships/hyperlink" Target="https://coinmarketcap.com/currencies/bolenum" TargetMode="External"/><Relationship Id="rId950" Type="http://schemas.openxmlformats.org/officeDocument/2006/relationships/hyperlink" Target="https://coinmarketcap.com/currencies/revolvercoin" TargetMode="External"/><Relationship Id="rId1026" Type="http://schemas.openxmlformats.org/officeDocument/2006/relationships/hyperlink" Target="https://coinmarketcap.com/currencies/dollar-online" TargetMode="External"/><Relationship Id="rId382" Type="http://schemas.openxmlformats.org/officeDocument/2006/relationships/hyperlink" Target="https://coinmarketcap.com/currencies/e-dinar-coin" TargetMode="External"/><Relationship Id="rId603" Type="http://schemas.openxmlformats.org/officeDocument/2006/relationships/hyperlink" Target="https://coinmarketcap.com/currencies/kobocoin" TargetMode="External"/><Relationship Id="rId687" Type="http://schemas.openxmlformats.org/officeDocument/2006/relationships/hyperlink" Target="https://coinmarketcap.com/currencies/ethereumcash" TargetMode="External"/><Relationship Id="rId810" Type="http://schemas.openxmlformats.org/officeDocument/2006/relationships/hyperlink" Target="https://coinmarketcap.com/currencies/anarchistsprime" TargetMode="External"/><Relationship Id="rId908" Type="http://schemas.openxmlformats.org/officeDocument/2006/relationships/hyperlink" Target="https://coinmarketcap.com/currencies/flycoin" TargetMode="External"/><Relationship Id="rId1233" Type="http://schemas.openxmlformats.org/officeDocument/2006/relationships/hyperlink" Target="https://coinmarketcap.com/currencies/aces" TargetMode="External"/><Relationship Id="rId242" Type="http://schemas.openxmlformats.org/officeDocument/2006/relationships/hyperlink" Target="https://coinmarketcap.com/currencies/waves-community-token" TargetMode="External"/><Relationship Id="rId894" Type="http://schemas.openxmlformats.org/officeDocument/2006/relationships/hyperlink" Target="https://coinmarketcap.com/currencies/joincoin" TargetMode="External"/><Relationship Id="rId1177" Type="http://schemas.openxmlformats.org/officeDocument/2006/relationships/hyperlink" Target="https://coinmarketcap.com/currencies/skeincoin" TargetMode="External"/><Relationship Id="rId1300" Type="http://schemas.openxmlformats.org/officeDocument/2006/relationships/hyperlink" Target="https://coinmarketcap.com/currencies/xde-ii" TargetMode="External"/><Relationship Id="rId37" Type="http://schemas.openxmlformats.org/officeDocument/2006/relationships/hyperlink" Target="https://coinmarketcap.com/currencies/augur" TargetMode="External"/><Relationship Id="rId102" Type="http://schemas.openxmlformats.org/officeDocument/2006/relationships/hyperlink" Target="https://coinmarketcap.com/currencies/voxels" TargetMode="External"/><Relationship Id="rId547" Type="http://schemas.openxmlformats.org/officeDocument/2006/relationships/hyperlink" Target="https://coinmarketcap.com/currencies/flik" TargetMode="External"/><Relationship Id="rId754" Type="http://schemas.openxmlformats.org/officeDocument/2006/relationships/hyperlink" Target="https://coinmarketcap.com/currencies/leacoin" TargetMode="External"/><Relationship Id="rId961" Type="http://schemas.openxmlformats.org/officeDocument/2006/relationships/hyperlink" Target="https://coinmarketcap.com/currencies/tajcoin" TargetMode="External"/><Relationship Id="rId1384" Type="http://schemas.openxmlformats.org/officeDocument/2006/relationships/drawing" Target="../drawings/drawing2.xml"/><Relationship Id="rId90" Type="http://schemas.openxmlformats.org/officeDocument/2006/relationships/hyperlink" Target="https://coinmarketcap.com/currencies/bancor" TargetMode="External"/><Relationship Id="rId186" Type="http://schemas.openxmlformats.org/officeDocument/2006/relationships/hyperlink" Target="https://coinmarketcap.com/currencies/elastic" TargetMode="External"/><Relationship Id="rId393" Type="http://schemas.openxmlformats.org/officeDocument/2006/relationships/hyperlink" Target="https://coinmarketcap.com/currencies/zephyr" TargetMode="External"/><Relationship Id="rId407" Type="http://schemas.openxmlformats.org/officeDocument/2006/relationships/hyperlink" Target="https://coinmarketcap.com/currencies/breakout" TargetMode="External"/><Relationship Id="rId614" Type="http://schemas.openxmlformats.org/officeDocument/2006/relationships/hyperlink" Target="https://coinmarketcap.com/currencies/bitbar" TargetMode="External"/><Relationship Id="rId821" Type="http://schemas.openxmlformats.org/officeDocument/2006/relationships/hyperlink" Target="https://coinmarketcap.com/currencies/geertcoin" TargetMode="External"/><Relationship Id="rId1037" Type="http://schemas.openxmlformats.org/officeDocument/2006/relationships/hyperlink" Target="https://coinmarketcap.com/currencies/kibicoin" TargetMode="External"/><Relationship Id="rId1244" Type="http://schemas.openxmlformats.org/officeDocument/2006/relationships/hyperlink" Target="https://coinmarketcap.com/currencies/india-coin" TargetMode="External"/><Relationship Id="rId253" Type="http://schemas.openxmlformats.org/officeDocument/2006/relationships/hyperlink" Target="https://coinmarketcap.com/currencies/quantum" TargetMode="External"/><Relationship Id="rId460" Type="http://schemas.openxmlformats.org/officeDocument/2006/relationships/hyperlink" Target="https://coinmarketcap.com/currencies/magi" TargetMode="External"/><Relationship Id="rId698" Type="http://schemas.openxmlformats.org/officeDocument/2006/relationships/hyperlink" Target="https://coinmarketcap.com/currencies/pascal-lite" TargetMode="External"/><Relationship Id="rId919" Type="http://schemas.openxmlformats.org/officeDocument/2006/relationships/hyperlink" Target="https://coinmarketcap.com/currencies/rubies" TargetMode="External"/><Relationship Id="rId1090" Type="http://schemas.openxmlformats.org/officeDocument/2006/relationships/hyperlink" Target="https://coinmarketcap.com/currencies/super-bitcoin" TargetMode="External"/><Relationship Id="rId1104" Type="http://schemas.openxmlformats.org/officeDocument/2006/relationships/hyperlink" Target="https://coinmarketcap.com/currencies/datum" TargetMode="External"/><Relationship Id="rId1311" Type="http://schemas.openxmlformats.org/officeDocument/2006/relationships/hyperlink" Target="https://coinmarketcap.com/currencies/happy-creator-coin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T70"/>
  <sheetViews>
    <sheetView showGridLines="0" tabSelected="1" zoomScaleNormal="100" workbookViewId="0">
      <selection activeCell="C1" sqref="C1:G3"/>
    </sheetView>
  </sheetViews>
  <sheetFormatPr defaultRowHeight="15" x14ac:dyDescent="0.25"/>
  <cols>
    <col min="1" max="1" width="2" customWidth="1"/>
    <col min="2" max="2" width="1.140625" hidden="1" customWidth="1"/>
    <col min="3" max="3" width="5.42578125" customWidth="1"/>
    <col min="4" max="4" width="30.5703125" customWidth="1"/>
    <col min="5" max="5" width="10.28515625" style="2" customWidth="1"/>
    <col min="6" max="6" width="19.42578125" style="2" customWidth="1"/>
    <col min="7" max="9" width="14.42578125" style="2" customWidth="1"/>
    <col min="10" max="10" width="19.42578125" style="2" customWidth="1"/>
    <col min="11" max="11" width="15.28515625" style="2" customWidth="1"/>
    <col min="12" max="12" width="19.42578125" style="2" customWidth="1"/>
    <col min="13" max="13" width="16.42578125" style="2" customWidth="1"/>
    <col min="14" max="16" width="10.85546875" style="2" customWidth="1"/>
    <col min="17" max="17" width="21.5703125" style="2" customWidth="1"/>
    <col min="18" max="18" width="14" style="2" customWidth="1"/>
    <col min="19" max="19" width="16.140625" style="2" customWidth="1"/>
    <col min="20" max="20" width="28" style="2" customWidth="1"/>
  </cols>
  <sheetData>
    <row r="1" spans="3:20" ht="23.25" customHeight="1" x14ac:dyDescent="0.25">
      <c r="C1" s="75" t="s">
        <v>3364</v>
      </c>
      <c r="D1" s="75"/>
      <c r="E1" s="75"/>
      <c r="F1" s="75"/>
      <c r="G1" s="75"/>
    </row>
    <row r="2" spans="3:20" ht="15" customHeight="1" x14ac:dyDescent="0.25">
      <c r="C2" s="75"/>
      <c r="D2" s="75"/>
      <c r="E2" s="75"/>
      <c r="F2" s="75"/>
      <c r="G2" s="75"/>
      <c r="J2" s="52" t="s">
        <v>3012</v>
      </c>
      <c r="K2" s="53"/>
      <c r="L2" s="53"/>
      <c r="M2" s="32"/>
    </row>
    <row r="3" spans="3:20" ht="15" customHeight="1" x14ac:dyDescent="0.25">
      <c r="C3" s="75"/>
      <c r="D3" s="75"/>
      <c r="E3" s="75"/>
      <c r="F3" s="75"/>
      <c r="G3" s="75"/>
      <c r="J3" s="52" t="s">
        <v>3004</v>
      </c>
      <c r="K3" s="53"/>
      <c r="L3" s="53"/>
      <c r="M3" s="9">
        <f>M4*M5</f>
        <v>0</v>
      </c>
      <c r="O3" s="22" t="s">
        <v>4090</v>
      </c>
    </row>
    <row r="4" spans="3:20" x14ac:dyDescent="0.25">
      <c r="J4" s="52" t="s">
        <v>3362</v>
      </c>
      <c r="K4" s="53"/>
      <c r="L4" s="53"/>
      <c r="M4" s="38">
        <f>SUM(I10:I35)</f>
        <v>0</v>
      </c>
      <c r="N4" s="48" t="s">
        <v>3043</v>
      </c>
      <c r="O4" s="36" t="s">
        <v>4085</v>
      </c>
    </row>
    <row r="5" spans="3:20" x14ac:dyDescent="0.25">
      <c r="C5" s="17" t="s">
        <v>3040</v>
      </c>
      <c r="J5" s="52" t="s">
        <v>3363</v>
      </c>
      <c r="K5" s="53"/>
      <c r="L5" s="53"/>
      <c r="M5" s="9">
        <f>J35</f>
        <v>16120.3</v>
      </c>
      <c r="N5" s="49" t="s">
        <v>3044</v>
      </c>
      <c r="O5" s="36" t="s">
        <v>3045</v>
      </c>
    </row>
    <row r="6" spans="3:20" x14ac:dyDescent="0.25">
      <c r="J6" s="52" t="s">
        <v>3100</v>
      </c>
      <c r="K6" s="56"/>
      <c r="L6" s="54"/>
      <c r="M6" s="37" t="str">
        <f>IF(M2&lt;&gt;"", M3-M2,"")</f>
        <v/>
      </c>
      <c r="N6" s="49"/>
      <c r="O6" s="36"/>
    </row>
    <row r="7" spans="3:20" x14ac:dyDescent="0.25">
      <c r="J7" s="52" t="s">
        <v>3101</v>
      </c>
      <c r="K7" s="53"/>
      <c r="L7" s="53"/>
      <c r="M7" s="10" t="str">
        <f>IF(M2&lt;&gt;"",((M3-M2)/M2),"")</f>
        <v/>
      </c>
      <c r="N7" s="49" t="s">
        <v>4086</v>
      </c>
      <c r="O7" s="66" t="s">
        <v>4087</v>
      </c>
      <c r="S7" s="33"/>
      <c r="T7" s="22" t="s">
        <v>3041</v>
      </c>
    </row>
    <row r="8" spans="3:20" x14ac:dyDescent="0.25">
      <c r="C8" s="17" t="s">
        <v>4088</v>
      </c>
      <c r="J8" s="6"/>
      <c r="K8" s="6"/>
      <c r="L8" s="6"/>
      <c r="M8" s="6"/>
    </row>
    <row r="9" spans="3:20" ht="30" x14ac:dyDescent="0.25">
      <c r="C9" s="3" t="s">
        <v>2923</v>
      </c>
      <c r="D9" s="7" t="s">
        <v>2911</v>
      </c>
      <c r="E9" s="4" t="s">
        <v>2906</v>
      </c>
      <c r="F9" s="4" t="s">
        <v>2961</v>
      </c>
      <c r="G9" s="4" t="s">
        <v>2962</v>
      </c>
      <c r="H9" s="4" t="s">
        <v>2963</v>
      </c>
      <c r="I9" s="4" t="s">
        <v>2965</v>
      </c>
      <c r="J9" s="4" t="s">
        <v>2964</v>
      </c>
      <c r="K9" s="4" t="s">
        <v>4045</v>
      </c>
      <c r="L9" s="4" t="s">
        <v>1917</v>
      </c>
      <c r="M9" s="4" t="s">
        <v>2907</v>
      </c>
      <c r="N9" s="4" t="s">
        <v>1920</v>
      </c>
      <c r="O9" s="4" t="s">
        <v>2908</v>
      </c>
      <c r="P9" s="4" t="s">
        <v>2909</v>
      </c>
      <c r="Q9" s="4" t="s">
        <v>2910</v>
      </c>
      <c r="R9" s="4" t="s">
        <v>3042</v>
      </c>
      <c r="S9" s="4" t="s">
        <v>2924</v>
      </c>
      <c r="T9" s="5" t="s">
        <v>4089</v>
      </c>
    </row>
    <row r="10" spans="3:20" x14ac:dyDescent="0.25">
      <c r="C10" s="8">
        <v>1</v>
      </c>
      <c r="D10" s="18"/>
      <c r="E10" s="19"/>
      <c r="F10" s="20"/>
      <c r="G10" s="21"/>
      <c r="H10" s="11" t="str">
        <f>IF(D10&lt;&gt;"",VLOOKUP(E10,DataSource!$D$5:$O$5000,2,FALSE),"")</f>
        <v/>
      </c>
      <c r="I10" s="11" t="str">
        <f>IF(D10&lt;&gt;"",F10*H10,"")</f>
        <v/>
      </c>
      <c r="J10" s="12" t="str">
        <f>IF(E10&lt;&gt;"",VLOOKUP(E10,DataSource!$D$5:$O$5000,3,FALSE),"")</f>
        <v/>
      </c>
      <c r="K10" s="57" t="str">
        <f>IF(F10&lt;&gt;"",F10*J10,"")</f>
        <v/>
      </c>
      <c r="L10" s="16" t="str">
        <f>IF(E10&lt;&gt;"",VLOOKUP(E10,DataSource!$D$5:$O$5000,5,FALSE),"")</f>
        <v/>
      </c>
      <c r="M10" s="16" t="str">
        <f>IF(E10&lt;&gt;"",VLOOKUP(E10,DataSource!$D$5:$O$5000,4,FALSE),"")</f>
        <v/>
      </c>
      <c r="N10" s="13" t="str">
        <f>IF(E10&lt;&gt;"",VLOOKUP(E10,DataSource!$D$5:$O$5000,8,FALSE),"")</f>
        <v/>
      </c>
      <c r="O10" s="13" t="str">
        <f>IF(E10&lt;&gt;"",VLOOKUP(E10,DataSource!$D$5:$O$5000,9,FALSE),"")</f>
        <v/>
      </c>
      <c r="P10" s="13" t="str">
        <f>IF(E10&lt;&gt;"",VLOOKUP(E10,DataSource!$D$5:$O$5000,10,FALSE),"")</f>
        <v/>
      </c>
      <c r="Q10" s="14" t="str">
        <f>IF(E10&lt;&gt;"",VLOOKUP(E10,DataSource!$D$5:$O$5000,12,FALSE),"")</f>
        <v/>
      </c>
      <c r="R10" s="15" t="str">
        <f>IF(G10&lt;&gt;"",(H10-G10)/G10,"")</f>
        <v/>
      </c>
      <c r="S10" s="21" t="str">
        <f t="shared" ref="S10:S34" si="0">IF(G10&lt;&gt;"",G10*2,"")</f>
        <v/>
      </c>
      <c r="T10" s="67"/>
    </row>
    <row r="11" spans="3:20" x14ac:dyDescent="0.25">
      <c r="C11" s="8">
        <v>2</v>
      </c>
      <c r="D11" s="18"/>
      <c r="E11" s="19"/>
      <c r="F11" s="20"/>
      <c r="G11" s="21"/>
      <c r="H11" s="11" t="str">
        <f>IF(D11&lt;&gt;"",VLOOKUP(E11,DataSource!$D$5:$O$5000,2,FALSE),"")</f>
        <v/>
      </c>
      <c r="I11" s="11" t="str">
        <f t="shared" ref="I11:I35" si="1">IF(D11&lt;&gt;"",F11*H11,"")</f>
        <v/>
      </c>
      <c r="J11" s="12" t="str">
        <f>IF(E11&lt;&gt;"",VLOOKUP(E11,DataSource!$D$5:$O$5000,3,FALSE),"")</f>
        <v/>
      </c>
      <c r="K11" s="57" t="str">
        <f t="shared" ref="K11:K35" si="2">IF(F11&lt;&gt;"",F11*J11,"")</f>
        <v/>
      </c>
      <c r="L11" s="16" t="str">
        <f>IF(E11&lt;&gt;"",VLOOKUP(E11,DataSource!$D$5:$O$5000,5,FALSE),"")</f>
        <v/>
      </c>
      <c r="M11" s="16" t="str">
        <f>IF(E11&lt;&gt;"",VLOOKUP(E11,DataSource!$D$5:$O$5000,4,FALSE),"")</f>
        <v/>
      </c>
      <c r="N11" s="13" t="str">
        <f>IF(E11&lt;&gt;"",VLOOKUP(E11,DataSource!$D$5:$O$5000,8,FALSE),"")</f>
        <v/>
      </c>
      <c r="O11" s="13" t="str">
        <f>IF(E11&lt;&gt;"",VLOOKUP(E11,DataSource!$D$5:$O$5000,9,FALSE),"")</f>
        <v/>
      </c>
      <c r="P11" s="13" t="str">
        <f>IF(E11&lt;&gt;"",VLOOKUP(E11,DataSource!$D$5:$O$5000,10,FALSE),"")</f>
        <v/>
      </c>
      <c r="Q11" s="14" t="str">
        <f>IF(E11&lt;&gt;"",VLOOKUP(E11,DataSource!$D$5:$O$5000,12,FALSE),"")</f>
        <v/>
      </c>
      <c r="R11" s="15" t="str">
        <f t="shared" ref="R11:R35" si="3">IF(G11&lt;&gt;"",(H11-G11)/G11,"")</f>
        <v/>
      </c>
      <c r="S11" s="21" t="str">
        <f t="shared" si="0"/>
        <v/>
      </c>
      <c r="T11" s="67"/>
    </row>
    <row r="12" spans="3:20" x14ac:dyDescent="0.25">
      <c r="C12" s="8">
        <v>3</v>
      </c>
      <c r="D12" s="18"/>
      <c r="E12" s="19"/>
      <c r="F12" s="20"/>
      <c r="G12" s="21"/>
      <c r="H12" s="11" t="str">
        <f>IF(D12&lt;&gt;"",VLOOKUP(E12,DataSource!$D$5:$O$5000,2,FALSE),"")</f>
        <v/>
      </c>
      <c r="I12" s="11" t="str">
        <f t="shared" si="1"/>
        <v/>
      </c>
      <c r="J12" s="12" t="str">
        <f>IF(E12&lt;&gt;"",VLOOKUP(E12,DataSource!$D$5:$O$5000,3,FALSE),"")</f>
        <v/>
      </c>
      <c r="K12" s="57" t="str">
        <f t="shared" si="2"/>
        <v/>
      </c>
      <c r="L12" s="16" t="str">
        <f>IF(E12&lt;&gt;"",VLOOKUP(E12,DataSource!$D$5:$O$5000,5,FALSE),"")</f>
        <v/>
      </c>
      <c r="M12" s="16" t="str">
        <f>IF(E12&lt;&gt;"",VLOOKUP(E12,DataSource!$D$5:$O$5000,4,FALSE),"")</f>
        <v/>
      </c>
      <c r="N12" s="13" t="str">
        <f>IF(E12&lt;&gt;"",VLOOKUP(E12,DataSource!$D$5:$O$5000,8,FALSE),"")</f>
        <v/>
      </c>
      <c r="O12" s="13" t="str">
        <f>IF(E12&lt;&gt;"",VLOOKUP(E12,DataSource!$D$5:$O$5000,9,FALSE),"")</f>
        <v/>
      </c>
      <c r="P12" s="13" t="str">
        <f>IF(E12&lt;&gt;"",VLOOKUP(E12,DataSource!$D$5:$O$5000,10,FALSE),"")</f>
        <v/>
      </c>
      <c r="Q12" s="14" t="str">
        <f>IF(E12&lt;&gt;"",VLOOKUP(E12,DataSource!$D$5:$O$5000,12,FALSE),"")</f>
        <v/>
      </c>
      <c r="R12" s="15" t="str">
        <f t="shared" si="3"/>
        <v/>
      </c>
      <c r="S12" s="21" t="str">
        <f t="shared" si="0"/>
        <v/>
      </c>
      <c r="T12" s="67"/>
    </row>
    <row r="13" spans="3:20" x14ac:dyDescent="0.25">
      <c r="C13" s="8">
        <v>4</v>
      </c>
      <c r="D13" s="18"/>
      <c r="E13" s="19"/>
      <c r="F13" s="20"/>
      <c r="G13" s="21"/>
      <c r="H13" s="11" t="str">
        <f>IF(D13&lt;&gt;"",VLOOKUP(E13,DataSource!$D$5:$O$5000,2,FALSE),"")</f>
        <v/>
      </c>
      <c r="I13" s="11" t="str">
        <f t="shared" si="1"/>
        <v/>
      </c>
      <c r="J13" s="12" t="str">
        <f>IF(E13&lt;&gt;"",VLOOKUP(E13,DataSource!$D$5:$O$5000,3,FALSE),"")</f>
        <v/>
      </c>
      <c r="K13" s="57" t="str">
        <f t="shared" si="2"/>
        <v/>
      </c>
      <c r="L13" s="16" t="str">
        <f>IF(E13&lt;&gt;"",VLOOKUP(E13,DataSource!$D$5:$O$5000,5,FALSE),"")</f>
        <v/>
      </c>
      <c r="M13" s="16" t="str">
        <f>IF(E13&lt;&gt;"",VLOOKUP(E13,DataSource!$D$5:$O$5000,4,FALSE),"")</f>
        <v/>
      </c>
      <c r="N13" s="13" t="str">
        <f>IF(E13&lt;&gt;"",VLOOKUP(E13,DataSource!$D$5:$O$5000,8,FALSE),"")</f>
        <v/>
      </c>
      <c r="O13" s="13" t="str">
        <f>IF(E13&lt;&gt;"",VLOOKUP(E13,DataSource!$D$5:$O$5000,9,FALSE),"")</f>
        <v/>
      </c>
      <c r="P13" s="13" t="str">
        <f>IF(E13&lt;&gt;"",VLOOKUP(E13,DataSource!$D$5:$O$5000,10,FALSE),"")</f>
        <v/>
      </c>
      <c r="Q13" s="14" t="str">
        <f>IF(E13&lt;&gt;"",VLOOKUP(E13,DataSource!$D$5:$O$5000,12,FALSE),"")</f>
        <v/>
      </c>
      <c r="R13" s="15" t="str">
        <f t="shared" si="3"/>
        <v/>
      </c>
      <c r="S13" s="21" t="str">
        <f t="shared" si="0"/>
        <v/>
      </c>
      <c r="T13" s="67"/>
    </row>
    <row r="14" spans="3:20" x14ac:dyDescent="0.25">
      <c r="C14" s="8">
        <v>5</v>
      </c>
      <c r="D14" s="18"/>
      <c r="E14" s="19"/>
      <c r="F14" s="20"/>
      <c r="G14" s="21"/>
      <c r="H14" s="11" t="str">
        <f>IF(D14&lt;&gt;"",VLOOKUP(E14,DataSource!$D$5:$O$5000,2,FALSE),"")</f>
        <v/>
      </c>
      <c r="I14" s="11" t="str">
        <f t="shared" si="1"/>
        <v/>
      </c>
      <c r="J14" s="12" t="str">
        <f>IF(E14&lt;&gt;"",VLOOKUP(E14,DataSource!$D$5:$O$5000,3,FALSE),"")</f>
        <v/>
      </c>
      <c r="K14" s="57" t="str">
        <f t="shared" si="2"/>
        <v/>
      </c>
      <c r="L14" s="16" t="str">
        <f>IF(E14&lt;&gt;"",VLOOKUP(E14,DataSource!$D$5:$O$5000,5,FALSE),"")</f>
        <v/>
      </c>
      <c r="M14" s="16" t="str">
        <f>IF(E14&lt;&gt;"",VLOOKUP(E14,DataSource!$D$5:$O$5000,4,FALSE),"")</f>
        <v/>
      </c>
      <c r="N14" s="13" t="str">
        <f>IF(E14&lt;&gt;"",VLOOKUP(E14,DataSource!$D$5:$O$5000,8,FALSE),"")</f>
        <v/>
      </c>
      <c r="O14" s="13" t="str">
        <f>IF(E14&lt;&gt;"",VLOOKUP(E14,DataSource!$D$5:$O$5000,9,FALSE),"")</f>
        <v/>
      </c>
      <c r="P14" s="13" t="str">
        <f>IF(E14&lt;&gt;"",VLOOKUP(E14,DataSource!$D$5:$O$5000,10,FALSE),"")</f>
        <v/>
      </c>
      <c r="Q14" s="14" t="str">
        <f>IF(E14&lt;&gt;"",VLOOKUP(E14,DataSource!$D$5:$O$5000,12,FALSE),"")</f>
        <v/>
      </c>
      <c r="R14" s="15" t="str">
        <f t="shared" si="3"/>
        <v/>
      </c>
      <c r="S14" s="21" t="str">
        <f t="shared" si="0"/>
        <v/>
      </c>
      <c r="T14" s="67"/>
    </row>
    <row r="15" spans="3:20" x14ac:dyDescent="0.25">
      <c r="C15" s="8">
        <v>6</v>
      </c>
      <c r="D15" s="18"/>
      <c r="E15" s="19"/>
      <c r="F15" s="20"/>
      <c r="G15" s="21"/>
      <c r="H15" s="11" t="str">
        <f>IF(D15&lt;&gt;"",VLOOKUP(E15,DataSource!$D$5:$O$5000,2,FALSE),"")</f>
        <v/>
      </c>
      <c r="I15" s="11" t="str">
        <f t="shared" si="1"/>
        <v/>
      </c>
      <c r="J15" s="12" t="str">
        <f>IF(E15&lt;&gt;"",VLOOKUP(E15,DataSource!$D$5:$O$5000,3,FALSE),"")</f>
        <v/>
      </c>
      <c r="K15" s="57" t="str">
        <f t="shared" si="2"/>
        <v/>
      </c>
      <c r="L15" s="16" t="str">
        <f>IF(E15&lt;&gt;"",VLOOKUP(E15,DataSource!$D$5:$O$5000,5,FALSE),"")</f>
        <v/>
      </c>
      <c r="M15" s="16" t="str">
        <f>IF(E15&lt;&gt;"",VLOOKUP(E15,DataSource!$D$5:$O$5000,4,FALSE),"")</f>
        <v/>
      </c>
      <c r="N15" s="13" t="str">
        <f>IF(E15&lt;&gt;"",VLOOKUP(E15,DataSource!$D$5:$O$5000,8,FALSE),"")</f>
        <v/>
      </c>
      <c r="O15" s="13" t="str">
        <f>IF(E15&lt;&gt;"",VLOOKUP(E15,DataSource!$D$5:$O$5000,9,FALSE),"")</f>
        <v/>
      </c>
      <c r="P15" s="13" t="str">
        <f>IF(E15&lt;&gt;"",VLOOKUP(E15,DataSource!$D$5:$O$5000,10,FALSE),"")</f>
        <v/>
      </c>
      <c r="Q15" s="14" t="str">
        <f>IF(E15&lt;&gt;"",VLOOKUP(E15,DataSource!$D$5:$O$5000,12,FALSE),"")</f>
        <v/>
      </c>
      <c r="R15" s="15" t="str">
        <f t="shared" si="3"/>
        <v/>
      </c>
      <c r="S15" s="21" t="str">
        <f t="shared" si="0"/>
        <v/>
      </c>
      <c r="T15" s="67"/>
    </row>
    <row r="16" spans="3:20" x14ac:dyDescent="0.25">
      <c r="C16" s="8">
        <v>7</v>
      </c>
      <c r="D16" s="18"/>
      <c r="E16" s="19"/>
      <c r="F16" s="20"/>
      <c r="G16" s="21"/>
      <c r="H16" s="11" t="str">
        <f>IF(D16&lt;&gt;"",VLOOKUP(E16,DataSource!$D$5:$O$5000,2,FALSE),"")</f>
        <v/>
      </c>
      <c r="I16" s="11" t="str">
        <f t="shared" si="1"/>
        <v/>
      </c>
      <c r="J16" s="12" t="str">
        <f>IF(E16&lt;&gt;"",VLOOKUP(E16,DataSource!$D$5:$O$5000,3,FALSE),"")</f>
        <v/>
      </c>
      <c r="K16" s="57" t="str">
        <f t="shared" si="2"/>
        <v/>
      </c>
      <c r="L16" s="16" t="str">
        <f>IF(E16&lt;&gt;"",VLOOKUP(E16,DataSource!$D$5:$O$5000,5,FALSE),"")</f>
        <v/>
      </c>
      <c r="M16" s="16" t="str">
        <f>IF(E16&lt;&gt;"",VLOOKUP(E16,DataSource!$D$5:$O$5000,4,FALSE),"")</f>
        <v/>
      </c>
      <c r="N16" s="13" t="str">
        <f>IF(E16&lt;&gt;"",VLOOKUP(E16,DataSource!$D$5:$O$5000,8,FALSE),"")</f>
        <v/>
      </c>
      <c r="O16" s="13" t="str">
        <f>IF(E16&lt;&gt;"",VLOOKUP(E16,DataSource!$D$5:$O$5000,9,FALSE),"")</f>
        <v/>
      </c>
      <c r="P16" s="13" t="str">
        <f>IF(E16&lt;&gt;"",VLOOKUP(E16,DataSource!$D$5:$O$5000,10,FALSE),"")</f>
        <v/>
      </c>
      <c r="Q16" s="14" t="str">
        <f>IF(E16&lt;&gt;"",VLOOKUP(E16,DataSource!$D$5:$O$5000,12,FALSE),"")</f>
        <v/>
      </c>
      <c r="R16" s="15" t="str">
        <f t="shared" si="3"/>
        <v/>
      </c>
      <c r="S16" s="21" t="str">
        <f t="shared" si="0"/>
        <v/>
      </c>
      <c r="T16" s="67"/>
    </row>
    <row r="17" spans="3:20" x14ac:dyDescent="0.25">
      <c r="C17" s="8">
        <v>8</v>
      </c>
      <c r="D17" s="18"/>
      <c r="E17" s="19"/>
      <c r="F17" s="20"/>
      <c r="G17" s="21"/>
      <c r="H17" s="11" t="str">
        <f>IF(D17&lt;&gt;"",VLOOKUP(E17,DataSource!$D$5:$O$5000,2,FALSE),"")</f>
        <v/>
      </c>
      <c r="I17" s="11" t="str">
        <f t="shared" si="1"/>
        <v/>
      </c>
      <c r="J17" s="12" t="str">
        <f>IF(E17&lt;&gt;"",VLOOKUP(E17,DataSource!$D$5:$O$5000,3,FALSE),"")</f>
        <v/>
      </c>
      <c r="K17" s="57" t="str">
        <f t="shared" si="2"/>
        <v/>
      </c>
      <c r="L17" s="16" t="str">
        <f>IF(E17&lt;&gt;"",VLOOKUP(E17,DataSource!$D$5:$O$5000,5,FALSE),"")</f>
        <v/>
      </c>
      <c r="M17" s="16" t="str">
        <f>IF(E17&lt;&gt;"",VLOOKUP(E17,DataSource!$D$5:$O$5000,4,FALSE),"")</f>
        <v/>
      </c>
      <c r="N17" s="13" t="str">
        <f>IF(E17&lt;&gt;"",VLOOKUP(E17,DataSource!$D$5:$O$5000,8,FALSE),"")</f>
        <v/>
      </c>
      <c r="O17" s="13" t="str">
        <f>IF(E17&lt;&gt;"",VLOOKUP(E17,DataSource!$D$5:$O$5000,9,FALSE),"")</f>
        <v/>
      </c>
      <c r="P17" s="13" t="str">
        <f>IF(E17&lt;&gt;"",VLOOKUP(E17,DataSource!$D$5:$O$5000,10,FALSE),"")</f>
        <v/>
      </c>
      <c r="Q17" s="14" t="str">
        <f>IF(E17&lt;&gt;"",VLOOKUP(E17,DataSource!$D$5:$O$5000,12,FALSE),"")</f>
        <v/>
      </c>
      <c r="R17" s="15" t="str">
        <f t="shared" si="3"/>
        <v/>
      </c>
      <c r="S17" s="21" t="str">
        <f t="shared" si="0"/>
        <v/>
      </c>
      <c r="T17" s="67"/>
    </row>
    <row r="18" spans="3:20" x14ac:dyDescent="0.25">
      <c r="C18" s="8">
        <v>9</v>
      </c>
      <c r="D18" s="18"/>
      <c r="E18" s="19"/>
      <c r="F18" s="20"/>
      <c r="G18" s="21"/>
      <c r="H18" s="11" t="str">
        <f>IF(D18&lt;&gt;"",VLOOKUP(E18,DataSource!$D$5:$O$5000,2,FALSE),"")</f>
        <v/>
      </c>
      <c r="I18" s="11" t="str">
        <f t="shared" si="1"/>
        <v/>
      </c>
      <c r="J18" s="12" t="str">
        <f>IF(E18&lt;&gt;"",VLOOKUP(E18,DataSource!$D$5:$O$5000,3,FALSE),"")</f>
        <v/>
      </c>
      <c r="K18" s="57" t="str">
        <f t="shared" si="2"/>
        <v/>
      </c>
      <c r="L18" s="16" t="str">
        <f>IF(E18&lt;&gt;"",VLOOKUP(E18,DataSource!$D$5:$O$5000,5,FALSE),"")</f>
        <v/>
      </c>
      <c r="M18" s="16" t="str">
        <f>IF(E18&lt;&gt;"",VLOOKUP(E18,DataSource!$D$5:$O$5000,4,FALSE),"")</f>
        <v/>
      </c>
      <c r="N18" s="13" t="str">
        <f>IF(E18&lt;&gt;"",VLOOKUP(E18,DataSource!$D$5:$O$5000,8,FALSE),"")</f>
        <v/>
      </c>
      <c r="O18" s="13" t="str">
        <f>IF(E18&lt;&gt;"",VLOOKUP(E18,DataSource!$D$5:$O$5000,9,FALSE),"")</f>
        <v/>
      </c>
      <c r="P18" s="13" t="str">
        <f>IF(E18&lt;&gt;"",VLOOKUP(E18,DataSource!$D$5:$O$5000,10,FALSE),"")</f>
        <v/>
      </c>
      <c r="Q18" s="14" t="str">
        <f>IF(E18&lt;&gt;"",VLOOKUP(E18,DataSource!$D$5:$O$5000,12,FALSE),"")</f>
        <v/>
      </c>
      <c r="R18" s="15" t="str">
        <f t="shared" si="3"/>
        <v/>
      </c>
      <c r="S18" s="21" t="str">
        <f t="shared" si="0"/>
        <v/>
      </c>
      <c r="T18" s="67"/>
    </row>
    <row r="19" spans="3:20" x14ac:dyDescent="0.25">
      <c r="C19" s="8">
        <v>10</v>
      </c>
      <c r="D19" s="18"/>
      <c r="E19" s="19"/>
      <c r="F19" s="21"/>
      <c r="G19" s="21"/>
      <c r="H19" s="11" t="str">
        <f>IF(D19&lt;&gt;"",VLOOKUP(E19,DataSource!$D$5:$O$5000,2,FALSE),"")</f>
        <v/>
      </c>
      <c r="I19" s="11" t="str">
        <f t="shared" si="1"/>
        <v/>
      </c>
      <c r="J19" s="12" t="str">
        <f>IF(E19&lt;&gt;"",VLOOKUP(E19,DataSource!$D$5:$O$5000,3,FALSE),"")</f>
        <v/>
      </c>
      <c r="K19" s="57" t="str">
        <f t="shared" si="2"/>
        <v/>
      </c>
      <c r="L19" s="16" t="str">
        <f>IF(E19&lt;&gt;"",VLOOKUP(E19,DataSource!$D$5:$O$5000,5,FALSE),"")</f>
        <v/>
      </c>
      <c r="M19" s="16" t="str">
        <f>IF(E19&lt;&gt;"",VLOOKUP(E19,DataSource!$D$5:$O$5000,4,FALSE),"")</f>
        <v/>
      </c>
      <c r="N19" s="13" t="str">
        <f>IF(E19&lt;&gt;"",VLOOKUP(E19,DataSource!$D$5:$O$5000,8,FALSE),"")</f>
        <v/>
      </c>
      <c r="O19" s="13" t="str">
        <f>IF(E19&lt;&gt;"",VLOOKUP(E19,DataSource!$D$5:$O$5000,9,FALSE),"")</f>
        <v/>
      </c>
      <c r="P19" s="13" t="str">
        <f>IF(E19&lt;&gt;"",VLOOKUP(E19,DataSource!$D$5:$O$5000,10,FALSE),"")</f>
        <v/>
      </c>
      <c r="Q19" s="14" t="str">
        <f>IF(E19&lt;&gt;"",VLOOKUP(E19,DataSource!$D$5:$O$5000,12,FALSE),"")</f>
        <v/>
      </c>
      <c r="R19" s="15" t="str">
        <f t="shared" si="3"/>
        <v/>
      </c>
      <c r="S19" s="21" t="str">
        <f t="shared" si="0"/>
        <v/>
      </c>
      <c r="T19" s="67"/>
    </row>
    <row r="20" spans="3:20" x14ac:dyDescent="0.25">
      <c r="C20" s="8">
        <v>11</v>
      </c>
      <c r="D20" s="18"/>
      <c r="E20" s="19"/>
      <c r="F20" s="20"/>
      <c r="G20" s="21"/>
      <c r="H20" s="11" t="str">
        <f>IF(D20&lt;&gt;"",VLOOKUP(E20,DataSource!$D$5:$O$5000,2,FALSE),"")</f>
        <v/>
      </c>
      <c r="I20" s="11" t="str">
        <f>IF(D20&lt;&gt;"",F20*H20,"")</f>
        <v/>
      </c>
      <c r="J20" s="12" t="str">
        <f>IF(E20&lt;&gt;"",VLOOKUP(E20,DataSource!$D$5:$O$5000,3,FALSE),"")</f>
        <v/>
      </c>
      <c r="K20" s="57" t="str">
        <f t="shared" si="2"/>
        <v/>
      </c>
      <c r="L20" s="16" t="str">
        <f>IF(E20&lt;&gt;"",VLOOKUP(E20,DataSource!$D$5:$O$5000,5,FALSE),"")</f>
        <v/>
      </c>
      <c r="M20" s="16" t="str">
        <f>IF(E20&lt;&gt;"",VLOOKUP(E20,DataSource!$D$5:$O$5000,4,FALSE),"")</f>
        <v/>
      </c>
      <c r="N20" s="13" t="str">
        <f>IF(E20&lt;&gt;"",VLOOKUP(E20,DataSource!$D$5:$O$5000,8,FALSE),"")</f>
        <v/>
      </c>
      <c r="O20" s="13" t="str">
        <f>IF(E20&lt;&gt;"",VLOOKUP(E20,DataSource!$D$5:$O$5000,9,FALSE),"")</f>
        <v/>
      </c>
      <c r="P20" s="13" t="str">
        <f>IF(E20&lt;&gt;"",VLOOKUP(E20,DataSource!$D$5:$O$5000,10,FALSE),"")</f>
        <v/>
      </c>
      <c r="Q20" s="14" t="str">
        <f>IF(E20&lt;&gt;"",VLOOKUP(E20,DataSource!$D$5:$O$5000,12,FALSE),"")</f>
        <v/>
      </c>
      <c r="R20" s="15" t="str">
        <f>IF(G20&lt;&gt;"",(H20-G20)/G20,"")</f>
        <v/>
      </c>
      <c r="S20" s="21" t="str">
        <f t="shared" si="0"/>
        <v/>
      </c>
      <c r="T20" s="67"/>
    </row>
    <row r="21" spans="3:20" x14ac:dyDescent="0.25">
      <c r="C21" s="8">
        <v>12</v>
      </c>
      <c r="D21" s="18"/>
      <c r="E21" s="19"/>
      <c r="F21" s="20"/>
      <c r="G21" s="21"/>
      <c r="H21" s="11" t="str">
        <f>IF(D21&lt;&gt;"",VLOOKUP(E21,DataSource!$D$5:$O$5000,2,FALSE),"")</f>
        <v/>
      </c>
      <c r="I21" s="11" t="str">
        <f>IF(D21&lt;&gt;"",F21*H21,"")</f>
        <v/>
      </c>
      <c r="J21" s="12" t="str">
        <f>IF(E21&lt;&gt;"",VLOOKUP(E21,DataSource!$D$5:$O$5000,3,FALSE),"")</f>
        <v/>
      </c>
      <c r="K21" s="57" t="str">
        <f t="shared" si="2"/>
        <v/>
      </c>
      <c r="L21" s="16" t="str">
        <f>IF(E21&lt;&gt;"",VLOOKUP(E21,DataSource!$D$5:$O$5000,5,FALSE),"")</f>
        <v/>
      </c>
      <c r="M21" s="16" t="str">
        <f>IF(E21&lt;&gt;"",VLOOKUP(E21,DataSource!$D$5:$O$5000,4,FALSE),"")</f>
        <v/>
      </c>
      <c r="N21" s="13" t="str">
        <f>IF(E21&lt;&gt;"",VLOOKUP(E21,DataSource!$D$5:$O$5000,8,FALSE),"")</f>
        <v/>
      </c>
      <c r="O21" s="13" t="str">
        <f>IF(E21&lt;&gt;"",VLOOKUP(E21,DataSource!$D$5:$O$5000,9,FALSE),"")</f>
        <v/>
      </c>
      <c r="P21" s="13" t="str">
        <f>IF(E21&lt;&gt;"",VLOOKUP(E21,DataSource!$D$5:$O$5000,10,FALSE),"")</f>
        <v/>
      </c>
      <c r="Q21" s="14" t="str">
        <f>IF(E21&lt;&gt;"",VLOOKUP(E21,DataSource!$D$5:$O$5000,12,FALSE),"")</f>
        <v/>
      </c>
      <c r="R21" s="15" t="str">
        <f>IF(G21&lt;&gt;"",(H21-G21)/G21,"")</f>
        <v/>
      </c>
      <c r="S21" s="21" t="str">
        <f t="shared" si="0"/>
        <v/>
      </c>
      <c r="T21" s="67"/>
    </row>
    <row r="22" spans="3:20" x14ac:dyDescent="0.25">
      <c r="C22" s="8">
        <v>13</v>
      </c>
      <c r="D22" s="18"/>
      <c r="E22" s="19"/>
      <c r="F22" s="20"/>
      <c r="G22" s="21"/>
      <c r="H22" s="11" t="str">
        <f>IF(D22&lt;&gt;"",VLOOKUP(E22,DataSource!$D$5:$O$5000,2,FALSE),"")</f>
        <v/>
      </c>
      <c r="I22" s="11" t="str">
        <f>IF(D22&lt;&gt;"",F22*H22,"")</f>
        <v/>
      </c>
      <c r="J22" s="12" t="str">
        <f>IF(E22&lt;&gt;"",VLOOKUP(E22,DataSource!$D$5:$O$5000,3,FALSE),"")</f>
        <v/>
      </c>
      <c r="K22" s="57" t="str">
        <f t="shared" si="2"/>
        <v/>
      </c>
      <c r="L22" s="16" t="str">
        <f>IF(E22&lt;&gt;"",VLOOKUP(E22,DataSource!$D$5:$O$5000,5,FALSE),"")</f>
        <v/>
      </c>
      <c r="M22" s="16" t="str">
        <f>IF(E22&lt;&gt;"",VLOOKUP(E22,DataSource!$D$5:$O$5000,4,FALSE),"")</f>
        <v/>
      </c>
      <c r="N22" s="13" t="str">
        <f>IF(E22&lt;&gt;"",VLOOKUP(E22,DataSource!$D$5:$O$5000,8,FALSE),"")</f>
        <v/>
      </c>
      <c r="O22" s="13" t="str">
        <f>IF(E22&lt;&gt;"",VLOOKUP(E22,DataSource!$D$5:$O$5000,9,FALSE),"")</f>
        <v/>
      </c>
      <c r="P22" s="13" t="str">
        <f>IF(E22&lt;&gt;"",VLOOKUP(E22,DataSource!$D$5:$O$5000,10,FALSE),"")</f>
        <v/>
      </c>
      <c r="Q22" s="14" t="str">
        <f>IF(E22&lt;&gt;"",VLOOKUP(E22,DataSource!$D$5:$O$5000,12,FALSE),"")</f>
        <v/>
      </c>
      <c r="R22" s="15" t="str">
        <f>IF(G22&lt;&gt;"",(H22-G22)/G22,"")</f>
        <v/>
      </c>
      <c r="S22" s="21" t="str">
        <f t="shared" si="0"/>
        <v/>
      </c>
      <c r="T22" s="67"/>
    </row>
    <row r="23" spans="3:20" x14ac:dyDescent="0.25">
      <c r="C23" s="8">
        <v>14</v>
      </c>
      <c r="D23" s="18"/>
      <c r="E23" s="19"/>
      <c r="F23" s="20"/>
      <c r="G23" s="21"/>
      <c r="H23" s="11" t="str">
        <f>IF(D23&lt;&gt;"",VLOOKUP(E23,DataSource!$D$5:$O$5000,2,FALSE),"")</f>
        <v/>
      </c>
      <c r="I23" s="11" t="str">
        <f>IF(D23&lt;&gt;"",F23*H23,"")</f>
        <v/>
      </c>
      <c r="J23" s="12" t="str">
        <f>IF(E23&lt;&gt;"",VLOOKUP(E23,DataSource!$D$5:$O$5000,3,FALSE),"")</f>
        <v/>
      </c>
      <c r="K23" s="57" t="str">
        <f t="shared" si="2"/>
        <v/>
      </c>
      <c r="L23" s="16" t="str">
        <f>IF(E23&lt;&gt;"",VLOOKUP(E23,DataSource!$D$5:$O$5000,5,FALSE),"")</f>
        <v/>
      </c>
      <c r="M23" s="16" t="str">
        <f>IF(E23&lt;&gt;"",VLOOKUP(E23,DataSource!$D$5:$O$5000,4,FALSE),"")</f>
        <v/>
      </c>
      <c r="N23" s="13" t="str">
        <f>IF(E23&lt;&gt;"",VLOOKUP(E23,DataSource!$D$5:$O$5000,8,FALSE),"")</f>
        <v/>
      </c>
      <c r="O23" s="13" t="str">
        <f>IF(E23&lt;&gt;"",VLOOKUP(E23,DataSource!$D$5:$O$5000,9,FALSE),"")</f>
        <v/>
      </c>
      <c r="P23" s="13" t="str">
        <f>IF(E23&lt;&gt;"",VLOOKUP(E23,DataSource!$D$5:$O$5000,10,FALSE),"")</f>
        <v/>
      </c>
      <c r="Q23" s="14" t="str">
        <f>IF(E23&lt;&gt;"",VLOOKUP(E23,DataSource!$D$5:$O$5000,12,FALSE),"")</f>
        <v/>
      </c>
      <c r="R23" s="15" t="str">
        <f>IF(G23&lt;&gt;"",(H23-G23)/G23,"")</f>
        <v/>
      </c>
      <c r="S23" s="21" t="str">
        <f t="shared" si="0"/>
        <v/>
      </c>
      <c r="T23" s="67"/>
    </row>
    <row r="24" spans="3:20" x14ac:dyDescent="0.25">
      <c r="C24" s="8">
        <v>15</v>
      </c>
      <c r="D24" s="18"/>
      <c r="E24" s="19"/>
      <c r="F24" s="20"/>
      <c r="G24" s="21"/>
      <c r="H24" s="11" t="str">
        <f>IF(D24&lt;&gt;"",VLOOKUP(E24,DataSource!$D$5:$O$5000,2,FALSE),"")</f>
        <v/>
      </c>
      <c r="I24" s="11" t="str">
        <f>IF(D24&lt;&gt;"",F24*H24,"")</f>
        <v/>
      </c>
      <c r="J24" s="12" t="str">
        <f>IF(E24&lt;&gt;"",VLOOKUP(E24,DataSource!$D$5:$O$5000,3,FALSE),"")</f>
        <v/>
      </c>
      <c r="K24" s="57" t="str">
        <f t="shared" si="2"/>
        <v/>
      </c>
      <c r="L24" s="16" t="str">
        <f>IF(E24&lt;&gt;"",VLOOKUP(E24,DataSource!$D$5:$O$5000,5,FALSE),"")</f>
        <v/>
      </c>
      <c r="M24" s="16" t="str">
        <f>IF(E24&lt;&gt;"",VLOOKUP(E24,DataSource!$D$5:$O$5000,4,FALSE),"")</f>
        <v/>
      </c>
      <c r="N24" s="13" t="str">
        <f>IF(E24&lt;&gt;"",VLOOKUP(E24,DataSource!$D$5:$O$5000,8,FALSE),"")</f>
        <v/>
      </c>
      <c r="O24" s="13" t="str">
        <f>IF(E24&lt;&gt;"",VLOOKUP(E24,DataSource!$D$5:$O$5000,9,FALSE),"")</f>
        <v/>
      </c>
      <c r="P24" s="13" t="str">
        <f>IF(E24&lt;&gt;"",VLOOKUP(E24,DataSource!$D$5:$O$5000,10,FALSE),"")</f>
        <v/>
      </c>
      <c r="Q24" s="14" t="str">
        <f>IF(E24&lt;&gt;"",VLOOKUP(E24,DataSource!$D$5:$O$5000,12,FALSE),"")</f>
        <v/>
      </c>
      <c r="R24" s="15" t="str">
        <f t="shared" si="3"/>
        <v/>
      </c>
      <c r="S24" s="21" t="str">
        <f t="shared" si="0"/>
        <v/>
      </c>
      <c r="T24" s="67"/>
    </row>
    <row r="25" spans="3:20" x14ac:dyDescent="0.25">
      <c r="C25" s="8">
        <v>16</v>
      </c>
      <c r="D25" s="18"/>
      <c r="E25" s="19"/>
      <c r="F25" s="20"/>
      <c r="G25" s="21"/>
      <c r="H25" s="11"/>
      <c r="I25" s="11"/>
      <c r="J25" s="12"/>
      <c r="K25" s="57"/>
      <c r="L25" s="16"/>
      <c r="M25" s="16"/>
      <c r="N25" s="13" t="str">
        <f>IF(E25&lt;&gt;"",VLOOKUP(E25,DataSource!$D$5:$O$5000,8,FALSE),"")</f>
        <v/>
      </c>
      <c r="O25" s="13" t="str">
        <f>IF(E25&lt;&gt;"",VLOOKUP(E25,DataSource!$D$5:$O$5000,9,FALSE),"")</f>
        <v/>
      </c>
      <c r="P25" s="13" t="str">
        <f>IF(E25&lt;&gt;"",VLOOKUP(E25,DataSource!$D$5:$O$5000,10,FALSE),"")</f>
        <v/>
      </c>
      <c r="Q25" s="14"/>
      <c r="R25" s="15" t="str">
        <f t="shared" si="3"/>
        <v/>
      </c>
      <c r="S25" s="21" t="str">
        <f t="shared" si="0"/>
        <v/>
      </c>
      <c r="T25" s="67"/>
    </row>
    <row r="26" spans="3:20" x14ac:dyDescent="0.25">
      <c r="C26" s="8">
        <v>17</v>
      </c>
      <c r="D26" s="18"/>
      <c r="E26" s="19"/>
      <c r="F26" s="20"/>
      <c r="G26" s="21"/>
      <c r="H26" s="11"/>
      <c r="I26" s="11"/>
      <c r="J26" s="12"/>
      <c r="K26" s="57"/>
      <c r="L26" s="16"/>
      <c r="M26" s="16"/>
      <c r="N26" s="13" t="str">
        <f>IF(E26&lt;&gt;"",VLOOKUP(E26,DataSource!$D$5:$O$5000,8,FALSE),"")</f>
        <v/>
      </c>
      <c r="O26" s="13" t="str">
        <f>IF(E26&lt;&gt;"",VLOOKUP(E26,DataSource!$D$5:$O$5000,9,FALSE),"")</f>
        <v/>
      </c>
      <c r="P26" s="13" t="str">
        <f>IF(E26&lt;&gt;"",VLOOKUP(E26,DataSource!$D$5:$O$5000,10,FALSE),"")</f>
        <v/>
      </c>
      <c r="Q26" s="14"/>
      <c r="R26" s="15" t="str">
        <f t="shared" si="3"/>
        <v/>
      </c>
      <c r="S26" s="21" t="str">
        <f t="shared" si="0"/>
        <v/>
      </c>
      <c r="T26" s="67"/>
    </row>
    <row r="27" spans="3:20" x14ac:dyDescent="0.25">
      <c r="C27" s="8">
        <v>18</v>
      </c>
      <c r="D27" s="18"/>
      <c r="E27" s="19"/>
      <c r="F27" s="20"/>
      <c r="G27" s="21"/>
      <c r="H27" s="11"/>
      <c r="I27" s="11"/>
      <c r="J27" s="12"/>
      <c r="K27" s="57"/>
      <c r="L27" s="16"/>
      <c r="M27" s="16"/>
      <c r="N27" s="13" t="str">
        <f>IF(E27&lt;&gt;"",VLOOKUP(E27,DataSource!$D$5:$O$5000,8,FALSE),"")</f>
        <v/>
      </c>
      <c r="O27" s="13" t="str">
        <f>IF(E27&lt;&gt;"",VLOOKUP(E27,DataSource!$D$5:$O$5000,9,FALSE),"")</f>
        <v/>
      </c>
      <c r="P27" s="13" t="str">
        <f>IF(E27&lt;&gt;"",VLOOKUP(E27,DataSource!$D$5:$O$5000,10,FALSE),"")</f>
        <v/>
      </c>
      <c r="Q27" s="14"/>
      <c r="R27" s="15" t="str">
        <f t="shared" si="3"/>
        <v/>
      </c>
      <c r="S27" s="21" t="str">
        <f t="shared" si="0"/>
        <v/>
      </c>
      <c r="T27" s="67"/>
    </row>
    <row r="28" spans="3:20" x14ac:dyDescent="0.25">
      <c r="C28" s="8">
        <v>19</v>
      </c>
      <c r="D28" s="18"/>
      <c r="E28" s="19"/>
      <c r="F28" s="20"/>
      <c r="G28" s="21"/>
      <c r="H28" s="11"/>
      <c r="I28" s="11"/>
      <c r="J28" s="12"/>
      <c r="K28" s="57"/>
      <c r="L28" s="16"/>
      <c r="M28" s="16"/>
      <c r="N28" s="13" t="str">
        <f>IF(E28&lt;&gt;"",VLOOKUP(E28,DataSource!$D$5:$O$5000,8,FALSE),"")</f>
        <v/>
      </c>
      <c r="O28" s="13" t="str">
        <f>IF(E28&lt;&gt;"",VLOOKUP(E28,DataSource!$D$5:$O$5000,9,FALSE),"")</f>
        <v/>
      </c>
      <c r="P28" s="13" t="str">
        <f>IF(E28&lt;&gt;"",VLOOKUP(E28,DataSource!$D$5:$O$5000,10,FALSE),"")</f>
        <v/>
      </c>
      <c r="Q28" s="14"/>
      <c r="R28" s="15" t="str">
        <f t="shared" si="3"/>
        <v/>
      </c>
      <c r="S28" s="21" t="str">
        <f t="shared" si="0"/>
        <v/>
      </c>
      <c r="T28" s="67"/>
    </row>
    <row r="29" spans="3:20" x14ac:dyDescent="0.25">
      <c r="C29" s="8">
        <v>20</v>
      </c>
      <c r="D29" s="18"/>
      <c r="E29" s="19"/>
      <c r="F29" s="20"/>
      <c r="G29" s="21"/>
      <c r="H29" s="11"/>
      <c r="I29" s="11"/>
      <c r="J29" s="12"/>
      <c r="K29" s="57"/>
      <c r="L29" s="16"/>
      <c r="M29" s="16"/>
      <c r="N29" s="13" t="str">
        <f>IF(E29&lt;&gt;"",VLOOKUP(E29,DataSource!$D$5:$O$5000,8,FALSE),"")</f>
        <v/>
      </c>
      <c r="O29" s="13" t="str">
        <f>IF(E29&lt;&gt;"",VLOOKUP(E29,DataSource!$D$5:$O$5000,9,FALSE),"")</f>
        <v/>
      </c>
      <c r="P29" s="13" t="str">
        <f>IF(E29&lt;&gt;"",VLOOKUP(E29,DataSource!$D$5:$O$5000,10,FALSE),"")</f>
        <v/>
      </c>
      <c r="Q29" s="14"/>
      <c r="R29" s="15" t="str">
        <f t="shared" si="3"/>
        <v/>
      </c>
      <c r="S29" s="21" t="str">
        <f t="shared" si="0"/>
        <v/>
      </c>
      <c r="T29" s="67"/>
    </row>
    <row r="30" spans="3:20" x14ac:dyDescent="0.25">
      <c r="C30" s="8">
        <v>21</v>
      </c>
      <c r="D30" s="18"/>
      <c r="E30" s="19"/>
      <c r="F30" s="20"/>
      <c r="G30" s="21"/>
      <c r="H30" s="11" t="str">
        <f>IF(D30&lt;&gt;"",VLOOKUP(E30,DataSource!$D$5:$O$5000,2,FALSE),"")</f>
        <v/>
      </c>
      <c r="I30" s="11" t="str">
        <f t="shared" si="1"/>
        <v/>
      </c>
      <c r="J30" s="12" t="str">
        <f>IF(E30&lt;&gt;"",VLOOKUP(E30,DataSource!$D$5:$O$5000,3,FALSE),"")</f>
        <v/>
      </c>
      <c r="K30" s="57" t="str">
        <f t="shared" si="2"/>
        <v/>
      </c>
      <c r="L30" s="16" t="str">
        <f>IF(E30&lt;&gt;"",VLOOKUP(E30,DataSource!$D$5:$O$5000,5,FALSE),"")</f>
        <v/>
      </c>
      <c r="M30" s="16" t="str">
        <f>IF(E30&lt;&gt;"",VLOOKUP(E30,DataSource!$D$5:$O$5000,4,FALSE),"")</f>
        <v/>
      </c>
      <c r="N30" s="13" t="str">
        <f>IF(E30&lt;&gt;"",VLOOKUP(E30,DataSource!$D$5:$O$5000,8,FALSE),"")</f>
        <v/>
      </c>
      <c r="O30" s="13" t="str">
        <f>IF(E30&lt;&gt;"",VLOOKUP(E30,DataSource!$D$5:$O$5000,9,FALSE),"")</f>
        <v/>
      </c>
      <c r="P30" s="13" t="str">
        <f>IF(E30&lt;&gt;"",VLOOKUP(E30,DataSource!$D$5:$O$5000,10,FALSE),"")</f>
        <v/>
      </c>
      <c r="Q30" s="14" t="str">
        <f>IF(E30&lt;&gt;"",VLOOKUP(E30,DataSource!$D$5:$O$5000,12,FALSE),"")</f>
        <v/>
      </c>
      <c r="R30" s="15" t="str">
        <f t="shared" si="3"/>
        <v/>
      </c>
      <c r="S30" s="21" t="str">
        <f t="shared" si="0"/>
        <v/>
      </c>
      <c r="T30" s="67"/>
    </row>
    <row r="31" spans="3:20" x14ac:dyDescent="0.25">
      <c r="C31" s="8">
        <v>22</v>
      </c>
      <c r="D31" s="18"/>
      <c r="E31" s="19"/>
      <c r="F31" s="20"/>
      <c r="G31" s="21"/>
      <c r="H31" s="11" t="str">
        <f>IF(D31&lt;&gt;"",VLOOKUP(E31,DataSource!$D$5:$O$5000,2,FALSE),"")</f>
        <v/>
      </c>
      <c r="I31" s="11" t="str">
        <f t="shared" si="1"/>
        <v/>
      </c>
      <c r="J31" s="12" t="str">
        <f>IF(E31&lt;&gt;"",VLOOKUP(E31,DataSource!$D$5:$O$5000,3,FALSE),"")</f>
        <v/>
      </c>
      <c r="K31" s="57" t="str">
        <f t="shared" si="2"/>
        <v/>
      </c>
      <c r="L31" s="16" t="str">
        <f>IF(E31&lt;&gt;"",VLOOKUP(E31,DataSource!$D$5:$O$5000,5,FALSE),"")</f>
        <v/>
      </c>
      <c r="M31" s="16" t="str">
        <f>IF(E31&lt;&gt;"",VLOOKUP(E31,DataSource!$D$5:$O$5000,4,FALSE),"")</f>
        <v/>
      </c>
      <c r="N31" s="13" t="str">
        <f>IF(E31&lt;&gt;"",VLOOKUP(E31,DataSource!$D$5:$O$5000,8,FALSE),"")</f>
        <v/>
      </c>
      <c r="O31" s="13" t="str">
        <f>IF(E31&lt;&gt;"",VLOOKUP(E31,DataSource!$D$5:$O$5000,9,FALSE),"")</f>
        <v/>
      </c>
      <c r="P31" s="13" t="str">
        <f>IF(E31&lt;&gt;"",VLOOKUP(E31,DataSource!$D$5:$O$5000,10,FALSE),"")</f>
        <v/>
      </c>
      <c r="Q31" s="14" t="str">
        <f>IF(E31&lt;&gt;"",VLOOKUP(E31,DataSource!$D$5:$O$5000,12,FALSE),"")</f>
        <v/>
      </c>
      <c r="R31" s="15" t="str">
        <f t="shared" si="3"/>
        <v/>
      </c>
      <c r="S31" s="21" t="str">
        <f t="shared" si="0"/>
        <v/>
      </c>
      <c r="T31" s="67"/>
    </row>
    <row r="32" spans="3:20" x14ac:dyDescent="0.25">
      <c r="C32" s="8">
        <v>23</v>
      </c>
      <c r="D32" s="18"/>
      <c r="E32" s="19"/>
      <c r="F32" s="20"/>
      <c r="G32" s="21"/>
      <c r="H32" s="11" t="str">
        <f>IF(D32&lt;&gt;"",VLOOKUP(E32,DataSource!$D$5:$O$5000,2,FALSE),"")</f>
        <v/>
      </c>
      <c r="I32" s="11" t="str">
        <f t="shared" si="1"/>
        <v/>
      </c>
      <c r="J32" s="12" t="str">
        <f>IF(E32&lt;&gt;"",VLOOKUP(E32,DataSource!$D$5:$O$5000,3,FALSE),"")</f>
        <v/>
      </c>
      <c r="K32" s="57" t="str">
        <f t="shared" si="2"/>
        <v/>
      </c>
      <c r="L32" s="16" t="str">
        <f>IF(E32&lt;&gt;"",VLOOKUP(E32,DataSource!$D$5:$O$5000,5,FALSE),"")</f>
        <v/>
      </c>
      <c r="M32" s="16" t="str">
        <f>IF(E32&lt;&gt;"",VLOOKUP(E32,DataSource!$D$5:$O$5000,4,FALSE),"")</f>
        <v/>
      </c>
      <c r="N32" s="13" t="str">
        <f>IF(E32&lt;&gt;"",VLOOKUP(E32,DataSource!$D$5:$O$5000,8,FALSE),"")</f>
        <v/>
      </c>
      <c r="O32" s="13" t="str">
        <f>IF(E32&lt;&gt;"",VLOOKUP(E32,DataSource!$D$5:$O$5000,9,FALSE),"")</f>
        <v/>
      </c>
      <c r="P32" s="13" t="str">
        <f>IF(E32&lt;&gt;"",VLOOKUP(E32,DataSource!$D$5:$O$5000,10,FALSE),"")</f>
        <v/>
      </c>
      <c r="Q32" s="14" t="str">
        <f>IF(E32&lt;&gt;"",VLOOKUP(E32,DataSource!$D$5:$O$5000,12,FALSE),"")</f>
        <v/>
      </c>
      <c r="R32" s="15" t="str">
        <f t="shared" si="3"/>
        <v/>
      </c>
      <c r="S32" s="21" t="str">
        <f t="shared" si="0"/>
        <v/>
      </c>
      <c r="T32" s="67"/>
    </row>
    <row r="33" spans="3:20" x14ac:dyDescent="0.25">
      <c r="C33" s="8">
        <v>24</v>
      </c>
      <c r="D33" s="18"/>
      <c r="E33" s="19"/>
      <c r="F33" s="20"/>
      <c r="G33" s="21"/>
      <c r="H33" s="11" t="str">
        <f>IF(D33&lt;&gt;"",VLOOKUP(E33,DataSource!$D$5:$O$5000,2,FALSE),"")</f>
        <v/>
      </c>
      <c r="I33" s="11" t="str">
        <f t="shared" si="1"/>
        <v/>
      </c>
      <c r="J33" s="12" t="str">
        <f>IF(E33&lt;&gt;"",VLOOKUP(E33,DataSource!$D$5:$O$5000,3,FALSE),"")</f>
        <v/>
      </c>
      <c r="K33" s="57" t="str">
        <f t="shared" si="2"/>
        <v/>
      </c>
      <c r="L33" s="16" t="str">
        <f>IF(E33&lt;&gt;"",VLOOKUP(E33,DataSource!$D$5:$O$5000,5,FALSE),"")</f>
        <v/>
      </c>
      <c r="M33" s="16" t="str">
        <f>IF(E33&lt;&gt;"",VLOOKUP(E33,DataSource!$D$5:$O$5000,4,FALSE),"")</f>
        <v/>
      </c>
      <c r="N33" s="13" t="str">
        <f>IF(E33&lt;&gt;"",VLOOKUP(E33,DataSource!$D$5:$O$5000,8,FALSE),"")</f>
        <v/>
      </c>
      <c r="O33" s="13" t="str">
        <f>IF(E33&lt;&gt;"",VLOOKUP(E33,DataSource!$D$5:$O$5000,9,FALSE),"")</f>
        <v/>
      </c>
      <c r="P33" s="13" t="str">
        <f>IF(E33&lt;&gt;"",VLOOKUP(E33,DataSource!$D$5:$O$5000,10,FALSE),"")</f>
        <v/>
      </c>
      <c r="Q33" s="14" t="str">
        <f>IF(E33&lt;&gt;"",VLOOKUP(E33,DataSource!$D$5:$O$5000,12,FALSE),"")</f>
        <v/>
      </c>
      <c r="R33" s="15" t="str">
        <f t="shared" si="3"/>
        <v/>
      </c>
      <c r="S33" s="21" t="str">
        <f t="shared" si="0"/>
        <v/>
      </c>
      <c r="T33" s="67"/>
    </row>
    <row r="34" spans="3:20" x14ac:dyDescent="0.25">
      <c r="C34" s="8">
        <v>25</v>
      </c>
      <c r="D34" s="18"/>
      <c r="E34" s="19"/>
      <c r="F34" s="20"/>
      <c r="G34" s="21"/>
      <c r="H34" s="11" t="str">
        <f>IF(D34&lt;&gt;"",VLOOKUP(E34,DataSource!$D$5:$O$5000,2,FALSE),"")</f>
        <v/>
      </c>
      <c r="I34" s="11" t="str">
        <f t="shared" si="1"/>
        <v/>
      </c>
      <c r="J34" s="12" t="str">
        <f>IF(E34&lt;&gt;"",VLOOKUP(E34,DataSource!$D$5:$O$5000,3,FALSE),"")</f>
        <v/>
      </c>
      <c r="K34" s="57" t="str">
        <f t="shared" si="2"/>
        <v/>
      </c>
      <c r="L34" s="16" t="str">
        <f>IF(E34&lt;&gt;"",VLOOKUP(E34,DataSource!$D$5:$O$5000,5,FALSE),"")</f>
        <v/>
      </c>
      <c r="M34" s="16" t="str">
        <f>IF(E34&lt;&gt;"",VLOOKUP(E34,DataSource!$D$5:$O$5000,4,FALSE),"")</f>
        <v/>
      </c>
      <c r="N34" s="13" t="str">
        <f>IF(E34&lt;&gt;"",VLOOKUP(E34,DataSource!$D$5:$O$5000,8,FALSE),"")</f>
        <v/>
      </c>
      <c r="O34" s="13" t="str">
        <f>IF(E34&lt;&gt;"",VLOOKUP(E34,DataSource!$D$5:$O$5000,9,FALSE),"")</f>
        <v/>
      </c>
      <c r="P34" s="13" t="str">
        <f>IF(E34&lt;&gt;"",VLOOKUP(E34,DataSource!$D$5:$O$5000,10,FALSE),"")</f>
        <v/>
      </c>
      <c r="Q34" s="14" t="str">
        <f>IF(E34&lt;&gt;"",VLOOKUP(E34,DataSource!$D$5:$O$5000,12,FALSE),"")</f>
        <v/>
      </c>
      <c r="R34" s="15" t="str">
        <f t="shared" si="3"/>
        <v/>
      </c>
      <c r="S34" s="21" t="str">
        <f t="shared" si="0"/>
        <v/>
      </c>
      <c r="T34" s="67"/>
    </row>
    <row r="35" spans="3:20" x14ac:dyDescent="0.25">
      <c r="C35" s="39" t="s">
        <v>3352</v>
      </c>
      <c r="D35" s="50" t="s">
        <v>1</v>
      </c>
      <c r="E35" s="51" t="s">
        <v>972</v>
      </c>
      <c r="F35" s="40"/>
      <c r="G35" s="40"/>
      <c r="H35" s="41">
        <f>IF(D35&lt;&gt;"",VLOOKUP(E35,DataSource!$D$5:$O$5000,2,FALSE),"")</f>
        <v>1</v>
      </c>
      <c r="I35" s="41">
        <f t="shared" si="1"/>
        <v>0</v>
      </c>
      <c r="J35" s="42">
        <f>IF(E35&lt;&gt;"",VLOOKUP(E35,DataSource!$D$5:$O$5000,3,FALSE),"")</f>
        <v>16120.3</v>
      </c>
      <c r="K35" s="42" t="str">
        <f t="shared" si="2"/>
        <v/>
      </c>
      <c r="L35" s="43">
        <f>IF(E35&lt;&gt;"",VLOOKUP(E35,DataSource!$D$5:$O$5000,5,FALSE),"")</f>
        <v>270270531755</v>
      </c>
      <c r="M35" s="43">
        <f>IF(E35&lt;&gt;"",VLOOKUP(E35,DataSource!$D$5:$O$5000,4,FALSE),"")</f>
        <v>12577600000</v>
      </c>
      <c r="N35" s="44">
        <f>IF(E35&lt;&gt;"",VLOOKUP(E35,DataSource!$D$5:$O$5000,8,FALSE),"")</f>
        <v>-1.03</v>
      </c>
      <c r="O35" s="44">
        <f>IF(E35&lt;&gt;"",VLOOKUP(E35,DataSource!$D$5:$O$5000,9,FALSE),"")</f>
        <v>3.65</v>
      </c>
      <c r="P35" s="44">
        <f>IF(E35&lt;&gt;"",VLOOKUP(E35,DataSource!$D$5:$O$5000,10,FALSE),"")</f>
        <v>-6.13</v>
      </c>
      <c r="Q35" s="45">
        <f>IF(E35&lt;&gt;"",VLOOKUP(E35,DataSource!$D$5:$O$5000,12,FALSE),"")</f>
        <v>43096.562037037038</v>
      </c>
      <c r="R35" s="46" t="str">
        <f t="shared" si="3"/>
        <v/>
      </c>
      <c r="S35" s="47"/>
      <c r="T35" s="68"/>
    </row>
    <row r="37" spans="3:20" x14ac:dyDescent="0.25">
      <c r="C37" s="17" t="s">
        <v>3040</v>
      </c>
    </row>
    <row r="39" spans="3:20" ht="21" customHeight="1" x14ac:dyDescent="0.25">
      <c r="C39" s="17" t="s">
        <v>3351</v>
      </c>
      <c r="J39" s="6"/>
      <c r="K39" s="6"/>
      <c r="L39" s="6"/>
      <c r="M39" s="6"/>
    </row>
    <row r="40" spans="3:20" ht="30" x14ac:dyDescent="0.25">
      <c r="C40" s="3" t="s">
        <v>2923</v>
      </c>
      <c r="D40" s="7" t="s">
        <v>2911</v>
      </c>
      <c r="E40" s="4" t="s">
        <v>2906</v>
      </c>
      <c r="F40" s="76" t="s">
        <v>3353</v>
      </c>
      <c r="G40" s="77"/>
      <c r="H40" s="78"/>
      <c r="I40" s="4" t="s">
        <v>2963</v>
      </c>
      <c r="J40" s="4" t="s">
        <v>2964</v>
      </c>
      <c r="K40" s="4"/>
      <c r="L40" s="4" t="s">
        <v>1917</v>
      </c>
      <c r="M40" s="4" t="s">
        <v>2907</v>
      </c>
      <c r="N40" s="4" t="s">
        <v>1920</v>
      </c>
      <c r="O40" s="4" t="s">
        <v>2908</v>
      </c>
      <c r="P40" s="4" t="s">
        <v>2909</v>
      </c>
      <c r="Q40" s="4" t="s">
        <v>2910</v>
      </c>
      <c r="R40"/>
      <c r="S40"/>
      <c r="T40"/>
    </row>
    <row r="41" spans="3:20" x14ac:dyDescent="0.25">
      <c r="C41" s="8">
        <v>1</v>
      </c>
      <c r="D41" s="18"/>
      <c r="E41" s="19"/>
      <c r="F41" s="69"/>
      <c r="G41" s="70"/>
      <c r="H41" s="71"/>
      <c r="I41" s="11" t="str">
        <f>IF(E41&lt;&gt;"",VLOOKUP(E41,DataSource!$D$5:$O$5000,2,FALSE),"")</f>
        <v/>
      </c>
      <c r="J41" s="12" t="str">
        <f>IF(E41&lt;&gt;"",VLOOKUP(E41,DataSource!$D$5:$O$5000,3,FALSE),"")</f>
        <v/>
      </c>
      <c r="K41" s="12"/>
      <c r="L41" s="16" t="str">
        <f>IF(E41&lt;&gt;"",VLOOKUP(E41,DataSource!$D$5:$O$5000,5,FALSE),"")</f>
        <v/>
      </c>
      <c r="M41" s="16" t="str">
        <f>IF(E41&lt;&gt;"",VLOOKUP(E41,DataSource!$D$5:$O$5000,4,FALSE),"")</f>
        <v/>
      </c>
      <c r="N41" s="13" t="str">
        <f>IF(E41&lt;&gt;"",VLOOKUP(E41,DataSource!$D$5:$O$5000,8,FALSE),"")</f>
        <v/>
      </c>
      <c r="O41" s="13" t="str">
        <f>IF(E41&lt;&gt;"",VLOOKUP(E41,DataSource!$D$5:$O$5000,9,FALSE),"")</f>
        <v/>
      </c>
      <c r="P41" s="13" t="str">
        <f>IF(E41&lt;&gt;"",VLOOKUP(E41,DataSource!$D$5:$O$5000,10,FALSE),"")</f>
        <v/>
      </c>
      <c r="Q41" s="14" t="str">
        <f>IF(E41&lt;&gt;"",VLOOKUP(E41,DataSource!$D$5:$O$5000,12,FALSE),"")</f>
        <v/>
      </c>
      <c r="R41"/>
      <c r="S41"/>
      <c r="T41"/>
    </row>
    <row r="42" spans="3:20" x14ac:dyDescent="0.25">
      <c r="C42" s="8">
        <v>2</v>
      </c>
      <c r="D42" s="18"/>
      <c r="E42" s="19"/>
      <c r="F42" s="69"/>
      <c r="G42" s="70"/>
      <c r="H42" s="71"/>
      <c r="I42" s="11" t="str">
        <f>IF(E42&lt;&gt;"",VLOOKUP(E42,DataSource!$D$5:$O$5000,2,FALSE),"")</f>
        <v/>
      </c>
      <c r="J42" s="12" t="str">
        <f>IF(E42&lt;&gt;"",VLOOKUP(E42,DataSource!$D$5:$O$5000,3,FALSE),"")</f>
        <v/>
      </c>
      <c r="K42" s="12"/>
      <c r="L42" s="16" t="str">
        <f>IF(E42&lt;&gt;"",VLOOKUP(E42,DataSource!$D$5:$O$5000,5,FALSE),"")</f>
        <v/>
      </c>
      <c r="M42" s="16" t="str">
        <f>IF(E42&lt;&gt;"",VLOOKUP(E42,DataSource!$D$5:$O$5000,4,FALSE),"")</f>
        <v/>
      </c>
      <c r="N42" s="13" t="str">
        <f>IF(E42&lt;&gt;"",VLOOKUP(E42,DataSource!$D$5:$O$5000,8,FALSE),"")</f>
        <v/>
      </c>
      <c r="O42" s="13" t="str">
        <f>IF(E42&lt;&gt;"",VLOOKUP(E42,DataSource!$D$5:$O$5000,9,FALSE),"")</f>
        <v/>
      </c>
      <c r="P42" s="13" t="str">
        <f>IF(E42&lt;&gt;"",VLOOKUP(E42,DataSource!$D$5:$O$5000,10,FALSE),"")</f>
        <v/>
      </c>
      <c r="Q42" s="14" t="str">
        <f>IF(E42&lt;&gt;"",VLOOKUP(E42,DataSource!$D$5:$O$5000,12,FALSE),"")</f>
        <v/>
      </c>
      <c r="R42"/>
      <c r="S42"/>
      <c r="T42"/>
    </row>
    <row r="43" spans="3:20" x14ac:dyDescent="0.25">
      <c r="C43" s="8">
        <v>3</v>
      </c>
      <c r="D43" s="18"/>
      <c r="E43" s="19"/>
      <c r="F43" s="69"/>
      <c r="G43" s="70"/>
      <c r="H43" s="71"/>
      <c r="I43" s="11" t="str">
        <f>IF(E43&lt;&gt;"",VLOOKUP(E43,DataSource!$D$5:$O$5000,2,FALSE),"")</f>
        <v/>
      </c>
      <c r="J43" s="12" t="str">
        <f>IF(E43&lt;&gt;"",VLOOKUP(E43,DataSource!$D$5:$O$5000,3,FALSE),"")</f>
        <v/>
      </c>
      <c r="K43" s="12"/>
      <c r="L43" s="16" t="str">
        <f>IF(E43&lt;&gt;"",VLOOKUP(E43,DataSource!$D$5:$O$5000,5,FALSE),"")</f>
        <v/>
      </c>
      <c r="M43" s="16" t="str">
        <f>IF(E43&lt;&gt;"",VLOOKUP(E43,DataSource!$D$5:$O$5000,4,FALSE),"")</f>
        <v/>
      </c>
      <c r="N43" s="13" t="str">
        <f>IF(E43&lt;&gt;"",VLOOKUP(E43,DataSource!$D$5:$O$5000,8,FALSE),"")</f>
        <v/>
      </c>
      <c r="O43" s="13" t="str">
        <f>IF(E43&lt;&gt;"",VLOOKUP(E43,DataSource!$D$5:$O$5000,9,FALSE),"")</f>
        <v/>
      </c>
      <c r="P43" s="13" t="str">
        <f>IF(E43&lt;&gt;"",VLOOKUP(E43,DataSource!$D$5:$O$5000,10,FALSE),"")</f>
        <v/>
      </c>
      <c r="Q43" s="14" t="str">
        <f>IF(E43&lt;&gt;"",VLOOKUP(E43,DataSource!$D$5:$O$5000,12,FALSE),"")</f>
        <v/>
      </c>
      <c r="R43"/>
      <c r="S43"/>
      <c r="T43"/>
    </row>
    <row r="44" spans="3:20" x14ac:dyDescent="0.25">
      <c r="C44" s="8">
        <v>4</v>
      </c>
      <c r="D44" s="18"/>
      <c r="E44" s="19"/>
      <c r="F44" s="69"/>
      <c r="G44" s="70"/>
      <c r="H44" s="71"/>
      <c r="I44" s="11" t="str">
        <f>IF(E44&lt;&gt;"",VLOOKUP(E44,DataSource!$D$5:$O$5000,2,FALSE),"")</f>
        <v/>
      </c>
      <c r="J44" s="12" t="str">
        <f>IF(E44&lt;&gt;"",VLOOKUP(E44,DataSource!$D$5:$O$5000,3,FALSE),"")</f>
        <v/>
      </c>
      <c r="K44" s="12"/>
      <c r="L44" s="16" t="str">
        <f>IF(E44&lt;&gt;"",VLOOKUP(E44,DataSource!$D$5:$O$5000,5,FALSE),"")</f>
        <v/>
      </c>
      <c r="M44" s="16" t="str">
        <f>IF(E44&lt;&gt;"",VLOOKUP(E44,DataSource!$D$5:$O$5000,4,FALSE),"")</f>
        <v/>
      </c>
      <c r="N44" s="13" t="str">
        <f>IF(E44&lt;&gt;"",VLOOKUP(E44,DataSource!$D$5:$O$5000,8,FALSE),"")</f>
        <v/>
      </c>
      <c r="O44" s="13" t="str">
        <f>IF(E44&lt;&gt;"",VLOOKUP(E44,DataSource!$D$5:$O$5000,9,FALSE),"")</f>
        <v/>
      </c>
      <c r="P44" s="13" t="str">
        <f>IF(E44&lt;&gt;"",VLOOKUP(E44,DataSource!$D$5:$O$5000,10,FALSE),"")</f>
        <v/>
      </c>
      <c r="Q44" s="14" t="str">
        <f>IF(E44&lt;&gt;"",VLOOKUP(E44,DataSource!$D$5:$O$5000,12,FALSE),"")</f>
        <v/>
      </c>
      <c r="R44"/>
      <c r="S44"/>
      <c r="T44"/>
    </row>
    <row r="45" spans="3:20" x14ac:dyDescent="0.25">
      <c r="C45" s="8">
        <v>5</v>
      </c>
      <c r="D45" s="18"/>
      <c r="E45" s="19"/>
      <c r="F45" s="69"/>
      <c r="G45" s="70"/>
      <c r="H45" s="71"/>
      <c r="I45" s="11" t="str">
        <f>IF(E45&lt;&gt;"",VLOOKUP(E45,DataSource!$D$5:$O$5000,2,FALSE),"")</f>
        <v/>
      </c>
      <c r="J45" s="12" t="str">
        <f>IF(E45&lt;&gt;"",VLOOKUP(E45,DataSource!$D$5:$O$5000,3,FALSE),"")</f>
        <v/>
      </c>
      <c r="K45" s="12"/>
      <c r="L45" s="16" t="str">
        <f>IF(E45&lt;&gt;"",VLOOKUP(E45,DataSource!$D$5:$O$5000,5,FALSE),"")</f>
        <v/>
      </c>
      <c r="M45" s="16" t="str">
        <f>IF(E45&lt;&gt;"",VLOOKUP(E45,DataSource!$D$5:$O$5000,4,FALSE),"")</f>
        <v/>
      </c>
      <c r="N45" s="13" t="str">
        <f>IF(E45&lt;&gt;"",VLOOKUP(E45,DataSource!$D$5:$O$5000,8,FALSE),"")</f>
        <v/>
      </c>
      <c r="O45" s="13" t="str">
        <f>IF(E45&lt;&gt;"",VLOOKUP(E45,DataSource!$D$5:$O$5000,9,FALSE),"")</f>
        <v/>
      </c>
      <c r="P45" s="13" t="str">
        <f>IF(E45&lt;&gt;"",VLOOKUP(E45,DataSource!$D$5:$O$5000,10,FALSE),"")</f>
        <v/>
      </c>
      <c r="Q45" s="14" t="str">
        <f>IF(E45&lt;&gt;"",VLOOKUP(E45,DataSource!$D$5:$O$5000,12,FALSE),"")</f>
        <v/>
      </c>
      <c r="R45"/>
      <c r="S45"/>
      <c r="T45"/>
    </row>
    <row r="46" spans="3:20" x14ac:dyDescent="0.25">
      <c r="C46" s="8">
        <v>6</v>
      </c>
      <c r="D46" s="18"/>
      <c r="E46" s="19"/>
      <c r="F46" s="69"/>
      <c r="G46" s="70"/>
      <c r="H46" s="71"/>
      <c r="I46" s="11" t="str">
        <f>IF(E46&lt;&gt;"",VLOOKUP(E46,DataSource!$D$5:$O$5000,2,FALSE),"")</f>
        <v/>
      </c>
      <c r="J46" s="12" t="str">
        <f>IF(E46&lt;&gt;"",VLOOKUP(E46,DataSource!$D$5:$O$5000,3,FALSE),"")</f>
        <v/>
      </c>
      <c r="K46" s="12"/>
      <c r="L46" s="16" t="str">
        <f>IF(E46&lt;&gt;"",VLOOKUP(E46,DataSource!$D$5:$O$5000,5,FALSE),"")</f>
        <v/>
      </c>
      <c r="M46" s="16" t="str">
        <f>IF(E46&lt;&gt;"",VLOOKUP(E46,DataSource!$D$5:$O$5000,4,FALSE),"")</f>
        <v/>
      </c>
      <c r="N46" s="13" t="str">
        <f>IF(E46&lt;&gt;"",VLOOKUP(E46,DataSource!$D$5:$O$5000,8,FALSE),"")</f>
        <v/>
      </c>
      <c r="O46" s="13" t="str">
        <f>IF(E46&lt;&gt;"",VLOOKUP(E46,DataSource!$D$5:$O$5000,9,FALSE),"")</f>
        <v/>
      </c>
      <c r="P46" s="13" t="str">
        <f>IF(E46&lt;&gt;"",VLOOKUP(E46,DataSource!$D$5:$O$5000,10,FALSE),"")</f>
        <v/>
      </c>
      <c r="Q46" s="14" t="str">
        <f>IF(E46&lt;&gt;"",VLOOKUP(E46,DataSource!$D$5:$O$5000,12,FALSE),"")</f>
        <v/>
      </c>
      <c r="R46"/>
      <c r="S46"/>
      <c r="T46"/>
    </row>
    <row r="47" spans="3:20" x14ac:dyDescent="0.25">
      <c r="C47" s="8">
        <v>7</v>
      </c>
      <c r="D47" s="18"/>
      <c r="E47" s="19"/>
      <c r="F47" s="69"/>
      <c r="G47" s="70"/>
      <c r="H47" s="71"/>
      <c r="I47" s="11" t="str">
        <f>IF(E47&lt;&gt;"",VLOOKUP(E47,DataSource!$D$5:$O$5000,2,FALSE),"")</f>
        <v/>
      </c>
      <c r="J47" s="12" t="str">
        <f>IF(E47&lt;&gt;"",VLOOKUP(E47,DataSource!$D$5:$O$5000,3,FALSE),"")</f>
        <v/>
      </c>
      <c r="K47" s="12"/>
      <c r="L47" s="16" t="str">
        <f>IF(E47&lt;&gt;"",VLOOKUP(E47,DataSource!$D$5:$O$5000,5,FALSE),"")</f>
        <v/>
      </c>
      <c r="M47" s="16" t="str">
        <f>IF(E47&lt;&gt;"",VLOOKUP(E47,DataSource!$D$5:$O$5000,4,FALSE),"")</f>
        <v/>
      </c>
      <c r="N47" s="13" t="str">
        <f>IF(E47&lt;&gt;"",VLOOKUP(E47,DataSource!$D$5:$O$5000,8,FALSE),"")</f>
        <v/>
      </c>
      <c r="O47" s="13" t="str">
        <f>IF(E47&lt;&gt;"",VLOOKUP(E47,DataSource!$D$5:$O$5000,9,FALSE),"")</f>
        <v/>
      </c>
      <c r="P47" s="13" t="str">
        <f>IF(E47&lt;&gt;"",VLOOKUP(E47,DataSource!$D$5:$O$5000,10,FALSE),"")</f>
        <v/>
      </c>
      <c r="Q47" s="14" t="str">
        <f>IF(E47&lt;&gt;"",VLOOKUP(E47,DataSource!$D$5:$O$5000,12,FALSE),"")</f>
        <v/>
      </c>
      <c r="R47"/>
      <c r="S47"/>
      <c r="T47"/>
    </row>
    <row r="48" spans="3:20" x14ac:dyDescent="0.25">
      <c r="C48" s="8">
        <v>8</v>
      </c>
      <c r="D48" s="18"/>
      <c r="E48" s="19"/>
      <c r="F48" s="69"/>
      <c r="G48" s="70"/>
      <c r="H48" s="71"/>
      <c r="I48" s="11" t="str">
        <f>IF(E48&lt;&gt;"",VLOOKUP(E48,DataSource!$D$5:$O$5000,2,FALSE),"")</f>
        <v/>
      </c>
      <c r="J48" s="12" t="str">
        <f>IF(E48&lt;&gt;"",VLOOKUP(E48,DataSource!$D$5:$O$5000,3,FALSE),"")</f>
        <v/>
      </c>
      <c r="K48" s="12"/>
      <c r="L48" s="16" t="str">
        <f>IF(E48&lt;&gt;"",VLOOKUP(E48,DataSource!$D$5:$O$5000,5,FALSE),"")</f>
        <v/>
      </c>
      <c r="M48" s="16" t="str">
        <f>IF(E48&lt;&gt;"",VLOOKUP(E48,DataSource!$D$5:$O$5000,4,FALSE),"")</f>
        <v/>
      </c>
      <c r="N48" s="13" t="str">
        <f>IF(E48&lt;&gt;"",VLOOKUP(E48,DataSource!$D$5:$O$5000,8,FALSE),"")</f>
        <v/>
      </c>
      <c r="O48" s="13" t="str">
        <f>IF(E48&lt;&gt;"",VLOOKUP(E48,DataSource!$D$5:$O$5000,9,FALSE),"")</f>
        <v/>
      </c>
      <c r="P48" s="13" t="str">
        <f>IF(E48&lt;&gt;"",VLOOKUP(E48,DataSource!$D$5:$O$5000,10,FALSE),"")</f>
        <v/>
      </c>
      <c r="Q48" s="14" t="str">
        <f>IF(E48&lt;&gt;"",VLOOKUP(E48,DataSource!$D$5:$O$5000,12,FALSE),"")</f>
        <v/>
      </c>
      <c r="R48"/>
      <c r="S48"/>
      <c r="T48"/>
    </row>
    <row r="49" spans="3:20" x14ac:dyDescent="0.25">
      <c r="C49" s="8">
        <v>9</v>
      </c>
      <c r="D49" s="18"/>
      <c r="E49" s="19"/>
      <c r="F49" s="69"/>
      <c r="G49" s="70"/>
      <c r="H49" s="71"/>
      <c r="I49" s="11" t="str">
        <f>IF(E49&lt;&gt;"",VLOOKUP(E49,DataSource!$D$5:$O$5000,2,FALSE),"")</f>
        <v/>
      </c>
      <c r="J49" s="12" t="str">
        <f>IF(E49&lt;&gt;"",VLOOKUP(E49,DataSource!$D$5:$O$5000,3,FALSE),"")</f>
        <v/>
      </c>
      <c r="K49" s="12"/>
      <c r="L49" s="16" t="str">
        <f>IF(E49&lt;&gt;"",VLOOKUP(E49,DataSource!$D$5:$O$5000,5,FALSE),"")</f>
        <v/>
      </c>
      <c r="M49" s="16" t="str">
        <f>IF(E49&lt;&gt;"",VLOOKUP(E49,DataSource!$D$5:$O$5000,4,FALSE),"")</f>
        <v/>
      </c>
      <c r="N49" s="13" t="str">
        <f>IF(E49&lt;&gt;"",VLOOKUP(E49,DataSource!$D$5:$O$5000,8,FALSE),"")</f>
        <v/>
      </c>
      <c r="O49" s="13" t="str">
        <f>IF(E49&lt;&gt;"",VLOOKUP(E49,DataSource!$D$5:$O$5000,9,FALSE),"")</f>
        <v/>
      </c>
      <c r="P49" s="13" t="str">
        <f>IF(E49&lt;&gt;"",VLOOKUP(E49,DataSource!$D$5:$O$5000,10,FALSE),"")</f>
        <v/>
      </c>
      <c r="Q49" s="14" t="str">
        <f>IF(E49&lt;&gt;"",VLOOKUP(E49,DataSource!$D$5:$O$5000,12,FALSE),"")</f>
        <v/>
      </c>
      <c r="R49"/>
      <c r="S49"/>
      <c r="T49"/>
    </row>
    <row r="50" spans="3:20" x14ac:dyDescent="0.25">
      <c r="C50" s="8">
        <v>10</v>
      </c>
      <c r="D50" s="18"/>
      <c r="E50" s="19"/>
      <c r="F50" s="69"/>
      <c r="G50" s="70"/>
      <c r="H50" s="71"/>
      <c r="I50" s="11" t="str">
        <f>IF(E50&lt;&gt;"",VLOOKUP(E50,DataSource!$D$5:$O$5000,2,FALSE),"")</f>
        <v/>
      </c>
      <c r="J50" s="12" t="str">
        <f>IF(E50&lt;&gt;"",VLOOKUP(E50,DataSource!$D$5:$O$5000,3,FALSE),"")</f>
        <v/>
      </c>
      <c r="K50" s="12"/>
      <c r="L50" s="16" t="str">
        <f>IF(E50&lt;&gt;"",VLOOKUP(E50,DataSource!$D$5:$O$5000,5,FALSE),"")</f>
        <v/>
      </c>
      <c r="M50" s="16" t="str">
        <f>IF(E50&lt;&gt;"",VLOOKUP(E50,DataSource!$D$5:$O$5000,4,FALSE),"")</f>
        <v/>
      </c>
      <c r="N50" s="13" t="str">
        <f>IF(E50&lt;&gt;"",VLOOKUP(E50,DataSource!$D$5:$O$5000,8,FALSE),"")</f>
        <v/>
      </c>
      <c r="O50" s="13" t="str">
        <f>IF(E50&lt;&gt;"",VLOOKUP(E50,DataSource!$D$5:$O$5000,9,FALSE),"")</f>
        <v/>
      </c>
      <c r="P50" s="13" t="str">
        <f>IF(E50&lt;&gt;"",VLOOKUP(E50,DataSource!$D$5:$O$5000,10,FALSE),"")</f>
        <v/>
      </c>
      <c r="Q50" s="14" t="str">
        <f>IF(E50&lt;&gt;"",VLOOKUP(E50,DataSource!$D$5:$O$5000,12,FALSE),"")</f>
        <v/>
      </c>
      <c r="R50"/>
      <c r="S50"/>
      <c r="T50"/>
    </row>
    <row r="51" spans="3:20" x14ac:dyDescent="0.25">
      <c r="C51" s="8">
        <v>11</v>
      </c>
      <c r="D51" s="18"/>
      <c r="E51" s="19"/>
      <c r="F51" s="69"/>
      <c r="G51" s="70"/>
      <c r="H51" s="71"/>
      <c r="I51" s="11" t="str">
        <f>IF(E51&lt;&gt;"",VLOOKUP(E51,DataSource!$D$5:$O$5000,2,FALSE),"")</f>
        <v/>
      </c>
      <c r="J51" s="12" t="str">
        <f>IF(E51&lt;&gt;"",VLOOKUP(E51,DataSource!$D$5:$O$5000,3,FALSE),"")</f>
        <v/>
      </c>
      <c r="K51" s="12"/>
      <c r="L51" s="16" t="str">
        <f>IF(E51&lt;&gt;"",VLOOKUP(E51,DataSource!$D$5:$O$5000,5,FALSE),"")</f>
        <v/>
      </c>
      <c r="M51" s="16" t="str">
        <f>IF(E51&lt;&gt;"",VLOOKUP(E51,DataSource!$D$5:$O$5000,4,FALSE),"")</f>
        <v/>
      </c>
      <c r="N51" s="13" t="str">
        <f>IF(E51&lt;&gt;"",VLOOKUP(E51,DataSource!$D$5:$O$5000,8,FALSE),"")</f>
        <v/>
      </c>
      <c r="O51" s="13" t="str">
        <f>IF(E51&lt;&gt;"",VLOOKUP(E51,DataSource!$D$5:$O$5000,9,FALSE),"")</f>
        <v/>
      </c>
      <c r="P51" s="13" t="str">
        <f>IF(E51&lt;&gt;"",VLOOKUP(E51,DataSource!$D$5:$O$5000,10,FALSE),"")</f>
        <v/>
      </c>
      <c r="Q51" s="14" t="str">
        <f>IF(E51&lt;&gt;"",VLOOKUP(E51,DataSource!$D$5:$O$5000,12,FALSE),"")</f>
        <v/>
      </c>
      <c r="R51"/>
      <c r="S51"/>
      <c r="T51"/>
    </row>
    <row r="52" spans="3:20" x14ac:dyDescent="0.25">
      <c r="C52" s="8">
        <v>12</v>
      </c>
      <c r="D52" s="18"/>
      <c r="E52" s="19"/>
      <c r="F52" s="69"/>
      <c r="G52" s="70"/>
      <c r="H52" s="71"/>
      <c r="I52" s="11" t="str">
        <f>IF(E52&lt;&gt;"",VLOOKUP(E52,DataSource!$D$5:$O$5000,2,FALSE),"")</f>
        <v/>
      </c>
      <c r="J52" s="12" t="str">
        <f>IF(E52&lt;&gt;"",VLOOKUP(E52,DataSource!$D$5:$O$5000,3,FALSE),"")</f>
        <v/>
      </c>
      <c r="K52" s="12"/>
      <c r="L52" s="16" t="str">
        <f>IF(E52&lt;&gt;"",VLOOKUP(E52,DataSource!$D$5:$O$5000,5,FALSE),"")</f>
        <v/>
      </c>
      <c r="M52" s="16" t="str">
        <f>IF(E52&lt;&gt;"",VLOOKUP(E52,DataSource!$D$5:$O$5000,4,FALSE),"")</f>
        <v/>
      </c>
      <c r="N52" s="13" t="str">
        <f>IF(E52&lt;&gt;"",VLOOKUP(E52,DataSource!$D$5:$O$5000,8,FALSE),"")</f>
        <v/>
      </c>
      <c r="O52" s="13" t="str">
        <f>IF(E52&lt;&gt;"",VLOOKUP(E52,DataSource!$D$5:$O$5000,9,FALSE),"")</f>
        <v/>
      </c>
      <c r="P52" s="13" t="str">
        <f>IF(E52&lt;&gt;"",VLOOKUP(E52,DataSource!$D$5:$O$5000,10,FALSE),"")</f>
        <v/>
      </c>
      <c r="Q52" s="14" t="str">
        <f>IF(E52&lt;&gt;"",VLOOKUP(E52,DataSource!$D$5:$O$5000,12,FALSE),"")</f>
        <v/>
      </c>
      <c r="R52"/>
      <c r="S52"/>
      <c r="T52"/>
    </row>
    <row r="53" spans="3:20" x14ac:dyDescent="0.25">
      <c r="C53" s="8">
        <v>13</v>
      </c>
      <c r="D53" s="18"/>
      <c r="E53" s="19"/>
      <c r="F53" s="69"/>
      <c r="G53" s="70"/>
      <c r="H53" s="71"/>
      <c r="I53" s="11" t="str">
        <f>IF(E53&lt;&gt;"",VLOOKUP(E53,DataSource!$D$5:$O$5000,2,FALSE),"")</f>
        <v/>
      </c>
      <c r="J53" s="12" t="str">
        <f>IF(E53&lt;&gt;"",VLOOKUP(E53,DataSource!$D$5:$O$5000,3,FALSE),"")</f>
        <v/>
      </c>
      <c r="K53" s="12"/>
      <c r="L53" s="16" t="str">
        <f>IF(E53&lt;&gt;"",VLOOKUP(E53,DataSource!$D$5:$O$5000,5,FALSE),"")</f>
        <v/>
      </c>
      <c r="M53" s="16" t="str">
        <f>IF(E53&lt;&gt;"",VLOOKUP(E53,DataSource!$D$5:$O$5000,4,FALSE),"")</f>
        <v/>
      </c>
      <c r="N53" s="13" t="str">
        <f>IF(E53&lt;&gt;"",VLOOKUP(E53,DataSource!$D$5:$O$5000,8,FALSE),"")</f>
        <v/>
      </c>
      <c r="O53" s="13" t="str">
        <f>IF(E53&lt;&gt;"",VLOOKUP(E53,DataSource!$D$5:$O$5000,9,FALSE),"")</f>
        <v/>
      </c>
      <c r="P53" s="13" t="str">
        <f>IF(E53&lt;&gt;"",VLOOKUP(E53,DataSource!$D$5:$O$5000,10,FALSE),"")</f>
        <v/>
      </c>
      <c r="Q53" s="14" t="str">
        <f>IF(E53&lt;&gt;"",VLOOKUP(E53,DataSource!$D$5:$O$5000,12,FALSE),"")</f>
        <v/>
      </c>
      <c r="R53"/>
      <c r="S53"/>
      <c r="T53"/>
    </row>
    <row r="54" spans="3:20" x14ac:dyDescent="0.25">
      <c r="C54" s="8">
        <v>14</v>
      </c>
      <c r="D54" s="18"/>
      <c r="E54" s="19"/>
      <c r="F54" s="69"/>
      <c r="G54" s="70"/>
      <c r="H54" s="71"/>
      <c r="I54" s="11" t="str">
        <f>IF(E54&lt;&gt;"",VLOOKUP(E54,DataSource!$D$5:$O$5000,2,FALSE),"")</f>
        <v/>
      </c>
      <c r="J54" s="12" t="str">
        <f>IF(E54&lt;&gt;"",VLOOKUP(E54,DataSource!$D$5:$O$5000,3,FALSE),"")</f>
        <v/>
      </c>
      <c r="K54" s="12"/>
      <c r="L54" s="16" t="str">
        <f>IF(E54&lt;&gt;"",VLOOKUP(E54,DataSource!$D$5:$O$5000,5,FALSE),"")</f>
        <v/>
      </c>
      <c r="M54" s="16" t="str">
        <f>IF(E54&lt;&gt;"",VLOOKUP(E54,DataSource!$D$5:$O$5000,4,FALSE),"")</f>
        <v/>
      </c>
      <c r="N54" s="13" t="str">
        <f>IF(E54&lt;&gt;"",VLOOKUP(E54,DataSource!$D$5:$O$5000,8,FALSE),"")</f>
        <v/>
      </c>
      <c r="O54" s="13" t="str">
        <f>IF(E54&lt;&gt;"",VLOOKUP(E54,DataSource!$D$5:$O$5000,9,FALSE),"")</f>
        <v/>
      </c>
      <c r="P54" s="13" t="str">
        <f>IF(E54&lt;&gt;"",VLOOKUP(E54,DataSource!$D$5:$O$5000,10,FALSE),"")</f>
        <v/>
      </c>
      <c r="Q54" s="14" t="str">
        <f>IF(E54&lt;&gt;"",VLOOKUP(E54,DataSource!$D$5:$O$5000,12,FALSE),"")</f>
        <v/>
      </c>
      <c r="R54"/>
      <c r="S54"/>
      <c r="T54"/>
    </row>
    <row r="55" spans="3:20" x14ac:dyDescent="0.25">
      <c r="C55" s="8">
        <v>15</v>
      </c>
      <c r="D55" s="18"/>
      <c r="E55" s="19"/>
      <c r="F55" s="69"/>
      <c r="G55" s="70"/>
      <c r="H55" s="71"/>
      <c r="I55" s="11" t="str">
        <f>IF(E55&lt;&gt;"",VLOOKUP(E55,DataSource!$D$5:$O$5000,2,FALSE),"")</f>
        <v/>
      </c>
      <c r="J55" s="12" t="str">
        <f>IF(E55&lt;&gt;"",VLOOKUP(E55,DataSource!$D$5:$O$5000,3,FALSE),"")</f>
        <v/>
      </c>
      <c r="K55" s="12"/>
      <c r="L55" s="16" t="str">
        <f>IF(E55&lt;&gt;"",VLOOKUP(E55,DataSource!$D$5:$O$5000,5,FALSE),"")</f>
        <v/>
      </c>
      <c r="M55" s="16" t="str">
        <f>IF(E55&lt;&gt;"",VLOOKUP(E55,DataSource!$D$5:$O$5000,4,FALSE),"")</f>
        <v/>
      </c>
      <c r="N55" s="13" t="str">
        <f>IF(E55&lt;&gt;"",VLOOKUP(E55,DataSource!$D$5:$O$5000,8,FALSE),"")</f>
        <v/>
      </c>
      <c r="O55" s="13" t="str">
        <f>IF(E55&lt;&gt;"",VLOOKUP(E55,DataSource!$D$5:$O$5000,9,FALSE),"")</f>
        <v/>
      </c>
      <c r="P55" s="13" t="str">
        <f>IF(E55&lt;&gt;"",VLOOKUP(E55,DataSource!$D$5:$O$5000,10,FALSE),"")</f>
        <v/>
      </c>
      <c r="Q55" s="14" t="str">
        <f>IF(E55&lt;&gt;"",VLOOKUP(E55,DataSource!$D$5:$O$5000,12,FALSE),"")</f>
        <v/>
      </c>
      <c r="R55"/>
      <c r="S55"/>
      <c r="T55"/>
    </row>
    <row r="56" spans="3:20" x14ac:dyDescent="0.25">
      <c r="C56" s="8">
        <v>16</v>
      </c>
      <c r="D56" s="18"/>
      <c r="E56" s="19"/>
      <c r="F56" s="69"/>
      <c r="G56" s="70"/>
      <c r="H56" s="71"/>
      <c r="I56" s="11" t="str">
        <f>IF(E56&lt;&gt;"",VLOOKUP(E56,DataSource!$D$5:$O$5000,2,FALSE),"")</f>
        <v/>
      </c>
      <c r="J56" s="12" t="str">
        <f>IF(E56&lt;&gt;"",VLOOKUP(E56,DataSource!$D$5:$O$5000,3,FALSE),"")</f>
        <v/>
      </c>
      <c r="K56" s="12"/>
      <c r="L56" s="16" t="str">
        <f>IF(E56&lt;&gt;"",VLOOKUP(E56,DataSource!$D$5:$O$5000,5,FALSE),"")</f>
        <v/>
      </c>
      <c r="M56" s="16" t="str">
        <f>IF(E56&lt;&gt;"",VLOOKUP(E56,DataSource!$D$5:$O$5000,4,FALSE),"")</f>
        <v/>
      </c>
      <c r="N56" s="13" t="str">
        <f>IF(E56&lt;&gt;"",VLOOKUP(E56,DataSource!$D$5:$O$5000,8,FALSE),"")</f>
        <v/>
      </c>
      <c r="O56" s="13" t="str">
        <f>IF(E56&lt;&gt;"",VLOOKUP(E56,DataSource!$D$5:$O$5000,9,FALSE),"")</f>
        <v/>
      </c>
      <c r="P56" s="13" t="str">
        <f>IF(E56&lt;&gt;"",VLOOKUP(E56,DataSource!$D$5:$O$5000,10,FALSE),"")</f>
        <v/>
      </c>
      <c r="Q56" s="14" t="str">
        <f>IF(E56&lt;&gt;"",VLOOKUP(E56,DataSource!$D$5:$O$5000,12,FALSE),"")</f>
        <v/>
      </c>
      <c r="R56"/>
      <c r="S56"/>
      <c r="T56"/>
    </row>
    <row r="57" spans="3:20" x14ac:dyDescent="0.25">
      <c r="C57" s="8">
        <v>17</v>
      </c>
      <c r="D57" s="18"/>
      <c r="E57" s="19"/>
      <c r="F57" s="69"/>
      <c r="G57" s="70"/>
      <c r="H57" s="71"/>
      <c r="I57" s="11" t="str">
        <f>IF(E57&lt;&gt;"",VLOOKUP(E57,DataSource!$D$5:$O$5000,2,FALSE),"")</f>
        <v/>
      </c>
      <c r="J57" s="12" t="str">
        <f>IF(E57&lt;&gt;"",VLOOKUP(E57,DataSource!$D$5:$O$5000,3,FALSE),"")</f>
        <v/>
      </c>
      <c r="K57" s="12"/>
      <c r="L57" s="16" t="str">
        <f>IF(E57&lt;&gt;"",VLOOKUP(E57,DataSource!$D$5:$O$5000,5,FALSE),"")</f>
        <v/>
      </c>
      <c r="M57" s="16" t="str">
        <f>IF(E57&lt;&gt;"",VLOOKUP(E57,DataSource!$D$5:$O$5000,4,FALSE),"")</f>
        <v/>
      </c>
      <c r="N57" s="13" t="str">
        <f>IF(E57&lt;&gt;"",VLOOKUP(E57,DataSource!$D$5:$O$5000,8,FALSE),"")</f>
        <v/>
      </c>
      <c r="O57" s="13" t="str">
        <f>IF(E57&lt;&gt;"",VLOOKUP(E57,DataSource!$D$5:$O$5000,9,FALSE),"")</f>
        <v/>
      </c>
      <c r="P57" s="13" t="str">
        <f>IF(E57&lt;&gt;"",VLOOKUP(E57,DataSource!$D$5:$O$5000,10,FALSE),"")</f>
        <v/>
      </c>
      <c r="Q57" s="14" t="str">
        <f>IF(E57&lt;&gt;"",VLOOKUP(E57,DataSource!$D$5:$O$5000,12,FALSE),"")</f>
        <v/>
      </c>
      <c r="R57"/>
      <c r="S57"/>
      <c r="T57"/>
    </row>
    <row r="58" spans="3:20" x14ac:dyDescent="0.25">
      <c r="C58" s="8">
        <v>18</v>
      </c>
      <c r="D58" s="18"/>
      <c r="E58" s="19"/>
      <c r="F58" s="69"/>
      <c r="G58" s="70"/>
      <c r="H58" s="71"/>
      <c r="I58" s="11" t="str">
        <f>IF(E58&lt;&gt;"",VLOOKUP(E58,DataSource!$D$5:$O$5000,2,FALSE),"")</f>
        <v/>
      </c>
      <c r="J58" s="12" t="str">
        <f>IF(E58&lt;&gt;"",VLOOKUP(E58,DataSource!$D$5:$O$5000,3,FALSE),"")</f>
        <v/>
      </c>
      <c r="K58" s="12"/>
      <c r="L58" s="16" t="str">
        <f>IF(E58&lt;&gt;"",VLOOKUP(E58,DataSource!$D$5:$O$5000,5,FALSE),"")</f>
        <v/>
      </c>
      <c r="M58" s="16" t="str">
        <f>IF(E58&lt;&gt;"",VLOOKUP(E58,DataSource!$D$5:$O$5000,4,FALSE),"")</f>
        <v/>
      </c>
      <c r="N58" s="13" t="str">
        <f>IF(E58&lt;&gt;"",VLOOKUP(E58,DataSource!$D$5:$O$5000,8,FALSE),"")</f>
        <v/>
      </c>
      <c r="O58" s="13" t="str">
        <f>IF(E58&lt;&gt;"",VLOOKUP(E58,DataSource!$D$5:$O$5000,9,FALSE),"")</f>
        <v/>
      </c>
      <c r="P58" s="13" t="str">
        <f>IF(E58&lt;&gt;"",VLOOKUP(E58,DataSource!$D$5:$O$5000,10,FALSE),"")</f>
        <v/>
      </c>
      <c r="Q58" s="14" t="str">
        <f>IF(E58&lt;&gt;"",VLOOKUP(E58,DataSource!$D$5:$O$5000,12,FALSE),"")</f>
        <v/>
      </c>
      <c r="R58"/>
      <c r="S58"/>
      <c r="T58"/>
    </row>
    <row r="59" spans="3:20" x14ac:dyDescent="0.25">
      <c r="C59" s="8">
        <v>19</v>
      </c>
      <c r="D59" s="18"/>
      <c r="E59" s="19"/>
      <c r="F59" s="69"/>
      <c r="G59" s="70"/>
      <c r="H59" s="71"/>
      <c r="I59" s="11" t="str">
        <f>IF(E59&lt;&gt;"",VLOOKUP(E59,DataSource!$D$5:$O$5000,2,FALSE),"")</f>
        <v/>
      </c>
      <c r="J59" s="12" t="str">
        <f>IF(E59&lt;&gt;"",VLOOKUP(E59,DataSource!$D$5:$O$5000,3,FALSE),"")</f>
        <v/>
      </c>
      <c r="K59" s="12"/>
      <c r="L59" s="16" t="str">
        <f>IF(E59&lt;&gt;"",VLOOKUP(E59,DataSource!$D$5:$O$5000,5,FALSE),"")</f>
        <v/>
      </c>
      <c r="M59" s="16" t="str">
        <f>IF(E59&lt;&gt;"",VLOOKUP(E59,DataSource!$D$5:$O$5000,4,FALSE),"")</f>
        <v/>
      </c>
      <c r="N59" s="13" t="str">
        <f>IF(E59&lt;&gt;"",VLOOKUP(E59,DataSource!$D$5:$O$5000,8,FALSE),"")</f>
        <v/>
      </c>
      <c r="O59" s="13" t="str">
        <f>IF(E59&lt;&gt;"",VLOOKUP(E59,DataSource!$D$5:$O$5000,9,FALSE),"")</f>
        <v/>
      </c>
      <c r="P59" s="13" t="str">
        <f>IF(E59&lt;&gt;"",VLOOKUP(E59,DataSource!$D$5:$O$5000,10,FALSE),"")</f>
        <v/>
      </c>
      <c r="Q59" s="14" t="str">
        <f>IF(E59&lt;&gt;"",VLOOKUP(E59,DataSource!$D$5:$O$5000,12,FALSE),"")</f>
        <v/>
      </c>
      <c r="R59"/>
      <c r="S59"/>
      <c r="T59"/>
    </row>
    <row r="60" spans="3:20" x14ac:dyDescent="0.25">
      <c r="C60" s="8">
        <v>20</v>
      </c>
      <c r="D60" s="18"/>
      <c r="E60" s="19"/>
      <c r="F60" s="69"/>
      <c r="G60" s="70"/>
      <c r="H60" s="71"/>
      <c r="I60" s="11" t="str">
        <f>IF(E60&lt;&gt;"",VLOOKUP(E60,DataSource!$D$5:$O$5000,2,FALSE),"")</f>
        <v/>
      </c>
      <c r="J60" s="12" t="str">
        <f>IF(E60&lt;&gt;"",VLOOKUP(E60,DataSource!$D$5:$O$5000,3,FALSE),"")</f>
        <v/>
      </c>
      <c r="K60" s="12"/>
      <c r="L60" s="16" t="str">
        <f>IF(E60&lt;&gt;"",VLOOKUP(E60,DataSource!$D$5:$O$5000,5,FALSE),"")</f>
        <v/>
      </c>
      <c r="M60" s="16" t="str">
        <f>IF(E60&lt;&gt;"",VLOOKUP(E60,DataSource!$D$5:$O$5000,4,FALSE),"")</f>
        <v/>
      </c>
      <c r="N60" s="13" t="str">
        <f>IF(E60&lt;&gt;"",VLOOKUP(E60,DataSource!$D$5:$O$5000,8,FALSE),"")</f>
        <v/>
      </c>
      <c r="O60" s="13" t="str">
        <f>IF(E60&lt;&gt;"",VLOOKUP(E60,DataSource!$D$5:$O$5000,9,FALSE),"")</f>
        <v/>
      </c>
      <c r="P60" s="13" t="str">
        <f>IF(E60&lt;&gt;"",VLOOKUP(E60,DataSource!$D$5:$O$5000,10,FALSE),"")</f>
        <v/>
      </c>
      <c r="Q60" s="14" t="str">
        <f>IF(E60&lt;&gt;"",VLOOKUP(E60,DataSource!$D$5:$O$5000,12,FALSE),"")</f>
        <v/>
      </c>
      <c r="R60"/>
      <c r="S60"/>
      <c r="T60"/>
    </row>
    <row r="61" spans="3:20" x14ac:dyDescent="0.25">
      <c r="C61" s="8">
        <v>21</v>
      </c>
      <c r="D61" s="18"/>
      <c r="E61" s="19"/>
      <c r="F61" s="69"/>
      <c r="G61" s="70"/>
      <c r="H61" s="71"/>
      <c r="I61" s="11" t="str">
        <f>IF(E61&lt;&gt;"",VLOOKUP(E61,DataSource!$D$5:$O$5000,2,FALSE),"")</f>
        <v/>
      </c>
      <c r="J61" s="12" t="str">
        <f>IF(E61&lt;&gt;"",VLOOKUP(E61,DataSource!$D$5:$O$5000,3,FALSE),"")</f>
        <v/>
      </c>
      <c r="K61" s="12"/>
      <c r="L61" s="16" t="str">
        <f>IF(E61&lt;&gt;"",VLOOKUP(E61,DataSource!$D$5:$O$5000,5,FALSE),"")</f>
        <v/>
      </c>
      <c r="M61" s="16" t="str">
        <f>IF(E61&lt;&gt;"",VLOOKUP(E61,DataSource!$D$5:$O$5000,4,FALSE),"")</f>
        <v/>
      </c>
      <c r="N61" s="13" t="str">
        <f>IF(E61&lt;&gt;"",VLOOKUP(E61,DataSource!$D$5:$O$5000,8,FALSE),"")</f>
        <v/>
      </c>
      <c r="O61" s="13" t="str">
        <f>IF(E61&lt;&gt;"",VLOOKUP(E61,DataSource!$D$5:$O$5000,9,FALSE),"")</f>
        <v/>
      </c>
      <c r="P61" s="13" t="str">
        <f>IF(E61&lt;&gt;"",VLOOKUP(E61,DataSource!$D$5:$O$5000,10,FALSE),"")</f>
        <v/>
      </c>
      <c r="Q61" s="14" t="str">
        <f>IF(E61&lt;&gt;"",VLOOKUP(E61,DataSource!$D$5:$O$5000,12,FALSE),"")</f>
        <v/>
      </c>
      <c r="R61"/>
      <c r="S61"/>
      <c r="T61"/>
    </row>
    <row r="62" spans="3:20" x14ac:dyDescent="0.25">
      <c r="C62" s="8">
        <v>22</v>
      </c>
      <c r="D62" s="18"/>
      <c r="E62" s="19"/>
      <c r="F62" s="69"/>
      <c r="G62" s="70"/>
      <c r="H62" s="71"/>
      <c r="I62" s="11" t="str">
        <f>IF(E62&lt;&gt;"",VLOOKUP(E62,DataSource!$D$5:$O$5000,2,FALSE),"")</f>
        <v/>
      </c>
      <c r="J62" s="12" t="str">
        <f>IF(E62&lt;&gt;"",VLOOKUP(E62,DataSource!$D$5:$O$5000,3,FALSE),"")</f>
        <v/>
      </c>
      <c r="K62" s="12"/>
      <c r="L62" s="16" t="str">
        <f>IF(E62&lt;&gt;"",VLOOKUP(E62,DataSource!$D$5:$O$5000,5,FALSE),"")</f>
        <v/>
      </c>
      <c r="M62" s="16" t="str">
        <f>IF(E62&lt;&gt;"",VLOOKUP(E62,DataSource!$D$5:$O$5000,4,FALSE),"")</f>
        <v/>
      </c>
      <c r="N62" s="13" t="str">
        <f>IF(E62&lt;&gt;"",VLOOKUP(E62,DataSource!$D$5:$O$5000,8,FALSE),"")</f>
        <v/>
      </c>
      <c r="O62" s="13" t="str">
        <f>IF(E62&lt;&gt;"",VLOOKUP(E62,DataSource!$D$5:$O$5000,9,FALSE),"")</f>
        <v/>
      </c>
      <c r="P62" s="13" t="str">
        <f>IF(E62&lt;&gt;"",VLOOKUP(E62,DataSource!$D$5:$O$5000,10,FALSE),"")</f>
        <v/>
      </c>
      <c r="Q62" s="14" t="str">
        <f>IF(E62&lt;&gt;"",VLOOKUP(E62,DataSource!$D$5:$O$5000,12,FALSE),"")</f>
        <v/>
      </c>
      <c r="R62"/>
      <c r="S62"/>
      <c r="T62"/>
    </row>
    <row r="63" spans="3:20" x14ac:dyDescent="0.25">
      <c r="C63" s="8">
        <v>23</v>
      </c>
      <c r="D63" s="18"/>
      <c r="E63" s="19"/>
      <c r="F63" s="69"/>
      <c r="G63" s="70"/>
      <c r="H63" s="71"/>
      <c r="I63" s="11" t="str">
        <f>IF(E63&lt;&gt;"",VLOOKUP(E63,DataSource!$D$5:$O$5000,2,FALSE),"")</f>
        <v/>
      </c>
      <c r="J63" s="12" t="str">
        <f>IF(E63&lt;&gt;"",VLOOKUP(E63,DataSource!$D$5:$O$5000,3,FALSE),"")</f>
        <v/>
      </c>
      <c r="K63" s="12"/>
      <c r="L63" s="16" t="str">
        <f>IF(E63&lt;&gt;"",VLOOKUP(E63,DataSource!$D$5:$O$5000,5,FALSE),"")</f>
        <v/>
      </c>
      <c r="M63" s="16" t="str">
        <f>IF(E63&lt;&gt;"",VLOOKUP(E63,DataSource!$D$5:$O$5000,4,FALSE),"")</f>
        <v/>
      </c>
      <c r="N63" s="13" t="str">
        <f>IF(E63&lt;&gt;"",VLOOKUP(E63,DataSource!$D$5:$O$5000,8,FALSE),"")</f>
        <v/>
      </c>
      <c r="O63" s="13" t="str">
        <f>IF(E63&lt;&gt;"",VLOOKUP(E63,DataSource!$D$5:$O$5000,9,FALSE),"")</f>
        <v/>
      </c>
      <c r="P63" s="13" t="str">
        <f>IF(E63&lt;&gt;"",VLOOKUP(E63,DataSource!$D$5:$O$5000,10,FALSE),"")</f>
        <v/>
      </c>
      <c r="Q63" s="14" t="str">
        <f>IF(E63&lt;&gt;"",VLOOKUP(E63,DataSource!$D$5:$O$5000,12,FALSE),"")</f>
        <v/>
      </c>
      <c r="R63"/>
      <c r="S63"/>
      <c r="T63"/>
    </row>
    <row r="64" spans="3:20" x14ac:dyDescent="0.25">
      <c r="C64" s="8">
        <v>24</v>
      </c>
      <c r="D64" s="18"/>
      <c r="E64" s="19"/>
      <c r="F64" s="69"/>
      <c r="G64" s="70"/>
      <c r="H64" s="71"/>
      <c r="I64" s="11" t="str">
        <f>IF(E64&lt;&gt;"",VLOOKUP(E64,DataSource!$D$5:$O$5000,2,FALSE),"")</f>
        <v/>
      </c>
      <c r="J64" s="12" t="str">
        <f>IF(E64&lt;&gt;"",VLOOKUP(E64,DataSource!$D$5:$O$5000,3,FALSE),"")</f>
        <v/>
      </c>
      <c r="K64" s="12"/>
      <c r="L64" s="16" t="str">
        <f>IF(E64&lt;&gt;"",VLOOKUP(E64,DataSource!$D$5:$O$5000,5,FALSE),"")</f>
        <v/>
      </c>
      <c r="M64" s="16" t="str">
        <f>IF(E64&lt;&gt;"",VLOOKUP(E64,DataSource!$D$5:$O$5000,4,FALSE),"")</f>
        <v/>
      </c>
      <c r="N64" s="13" t="str">
        <f>IF(E64&lt;&gt;"",VLOOKUP(E64,DataSource!$D$5:$O$5000,8,FALSE),"")</f>
        <v/>
      </c>
      <c r="O64" s="13" t="str">
        <f>IF(E64&lt;&gt;"",VLOOKUP(E64,DataSource!$D$5:$O$5000,9,FALSE),"")</f>
        <v/>
      </c>
      <c r="P64" s="13" t="str">
        <f>IF(E64&lt;&gt;"",VLOOKUP(E64,DataSource!$D$5:$O$5000,10,FALSE),"")</f>
        <v/>
      </c>
      <c r="Q64" s="14" t="str">
        <f>IF(E64&lt;&gt;"",VLOOKUP(E64,DataSource!$D$5:$O$5000,12,FALSE),"")</f>
        <v/>
      </c>
      <c r="R64"/>
      <c r="S64"/>
      <c r="T64"/>
    </row>
    <row r="65" spans="3:20" x14ac:dyDescent="0.25">
      <c r="C65" s="8">
        <v>25</v>
      </c>
      <c r="D65" s="18"/>
      <c r="E65" s="19"/>
      <c r="F65" s="69"/>
      <c r="G65" s="70"/>
      <c r="H65" s="71"/>
      <c r="I65" s="11" t="str">
        <f>IF(E65&lt;&gt;"",VLOOKUP(E65,DataSource!$D$5:$O$5000,2,FALSE),"")</f>
        <v/>
      </c>
      <c r="J65" s="12" t="str">
        <f>IF(E65&lt;&gt;"",VLOOKUP(E65,DataSource!$D$5:$O$5000,3,FALSE),"")</f>
        <v/>
      </c>
      <c r="K65" s="12"/>
      <c r="L65" s="16" t="str">
        <f>IF(E65&lt;&gt;"",VLOOKUP(E65,DataSource!$D$5:$O$5000,5,FALSE),"")</f>
        <v/>
      </c>
      <c r="M65" s="16" t="str">
        <f>IF(E65&lt;&gt;"",VLOOKUP(E65,DataSource!$D$5:$O$5000,4,FALSE),"")</f>
        <v/>
      </c>
      <c r="N65" s="13" t="str">
        <f>IF(E65&lt;&gt;"",VLOOKUP(E65,DataSource!$D$5:$O$5000,8,FALSE),"")</f>
        <v/>
      </c>
      <c r="O65" s="13" t="str">
        <f>IF(E65&lt;&gt;"",VLOOKUP(E65,DataSource!$D$5:$O$5000,9,FALSE),"")</f>
        <v/>
      </c>
      <c r="P65" s="13" t="str">
        <f>IF(E65&lt;&gt;"",VLOOKUP(E65,DataSource!$D$5:$O$5000,10,FALSE),"")</f>
        <v/>
      </c>
      <c r="Q65" s="14" t="str">
        <f>IF(E65&lt;&gt;"",VLOOKUP(E65,DataSource!$D$5:$O$5000,12,FALSE),"")</f>
        <v/>
      </c>
      <c r="R65"/>
      <c r="S65"/>
      <c r="T65"/>
    </row>
    <row r="66" spans="3:20" x14ac:dyDescent="0.25">
      <c r="C66" s="8">
        <v>26</v>
      </c>
      <c r="D66" s="18"/>
      <c r="E66" s="19"/>
      <c r="F66" s="69"/>
      <c r="G66" s="70"/>
      <c r="H66" s="71"/>
      <c r="I66" s="11" t="str">
        <f>IF(E66&lt;&gt;"",VLOOKUP(E66,DataSource!$D$5:$O$5000,2,FALSE),"")</f>
        <v/>
      </c>
      <c r="J66" s="12" t="str">
        <f>IF(E66&lt;&gt;"",VLOOKUP(E66,DataSource!$D$5:$O$5000,3,FALSE),"")</f>
        <v/>
      </c>
      <c r="K66" s="12"/>
      <c r="L66" s="16" t="str">
        <f>IF(E66&lt;&gt;"",VLOOKUP(E66,DataSource!$D$5:$O$5000,5,FALSE),"")</f>
        <v/>
      </c>
      <c r="M66" s="16" t="str">
        <f>IF(E66&lt;&gt;"",VLOOKUP(E66,DataSource!$D$5:$O$5000,4,FALSE),"")</f>
        <v/>
      </c>
      <c r="N66" s="13" t="str">
        <f>IF(E66&lt;&gt;"",VLOOKUP(E66,DataSource!$D$5:$O$5000,8,FALSE),"")</f>
        <v/>
      </c>
      <c r="O66" s="13" t="str">
        <f>IF(E66&lt;&gt;"",VLOOKUP(E66,DataSource!$D$5:$O$5000,9,FALSE),"")</f>
        <v/>
      </c>
      <c r="P66" s="13" t="str">
        <f>IF(E66&lt;&gt;"",VLOOKUP(E66,DataSource!$D$5:$O$5000,10,FALSE),"")</f>
        <v/>
      </c>
      <c r="Q66" s="14" t="str">
        <f>IF(E66&lt;&gt;"",VLOOKUP(E66,DataSource!$D$5:$O$5000,12,FALSE),"")</f>
        <v/>
      </c>
    </row>
    <row r="67" spans="3:20" x14ac:dyDescent="0.25">
      <c r="C67" s="8">
        <v>27</v>
      </c>
      <c r="D67" s="18"/>
      <c r="E67" s="19"/>
      <c r="F67" s="69"/>
      <c r="G67" s="70"/>
      <c r="H67" s="71"/>
      <c r="I67" s="11" t="str">
        <f>IF(E67&lt;&gt;"",VLOOKUP(E67,DataSource!$D$5:$O$5000,2,FALSE),"")</f>
        <v/>
      </c>
      <c r="J67" s="12" t="str">
        <f>IF(E67&lt;&gt;"",VLOOKUP(E67,DataSource!$D$5:$O$5000,3,FALSE),"")</f>
        <v/>
      </c>
      <c r="K67" s="12"/>
      <c r="L67" s="16" t="str">
        <f>IF(E67&lt;&gt;"",VLOOKUP(E67,DataSource!$D$5:$O$5000,5,FALSE),"")</f>
        <v/>
      </c>
      <c r="M67" s="16" t="str">
        <f>IF(E67&lt;&gt;"",VLOOKUP(E67,DataSource!$D$5:$O$5000,4,FALSE),"")</f>
        <v/>
      </c>
      <c r="N67" s="13" t="str">
        <f>IF(E67&lt;&gt;"",VLOOKUP(E67,DataSource!$D$5:$O$5000,8,FALSE),"")</f>
        <v/>
      </c>
      <c r="O67" s="13" t="str">
        <f>IF(E67&lt;&gt;"",VLOOKUP(E67,DataSource!$D$5:$O$5000,9,FALSE),"")</f>
        <v/>
      </c>
      <c r="P67" s="13" t="str">
        <f>IF(E67&lt;&gt;"",VLOOKUP(E67,DataSource!$D$5:$O$5000,10,FALSE),"")</f>
        <v/>
      </c>
      <c r="Q67" s="14" t="str">
        <f>IF(E67&lt;&gt;"",VLOOKUP(E67,DataSource!$D$5:$O$5000,12,FALSE),"")</f>
        <v/>
      </c>
    </row>
    <row r="68" spans="3:20" x14ac:dyDescent="0.25">
      <c r="C68" s="8">
        <v>28</v>
      </c>
      <c r="D68" s="18"/>
      <c r="E68" s="19"/>
      <c r="F68" s="69"/>
      <c r="G68" s="70"/>
      <c r="H68" s="71"/>
      <c r="I68" s="11" t="str">
        <f>IF(E68&lt;&gt;"",VLOOKUP(E68,DataSource!$D$5:$O$5000,2,FALSE),"")</f>
        <v/>
      </c>
      <c r="J68" s="12" t="str">
        <f>IF(E68&lt;&gt;"",VLOOKUP(E68,DataSource!$D$5:$O$5000,3,FALSE),"")</f>
        <v/>
      </c>
      <c r="K68" s="12"/>
      <c r="L68" s="16" t="str">
        <f>IF(E68&lt;&gt;"",VLOOKUP(E68,DataSource!$D$5:$O$5000,5,FALSE),"")</f>
        <v/>
      </c>
      <c r="M68" s="16" t="str">
        <f>IF(E68&lt;&gt;"",VLOOKUP(E68,DataSource!$D$5:$O$5000,4,FALSE),"")</f>
        <v/>
      </c>
      <c r="N68" s="13" t="str">
        <f>IF(E68&lt;&gt;"",VLOOKUP(E68,DataSource!$D$5:$O$5000,8,FALSE),"")</f>
        <v/>
      </c>
      <c r="O68" s="13" t="str">
        <f>IF(E68&lt;&gt;"",VLOOKUP(E68,DataSource!$D$5:$O$5000,9,FALSE),"")</f>
        <v/>
      </c>
      <c r="P68" s="13" t="str">
        <f>IF(E68&lt;&gt;"",VLOOKUP(E68,DataSource!$D$5:$O$5000,10,FALSE),"")</f>
        <v/>
      </c>
      <c r="Q68" s="14" t="str">
        <f>IF(E68&lt;&gt;"",VLOOKUP(E68,DataSource!$D$5:$O$5000,12,FALSE),"")</f>
        <v/>
      </c>
    </row>
    <row r="69" spans="3:20" x14ac:dyDescent="0.25">
      <c r="C69" s="8">
        <v>29</v>
      </c>
      <c r="D69" s="18"/>
      <c r="E69" s="19"/>
      <c r="F69" s="69"/>
      <c r="G69" s="70"/>
      <c r="H69" s="71"/>
      <c r="I69" s="11" t="str">
        <f>IF(E69&lt;&gt;"",VLOOKUP(E69,DataSource!$D$5:$O$5000,2,FALSE),"")</f>
        <v/>
      </c>
      <c r="J69" s="12" t="str">
        <f>IF(E69&lt;&gt;"",VLOOKUP(E69,DataSource!$D$5:$O$5000,3,FALSE),"")</f>
        <v/>
      </c>
      <c r="K69" s="12"/>
      <c r="L69" s="16" t="str">
        <f>IF(E69&lt;&gt;"",VLOOKUP(E69,DataSource!$D$5:$O$5000,5,FALSE),"")</f>
        <v/>
      </c>
      <c r="M69" s="16" t="str">
        <f>IF(E69&lt;&gt;"",VLOOKUP(E69,DataSource!$D$5:$O$5000,4,FALSE),"")</f>
        <v/>
      </c>
      <c r="N69" s="13" t="str">
        <f>IF(E69&lt;&gt;"",VLOOKUP(E69,DataSource!$D$5:$O$5000,8,FALSE),"")</f>
        <v/>
      </c>
      <c r="O69" s="13" t="str">
        <f>IF(E69&lt;&gt;"",VLOOKUP(E69,DataSource!$D$5:$O$5000,9,FALSE),"")</f>
        <v/>
      </c>
      <c r="P69" s="13" t="str">
        <f>IF(E69&lt;&gt;"",VLOOKUP(E69,DataSource!$D$5:$O$5000,10,FALSE),"")</f>
        <v/>
      </c>
      <c r="Q69" s="14" t="str">
        <f>IF(E69&lt;&gt;"",VLOOKUP(E69,DataSource!$D$5:$O$5000,12,FALSE),"")</f>
        <v/>
      </c>
    </row>
    <row r="70" spans="3:20" x14ac:dyDescent="0.25">
      <c r="C70" s="39">
        <v>30</v>
      </c>
      <c r="D70" s="55"/>
      <c r="E70" s="47"/>
      <c r="F70" s="72"/>
      <c r="G70" s="73"/>
      <c r="H70" s="74"/>
      <c r="I70" s="41" t="str">
        <f>IF(E70&lt;&gt;"",VLOOKUP(E70,DataSource!$D$5:$O$5000,2,FALSE),"")</f>
        <v/>
      </c>
      <c r="J70" s="42" t="str">
        <f>IF(E70&lt;&gt;"",VLOOKUP(E70,DataSource!$D$5:$O$5000,3,FALSE),"")</f>
        <v/>
      </c>
      <c r="K70" s="42"/>
      <c r="L70" s="43" t="str">
        <f>IF(E70&lt;&gt;"",VLOOKUP(E70,DataSource!$D$5:$O$5000,5,FALSE),"")</f>
        <v/>
      </c>
      <c r="M70" s="43" t="str">
        <f>IF(E70&lt;&gt;"",VLOOKUP(E70,DataSource!$D$5:$O$5000,4,FALSE),"")</f>
        <v/>
      </c>
      <c r="N70" s="44" t="str">
        <f>IF(E70&lt;&gt;"",VLOOKUP(E70,DataSource!$D$5:$O$5000,8,FALSE),"")</f>
        <v/>
      </c>
      <c r="O70" s="44" t="str">
        <f>IF(E70&lt;&gt;"",VLOOKUP(E70,DataSource!$D$5:$O$5000,9,FALSE),"")</f>
        <v/>
      </c>
      <c r="P70" s="44" t="str">
        <f>IF(E70&lt;&gt;"",VLOOKUP(E70,DataSource!$D$5:$O$5000,10,FALSE),"")</f>
        <v/>
      </c>
      <c r="Q70" s="45" t="str">
        <f>IF(E70&lt;&gt;"",VLOOKUP(E70,DataSource!$D$5:$O$5000,12,FALSE),"")</f>
        <v/>
      </c>
    </row>
  </sheetData>
  <sheetProtection algorithmName="SHA-512" hashValue="x6fKwWdy4wIgkRUbmngLafCgYNDaMBU/rW/2bWounc8lxHZaWp7qd/4zqL0fbUm/1yzuln/fS54QGP5gPMXGAw==" saltValue="nYtSh+HbhaP+QP9oURsIHA==" spinCount="100000" sheet="1" objects="1" scenarios="1" sort="0" autoFilter="0"/>
  <sortState ref="D15:G19">
    <sortCondition ref="G19"/>
  </sortState>
  <mergeCells count="32">
    <mergeCell ref="F54:H54"/>
    <mergeCell ref="F55:H55"/>
    <mergeCell ref="F49:H49"/>
    <mergeCell ref="F50:H50"/>
    <mergeCell ref="F51:H51"/>
    <mergeCell ref="F52:H52"/>
    <mergeCell ref="F53:H53"/>
    <mergeCell ref="F44:H44"/>
    <mergeCell ref="F45:H45"/>
    <mergeCell ref="F46:H46"/>
    <mergeCell ref="F47:H47"/>
    <mergeCell ref="F48:H48"/>
    <mergeCell ref="C1:G3"/>
    <mergeCell ref="F40:H40"/>
    <mergeCell ref="F41:H41"/>
    <mergeCell ref="F42:H42"/>
    <mergeCell ref="F43:H43"/>
    <mergeCell ref="F70:H70"/>
    <mergeCell ref="F62:H62"/>
    <mergeCell ref="F63:H63"/>
    <mergeCell ref="F64:H64"/>
    <mergeCell ref="F65:H65"/>
    <mergeCell ref="F66:H66"/>
    <mergeCell ref="F67:H67"/>
    <mergeCell ref="F68:H68"/>
    <mergeCell ref="F69:H69"/>
    <mergeCell ref="F58:H58"/>
    <mergeCell ref="F59:H59"/>
    <mergeCell ref="F60:H60"/>
    <mergeCell ref="F61:H61"/>
    <mergeCell ref="F56:H56"/>
    <mergeCell ref="F57:H57"/>
  </mergeCells>
  <conditionalFormatting sqref="N10:P35 R10:R35">
    <cfRule type="cellIs" dxfId="16" priority="26" operator="lessThan">
      <formula>0</formula>
    </cfRule>
    <cfRule type="cellIs" dxfId="15" priority="27" operator="greaterThan">
      <formula>0</formula>
    </cfRule>
  </conditionalFormatting>
  <conditionalFormatting sqref="M7">
    <cfRule type="cellIs" dxfId="14" priority="18" operator="lessThan">
      <formula>0</formula>
    </cfRule>
    <cfRule type="cellIs" dxfId="13" priority="19" operator="greaterThan">
      <formula>0</formula>
    </cfRule>
  </conditionalFormatting>
  <conditionalFormatting sqref="M3">
    <cfRule type="cellIs" dxfId="12" priority="16" operator="lessThan">
      <formula>$M$2</formula>
    </cfRule>
    <cfRule type="cellIs" dxfId="11" priority="17" operator="greaterThan">
      <formula>$M$2</formula>
    </cfRule>
  </conditionalFormatting>
  <conditionalFormatting sqref="M6">
    <cfRule type="cellIs" dxfId="10" priority="12" operator="lessThan">
      <formula>0</formula>
    </cfRule>
    <cfRule type="cellIs" dxfId="9" priority="13" operator="greaterThan">
      <formula>0</formula>
    </cfRule>
  </conditionalFormatting>
  <conditionalFormatting sqref="N41:P70">
    <cfRule type="cellIs" dxfId="8" priority="8" operator="lessThan">
      <formula>0</formula>
    </cfRule>
    <cfRule type="cellIs" dxfId="7" priority="9" operator="greaterThan">
      <formula>0</formula>
    </cfRule>
  </conditionalFormatting>
  <conditionalFormatting sqref="M5">
    <cfRule type="cellIs" dxfId="6" priority="4" operator="lessThan">
      <formula>$M$2</formula>
    </cfRule>
    <cfRule type="cellIs" dxfId="5" priority="5" operator="greaterThan">
      <formula>$M$2</formula>
    </cfRule>
  </conditionalFormatting>
  <conditionalFormatting sqref="M4">
    <cfRule type="cellIs" dxfId="4" priority="1" operator="greaterThan">
      <formula>0</formula>
    </cfRule>
    <cfRule type="cellIs" dxfId="3" priority="2" operator="lessThan">
      <formula>$M$2</formula>
    </cfRule>
    <cfRule type="cellIs" dxfId="2" priority="3" operator="greaterThan">
      <formula>$M$2</formula>
    </cfRule>
  </conditionalFormatting>
  <hyperlinks>
    <hyperlink ref="D35" r:id="rId1"/>
    <hyperlink ref="O7" r:id="rId2"/>
  </hyperlinks>
  <pageMargins left="0.7" right="0.7" top="0.75" bottom="0.75" header="0.3" footer="0.3"/>
  <pageSetup orientation="portrait" horizontalDpi="4294967293" r:id="rId3"/>
  <drawing r:id="rId4"/>
  <legacyDrawing r:id="rId5"/>
  <controls>
    <mc:AlternateContent xmlns:mc="http://schemas.openxmlformats.org/markup-compatibility/2006">
      <mc:Choice Requires="x14">
        <control shapeId="1032" r:id="rId6" name="cmdAddWatch">
          <controlPr defaultSize="0" autoLine="0" r:id="rId7">
            <anchor moveWithCells="1">
              <from>
                <xdr:col>5</xdr:col>
                <xdr:colOff>428625</xdr:colOff>
                <xdr:row>36</xdr:row>
                <xdr:rowOff>28575</xdr:rowOff>
              </from>
              <to>
                <xdr:col>7</xdr:col>
                <xdr:colOff>571500</xdr:colOff>
                <xdr:row>38</xdr:row>
                <xdr:rowOff>38100</xdr:rowOff>
              </to>
            </anchor>
          </controlPr>
        </control>
      </mc:Choice>
      <mc:Fallback>
        <control shapeId="1032" r:id="rId6" name="cmdAddWatch"/>
      </mc:Fallback>
    </mc:AlternateContent>
    <mc:AlternateContent xmlns:mc="http://schemas.openxmlformats.org/markup-compatibility/2006">
      <mc:Choice Requires="x14">
        <control shapeId="1031" r:id="rId8" name="cmbCryptoWatch">
          <controlPr autoLine="0" r:id="rId9">
            <anchor moveWithCells="1">
              <from>
                <xdr:col>2</xdr:col>
                <xdr:colOff>19050</xdr:colOff>
                <xdr:row>36</xdr:row>
                <xdr:rowOff>180975</xdr:rowOff>
              </from>
              <to>
                <xdr:col>5</xdr:col>
                <xdr:colOff>400050</xdr:colOff>
                <xdr:row>38</xdr:row>
                <xdr:rowOff>47625</xdr:rowOff>
              </to>
            </anchor>
          </controlPr>
        </control>
      </mc:Choice>
      <mc:Fallback>
        <control shapeId="1031" r:id="rId8" name="cmbCryptoWatch"/>
      </mc:Fallback>
    </mc:AlternateContent>
    <mc:AlternateContent xmlns:mc="http://schemas.openxmlformats.org/markup-compatibility/2006">
      <mc:Choice Requires="x14">
        <control shapeId="1027" r:id="rId10" name="cmbCoinList">
          <controlPr autoLine="0" r:id="rId9">
            <anchor moveWithCells="1">
              <from>
                <xdr:col>2</xdr:col>
                <xdr:colOff>38100</xdr:colOff>
                <xdr:row>5</xdr:row>
                <xdr:rowOff>9525</xdr:rowOff>
              </from>
              <to>
                <xdr:col>5</xdr:col>
                <xdr:colOff>419100</xdr:colOff>
                <xdr:row>6</xdr:row>
                <xdr:rowOff>66675</xdr:rowOff>
              </to>
            </anchor>
          </controlPr>
        </control>
      </mc:Choice>
      <mc:Fallback>
        <control shapeId="1027" r:id="rId10" name="cmbCoinList"/>
      </mc:Fallback>
    </mc:AlternateContent>
    <mc:AlternateContent xmlns:mc="http://schemas.openxmlformats.org/markup-compatibility/2006">
      <mc:Choice Requires="x14">
        <control shapeId="1028" r:id="rId11" name="cmdAddCoin">
          <controlPr defaultSize="0" autoLine="0" r:id="rId12">
            <anchor moveWithCells="1">
              <from>
                <xdr:col>5</xdr:col>
                <xdr:colOff>438150</xdr:colOff>
                <xdr:row>4</xdr:row>
                <xdr:rowOff>47625</xdr:rowOff>
              </from>
              <to>
                <xdr:col>6</xdr:col>
                <xdr:colOff>590550</xdr:colOff>
                <xdr:row>6</xdr:row>
                <xdr:rowOff>57150</xdr:rowOff>
              </to>
            </anchor>
          </controlPr>
        </control>
      </mc:Choice>
      <mc:Fallback>
        <control shapeId="1028" r:id="rId11" name="cmdAddCo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536"/>
  <sheetViews>
    <sheetView showGridLines="0" workbookViewId="0">
      <pane xSplit="2" ySplit="4" topLeftCell="C111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 x14ac:dyDescent="0.25"/>
  <cols>
    <col min="2" max="2" width="29.85546875" style="24" hidden="1" customWidth="1"/>
    <col min="3" max="3" width="27.42578125" style="24" bestFit="1" customWidth="1"/>
    <col min="4" max="4" width="11.28515625" style="24" bestFit="1" customWidth="1"/>
    <col min="5" max="5" width="14.7109375" style="24" bestFit="1" customWidth="1"/>
    <col min="6" max="6" width="15.7109375" style="24" bestFit="1" customWidth="1"/>
    <col min="7" max="7" width="15.42578125" style="24" bestFit="1" customWidth="1"/>
    <col min="8" max="8" width="16.42578125" style="24" bestFit="1" customWidth="1"/>
    <col min="9" max="9" width="17.5703125" style="24" bestFit="1" customWidth="1"/>
    <col min="10" max="10" width="19.140625" style="24" bestFit="1" customWidth="1"/>
    <col min="11" max="11" width="15.28515625" style="35" bestFit="1" customWidth="1"/>
    <col min="12" max="12" width="17.28515625" style="35" bestFit="1" customWidth="1"/>
    <col min="13" max="13" width="15.28515625" style="35" bestFit="1" customWidth="1"/>
    <col min="14" max="14" width="9.140625" style="24"/>
    <col min="15" max="15" width="25.7109375" style="24" bestFit="1" customWidth="1"/>
  </cols>
  <sheetData>
    <row r="1" spans="2:15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2:15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15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2:15" ht="32.25" customHeight="1" x14ac:dyDescent="0.25">
      <c r="B4" s="31" t="s">
        <v>2905</v>
      </c>
      <c r="C4" s="31" t="s">
        <v>2911</v>
      </c>
      <c r="D4" s="31" t="s">
        <v>2906</v>
      </c>
      <c r="E4" s="31" t="s">
        <v>1915</v>
      </c>
      <c r="F4" s="31" t="s">
        <v>1916</v>
      </c>
      <c r="G4" s="31" t="s">
        <v>2907</v>
      </c>
      <c r="H4" s="31" t="s">
        <v>1917</v>
      </c>
      <c r="I4" s="31" t="s">
        <v>1918</v>
      </c>
      <c r="J4" s="31" t="s">
        <v>1919</v>
      </c>
      <c r="K4" s="31" t="s">
        <v>1920</v>
      </c>
      <c r="L4" s="31" t="s">
        <v>2908</v>
      </c>
      <c r="M4" s="31" t="s">
        <v>2909</v>
      </c>
      <c r="N4" s="31" t="s">
        <v>1921</v>
      </c>
      <c r="O4" s="31" t="s">
        <v>2910</v>
      </c>
    </row>
    <row r="5" spans="2:15" x14ac:dyDescent="0.25">
      <c r="B5" s="24" t="s">
        <v>1922</v>
      </c>
      <c r="C5" s="23" t="s">
        <v>1</v>
      </c>
      <c r="D5" s="24" t="s">
        <v>972</v>
      </c>
      <c r="E5" s="25">
        <v>1</v>
      </c>
      <c r="F5" s="26">
        <v>16120.3</v>
      </c>
      <c r="G5" s="27">
        <v>12577600000</v>
      </c>
      <c r="H5" s="27">
        <v>270270531755</v>
      </c>
      <c r="I5" s="28">
        <v>16765850</v>
      </c>
      <c r="J5" s="28">
        <v>16765850</v>
      </c>
      <c r="K5" s="34">
        <v>-1.03</v>
      </c>
      <c r="L5" s="34">
        <v>3.65</v>
      </c>
      <c r="M5" s="34">
        <v>-6.13</v>
      </c>
      <c r="N5" s="24">
        <v>1</v>
      </c>
      <c r="O5" s="29">
        <v>43096.562037037038</v>
      </c>
    </row>
    <row r="6" spans="2:15" x14ac:dyDescent="0.25">
      <c r="B6" s="24" t="s">
        <v>1923</v>
      </c>
      <c r="C6" s="23" t="s">
        <v>3</v>
      </c>
      <c r="D6" s="24" t="s">
        <v>973</v>
      </c>
      <c r="E6" s="25">
        <v>4.8933299999999999E-2</v>
      </c>
      <c r="F6" s="26">
        <v>773.08699999999999</v>
      </c>
      <c r="G6" s="27">
        <v>2010730000</v>
      </c>
      <c r="H6" s="27">
        <v>74681105619</v>
      </c>
      <c r="I6" s="28">
        <v>96601166</v>
      </c>
      <c r="J6" s="28">
        <v>96601166</v>
      </c>
      <c r="K6" s="34">
        <v>-0.37</v>
      </c>
      <c r="L6" s="34">
        <v>0.57999999999999996</v>
      </c>
      <c r="M6" s="34">
        <v>-5.61</v>
      </c>
      <c r="N6" s="24">
        <v>2</v>
      </c>
      <c r="O6" s="29">
        <v>43096.561909722222</v>
      </c>
    </row>
    <row r="7" spans="2:15" x14ac:dyDescent="0.25">
      <c r="B7" s="24" t="s">
        <v>1924</v>
      </c>
      <c r="C7" s="23" t="s">
        <v>4</v>
      </c>
      <c r="D7" s="24" t="s">
        <v>974</v>
      </c>
      <c r="E7" s="25">
        <v>0.186862</v>
      </c>
      <c r="F7" s="26">
        <v>2952.19</v>
      </c>
      <c r="G7" s="27">
        <v>1492130000</v>
      </c>
      <c r="H7" s="27">
        <v>49829055548</v>
      </c>
      <c r="I7" s="28">
        <v>16878675</v>
      </c>
      <c r="J7" s="28">
        <v>16878675</v>
      </c>
      <c r="K7" s="34">
        <v>-0.84</v>
      </c>
      <c r="L7" s="34">
        <v>-2.0299999999999998</v>
      </c>
      <c r="M7" s="34">
        <v>-19.79</v>
      </c>
      <c r="N7" s="24">
        <v>3</v>
      </c>
      <c r="O7" s="29">
        <v>43096.561967592592</v>
      </c>
    </row>
    <row r="8" spans="2:15" x14ac:dyDescent="0.25">
      <c r="B8" s="24" t="s">
        <v>1925</v>
      </c>
      <c r="C8" s="23" t="s">
        <v>5</v>
      </c>
      <c r="D8" s="24" t="s">
        <v>975</v>
      </c>
      <c r="E8" s="25">
        <v>8.1139999999999999E-5</v>
      </c>
      <c r="F8" s="26">
        <v>1.2818400000000001</v>
      </c>
      <c r="G8" s="27">
        <v>1781740000</v>
      </c>
      <c r="H8" s="27">
        <v>49657385431</v>
      </c>
      <c r="I8" s="28">
        <v>38739144847</v>
      </c>
      <c r="J8" s="28">
        <v>99993093880</v>
      </c>
      <c r="K8" s="34">
        <v>-0.02</v>
      </c>
      <c r="L8" s="34">
        <v>15.18</v>
      </c>
      <c r="M8" s="34">
        <v>67.17</v>
      </c>
      <c r="N8" s="24">
        <v>4</v>
      </c>
      <c r="O8" s="29">
        <v>43096.56181712963</v>
      </c>
    </row>
    <row r="9" spans="2:15" x14ac:dyDescent="0.25">
      <c r="B9" s="24" t="s">
        <v>1926</v>
      </c>
      <c r="C9" s="23" t="s">
        <v>6</v>
      </c>
      <c r="D9" s="24" t="s">
        <v>976</v>
      </c>
      <c r="E9" s="25">
        <v>1.7868100000000001E-2</v>
      </c>
      <c r="F9" s="26">
        <v>282.29500000000002</v>
      </c>
      <c r="G9" s="27">
        <v>766374000</v>
      </c>
      <c r="H9" s="27">
        <v>15383364859</v>
      </c>
      <c r="I9" s="28">
        <v>54493933</v>
      </c>
      <c r="J9" s="28">
        <v>54493933</v>
      </c>
      <c r="K9" s="34">
        <v>-0.7</v>
      </c>
      <c r="L9" s="34">
        <v>-0.02</v>
      </c>
      <c r="M9" s="34">
        <v>-14</v>
      </c>
      <c r="N9" s="24">
        <v>5</v>
      </c>
      <c r="O9" s="29">
        <v>43096.56181712963</v>
      </c>
    </row>
    <row r="10" spans="2:15" x14ac:dyDescent="0.25">
      <c r="B10" s="24" t="s">
        <v>1929</v>
      </c>
      <c r="C10" s="23" t="s">
        <v>9</v>
      </c>
      <c r="D10" s="24" t="s">
        <v>979</v>
      </c>
      <c r="E10" s="25">
        <v>2.5365000000000001E-4</v>
      </c>
      <c r="F10" s="26">
        <v>4.0073100000000004</v>
      </c>
      <c r="G10" s="27">
        <v>274491000</v>
      </c>
      <c r="H10" s="27">
        <v>11138439498</v>
      </c>
      <c r="I10" s="28">
        <v>2779530283</v>
      </c>
      <c r="J10" s="28">
        <v>2779530283</v>
      </c>
      <c r="K10" s="34">
        <v>-1.45</v>
      </c>
      <c r="L10" s="34">
        <v>11.49</v>
      </c>
      <c r="M10" s="34">
        <v>-24.01</v>
      </c>
      <c r="N10" s="24">
        <v>6</v>
      </c>
      <c r="O10" s="29">
        <v>43096.561944444446</v>
      </c>
    </row>
    <row r="11" spans="2:15" x14ac:dyDescent="0.25">
      <c r="B11" s="24" t="s">
        <v>3150</v>
      </c>
      <c r="C11" s="23" t="s">
        <v>3151</v>
      </c>
      <c r="D11" s="24" t="s">
        <v>3152</v>
      </c>
      <c r="E11" s="25">
        <v>2.6460000000000001E-5</v>
      </c>
      <c r="F11" s="26">
        <v>0.41800399999999999</v>
      </c>
      <c r="G11" s="27">
        <v>82646100</v>
      </c>
      <c r="H11" s="27">
        <v>10837619193</v>
      </c>
      <c r="I11" s="28">
        <v>25927070538</v>
      </c>
      <c r="J11" s="28">
        <v>31112483745</v>
      </c>
      <c r="K11" s="34">
        <v>-0.32</v>
      </c>
      <c r="L11" s="34">
        <v>1.2</v>
      </c>
      <c r="M11" s="34">
        <v>-14.98</v>
      </c>
      <c r="N11" s="24">
        <v>7</v>
      </c>
      <c r="O11" s="29">
        <v>43096.561979166669</v>
      </c>
    </row>
    <row r="12" spans="2:15" x14ac:dyDescent="0.25">
      <c r="B12" s="24" t="s">
        <v>1928</v>
      </c>
      <c r="C12" s="23" t="s">
        <v>8</v>
      </c>
      <c r="D12" s="24" t="s">
        <v>978</v>
      </c>
      <c r="E12" s="25">
        <v>7.7157500000000004E-2</v>
      </c>
      <c r="F12" s="26">
        <v>1218.99</v>
      </c>
      <c r="G12" s="27">
        <v>244703000</v>
      </c>
      <c r="H12" s="27">
        <v>9481547937</v>
      </c>
      <c r="I12" s="28">
        <v>7778200</v>
      </c>
      <c r="J12" s="28">
        <v>7778200</v>
      </c>
      <c r="K12" s="34">
        <v>-0.85</v>
      </c>
      <c r="L12" s="34">
        <v>1.76</v>
      </c>
      <c r="M12" s="34">
        <v>-16.559999999999999</v>
      </c>
      <c r="N12" s="24">
        <v>8</v>
      </c>
      <c r="O12" s="29">
        <v>43096.56181712963</v>
      </c>
    </row>
    <row r="13" spans="2:15" x14ac:dyDescent="0.25">
      <c r="B13" s="24" t="s">
        <v>1927</v>
      </c>
      <c r="C13" s="23" t="s">
        <v>7</v>
      </c>
      <c r="D13" s="24" t="s">
        <v>977</v>
      </c>
      <c r="E13" s="25">
        <v>6.0019999999999998E-5</v>
      </c>
      <c r="F13" s="26">
        <v>0.94825300000000001</v>
      </c>
      <c r="G13" s="27">
        <v>57792900</v>
      </c>
      <c r="H13" s="27">
        <v>8534276999</v>
      </c>
      <c r="I13" s="28">
        <v>8999999999</v>
      </c>
      <c r="J13" s="28">
        <v>8999999999</v>
      </c>
      <c r="K13" s="34">
        <v>-0.23</v>
      </c>
      <c r="L13" s="34">
        <v>-0.18</v>
      </c>
      <c r="M13" s="34">
        <v>1.21</v>
      </c>
      <c r="N13" s="24">
        <v>9</v>
      </c>
      <c r="O13" s="29">
        <v>43096.561863425923</v>
      </c>
    </row>
    <row r="14" spans="2:15" x14ac:dyDescent="0.25">
      <c r="B14" s="24" t="s">
        <v>1930</v>
      </c>
      <c r="C14" s="23" t="s">
        <v>10</v>
      </c>
      <c r="D14" s="24" t="s">
        <v>980</v>
      </c>
      <c r="E14" s="25">
        <v>2.5924300000000001E-2</v>
      </c>
      <c r="F14" s="26">
        <v>409.57299999999998</v>
      </c>
      <c r="G14" s="27">
        <v>243952000</v>
      </c>
      <c r="H14" s="27">
        <v>6360351943</v>
      </c>
      <c r="I14" s="28">
        <v>15529227</v>
      </c>
      <c r="J14" s="28">
        <v>15529227</v>
      </c>
      <c r="K14" s="34">
        <v>-1.83</v>
      </c>
      <c r="L14" s="34">
        <v>9.64</v>
      </c>
      <c r="M14" s="34">
        <v>-4.4000000000000004</v>
      </c>
      <c r="N14" s="24">
        <v>10</v>
      </c>
      <c r="O14" s="29">
        <v>43096.561840277776</v>
      </c>
    </row>
    <row r="15" spans="2:15" x14ac:dyDescent="0.25">
      <c r="B15" s="24" t="s">
        <v>1944</v>
      </c>
      <c r="C15" s="23" t="s">
        <v>23</v>
      </c>
      <c r="D15" s="24" t="s">
        <v>23</v>
      </c>
      <c r="E15" s="25">
        <v>6.6777999999999998E-4</v>
      </c>
      <c r="F15" s="26">
        <v>10.5502</v>
      </c>
      <c r="G15" s="27">
        <v>450863000</v>
      </c>
      <c r="H15" s="27">
        <v>5963740695</v>
      </c>
      <c r="I15" s="28">
        <v>565272762</v>
      </c>
      <c r="J15" s="28">
        <v>1000000000</v>
      </c>
      <c r="K15" s="34">
        <v>-0.36</v>
      </c>
      <c r="L15" s="34">
        <v>7.7</v>
      </c>
      <c r="M15" s="34">
        <v>-11.9</v>
      </c>
      <c r="N15" s="24">
        <v>11</v>
      </c>
      <c r="O15" s="29">
        <v>43096.561956018515</v>
      </c>
    </row>
    <row r="16" spans="2:15" x14ac:dyDescent="0.25">
      <c r="B16" s="24" t="s">
        <v>3366</v>
      </c>
      <c r="C16" s="23" t="s">
        <v>3663</v>
      </c>
      <c r="D16" s="24" t="s">
        <v>1870</v>
      </c>
      <c r="E16" s="25">
        <v>1.9433099999999998E-2</v>
      </c>
      <c r="F16" s="26">
        <v>307.02</v>
      </c>
      <c r="G16" s="27">
        <v>80175500</v>
      </c>
      <c r="H16" s="27">
        <v>5136440329</v>
      </c>
      <c r="I16" s="28">
        <v>16729986</v>
      </c>
      <c r="J16" s="28">
        <v>16829986</v>
      </c>
      <c r="K16" s="34">
        <v>1.35</v>
      </c>
      <c r="L16" s="34">
        <v>1.08</v>
      </c>
      <c r="M16" s="34">
        <v>-31.2</v>
      </c>
      <c r="N16" s="24">
        <v>12</v>
      </c>
      <c r="O16" s="29">
        <v>43096.561990740738</v>
      </c>
    </row>
    <row r="17" spans="2:15" x14ac:dyDescent="0.25">
      <c r="B17" s="24" t="s">
        <v>1932</v>
      </c>
      <c r="C17" s="23" t="s">
        <v>11</v>
      </c>
      <c r="D17" s="24" t="s">
        <v>11</v>
      </c>
      <c r="E17" s="25">
        <v>4.3234299999999996E-3</v>
      </c>
      <c r="F17" s="26">
        <v>68.304900000000004</v>
      </c>
      <c r="G17" s="27">
        <v>187522000</v>
      </c>
      <c r="H17" s="27">
        <v>4439818500</v>
      </c>
      <c r="I17" s="28">
        <v>65000000</v>
      </c>
      <c r="J17" s="28">
        <v>100000000</v>
      </c>
      <c r="K17" s="34">
        <v>-0.01</v>
      </c>
      <c r="L17" s="34">
        <v>7.19</v>
      </c>
      <c r="M17" s="34">
        <v>-2.17</v>
      </c>
      <c r="N17" s="24">
        <v>13</v>
      </c>
      <c r="O17" s="29">
        <v>43096.561898148146</v>
      </c>
    </row>
    <row r="18" spans="2:15" x14ac:dyDescent="0.25">
      <c r="B18" s="24" t="s">
        <v>1935</v>
      </c>
      <c r="C18" s="23" t="s">
        <v>15</v>
      </c>
      <c r="D18" s="24" t="s">
        <v>984</v>
      </c>
      <c r="E18" s="25">
        <v>3.3937199999999998E-3</v>
      </c>
      <c r="F18" s="26">
        <v>53.616700000000002</v>
      </c>
      <c r="G18" s="27">
        <v>598367000</v>
      </c>
      <c r="H18" s="27">
        <v>3954962957</v>
      </c>
      <c r="I18" s="28">
        <v>73763640</v>
      </c>
      <c r="J18" s="28">
        <v>100263640</v>
      </c>
      <c r="K18" s="34">
        <v>-0.85</v>
      </c>
      <c r="L18" s="34">
        <v>-5.73</v>
      </c>
      <c r="M18" s="34">
        <v>-16.670000000000002</v>
      </c>
      <c r="N18" s="24">
        <v>14</v>
      </c>
      <c r="O18" s="29">
        <v>43096.561932870369</v>
      </c>
    </row>
    <row r="19" spans="2:15" x14ac:dyDescent="0.25">
      <c r="B19" s="24" t="s">
        <v>1945</v>
      </c>
      <c r="C19" s="23" t="s">
        <v>3684</v>
      </c>
      <c r="D19" s="24" t="s">
        <v>994</v>
      </c>
      <c r="E19" s="25">
        <v>1.399E-5</v>
      </c>
      <c r="F19" s="26">
        <v>0.220974</v>
      </c>
      <c r="G19" s="27">
        <v>70997000</v>
      </c>
      <c r="H19" s="27">
        <v>3946371366</v>
      </c>
      <c r="I19" s="28">
        <v>17858985067</v>
      </c>
      <c r="J19" s="28">
        <v>103550799663</v>
      </c>
      <c r="K19" s="34">
        <v>-0.43</v>
      </c>
      <c r="L19" s="34">
        <v>0.9</v>
      </c>
      <c r="M19" s="34">
        <v>-10.49</v>
      </c>
      <c r="N19" s="24">
        <v>15</v>
      </c>
      <c r="O19" s="29">
        <v>43096.561851851853</v>
      </c>
    </row>
    <row r="20" spans="2:15" x14ac:dyDescent="0.25">
      <c r="B20" s="24" t="s">
        <v>1931</v>
      </c>
      <c r="C20" s="23" t="s">
        <v>12</v>
      </c>
      <c r="D20" s="24" t="s">
        <v>981</v>
      </c>
      <c r="E20" s="25">
        <v>2.05185E-3</v>
      </c>
      <c r="F20" s="26">
        <v>32.416800000000002</v>
      </c>
      <c r="G20" s="27">
        <v>228934000</v>
      </c>
      <c r="H20" s="27">
        <v>3198800548</v>
      </c>
      <c r="I20" s="28">
        <v>98677246</v>
      </c>
      <c r="J20" s="28">
        <v>98677246</v>
      </c>
      <c r="K20" s="34">
        <v>-0.4</v>
      </c>
      <c r="L20" s="34">
        <v>0.22</v>
      </c>
      <c r="M20" s="34">
        <v>-23.86</v>
      </c>
      <c r="N20" s="24">
        <v>16</v>
      </c>
      <c r="O20" s="29">
        <v>43096.561898148146</v>
      </c>
    </row>
    <row r="21" spans="2:15" x14ac:dyDescent="0.25">
      <c r="B21" s="24" t="s">
        <v>1937</v>
      </c>
      <c r="C21" s="23" t="s">
        <v>17</v>
      </c>
      <c r="D21" s="24" t="s">
        <v>986</v>
      </c>
      <c r="E21" s="25">
        <v>1.5403400000000001E-3</v>
      </c>
      <c r="F21" s="26">
        <v>24.3355</v>
      </c>
      <c r="G21" s="27">
        <v>85618300</v>
      </c>
      <c r="H21" s="27">
        <v>2831964187</v>
      </c>
      <c r="I21" s="28">
        <v>116371728</v>
      </c>
      <c r="J21" s="28">
        <v>116371728</v>
      </c>
      <c r="K21" s="34">
        <v>-2.2599999999999998</v>
      </c>
      <c r="L21" s="34">
        <v>-0.53</v>
      </c>
      <c r="M21" s="34">
        <v>31.06</v>
      </c>
      <c r="N21" s="24">
        <v>17</v>
      </c>
      <c r="O21" s="29">
        <v>43096.561886574076</v>
      </c>
    </row>
    <row r="22" spans="2:15" x14ac:dyDescent="0.25">
      <c r="B22" s="24" t="s">
        <v>1936</v>
      </c>
      <c r="C22" s="23" t="s">
        <v>16</v>
      </c>
      <c r="D22" s="24" t="s">
        <v>985</v>
      </c>
      <c r="E22" s="25">
        <v>2.7027900000000001E-2</v>
      </c>
      <c r="F22" s="26">
        <v>427.00799999999998</v>
      </c>
      <c r="G22" s="27">
        <v>131665000</v>
      </c>
      <c r="H22" s="27">
        <v>2572143170</v>
      </c>
      <c r="I22" s="28">
        <v>6023642</v>
      </c>
      <c r="J22" s="28">
        <v>9416548</v>
      </c>
      <c r="K22" s="34">
        <v>-1.22</v>
      </c>
      <c r="L22" s="34">
        <v>72.14</v>
      </c>
      <c r="M22" s="34">
        <v>13.9</v>
      </c>
      <c r="N22" s="24">
        <v>18</v>
      </c>
      <c r="O22" s="29">
        <v>43096.561909722222</v>
      </c>
    </row>
    <row r="23" spans="2:15" x14ac:dyDescent="0.25">
      <c r="B23" s="24" t="s">
        <v>3139</v>
      </c>
      <c r="C23" s="23" t="s">
        <v>3105</v>
      </c>
      <c r="D23" s="24" t="s">
        <v>2989</v>
      </c>
      <c r="E23" s="25">
        <v>2.4700000000000001E-6</v>
      </c>
      <c r="F23" s="26">
        <v>3.8953799999999997E-2</v>
      </c>
      <c r="G23" s="27">
        <v>263162000</v>
      </c>
      <c r="H23" s="27">
        <v>2561141940</v>
      </c>
      <c r="I23" s="28">
        <v>65748192475</v>
      </c>
      <c r="J23" s="28">
        <v>100000000000</v>
      </c>
      <c r="K23" s="34">
        <v>-0.68</v>
      </c>
      <c r="L23" s="34">
        <v>1.93</v>
      </c>
      <c r="M23" s="34">
        <v>-4.78</v>
      </c>
      <c r="N23" s="24">
        <v>19</v>
      </c>
      <c r="O23" s="29">
        <v>43096.561979166669</v>
      </c>
    </row>
    <row r="24" spans="2:15" x14ac:dyDescent="0.25">
      <c r="B24" s="24" t="s">
        <v>1995</v>
      </c>
      <c r="C24" s="23" t="s">
        <v>72</v>
      </c>
      <c r="D24" s="24" t="s">
        <v>1040</v>
      </c>
      <c r="E24" s="25">
        <v>1.1199999999999999E-5</v>
      </c>
      <c r="F24" s="26">
        <v>0.17696100000000001</v>
      </c>
      <c r="G24" s="27">
        <v>474179000</v>
      </c>
      <c r="H24" s="27">
        <v>2547660999</v>
      </c>
      <c r="I24" s="28">
        <v>14396737130</v>
      </c>
      <c r="J24" s="28">
        <v>14396737130</v>
      </c>
      <c r="K24" s="34">
        <v>-0.28999999999999998</v>
      </c>
      <c r="L24" s="34">
        <v>4.96</v>
      </c>
      <c r="M24" s="34">
        <v>51.8</v>
      </c>
      <c r="N24" s="24">
        <v>20</v>
      </c>
      <c r="O24" s="29">
        <v>43096.561851851853</v>
      </c>
    </row>
    <row r="25" spans="2:15" x14ac:dyDescent="0.25">
      <c r="B25" s="24" t="s">
        <v>1939</v>
      </c>
      <c r="C25" s="23" t="s">
        <v>19</v>
      </c>
      <c r="D25" s="24" t="s">
        <v>988</v>
      </c>
      <c r="E25" s="25">
        <v>3.5913100000000003E-2</v>
      </c>
      <c r="F25" s="26">
        <v>567.38300000000004</v>
      </c>
      <c r="G25" s="27">
        <v>146174000</v>
      </c>
      <c r="H25" s="27">
        <v>1660144927</v>
      </c>
      <c r="I25" s="28">
        <v>2925969</v>
      </c>
      <c r="J25" s="28">
        <v>2925969</v>
      </c>
      <c r="K25" s="34">
        <v>-0.5</v>
      </c>
      <c r="L25" s="34">
        <v>0.7</v>
      </c>
      <c r="M25" s="34">
        <v>-12.01</v>
      </c>
      <c r="N25" s="24">
        <v>21</v>
      </c>
      <c r="O25" s="29">
        <v>43096.561909722222</v>
      </c>
    </row>
    <row r="26" spans="2:15" x14ac:dyDescent="0.25">
      <c r="B26" s="24" t="s">
        <v>1973</v>
      </c>
      <c r="C26" s="23" t="s">
        <v>52</v>
      </c>
      <c r="D26" s="24" t="s">
        <v>1021</v>
      </c>
      <c r="E26" s="25">
        <v>9.9549999999999994E-5</v>
      </c>
      <c r="F26" s="26">
        <v>1.5727599999999999</v>
      </c>
      <c r="G26" s="27">
        <v>32740300</v>
      </c>
      <c r="H26" s="27">
        <v>1571186446</v>
      </c>
      <c r="I26" s="28">
        <v>998999495</v>
      </c>
      <c r="J26" s="28">
        <v>998999495</v>
      </c>
      <c r="K26" s="34">
        <v>-1.06</v>
      </c>
      <c r="L26" s="34">
        <v>-0.97</v>
      </c>
      <c r="M26" s="34">
        <v>50.76</v>
      </c>
      <c r="N26" s="24">
        <v>22</v>
      </c>
      <c r="O26" s="29">
        <v>43096.561886574076</v>
      </c>
    </row>
    <row r="27" spans="2:15" x14ac:dyDescent="0.25">
      <c r="B27" s="24" t="s">
        <v>1933</v>
      </c>
      <c r="C27" s="23" t="s">
        <v>13</v>
      </c>
      <c r="D27" s="24" t="s">
        <v>982</v>
      </c>
      <c r="E27" s="25">
        <v>9.6929999999999998E-4</v>
      </c>
      <c r="F27" s="26">
        <v>15.313700000000001</v>
      </c>
      <c r="G27" s="27">
        <v>68885200</v>
      </c>
      <c r="H27" s="27">
        <v>1562649025</v>
      </c>
      <c r="I27" s="28">
        <v>102042552</v>
      </c>
      <c r="J27" s="28">
        <v>140245398</v>
      </c>
      <c r="K27" s="34">
        <v>-0.16</v>
      </c>
      <c r="L27" s="34">
        <v>1.02</v>
      </c>
      <c r="M27" s="34">
        <v>-12.78</v>
      </c>
      <c r="N27" s="24">
        <v>23</v>
      </c>
      <c r="O27" s="29">
        <v>43096.561956018515</v>
      </c>
    </row>
    <row r="28" spans="2:15" x14ac:dyDescent="0.25">
      <c r="B28" s="24" t="s">
        <v>1979</v>
      </c>
      <c r="C28" s="23" t="s">
        <v>59</v>
      </c>
      <c r="D28" s="24" t="s">
        <v>1027</v>
      </c>
      <c r="E28" s="25">
        <v>9.8109999999999994E-5</v>
      </c>
      <c r="F28" s="26">
        <v>1.55</v>
      </c>
      <c r="G28" s="27">
        <v>539573000</v>
      </c>
      <c r="H28" s="27">
        <v>1548449909</v>
      </c>
      <c r="I28" s="28">
        <v>998999942</v>
      </c>
      <c r="J28" s="28">
        <v>998999942</v>
      </c>
      <c r="K28" s="34">
        <v>-0.62</v>
      </c>
      <c r="L28" s="34">
        <v>-1.9</v>
      </c>
      <c r="M28" s="34">
        <v>68.180000000000007</v>
      </c>
      <c r="N28" s="24">
        <v>24</v>
      </c>
      <c r="O28" s="29">
        <v>43096.561967592592</v>
      </c>
    </row>
    <row r="29" spans="2:15" x14ac:dyDescent="0.25">
      <c r="B29" s="24" t="s">
        <v>3474</v>
      </c>
      <c r="C29" s="23" t="s">
        <v>1665</v>
      </c>
      <c r="D29" s="24" t="s">
        <v>3475</v>
      </c>
      <c r="E29" s="25">
        <v>3.3772000000000001E-4</v>
      </c>
      <c r="F29" s="26">
        <v>5.3355699999999997</v>
      </c>
      <c r="G29" s="27">
        <v>158368000</v>
      </c>
      <c r="H29" s="27">
        <v>1525336145</v>
      </c>
      <c r="I29" s="28">
        <v>285880636</v>
      </c>
      <c r="J29" s="28">
        <v>400230000</v>
      </c>
      <c r="K29" s="34">
        <v>1.1000000000000001</v>
      </c>
      <c r="L29" s="34">
        <v>-10.07</v>
      </c>
      <c r="M29" s="34">
        <v>158.74</v>
      </c>
      <c r="N29" s="24">
        <v>25</v>
      </c>
      <c r="O29" s="29">
        <v>43096.561990740738</v>
      </c>
    </row>
    <row r="30" spans="2:15" x14ac:dyDescent="0.25">
      <c r="B30" s="24" t="s">
        <v>1942</v>
      </c>
      <c r="C30" s="23" t="s">
        <v>24</v>
      </c>
      <c r="D30" s="24" t="s">
        <v>992</v>
      </c>
      <c r="E30" s="25">
        <v>3.6879999999999999E-5</v>
      </c>
      <c r="F30" s="26">
        <v>0.58259899999999998</v>
      </c>
      <c r="G30" s="27">
        <v>42301600</v>
      </c>
      <c r="H30" s="27">
        <v>1518328732</v>
      </c>
      <c r="I30" s="28">
        <v>2606130000</v>
      </c>
      <c r="J30" s="28">
        <v>2606130000</v>
      </c>
      <c r="K30" s="34">
        <v>-1.18</v>
      </c>
      <c r="L30" s="34">
        <v>3.24</v>
      </c>
      <c r="M30" s="34">
        <v>10.39</v>
      </c>
      <c r="N30" s="24">
        <v>26</v>
      </c>
      <c r="O30" s="29">
        <v>43096.561840277776</v>
      </c>
    </row>
    <row r="31" spans="2:15" x14ac:dyDescent="0.25">
      <c r="B31" s="24" t="s">
        <v>1940</v>
      </c>
      <c r="C31" s="23" t="s">
        <v>20</v>
      </c>
      <c r="D31" s="24" t="s">
        <v>989</v>
      </c>
      <c r="E31" s="25">
        <v>8.9910999999999995E-4</v>
      </c>
      <c r="F31" s="26">
        <v>14.204800000000001</v>
      </c>
      <c r="G31" s="27">
        <v>53411100</v>
      </c>
      <c r="H31" s="27">
        <v>1420480000</v>
      </c>
      <c r="I31" s="28">
        <v>100000000</v>
      </c>
      <c r="J31" s="28">
        <v>100000000</v>
      </c>
      <c r="K31" s="34">
        <v>-1.1599999999999999</v>
      </c>
      <c r="L31" s="34">
        <v>0.14000000000000001</v>
      </c>
      <c r="M31" s="34">
        <v>-6.92</v>
      </c>
      <c r="N31" s="24">
        <v>27</v>
      </c>
      <c r="O31" s="29">
        <v>43096.561898148146</v>
      </c>
    </row>
    <row r="32" spans="2:15" x14ac:dyDescent="0.25">
      <c r="B32" s="24" t="s">
        <v>1938</v>
      </c>
      <c r="C32" s="23" t="s">
        <v>18</v>
      </c>
      <c r="D32" s="24" t="s">
        <v>987</v>
      </c>
      <c r="E32" s="25">
        <v>8.8747999999999995E-4</v>
      </c>
      <c r="F32" s="26">
        <v>14.021100000000001</v>
      </c>
      <c r="G32" s="27">
        <v>59364500</v>
      </c>
      <c r="H32" s="27">
        <v>1383561098</v>
      </c>
      <c r="I32" s="28">
        <v>98677072</v>
      </c>
      <c r="J32" s="28">
        <v>98677072</v>
      </c>
      <c r="K32" s="34">
        <v>0.31</v>
      </c>
      <c r="L32" s="34">
        <v>-1.29</v>
      </c>
      <c r="M32" s="34">
        <v>25.27</v>
      </c>
      <c r="N32" s="24">
        <v>28</v>
      </c>
      <c r="O32" s="29">
        <v>43096.561898148146</v>
      </c>
    </row>
    <row r="33" spans="2:15" x14ac:dyDescent="0.25">
      <c r="B33" s="24" t="s">
        <v>1965</v>
      </c>
      <c r="C33" s="23" t="s">
        <v>48</v>
      </c>
      <c r="D33" s="24" t="s">
        <v>1017</v>
      </c>
      <c r="E33" s="25">
        <v>2.3290099999999998E-3</v>
      </c>
      <c r="F33" s="26">
        <v>36.795499999999997</v>
      </c>
      <c r="G33" s="27">
        <v>2523110</v>
      </c>
      <c r="H33" s="27">
        <v>1361581672</v>
      </c>
      <c r="I33" s="28">
        <v>37004027</v>
      </c>
      <c r="J33" s="28">
        <v>53252246</v>
      </c>
      <c r="K33" s="34">
        <v>-1.33</v>
      </c>
      <c r="L33" s="34">
        <v>-10.31</v>
      </c>
      <c r="M33" s="34">
        <v>-12.86</v>
      </c>
      <c r="N33" s="24">
        <v>29</v>
      </c>
      <c r="O33" s="29">
        <v>43096.561956018515</v>
      </c>
    </row>
    <row r="34" spans="2:15" x14ac:dyDescent="0.25">
      <c r="B34" s="24" t="s">
        <v>2072</v>
      </c>
      <c r="C34" s="23" t="s">
        <v>154</v>
      </c>
      <c r="D34" s="24" t="s">
        <v>1124</v>
      </c>
      <c r="E34" s="25">
        <v>6.3690000000000003E-4</v>
      </c>
      <c r="F34" s="26">
        <v>10.0623</v>
      </c>
      <c r="G34" s="27">
        <v>31095600</v>
      </c>
      <c r="H34" s="27">
        <v>1340784261</v>
      </c>
      <c r="I34" s="28">
        <v>133248289</v>
      </c>
      <c r="J34" s="28">
        <v>133248289</v>
      </c>
      <c r="K34" s="34">
        <v>-0.03</v>
      </c>
      <c r="L34" s="34">
        <v>23.8</v>
      </c>
      <c r="M34" s="34">
        <v>179.99</v>
      </c>
      <c r="N34" s="24">
        <v>30</v>
      </c>
      <c r="O34" s="29">
        <v>43096.561921296299</v>
      </c>
    </row>
    <row r="35" spans="2:15" x14ac:dyDescent="0.25">
      <c r="B35" s="24" t="s">
        <v>1947</v>
      </c>
      <c r="C35" s="23" t="s">
        <v>26</v>
      </c>
      <c r="D35" s="24" t="s">
        <v>995</v>
      </c>
      <c r="E35" s="25">
        <v>6.3620000000000004E-5</v>
      </c>
      <c r="F35" s="26">
        <v>1.0050600000000001</v>
      </c>
      <c r="G35" s="27">
        <v>1799340000</v>
      </c>
      <c r="H35" s="27">
        <v>1224253371</v>
      </c>
      <c r="I35" s="28">
        <v>1218089837</v>
      </c>
      <c r="J35" s="28">
        <v>1249999377</v>
      </c>
      <c r="K35" s="34">
        <v>0.01</v>
      </c>
      <c r="L35" s="34">
        <v>-0.28999999999999998</v>
      </c>
      <c r="M35" s="34">
        <v>0.2</v>
      </c>
      <c r="N35" s="24">
        <v>31</v>
      </c>
      <c r="O35" s="29">
        <v>43096.561863425923</v>
      </c>
    </row>
    <row r="36" spans="2:15" x14ac:dyDescent="0.25">
      <c r="B36" s="24" t="s">
        <v>1941</v>
      </c>
      <c r="C36" s="23" t="s">
        <v>22</v>
      </c>
      <c r="D36" s="24" t="s">
        <v>991</v>
      </c>
      <c r="E36" s="25">
        <v>4.0999999999999999E-7</v>
      </c>
      <c r="F36" s="26">
        <v>6.4262199999999998E-3</v>
      </c>
      <c r="G36" s="27">
        <v>15435900</v>
      </c>
      <c r="H36" s="27">
        <v>1177627529</v>
      </c>
      <c r="I36" s="28">
        <v>183253534612</v>
      </c>
      <c r="J36" s="28">
        <v>183253534612</v>
      </c>
      <c r="K36" s="34">
        <v>-0.23</v>
      </c>
      <c r="L36" s="34">
        <v>3.47</v>
      </c>
      <c r="M36" s="34">
        <v>44.48</v>
      </c>
      <c r="N36" s="24">
        <v>32</v>
      </c>
      <c r="O36" s="29">
        <v>43096.561840277776</v>
      </c>
    </row>
    <row r="37" spans="2:15" x14ac:dyDescent="0.25">
      <c r="B37" s="24" t="s">
        <v>1934</v>
      </c>
      <c r="C37" s="23" t="s">
        <v>14</v>
      </c>
      <c r="D37" s="24" t="s">
        <v>983</v>
      </c>
      <c r="E37" s="25">
        <v>1.73536E-3</v>
      </c>
      <c r="F37" s="26">
        <v>27.416499999999999</v>
      </c>
      <c r="G37" s="27">
        <v>140772000</v>
      </c>
      <c r="H37" s="27">
        <v>1163077809</v>
      </c>
      <c r="I37" s="28">
        <v>42422549</v>
      </c>
      <c r="J37" s="28">
        <v>42422549</v>
      </c>
      <c r="K37" s="34">
        <v>-1.87</v>
      </c>
      <c r="L37" s="34">
        <v>-1.74</v>
      </c>
      <c r="M37" s="34">
        <v>-23.35</v>
      </c>
      <c r="N37" s="24">
        <v>33</v>
      </c>
      <c r="O37" s="29">
        <v>43096.561967592592</v>
      </c>
    </row>
    <row r="38" spans="2:15" x14ac:dyDescent="0.25">
      <c r="B38" s="24" t="s">
        <v>1956</v>
      </c>
      <c r="C38" s="23" t="s">
        <v>35</v>
      </c>
      <c r="D38" s="24" t="s">
        <v>1004</v>
      </c>
      <c r="E38" s="25">
        <v>5.8999999999999996E-7</v>
      </c>
      <c r="F38" s="26">
        <v>9.2629600000000006E-3</v>
      </c>
      <c r="G38" s="27">
        <v>73119700</v>
      </c>
      <c r="H38" s="27">
        <v>1042171750</v>
      </c>
      <c r="I38" s="28">
        <v>112509581190</v>
      </c>
      <c r="J38" s="28">
        <v>112509581190</v>
      </c>
      <c r="K38" s="34">
        <v>-1.48</v>
      </c>
      <c r="L38" s="34">
        <v>2.68</v>
      </c>
      <c r="M38" s="34">
        <v>64.95</v>
      </c>
      <c r="N38" s="24">
        <v>34</v>
      </c>
      <c r="O38" s="29">
        <v>43096.561828703707</v>
      </c>
    </row>
    <row r="39" spans="2:15" x14ac:dyDescent="0.25">
      <c r="B39" s="24" t="s">
        <v>1970</v>
      </c>
      <c r="C39" s="23" t="s">
        <v>49</v>
      </c>
      <c r="D39" s="24" t="s">
        <v>1018</v>
      </c>
      <c r="E39" s="25">
        <v>6.1731000000000004E-4</v>
      </c>
      <c r="F39" s="26">
        <v>9.7528000000000006</v>
      </c>
      <c r="G39" s="27">
        <v>15591200</v>
      </c>
      <c r="H39" s="27">
        <v>1012597236</v>
      </c>
      <c r="I39" s="28">
        <v>103826310</v>
      </c>
      <c r="J39" s="28">
        <v>103826310</v>
      </c>
      <c r="K39" s="34">
        <v>-0.93</v>
      </c>
      <c r="L39" s="34">
        <v>-3.31</v>
      </c>
      <c r="M39" s="34">
        <v>39.520000000000003</v>
      </c>
      <c r="N39" s="24">
        <v>35</v>
      </c>
      <c r="O39" s="29">
        <v>43096.561909722222</v>
      </c>
    </row>
    <row r="40" spans="2:15" x14ac:dyDescent="0.25">
      <c r="B40" s="24" t="s">
        <v>1959</v>
      </c>
      <c r="C40" s="23" t="s">
        <v>37</v>
      </c>
      <c r="D40" s="24" t="s">
        <v>1007</v>
      </c>
      <c r="E40" s="25">
        <v>6.4625000000000001E-4</v>
      </c>
      <c r="F40" s="26">
        <v>10.210000000000001</v>
      </c>
      <c r="G40" s="27">
        <v>236282000</v>
      </c>
      <c r="H40" s="27">
        <v>1010932940</v>
      </c>
      <c r="I40" s="28">
        <v>99014000</v>
      </c>
      <c r="J40" s="28">
        <v>199013968</v>
      </c>
      <c r="K40" s="34">
        <v>-2.89</v>
      </c>
      <c r="L40" s="34">
        <v>35.5</v>
      </c>
      <c r="M40" s="34">
        <v>88.46</v>
      </c>
      <c r="N40" s="24">
        <v>36</v>
      </c>
      <c r="O40" s="29">
        <v>43096.561956018515</v>
      </c>
    </row>
    <row r="41" spans="2:15" x14ac:dyDescent="0.25">
      <c r="B41" s="24" t="s">
        <v>1955</v>
      </c>
      <c r="C41" s="23" t="s">
        <v>34</v>
      </c>
      <c r="D41" s="24" t="s">
        <v>1003</v>
      </c>
      <c r="E41" s="25">
        <v>1.9E-6</v>
      </c>
      <c r="F41" s="26">
        <v>2.9996499999999999E-2</v>
      </c>
      <c r="G41" s="27">
        <v>58306500</v>
      </c>
      <c r="H41" s="27">
        <v>941774499</v>
      </c>
      <c r="I41" s="28">
        <v>31396146174</v>
      </c>
      <c r="J41" s="28">
        <v>31396146174</v>
      </c>
      <c r="K41" s="34">
        <v>0.27</v>
      </c>
      <c r="L41" s="34">
        <v>5.35</v>
      </c>
      <c r="M41" s="34">
        <v>62.09</v>
      </c>
      <c r="N41" s="24">
        <v>37</v>
      </c>
      <c r="O41" s="29">
        <v>43096.561874999999</v>
      </c>
    </row>
    <row r="42" spans="2:15" x14ac:dyDescent="0.25">
      <c r="B42" s="24" t="s">
        <v>1950</v>
      </c>
      <c r="C42" s="23" t="s">
        <v>28</v>
      </c>
      <c r="D42" s="24" t="s">
        <v>997</v>
      </c>
      <c r="E42" s="25">
        <v>5.1919599999999998E-3</v>
      </c>
      <c r="F42" s="26">
        <v>82.026600000000002</v>
      </c>
      <c r="G42" s="27">
        <v>21549200</v>
      </c>
      <c r="H42" s="27">
        <v>902292600</v>
      </c>
      <c r="I42" s="28">
        <v>11000000</v>
      </c>
      <c r="J42" s="28">
        <v>11000000</v>
      </c>
      <c r="K42" s="34">
        <v>0.36</v>
      </c>
      <c r="L42" s="34">
        <v>-1.56</v>
      </c>
      <c r="M42" s="34">
        <v>-9.34</v>
      </c>
      <c r="N42" s="24">
        <v>38</v>
      </c>
      <c r="O42" s="29">
        <v>43096.561874999999</v>
      </c>
    </row>
    <row r="43" spans="2:15" x14ac:dyDescent="0.25">
      <c r="B43" s="24" t="s">
        <v>1946</v>
      </c>
      <c r="C43" s="23" t="s">
        <v>25</v>
      </c>
      <c r="D43" s="24" t="s">
        <v>993</v>
      </c>
      <c r="E43" s="25">
        <v>2.0713E-4</v>
      </c>
      <c r="F43" s="26">
        <v>3.2724099999999998</v>
      </c>
      <c r="G43" s="27">
        <v>5422540</v>
      </c>
      <c r="H43" s="27">
        <v>805697962</v>
      </c>
      <c r="I43" s="28">
        <v>246209357</v>
      </c>
      <c r="J43" s="28">
        <v>263183451</v>
      </c>
      <c r="K43" s="34">
        <v>0.78</v>
      </c>
      <c r="L43" s="34">
        <v>-0.83</v>
      </c>
      <c r="M43" s="34">
        <v>6.48</v>
      </c>
      <c r="N43" s="24">
        <v>39</v>
      </c>
      <c r="O43" s="29">
        <v>43096.561874999999</v>
      </c>
    </row>
    <row r="44" spans="2:15" x14ac:dyDescent="0.25">
      <c r="B44" s="24" t="s">
        <v>1954</v>
      </c>
      <c r="C44" s="23" t="s">
        <v>32</v>
      </c>
      <c r="D44" s="24" t="s">
        <v>1001</v>
      </c>
      <c r="E44" s="25">
        <v>4.8285999999999999E-4</v>
      </c>
      <c r="F44" s="26">
        <v>7.6286399999999999</v>
      </c>
      <c r="G44" s="27">
        <v>15965500</v>
      </c>
      <c r="H44" s="27">
        <v>747463942</v>
      </c>
      <c r="I44" s="28">
        <v>97981284</v>
      </c>
      <c r="J44" s="28">
        <v>129231284</v>
      </c>
      <c r="K44" s="34">
        <v>-0.06</v>
      </c>
      <c r="L44" s="34">
        <v>-6.17</v>
      </c>
      <c r="M44" s="34">
        <v>-0.53</v>
      </c>
      <c r="N44" s="24">
        <v>40</v>
      </c>
      <c r="O44" s="29">
        <v>43096.561932870369</v>
      </c>
    </row>
    <row r="45" spans="2:15" x14ac:dyDescent="0.25">
      <c r="B45" s="24" t="s">
        <v>3113</v>
      </c>
      <c r="C45" s="23" t="s">
        <v>3114</v>
      </c>
      <c r="D45" s="24" t="s">
        <v>3114</v>
      </c>
      <c r="E45" s="25">
        <v>8.4670999999999998E-4</v>
      </c>
      <c r="F45" s="26">
        <v>13.3771</v>
      </c>
      <c r="G45" s="27">
        <v>25173900</v>
      </c>
      <c r="H45" s="27">
        <v>719782253</v>
      </c>
      <c r="I45" s="28">
        <v>53807047</v>
      </c>
      <c r="J45" s="28">
        <v>120000000</v>
      </c>
      <c r="K45" s="34">
        <v>4.93</v>
      </c>
      <c r="L45" s="34">
        <v>20.87</v>
      </c>
      <c r="M45" s="34">
        <v>42.6</v>
      </c>
      <c r="N45" s="24">
        <v>41</v>
      </c>
      <c r="O45" s="29">
        <v>43096.561979166669</v>
      </c>
    </row>
    <row r="46" spans="2:15" x14ac:dyDescent="0.25">
      <c r="B46" s="24" t="s">
        <v>1968</v>
      </c>
      <c r="C46" s="23" t="s">
        <v>44</v>
      </c>
      <c r="D46" s="24" t="s">
        <v>1013</v>
      </c>
      <c r="E46" s="25">
        <v>2.0713499999999999E-2</v>
      </c>
      <c r="F46" s="26">
        <v>327.24799999999999</v>
      </c>
      <c r="G46" s="27">
        <v>1861460</v>
      </c>
      <c r="H46" s="27">
        <v>666488147</v>
      </c>
      <c r="I46" s="28">
        <v>2036645</v>
      </c>
      <c r="J46" s="28">
        <v>100000000</v>
      </c>
      <c r="K46" s="34">
        <v>-2.2000000000000002</v>
      </c>
      <c r="L46" s="34">
        <v>-8.89</v>
      </c>
      <c r="M46" s="34">
        <v>25.14</v>
      </c>
      <c r="N46" s="24">
        <v>42</v>
      </c>
      <c r="O46" s="29">
        <v>43096.561944444446</v>
      </c>
    </row>
    <row r="47" spans="2:15" x14ac:dyDescent="0.25">
      <c r="B47" s="24" t="s">
        <v>1963</v>
      </c>
      <c r="C47" s="23" t="s">
        <v>45</v>
      </c>
      <c r="D47" s="24" t="s">
        <v>1014</v>
      </c>
      <c r="E47" s="25">
        <v>4.3800000000000004E-6</v>
      </c>
      <c r="F47" s="26">
        <v>6.9175200000000006E-2</v>
      </c>
      <c r="G47" s="27">
        <v>60875500</v>
      </c>
      <c r="H47" s="27">
        <v>664792451</v>
      </c>
      <c r="I47" s="28">
        <v>9610271475</v>
      </c>
      <c r="J47" s="28">
        <v>9610271475</v>
      </c>
      <c r="K47" s="34">
        <v>-0.72</v>
      </c>
      <c r="L47" s="34">
        <v>12.5</v>
      </c>
      <c r="M47" s="34">
        <v>52.36</v>
      </c>
      <c r="N47" s="24">
        <v>43</v>
      </c>
      <c r="O47" s="29">
        <v>43096.56181712963</v>
      </c>
    </row>
    <row r="48" spans="2:15" x14ac:dyDescent="0.25">
      <c r="B48" s="24" t="s">
        <v>2038</v>
      </c>
      <c r="C48" s="23" t="s">
        <v>119</v>
      </c>
      <c r="D48" s="24" t="s">
        <v>1086</v>
      </c>
      <c r="E48" s="25">
        <v>7.4553E-4</v>
      </c>
      <c r="F48" s="26">
        <v>11.778499999999999</v>
      </c>
      <c r="G48" s="27">
        <v>7979820</v>
      </c>
      <c r="H48" s="27">
        <v>663139560</v>
      </c>
      <c r="I48" s="28">
        <v>56300850</v>
      </c>
      <c r="J48" s="28">
        <v>56300850</v>
      </c>
      <c r="K48" s="34">
        <v>0.52</v>
      </c>
      <c r="L48" s="34">
        <v>0.76</v>
      </c>
      <c r="M48" s="34">
        <v>-22.84</v>
      </c>
      <c r="N48" s="24">
        <v>44</v>
      </c>
      <c r="O48" s="29">
        <v>43096.561828703707</v>
      </c>
    </row>
    <row r="49" spans="2:15" x14ac:dyDescent="0.25">
      <c r="B49" s="24" t="s">
        <v>1951</v>
      </c>
      <c r="C49" s="23" t="s">
        <v>30</v>
      </c>
      <c r="D49" s="24" t="s">
        <v>999</v>
      </c>
      <c r="E49" s="25">
        <v>5.011E-5</v>
      </c>
      <c r="F49" s="26">
        <v>0.79172200000000004</v>
      </c>
      <c r="G49" s="27">
        <v>26715600</v>
      </c>
      <c r="H49" s="27">
        <v>660503579</v>
      </c>
      <c r="I49" s="28">
        <v>834262000</v>
      </c>
      <c r="J49" s="28">
        <v>1000000000</v>
      </c>
      <c r="K49" s="34">
        <v>0.28000000000000003</v>
      </c>
      <c r="L49" s="34">
        <v>20.34</v>
      </c>
      <c r="M49" s="34">
        <v>39.04</v>
      </c>
      <c r="N49" s="24">
        <v>45</v>
      </c>
      <c r="O49" s="29">
        <v>43096.561921296299</v>
      </c>
    </row>
    <row r="50" spans="2:15" x14ac:dyDescent="0.25">
      <c r="B50" s="24" t="s">
        <v>1962</v>
      </c>
      <c r="C50" s="23" t="s">
        <v>39</v>
      </c>
      <c r="D50" s="24" t="s">
        <v>39</v>
      </c>
      <c r="E50" s="25">
        <v>7.5009000000000002E-4</v>
      </c>
      <c r="F50" s="26">
        <v>11.8505</v>
      </c>
      <c r="G50" s="27">
        <v>6109910</v>
      </c>
      <c r="H50" s="27">
        <v>654403640</v>
      </c>
      <c r="I50" s="28">
        <v>55221606</v>
      </c>
      <c r="J50" s="28">
        <v>55221606</v>
      </c>
      <c r="K50" s="34">
        <v>-1.67</v>
      </c>
      <c r="L50" s="34">
        <v>-2.0099999999999998</v>
      </c>
      <c r="M50" s="34">
        <v>49.96</v>
      </c>
      <c r="N50" s="24">
        <v>46</v>
      </c>
      <c r="O50" s="29">
        <v>43096.561886574076</v>
      </c>
    </row>
    <row r="51" spans="2:15" x14ac:dyDescent="0.25">
      <c r="B51" s="24" t="s">
        <v>1958</v>
      </c>
      <c r="C51" s="23" t="s">
        <v>38</v>
      </c>
      <c r="D51" s="24" t="s">
        <v>1008</v>
      </c>
      <c r="E51" s="25">
        <v>6.4267700000000001E-3</v>
      </c>
      <c r="F51" s="26">
        <v>101.535</v>
      </c>
      <c r="G51" s="27">
        <v>5538710</v>
      </c>
      <c r="H51" s="27">
        <v>653689482</v>
      </c>
      <c r="I51" s="28">
        <v>6438070</v>
      </c>
      <c r="J51" s="28">
        <v>6858070</v>
      </c>
      <c r="K51" s="34">
        <v>-0.95</v>
      </c>
      <c r="L51" s="34">
        <v>6.63</v>
      </c>
      <c r="M51" s="34">
        <v>9</v>
      </c>
      <c r="N51" s="24">
        <v>47</v>
      </c>
      <c r="O51" s="29">
        <v>43096.561886574076</v>
      </c>
    </row>
    <row r="52" spans="2:15" x14ac:dyDescent="0.25">
      <c r="B52" s="24" t="s">
        <v>2016</v>
      </c>
      <c r="C52" s="23" t="s">
        <v>97</v>
      </c>
      <c r="D52" s="24" t="s">
        <v>1065</v>
      </c>
      <c r="E52" s="25">
        <v>8.6058999999999997E-3</v>
      </c>
      <c r="F52" s="26">
        <v>135.96299999999999</v>
      </c>
      <c r="G52" s="27">
        <v>47126900</v>
      </c>
      <c r="H52" s="27">
        <v>509807298</v>
      </c>
      <c r="I52" s="28">
        <v>3749603</v>
      </c>
      <c r="J52" s="28">
        <v>3749603</v>
      </c>
      <c r="K52" s="34">
        <v>-2.93</v>
      </c>
      <c r="L52" s="34">
        <v>-10.53</v>
      </c>
      <c r="M52" s="34">
        <v>101.83</v>
      </c>
      <c r="N52" s="24">
        <v>48</v>
      </c>
      <c r="O52" s="29">
        <v>43096.561921296299</v>
      </c>
    </row>
    <row r="53" spans="2:15" x14ac:dyDescent="0.25">
      <c r="B53" s="24" t="s">
        <v>1966</v>
      </c>
      <c r="C53" s="23" t="s">
        <v>46</v>
      </c>
      <c r="D53" s="24" t="s">
        <v>1015</v>
      </c>
      <c r="E53" s="25">
        <v>8.6899999999999998E-6</v>
      </c>
      <c r="F53" s="26">
        <v>0.137293</v>
      </c>
      <c r="G53" s="27">
        <v>21038900</v>
      </c>
      <c r="H53" s="27">
        <v>476473131</v>
      </c>
      <c r="I53" s="28">
        <v>3470483788</v>
      </c>
      <c r="J53" s="28">
        <v>6804870174</v>
      </c>
      <c r="K53" s="34">
        <v>-0.01</v>
      </c>
      <c r="L53" s="34">
        <v>0.38</v>
      </c>
      <c r="M53" s="34">
        <v>-26.57</v>
      </c>
      <c r="N53" s="24">
        <v>49</v>
      </c>
      <c r="O53" s="29">
        <v>43096.561956018515</v>
      </c>
    </row>
    <row r="54" spans="2:15" x14ac:dyDescent="0.25">
      <c r="B54" s="24" t="s">
        <v>1980</v>
      </c>
      <c r="C54" s="23" t="s">
        <v>61</v>
      </c>
      <c r="D54" s="24" t="s">
        <v>1029</v>
      </c>
      <c r="E54" s="25">
        <v>5.6310000000000001E-5</v>
      </c>
      <c r="F54" s="26">
        <v>0.88965799999999995</v>
      </c>
      <c r="G54" s="27">
        <v>38840400</v>
      </c>
      <c r="H54" s="27">
        <v>471367030</v>
      </c>
      <c r="I54" s="28">
        <v>529829474</v>
      </c>
      <c r="J54" s="28">
        <v>529829474</v>
      </c>
      <c r="K54" s="34">
        <v>-1.93</v>
      </c>
      <c r="L54" s="34">
        <v>28.95</v>
      </c>
      <c r="M54" s="34">
        <v>50.07</v>
      </c>
      <c r="N54" s="24">
        <v>50</v>
      </c>
      <c r="O54" s="29">
        <v>43096.561840277776</v>
      </c>
    </row>
    <row r="55" spans="2:15" x14ac:dyDescent="0.25">
      <c r="B55" s="24" t="s">
        <v>1943</v>
      </c>
      <c r="C55" s="23" t="s">
        <v>21</v>
      </c>
      <c r="D55" s="24" t="s">
        <v>990</v>
      </c>
      <c r="E55" s="25">
        <v>2.7703999999999999E-4</v>
      </c>
      <c r="F55" s="26">
        <v>4.3769299999999998</v>
      </c>
      <c r="G55" s="27">
        <v>30499200</v>
      </c>
      <c r="H55" s="27">
        <v>458095228</v>
      </c>
      <c r="I55" s="28">
        <v>104661310</v>
      </c>
      <c r="J55" s="28">
        <v>205218256</v>
      </c>
      <c r="K55" s="34">
        <v>1.1599999999999999</v>
      </c>
      <c r="L55" s="34">
        <v>-2.61</v>
      </c>
      <c r="M55" s="34">
        <v>29.51</v>
      </c>
      <c r="N55" s="24">
        <v>51</v>
      </c>
      <c r="O55" s="29">
        <v>43096.561944444446</v>
      </c>
    </row>
    <row r="56" spans="2:15" x14ac:dyDescent="0.25">
      <c r="B56" s="24" t="s">
        <v>2704</v>
      </c>
      <c r="C56" s="23" t="s">
        <v>772</v>
      </c>
      <c r="D56" s="24" t="s">
        <v>3983</v>
      </c>
      <c r="E56" s="25">
        <v>1.0268999999999999E-4</v>
      </c>
      <c r="F56" s="26">
        <v>1.6224099999999999</v>
      </c>
      <c r="G56" s="27">
        <v>44458600</v>
      </c>
      <c r="H56" s="27">
        <v>449671428</v>
      </c>
      <c r="I56" s="28">
        <v>277162633</v>
      </c>
      <c r="J56" s="28">
        <v>867162633</v>
      </c>
      <c r="K56" s="34">
        <v>0</v>
      </c>
      <c r="L56" s="34">
        <v>14.49</v>
      </c>
      <c r="M56" s="34">
        <v>12.79</v>
      </c>
      <c r="N56" s="24">
        <v>52</v>
      </c>
      <c r="O56" s="29">
        <v>43096.561967592592</v>
      </c>
    </row>
    <row r="57" spans="2:15" x14ac:dyDescent="0.25">
      <c r="B57" s="24" t="s">
        <v>1948</v>
      </c>
      <c r="C57" s="23" t="s">
        <v>27</v>
      </c>
      <c r="D57" s="24" t="s">
        <v>996</v>
      </c>
      <c r="E57" s="25">
        <v>6.2279999999999993E-5</v>
      </c>
      <c r="F57" s="26">
        <v>0.98388399999999998</v>
      </c>
      <c r="G57" s="27">
        <v>8116220</v>
      </c>
      <c r="H57" s="27">
        <v>445259077</v>
      </c>
      <c r="I57" s="28">
        <v>452552412</v>
      </c>
      <c r="J57" s="28">
        <v>452552412</v>
      </c>
      <c r="K57" s="34">
        <v>6.48</v>
      </c>
      <c r="L57" s="34">
        <v>18.13</v>
      </c>
      <c r="M57" s="34">
        <v>30.95</v>
      </c>
      <c r="N57" s="24">
        <v>53</v>
      </c>
      <c r="O57" s="29">
        <v>43096.561828703707</v>
      </c>
    </row>
    <row r="58" spans="2:15" x14ac:dyDescent="0.25">
      <c r="B58" s="24" t="s">
        <v>1960</v>
      </c>
      <c r="C58" s="23" t="s">
        <v>2947</v>
      </c>
      <c r="D58" s="24" t="s">
        <v>1005</v>
      </c>
      <c r="E58" s="25">
        <v>4.3283599999999998E-2</v>
      </c>
      <c r="F58" s="26">
        <v>683.82899999999995</v>
      </c>
      <c r="G58" s="27">
        <v>2488710</v>
      </c>
      <c r="H58" s="27">
        <v>441221551</v>
      </c>
      <c r="I58" s="28">
        <v>645222</v>
      </c>
      <c r="J58" s="28">
        <v>1000000</v>
      </c>
      <c r="K58" s="34">
        <v>0.32</v>
      </c>
      <c r="L58" s="34">
        <v>0.52</v>
      </c>
      <c r="M58" s="34">
        <v>21.72</v>
      </c>
      <c r="N58" s="24">
        <v>54</v>
      </c>
      <c r="O58" s="29">
        <v>43096.561909722222</v>
      </c>
    </row>
    <row r="59" spans="2:15" x14ac:dyDescent="0.25">
      <c r="B59" s="24" t="s">
        <v>3460</v>
      </c>
      <c r="C59" s="23" t="s">
        <v>3461</v>
      </c>
      <c r="D59" s="24" t="s">
        <v>3462</v>
      </c>
      <c r="E59" s="25">
        <v>5.5400000000000003E-6</v>
      </c>
      <c r="F59" s="26">
        <v>8.7527199999999999E-2</v>
      </c>
      <c r="G59" s="27">
        <v>5684610</v>
      </c>
      <c r="H59" s="27">
        <v>437417835</v>
      </c>
      <c r="I59" s="28">
        <v>4997507466</v>
      </c>
      <c r="J59" s="28">
        <v>5195262064</v>
      </c>
      <c r="K59" s="34">
        <v>-0.54</v>
      </c>
      <c r="L59" s="34">
        <v>0.47</v>
      </c>
      <c r="M59" s="34">
        <v>11.52</v>
      </c>
      <c r="N59" s="24">
        <v>55</v>
      </c>
      <c r="O59" s="29">
        <v>43096.562002314815</v>
      </c>
    </row>
    <row r="60" spans="2:15" x14ac:dyDescent="0.25">
      <c r="B60" s="24" t="s">
        <v>1953</v>
      </c>
      <c r="C60" s="23" t="s">
        <v>29</v>
      </c>
      <c r="D60" s="24" t="s">
        <v>998</v>
      </c>
      <c r="E60" s="25">
        <v>2.5340000000000001E-5</v>
      </c>
      <c r="F60" s="26">
        <v>0.40033299999999999</v>
      </c>
      <c r="G60" s="27">
        <v>14117200</v>
      </c>
      <c r="H60" s="27">
        <v>400333000</v>
      </c>
      <c r="I60" s="28">
        <v>1000000000</v>
      </c>
      <c r="J60" s="28">
        <v>1500000000</v>
      </c>
      <c r="K60" s="34">
        <v>0.86</v>
      </c>
      <c r="L60" s="34">
        <v>2.82</v>
      </c>
      <c r="M60" s="34">
        <v>17.190000000000001</v>
      </c>
      <c r="N60" s="24">
        <v>56</v>
      </c>
      <c r="O60" s="29">
        <v>43096.561944444446</v>
      </c>
    </row>
    <row r="61" spans="2:15" x14ac:dyDescent="0.25">
      <c r="B61" s="24" t="s">
        <v>1952</v>
      </c>
      <c r="C61" s="23" t="s">
        <v>31</v>
      </c>
      <c r="D61" s="24" t="s">
        <v>1000</v>
      </c>
      <c r="E61" s="25">
        <v>2.8878599999999999E-3</v>
      </c>
      <c r="F61" s="26">
        <v>45.624600000000001</v>
      </c>
      <c r="G61" s="27">
        <v>25911500</v>
      </c>
      <c r="H61" s="27">
        <v>398991781</v>
      </c>
      <c r="I61" s="28">
        <v>8745102</v>
      </c>
      <c r="J61" s="28">
        <v>8745102</v>
      </c>
      <c r="K61" s="34">
        <v>-0.67</v>
      </c>
      <c r="L61" s="34">
        <v>9.85</v>
      </c>
      <c r="M61" s="34">
        <v>9.14</v>
      </c>
      <c r="N61" s="24">
        <v>57</v>
      </c>
      <c r="O61" s="29">
        <v>43096.561874999999</v>
      </c>
    </row>
    <row r="62" spans="2:15" x14ac:dyDescent="0.25">
      <c r="B62" s="24" t="s">
        <v>2014</v>
      </c>
      <c r="C62" s="23" t="s">
        <v>92</v>
      </c>
      <c r="D62" s="24" t="s">
        <v>1060</v>
      </c>
      <c r="E62" s="25">
        <v>8.8000000000000004E-7</v>
      </c>
      <c r="F62" s="26">
        <v>1.38847E-2</v>
      </c>
      <c r="G62" s="27">
        <v>61036800</v>
      </c>
      <c r="H62" s="27">
        <v>398438398</v>
      </c>
      <c r="I62" s="28">
        <v>28696219404</v>
      </c>
      <c r="J62" s="28">
        <v>28696219404</v>
      </c>
      <c r="K62" s="34">
        <v>1.77</v>
      </c>
      <c r="L62" s="34">
        <v>4.9800000000000004</v>
      </c>
      <c r="M62" s="34">
        <v>211.45</v>
      </c>
      <c r="N62" s="24">
        <v>58</v>
      </c>
      <c r="O62" s="29">
        <v>43096.56181712963</v>
      </c>
    </row>
    <row r="63" spans="2:15" x14ac:dyDescent="0.25">
      <c r="B63" s="24" t="s">
        <v>1981</v>
      </c>
      <c r="C63" s="23" t="s">
        <v>60</v>
      </c>
      <c r="D63" s="24" t="s">
        <v>1028</v>
      </c>
      <c r="E63" s="25">
        <v>2.5130000000000002E-5</v>
      </c>
      <c r="F63" s="26">
        <v>0.39696599999999999</v>
      </c>
      <c r="G63" s="27">
        <v>9513510</v>
      </c>
      <c r="H63" s="27">
        <v>391805442</v>
      </c>
      <c r="I63" s="28">
        <v>987000000</v>
      </c>
      <c r="J63" s="28">
        <v>1407000000</v>
      </c>
      <c r="K63" s="34">
        <v>-0.34</v>
      </c>
      <c r="L63" s="34">
        <v>-4.25</v>
      </c>
      <c r="M63" s="34">
        <v>-10.36</v>
      </c>
      <c r="N63" s="24">
        <v>59</v>
      </c>
      <c r="O63" s="29">
        <v>43096.561967592592</v>
      </c>
    </row>
    <row r="64" spans="2:15" x14ac:dyDescent="0.25">
      <c r="B64" s="24" t="s">
        <v>1990</v>
      </c>
      <c r="C64" s="23" t="s">
        <v>68</v>
      </c>
      <c r="D64" s="24" t="s">
        <v>1036</v>
      </c>
      <c r="E64" s="25">
        <v>1.9087699999999999E-2</v>
      </c>
      <c r="F64" s="26">
        <v>301.56299999999999</v>
      </c>
      <c r="G64" s="27">
        <v>727211</v>
      </c>
      <c r="H64" s="27">
        <v>388673147</v>
      </c>
      <c r="I64" s="28">
        <v>1288862</v>
      </c>
      <c r="J64" s="28">
        <v>1288862</v>
      </c>
      <c r="K64" s="34">
        <v>0.51</v>
      </c>
      <c r="L64" s="34">
        <v>-4.8499999999999996</v>
      </c>
      <c r="M64" s="34">
        <v>40.03</v>
      </c>
      <c r="N64" s="24">
        <v>60</v>
      </c>
      <c r="O64" s="29">
        <v>43096.561840277776</v>
      </c>
    </row>
    <row r="65" spans="2:15" x14ac:dyDescent="0.25">
      <c r="B65" s="24" t="s">
        <v>1964</v>
      </c>
      <c r="C65" s="23" t="s">
        <v>40</v>
      </c>
      <c r="D65" s="24" t="s">
        <v>1009</v>
      </c>
      <c r="E65" s="25">
        <v>1.1697600000000001E-2</v>
      </c>
      <c r="F65" s="26">
        <v>184.80799999999999</v>
      </c>
      <c r="G65" s="27">
        <v>6149620</v>
      </c>
      <c r="H65" s="27">
        <v>369616000</v>
      </c>
      <c r="I65" s="28">
        <v>2000000</v>
      </c>
      <c r="J65" s="28">
        <v>2000000</v>
      </c>
      <c r="K65" s="34">
        <v>1.45</v>
      </c>
      <c r="L65" s="34">
        <v>8.31</v>
      </c>
      <c r="M65" s="34">
        <v>9.66</v>
      </c>
      <c r="N65" s="24">
        <v>61</v>
      </c>
      <c r="O65" s="29">
        <v>43096.561886574076</v>
      </c>
    </row>
    <row r="66" spans="2:15" x14ac:dyDescent="0.25">
      <c r="B66" s="24" t="s">
        <v>2042</v>
      </c>
      <c r="C66" s="23" t="s">
        <v>114</v>
      </c>
      <c r="D66" s="24" t="s">
        <v>1081</v>
      </c>
      <c r="E66" s="25">
        <v>3.7802000000000002E-4</v>
      </c>
      <c r="F66" s="26">
        <v>5.9722</v>
      </c>
      <c r="G66" s="27">
        <v>7082350</v>
      </c>
      <c r="H66" s="27">
        <v>361453585</v>
      </c>
      <c r="I66" s="28">
        <v>60522686</v>
      </c>
      <c r="J66" s="28">
        <v>83337000</v>
      </c>
      <c r="K66" s="34">
        <v>0.76</v>
      </c>
      <c r="L66" s="34">
        <v>0.75</v>
      </c>
      <c r="M66" s="34">
        <v>28.78</v>
      </c>
      <c r="N66" s="24">
        <v>62</v>
      </c>
      <c r="O66" s="29">
        <v>43096.561956018515</v>
      </c>
    </row>
    <row r="67" spans="2:15" x14ac:dyDescent="0.25">
      <c r="B67" s="24" t="s">
        <v>2725</v>
      </c>
      <c r="C67" s="23" t="s">
        <v>2932</v>
      </c>
      <c r="D67" s="24" t="s">
        <v>1748</v>
      </c>
      <c r="E67" s="25">
        <v>9.501E-5</v>
      </c>
      <c r="F67" s="26">
        <v>1.50101</v>
      </c>
      <c r="G67" s="27">
        <v>2409380</v>
      </c>
      <c r="H67" s="27">
        <v>349766059</v>
      </c>
      <c r="I67" s="28">
        <v>233020472</v>
      </c>
      <c r="J67" s="28">
        <v>273685830</v>
      </c>
      <c r="K67" s="34">
        <v>-0.31</v>
      </c>
      <c r="L67" s="34">
        <v>3.18</v>
      </c>
      <c r="M67" s="34">
        <v>-2.0099999999999998</v>
      </c>
      <c r="N67" s="24">
        <v>63</v>
      </c>
      <c r="O67" s="29">
        <v>43096.561932870369</v>
      </c>
    </row>
    <row r="68" spans="2:15" x14ac:dyDescent="0.25">
      <c r="B68" s="24" t="s">
        <v>3786</v>
      </c>
      <c r="C68" s="23" t="s">
        <v>3787</v>
      </c>
      <c r="D68" s="24" t="s">
        <v>3787</v>
      </c>
      <c r="E68" s="25">
        <v>6.2869999999999999E-5</v>
      </c>
      <c r="F68" s="26">
        <v>0.99333400000000005</v>
      </c>
      <c r="G68" s="27">
        <v>8508030</v>
      </c>
      <c r="H68" s="27">
        <v>347666900</v>
      </c>
      <c r="I68" s="28">
        <v>350000000</v>
      </c>
      <c r="J68" s="28">
        <v>1000000000</v>
      </c>
      <c r="K68" s="34">
        <v>7.67</v>
      </c>
      <c r="L68" s="34">
        <v>13.66</v>
      </c>
      <c r="M68" s="34">
        <v>3.57</v>
      </c>
      <c r="N68" s="24">
        <v>64</v>
      </c>
      <c r="O68" s="29">
        <v>43096.562013888892</v>
      </c>
    </row>
    <row r="69" spans="2:15" x14ac:dyDescent="0.25">
      <c r="B69" s="24" t="s">
        <v>3309</v>
      </c>
      <c r="C69" s="23" t="s">
        <v>3310</v>
      </c>
      <c r="D69" s="24" t="s">
        <v>3311</v>
      </c>
      <c r="E69" s="25">
        <v>3.4462000000000002E-4</v>
      </c>
      <c r="F69" s="26">
        <v>5.4446099999999999</v>
      </c>
      <c r="G69" s="27">
        <v>10698100</v>
      </c>
      <c r="H69" s="27">
        <v>333753808</v>
      </c>
      <c r="I69" s="28">
        <v>61299856</v>
      </c>
      <c r="J69" s="28">
        <v>465934587</v>
      </c>
      <c r="K69" s="34">
        <v>-1.1299999999999999</v>
      </c>
      <c r="L69" s="34">
        <v>-3.18</v>
      </c>
      <c r="M69" s="34">
        <v>93.93</v>
      </c>
      <c r="N69" s="24">
        <v>65</v>
      </c>
      <c r="O69" s="29">
        <v>43096.561990740738</v>
      </c>
    </row>
    <row r="70" spans="2:15" x14ac:dyDescent="0.25">
      <c r="B70" s="24" t="s">
        <v>3072</v>
      </c>
      <c r="C70" s="23" t="s">
        <v>3073</v>
      </c>
      <c r="D70" s="24" t="s">
        <v>1676</v>
      </c>
      <c r="E70" s="25">
        <v>1.5746999999999999E-4</v>
      </c>
      <c r="F70" s="26">
        <v>2.4878100000000001</v>
      </c>
      <c r="G70" s="27">
        <v>9608530</v>
      </c>
      <c r="H70" s="27">
        <v>333696665</v>
      </c>
      <c r="I70" s="28">
        <v>134132697</v>
      </c>
      <c r="J70" s="28">
        <v>215625349</v>
      </c>
      <c r="K70" s="34">
        <v>-0.11</v>
      </c>
      <c r="L70" s="34">
        <v>1.01</v>
      </c>
      <c r="M70" s="34">
        <v>-8.19</v>
      </c>
      <c r="N70" s="24">
        <v>66</v>
      </c>
      <c r="O70" s="29">
        <v>43096.561979166669</v>
      </c>
    </row>
    <row r="71" spans="2:15" x14ac:dyDescent="0.25">
      <c r="B71" s="24" t="s">
        <v>3407</v>
      </c>
      <c r="C71" s="23" t="s">
        <v>3408</v>
      </c>
      <c r="D71" s="24" t="s">
        <v>3409</v>
      </c>
      <c r="E71" s="25">
        <v>5.9120000000000003E-5</v>
      </c>
      <c r="F71" s="26">
        <v>0.93398499999999995</v>
      </c>
      <c r="G71" s="27">
        <v>26175900</v>
      </c>
      <c r="H71" s="27">
        <v>332704821</v>
      </c>
      <c r="I71" s="28">
        <v>356220733</v>
      </c>
      <c r="J71" s="28">
        <v>1000000000</v>
      </c>
      <c r="K71" s="34">
        <v>0.65</v>
      </c>
      <c r="L71" s="34">
        <v>1.29</v>
      </c>
      <c r="M71" s="34">
        <v>-8.69</v>
      </c>
      <c r="N71" s="24">
        <v>67</v>
      </c>
      <c r="O71" s="29">
        <v>43096.562002314815</v>
      </c>
    </row>
    <row r="72" spans="2:15" x14ac:dyDescent="0.25">
      <c r="B72" s="24" t="s">
        <v>1967</v>
      </c>
      <c r="C72" s="23" t="s">
        <v>43</v>
      </c>
      <c r="D72" s="24" t="s">
        <v>1012</v>
      </c>
      <c r="E72" s="25">
        <v>6.0510000000000002E-5</v>
      </c>
      <c r="F72" s="26">
        <v>0.95600399999999996</v>
      </c>
      <c r="G72" s="27">
        <v>26494400</v>
      </c>
      <c r="H72" s="27">
        <v>327622571</v>
      </c>
      <c r="I72" s="28">
        <v>342700000</v>
      </c>
      <c r="J72" s="28">
        <v>1000000000</v>
      </c>
      <c r="K72" s="34">
        <v>1.37</v>
      </c>
      <c r="L72" s="34">
        <v>6.87</v>
      </c>
      <c r="M72" s="34">
        <v>63.15</v>
      </c>
      <c r="N72" s="24">
        <v>68</v>
      </c>
      <c r="O72" s="29">
        <v>43096.561956018515</v>
      </c>
    </row>
    <row r="73" spans="2:15" x14ac:dyDescent="0.25">
      <c r="B73" s="24" t="s">
        <v>2020</v>
      </c>
      <c r="C73" s="23" t="s">
        <v>103</v>
      </c>
      <c r="D73" s="24" t="s">
        <v>1071</v>
      </c>
      <c r="E73" s="25">
        <v>4.6983000000000002E-4</v>
      </c>
      <c r="F73" s="26">
        <v>7.4227299999999996</v>
      </c>
      <c r="G73" s="27">
        <v>12360700</v>
      </c>
      <c r="H73" s="27">
        <v>313410300</v>
      </c>
      <c r="I73" s="28">
        <v>42223050</v>
      </c>
      <c r="J73" s="28">
        <v>42223050</v>
      </c>
      <c r="K73" s="34">
        <v>-0.47</v>
      </c>
      <c r="L73" s="34">
        <v>0.59</v>
      </c>
      <c r="M73" s="34">
        <v>-12.81</v>
      </c>
      <c r="N73" s="24">
        <v>69</v>
      </c>
      <c r="O73" s="29">
        <v>43096.56181712963</v>
      </c>
    </row>
    <row r="74" spans="2:15" x14ac:dyDescent="0.25">
      <c r="B74" s="24" t="s">
        <v>42</v>
      </c>
      <c r="C74" s="23" t="s">
        <v>42</v>
      </c>
      <c r="D74" s="24" t="s">
        <v>1011</v>
      </c>
      <c r="E74" s="25">
        <v>4.0509999999999997E-5</v>
      </c>
      <c r="F74" s="26">
        <v>0.64001799999999998</v>
      </c>
      <c r="G74" s="27">
        <v>8947830</v>
      </c>
      <c r="H74" s="27">
        <v>302431052</v>
      </c>
      <c r="I74" s="28">
        <v>472535229</v>
      </c>
      <c r="J74" s="28">
        <v>1000000000</v>
      </c>
      <c r="K74" s="34">
        <v>-0.9</v>
      </c>
      <c r="L74" s="34">
        <v>6.85</v>
      </c>
      <c r="M74" s="34">
        <v>21.49</v>
      </c>
      <c r="N74" s="24">
        <v>70</v>
      </c>
      <c r="O74" s="29">
        <v>43096.561979166669</v>
      </c>
    </row>
    <row r="75" spans="2:15" x14ac:dyDescent="0.25">
      <c r="B75" s="24" t="s">
        <v>2703</v>
      </c>
      <c r="C75" s="23" t="s">
        <v>774</v>
      </c>
      <c r="D75" s="24" t="s">
        <v>1728</v>
      </c>
      <c r="E75" s="25">
        <v>7.3315000000000001E-4</v>
      </c>
      <c r="F75" s="26">
        <v>11.5829</v>
      </c>
      <c r="G75" s="27">
        <v>14911400</v>
      </c>
      <c r="H75" s="27">
        <v>288393106</v>
      </c>
      <c r="I75" s="28">
        <v>24898178</v>
      </c>
      <c r="J75" s="28">
        <v>70000000</v>
      </c>
      <c r="K75" s="34">
        <v>1.87</v>
      </c>
      <c r="L75" s="34">
        <v>1.64</v>
      </c>
      <c r="M75" s="34">
        <v>-22.96</v>
      </c>
      <c r="N75" s="24">
        <v>71</v>
      </c>
      <c r="O75" s="29">
        <v>43096.561967592592</v>
      </c>
    </row>
    <row r="76" spans="2:15" x14ac:dyDescent="0.25">
      <c r="B76" s="24" t="s">
        <v>2121</v>
      </c>
      <c r="C76" s="23" t="s">
        <v>184</v>
      </c>
      <c r="D76" s="24" t="s">
        <v>1154</v>
      </c>
      <c r="E76" s="25">
        <v>1.7E-6</v>
      </c>
      <c r="F76" s="26">
        <v>2.6874599999999998E-2</v>
      </c>
      <c r="G76" s="27">
        <v>14964700</v>
      </c>
      <c r="H76" s="27">
        <v>285267455</v>
      </c>
      <c r="I76" s="28">
        <v>10614760961</v>
      </c>
      <c r="J76" s="28">
        <v>100000000000</v>
      </c>
      <c r="K76" s="34">
        <v>-2.4300000000000002</v>
      </c>
      <c r="L76" s="34">
        <v>-11.59</v>
      </c>
      <c r="M76" s="34">
        <v>187.89</v>
      </c>
      <c r="N76" s="24">
        <v>72</v>
      </c>
      <c r="O76" s="29">
        <v>43096.561967592592</v>
      </c>
    </row>
    <row r="77" spans="2:15" x14ac:dyDescent="0.25">
      <c r="B77" s="24" t="s">
        <v>1978</v>
      </c>
      <c r="C77" s="23" t="s">
        <v>50</v>
      </c>
      <c r="D77" s="24" t="s">
        <v>1019</v>
      </c>
      <c r="E77" s="25">
        <v>1.8913700000000001E-3</v>
      </c>
      <c r="F77" s="26">
        <v>29.881399999999999</v>
      </c>
      <c r="G77" s="27">
        <v>4153500</v>
      </c>
      <c r="H77" s="27">
        <v>273043737</v>
      </c>
      <c r="I77" s="28">
        <v>9137582</v>
      </c>
      <c r="J77" s="28">
        <v>13802656</v>
      </c>
      <c r="K77" s="34">
        <v>-0.34</v>
      </c>
      <c r="L77" s="34">
        <v>6.14</v>
      </c>
      <c r="M77" s="34">
        <v>-11.74</v>
      </c>
      <c r="N77" s="24">
        <v>73</v>
      </c>
      <c r="O77" s="29">
        <v>43096.561956018515</v>
      </c>
    </row>
    <row r="78" spans="2:15" x14ac:dyDescent="0.25">
      <c r="B78" s="24" t="s">
        <v>1969</v>
      </c>
      <c r="C78" s="23" t="s">
        <v>51</v>
      </c>
      <c r="D78" s="24" t="s">
        <v>1020</v>
      </c>
      <c r="E78" s="25">
        <v>2.6593E-4</v>
      </c>
      <c r="F78" s="26">
        <v>4.2013800000000003</v>
      </c>
      <c r="G78" s="27">
        <v>7356070</v>
      </c>
      <c r="H78" s="27">
        <v>270381289</v>
      </c>
      <c r="I78" s="28">
        <v>64355352</v>
      </c>
      <c r="J78" s="28">
        <v>64355352</v>
      </c>
      <c r="K78" s="34">
        <v>-0.81</v>
      </c>
      <c r="L78" s="34">
        <v>-2.2000000000000002</v>
      </c>
      <c r="M78" s="34">
        <v>25.11</v>
      </c>
      <c r="N78" s="24">
        <v>74</v>
      </c>
      <c r="O78" s="29">
        <v>43096.561840277776</v>
      </c>
    </row>
    <row r="79" spans="2:15" x14ac:dyDescent="0.25">
      <c r="B79" s="24" t="s">
        <v>2055</v>
      </c>
      <c r="C79" s="23" t="s">
        <v>132</v>
      </c>
      <c r="D79" s="24" t="s">
        <v>1100</v>
      </c>
      <c r="E79" s="25">
        <v>2.43641E-3</v>
      </c>
      <c r="F79" s="26">
        <v>38.492400000000004</v>
      </c>
      <c r="G79" s="27">
        <v>1628130</v>
      </c>
      <c r="H79" s="27">
        <v>257220805</v>
      </c>
      <c r="I79" s="28">
        <v>6682379</v>
      </c>
      <c r="J79" s="28">
        <v>25000000</v>
      </c>
      <c r="K79" s="34">
        <v>1.36</v>
      </c>
      <c r="L79" s="34">
        <v>20.329999999999998</v>
      </c>
      <c r="M79" s="34">
        <v>112.11</v>
      </c>
      <c r="N79" s="24">
        <v>75</v>
      </c>
      <c r="O79" s="29">
        <v>43096.561932870369</v>
      </c>
    </row>
    <row r="80" spans="2:15" x14ac:dyDescent="0.25">
      <c r="B80" s="24" t="s">
        <v>3993</v>
      </c>
      <c r="C80" s="23" t="s">
        <v>3993</v>
      </c>
      <c r="D80" s="24" t="s">
        <v>3994</v>
      </c>
      <c r="E80" s="25">
        <v>6.4449999999999994E-5</v>
      </c>
      <c r="F80" s="26">
        <v>1.01831</v>
      </c>
      <c r="G80" s="27">
        <v>69869000</v>
      </c>
      <c r="H80" s="27">
        <v>254577500</v>
      </c>
      <c r="I80" s="28">
        <v>250000000</v>
      </c>
      <c r="J80" s="28">
        <v>260000000</v>
      </c>
      <c r="K80" s="34">
        <v>-1.47</v>
      </c>
      <c r="L80" s="34">
        <v>-9.0299999999999994</v>
      </c>
      <c r="M80" s="34"/>
      <c r="N80" s="24">
        <v>76</v>
      </c>
      <c r="O80" s="29">
        <v>43096.562025462961</v>
      </c>
    </row>
    <row r="81" spans="2:15" x14ac:dyDescent="0.25">
      <c r="B81" s="24" t="s">
        <v>1983</v>
      </c>
      <c r="C81" s="23" t="s">
        <v>75</v>
      </c>
      <c r="D81" s="24" t="s">
        <v>1043</v>
      </c>
      <c r="E81" s="25">
        <v>2.5847000000000001E-4</v>
      </c>
      <c r="F81" s="26">
        <v>4.0835400000000002</v>
      </c>
      <c r="G81" s="27">
        <v>29031600</v>
      </c>
      <c r="H81" s="27">
        <v>254095926</v>
      </c>
      <c r="I81" s="28">
        <v>62224424</v>
      </c>
      <c r="J81" s="28">
        <v>62224424</v>
      </c>
      <c r="K81" s="34">
        <v>-1.8</v>
      </c>
      <c r="L81" s="34">
        <v>37.369999999999997</v>
      </c>
      <c r="M81" s="34">
        <v>42.08</v>
      </c>
      <c r="N81" s="24">
        <v>77</v>
      </c>
      <c r="O81" s="29">
        <v>43096.561840277776</v>
      </c>
    </row>
    <row r="82" spans="2:15" x14ac:dyDescent="0.25">
      <c r="B82" s="24" t="s">
        <v>3074</v>
      </c>
      <c r="C82" s="23" t="s">
        <v>3075</v>
      </c>
      <c r="D82" s="24" t="s">
        <v>3076</v>
      </c>
      <c r="E82" s="25">
        <v>6.8410000000000004E-5</v>
      </c>
      <c r="F82" s="26">
        <v>1.08074</v>
      </c>
      <c r="G82" s="27">
        <v>11710700</v>
      </c>
      <c r="H82" s="27">
        <v>244346072</v>
      </c>
      <c r="I82" s="28">
        <v>226091449</v>
      </c>
      <c r="J82" s="28">
        <v>352000000</v>
      </c>
      <c r="K82" s="34">
        <v>3.84</v>
      </c>
      <c r="L82" s="34">
        <v>11.24</v>
      </c>
      <c r="M82" s="34">
        <v>92.23</v>
      </c>
      <c r="N82" s="24">
        <v>78</v>
      </c>
      <c r="O82" s="29">
        <v>43096.561979166669</v>
      </c>
    </row>
    <row r="83" spans="2:15" x14ac:dyDescent="0.25">
      <c r="B83" s="24" t="s">
        <v>1974</v>
      </c>
      <c r="C83" s="23" t="s">
        <v>53</v>
      </c>
      <c r="D83" s="24" t="s">
        <v>1022</v>
      </c>
      <c r="E83" s="25">
        <v>3.8128000000000001E-4</v>
      </c>
      <c r="F83" s="26">
        <v>6.0237999999999996</v>
      </c>
      <c r="G83" s="27">
        <v>12694100</v>
      </c>
      <c r="H83" s="27">
        <v>244024138</v>
      </c>
      <c r="I83" s="28">
        <v>40510000</v>
      </c>
      <c r="J83" s="28">
        <v>100000000</v>
      </c>
      <c r="K83" s="34">
        <v>0.17</v>
      </c>
      <c r="L83" s="34">
        <v>19.41</v>
      </c>
      <c r="M83" s="34">
        <v>-10.5</v>
      </c>
      <c r="N83" s="24">
        <v>79</v>
      </c>
      <c r="O83" s="29">
        <v>43096.561944444446</v>
      </c>
    </row>
    <row r="84" spans="2:15" x14ac:dyDescent="0.25">
      <c r="B84" s="24" t="s">
        <v>3256</v>
      </c>
      <c r="C84" s="23" t="s">
        <v>3257</v>
      </c>
      <c r="D84" s="24" t="s">
        <v>3258</v>
      </c>
      <c r="E84" s="25">
        <v>3.4005E-4</v>
      </c>
      <c r="F84" s="26">
        <v>5.3723200000000002</v>
      </c>
      <c r="G84" s="27">
        <v>239208</v>
      </c>
      <c r="H84" s="27">
        <v>241938427</v>
      </c>
      <c r="I84" s="28">
        <v>45034255</v>
      </c>
      <c r="J84" s="28">
        <v>106471880</v>
      </c>
      <c r="K84" s="34">
        <v>4.43</v>
      </c>
      <c r="L84" s="34">
        <v>5.17</v>
      </c>
      <c r="M84" s="34">
        <v>5.0999999999999996</v>
      </c>
      <c r="N84" s="24">
        <v>80</v>
      </c>
      <c r="O84" s="29">
        <v>43096.561990740738</v>
      </c>
    </row>
    <row r="85" spans="2:15" x14ac:dyDescent="0.25">
      <c r="B85" s="24" t="s">
        <v>2213</v>
      </c>
      <c r="C85" s="23" t="s">
        <v>287</v>
      </c>
      <c r="D85" s="24" t="s">
        <v>1255</v>
      </c>
      <c r="E85" s="25">
        <v>4.9999999999999998E-8</v>
      </c>
      <c r="F85" s="26">
        <v>7.3954999999999995E-4</v>
      </c>
      <c r="G85" s="27">
        <v>6500670</v>
      </c>
      <c r="H85" s="27">
        <v>240494424</v>
      </c>
      <c r="I85" s="28">
        <v>325190215376</v>
      </c>
      <c r="J85" s="28">
        <v>1841395638392</v>
      </c>
      <c r="K85" s="34">
        <v>0.49</v>
      </c>
      <c r="L85" s="34">
        <v>106.59</v>
      </c>
      <c r="M85" s="34">
        <v>372.79</v>
      </c>
      <c r="N85" s="24">
        <v>81</v>
      </c>
      <c r="O85" s="29">
        <v>43096.561967592592</v>
      </c>
    </row>
    <row r="86" spans="2:15" x14ac:dyDescent="0.25">
      <c r="B86" s="24" t="s">
        <v>1949</v>
      </c>
      <c r="C86" s="23" t="s">
        <v>33</v>
      </c>
      <c r="D86" s="24" t="s">
        <v>1002</v>
      </c>
      <c r="E86" s="25">
        <v>1.5229999999999999E-4</v>
      </c>
      <c r="F86" s="26">
        <v>2.40611</v>
      </c>
      <c r="G86" s="27">
        <v>4086400</v>
      </c>
      <c r="H86" s="27">
        <v>240101661</v>
      </c>
      <c r="I86" s="28">
        <v>99788314</v>
      </c>
      <c r="J86" s="28">
        <v>99788314</v>
      </c>
      <c r="K86" s="34">
        <v>-0.83</v>
      </c>
      <c r="L86" s="34">
        <v>-0.92</v>
      </c>
      <c r="M86" s="34">
        <v>14.34</v>
      </c>
      <c r="N86" s="24">
        <v>82</v>
      </c>
      <c r="O86" s="29">
        <v>43096.561898148146</v>
      </c>
    </row>
    <row r="87" spans="2:15" x14ac:dyDescent="0.25">
      <c r="B87" s="24" t="s">
        <v>1976</v>
      </c>
      <c r="C87" s="23" t="s">
        <v>57</v>
      </c>
      <c r="D87" s="24" t="s">
        <v>1025</v>
      </c>
      <c r="E87" s="25">
        <v>3.54E-6</v>
      </c>
      <c r="F87" s="26">
        <v>5.5938799999999997E-2</v>
      </c>
      <c r="G87" s="27">
        <v>4977770</v>
      </c>
      <c r="H87" s="27">
        <v>237732831</v>
      </c>
      <c r="I87" s="28">
        <v>4249873622</v>
      </c>
      <c r="J87" s="28">
        <v>10999873621</v>
      </c>
      <c r="K87" s="34">
        <v>-1.73</v>
      </c>
      <c r="L87" s="34">
        <v>0.49</v>
      </c>
      <c r="M87" s="34">
        <v>4.5</v>
      </c>
      <c r="N87" s="24">
        <v>83</v>
      </c>
      <c r="O87" s="29">
        <v>43096.561944444446</v>
      </c>
    </row>
    <row r="88" spans="2:15" x14ac:dyDescent="0.25">
      <c r="B88" s="24" t="s">
        <v>1961</v>
      </c>
      <c r="C88" s="23" t="s">
        <v>41</v>
      </c>
      <c r="D88" s="24" t="s">
        <v>1010</v>
      </c>
      <c r="E88" s="25">
        <v>1.3143699999999999E-2</v>
      </c>
      <c r="F88" s="26">
        <v>207.654</v>
      </c>
      <c r="G88" s="27">
        <v>5571210</v>
      </c>
      <c r="H88" s="27">
        <v>229372532</v>
      </c>
      <c r="I88" s="28">
        <v>1104590</v>
      </c>
      <c r="J88" s="28">
        <v>10000000</v>
      </c>
      <c r="K88" s="34">
        <v>-1.86</v>
      </c>
      <c r="L88" s="34">
        <v>-0.43</v>
      </c>
      <c r="M88" s="34">
        <v>0.7</v>
      </c>
      <c r="N88" s="24">
        <v>84</v>
      </c>
      <c r="O88" s="29">
        <v>43096.561932870369</v>
      </c>
    </row>
    <row r="89" spans="2:15" x14ac:dyDescent="0.25">
      <c r="B89" s="24" t="s">
        <v>1982</v>
      </c>
      <c r="C89" s="23" t="s">
        <v>58</v>
      </c>
      <c r="D89" s="24" t="s">
        <v>1026</v>
      </c>
      <c r="E89" s="25">
        <v>1.0930499999999999E-3</v>
      </c>
      <c r="F89" s="26">
        <v>17.268799999999999</v>
      </c>
      <c r="G89" s="27">
        <v>58457400</v>
      </c>
      <c r="H89" s="27">
        <v>219927514</v>
      </c>
      <c r="I89" s="28">
        <v>12735541</v>
      </c>
      <c r="J89" s="28">
        <v>31587682</v>
      </c>
      <c r="K89" s="34">
        <v>-0.94</v>
      </c>
      <c r="L89" s="34">
        <v>1.1499999999999999</v>
      </c>
      <c r="M89" s="34">
        <v>4.21</v>
      </c>
      <c r="N89" s="24">
        <v>85</v>
      </c>
      <c r="O89" s="29">
        <v>43096.561956018515</v>
      </c>
    </row>
    <row r="90" spans="2:15" x14ac:dyDescent="0.25">
      <c r="B90" s="24" t="s">
        <v>1999</v>
      </c>
      <c r="C90" s="23" t="s">
        <v>80</v>
      </c>
      <c r="D90" s="24" t="s">
        <v>1048</v>
      </c>
      <c r="E90" s="25">
        <v>2.2398000000000001E-4</v>
      </c>
      <c r="F90" s="26">
        <v>3.53857</v>
      </c>
      <c r="G90" s="27">
        <v>69682800</v>
      </c>
      <c r="H90" s="27">
        <v>213192880</v>
      </c>
      <c r="I90" s="28">
        <v>60248315</v>
      </c>
      <c r="J90" s="28">
        <v>100000000</v>
      </c>
      <c r="K90" s="34">
        <v>6.52</v>
      </c>
      <c r="L90" s="34">
        <v>49.49</v>
      </c>
      <c r="M90" s="34">
        <v>113.41</v>
      </c>
      <c r="N90" s="24">
        <v>86</v>
      </c>
      <c r="O90" s="29">
        <v>43096.561956018515</v>
      </c>
    </row>
    <row r="91" spans="2:15" x14ac:dyDescent="0.25">
      <c r="B91" s="24" t="s">
        <v>3259</v>
      </c>
      <c r="C91" s="23" t="s">
        <v>763</v>
      </c>
      <c r="D91" s="24" t="s">
        <v>3260</v>
      </c>
      <c r="E91" s="25">
        <v>1.7616999999999999E-4</v>
      </c>
      <c r="F91" s="26">
        <v>2.7833100000000002</v>
      </c>
      <c r="G91" s="27">
        <v>31837100</v>
      </c>
      <c r="H91" s="27">
        <v>208292263</v>
      </c>
      <c r="I91" s="28">
        <v>74836171</v>
      </c>
      <c r="J91" s="28">
        <v>150000000</v>
      </c>
      <c r="K91" s="34">
        <v>0.97</v>
      </c>
      <c r="L91" s="34">
        <v>33.25</v>
      </c>
      <c r="M91" s="34">
        <v>189.06</v>
      </c>
      <c r="N91" s="24">
        <v>87</v>
      </c>
      <c r="O91" s="29">
        <v>43096.561990740738</v>
      </c>
    </row>
    <row r="92" spans="2:15" x14ac:dyDescent="0.25">
      <c r="B92" s="24" t="s">
        <v>2048</v>
      </c>
      <c r="C92" s="23" t="s">
        <v>125</v>
      </c>
      <c r="D92" s="24" t="s">
        <v>1093</v>
      </c>
      <c r="E92" s="25">
        <v>1.291E-5</v>
      </c>
      <c r="F92" s="26">
        <v>0.20394300000000001</v>
      </c>
      <c r="G92" s="27">
        <v>11526300</v>
      </c>
      <c r="H92" s="27">
        <v>205693681</v>
      </c>
      <c r="I92" s="28">
        <v>1008584166</v>
      </c>
      <c r="J92" s="28">
        <v>1008584166</v>
      </c>
      <c r="K92" s="34">
        <v>-1.01</v>
      </c>
      <c r="L92" s="34">
        <v>-0.24</v>
      </c>
      <c r="M92" s="34">
        <v>-13.76</v>
      </c>
      <c r="N92" s="24">
        <v>88</v>
      </c>
      <c r="O92" s="29">
        <v>43096.561851851853</v>
      </c>
    </row>
    <row r="93" spans="2:15" x14ac:dyDescent="0.25">
      <c r="B93" s="24" t="s">
        <v>3472</v>
      </c>
      <c r="C93" s="23" t="s">
        <v>3473</v>
      </c>
      <c r="D93" s="24" t="s">
        <v>1878</v>
      </c>
      <c r="E93" s="25">
        <v>2.6659999999999999E-5</v>
      </c>
      <c r="F93" s="26">
        <v>0.421151</v>
      </c>
      <c r="G93" s="27">
        <v>41862400</v>
      </c>
      <c r="H93" s="27">
        <v>205655919</v>
      </c>
      <c r="I93" s="28">
        <v>488318724</v>
      </c>
      <c r="J93" s="28">
        <v>999942647</v>
      </c>
      <c r="K93" s="34">
        <v>5.52</v>
      </c>
      <c r="L93" s="34">
        <v>10.130000000000001</v>
      </c>
      <c r="M93" s="34">
        <v>75.790000000000006</v>
      </c>
      <c r="N93" s="24">
        <v>89</v>
      </c>
      <c r="O93" s="29">
        <v>43096.561990740738</v>
      </c>
    </row>
    <row r="94" spans="2:15" x14ac:dyDescent="0.25">
      <c r="B94" s="24" t="s">
        <v>3872</v>
      </c>
      <c r="C94" s="23" t="s">
        <v>3873</v>
      </c>
      <c r="D94" s="24" t="s">
        <v>3874</v>
      </c>
      <c r="E94" s="25">
        <v>5.448E-5</v>
      </c>
      <c r="F94" s="26">
        <v>0.86074399999999995</v>
      </c>
      <c r="G94" s="27">
        <v>2517350</v>
      </c>
      <c r="H94" s="27">
        <v>205220254</v>
      </c>
      <c r="I94" s="28">
        <v>238421940</v>
      </c>
      <c r="J94" s="28">
        <v>433494437</v>
      </c>
      <c r="K94" s="34">
        <v>0.56000000000000005</v>
      </c>
      <c r="L94" s="34">
        <v>-11.42</v>
      </c>
      <c r="M94" s="34">
        <v>-4.3600000000000003</v>
      </c>
      <c r="N94" s="24">
        <v>90</v>
      </c>
      <c r="O94" s="29">
        <v>43096.562013888892</v>
      </c>
    </row>
    <row r="95" spans="2:15" x14ac:dyDescent="0.25">
      <c r="B95" s="24" t="s">
        <v>1977</v>
      </c>
      <c r="C95" s="23" t="s">
        <v>56</v>
      </c>
      <c r="D95" s="24" t="s">
        <v>1024</v>
      </c>
      <c r="E95" s="25">
        <v>3.1257000000000002E-4</v>
      </c>
      <c r="F95" s="26">
        <v>4.93818</v>
      </c>
      <c r="G95" s="27">
        <v>16498600</v>
      </c>
      <c r="H95" s="27">
        <v>201343774</v>
      </c>
      <c r="I95" s="28">
        <v>40772871</v>
      </c>
      <c r="J95" s="28">
        <v>79384422</v>
      </c>
      <c r="K95" s="34">
        <v>0.7</v>
      </c>
      <c r="L95" s="34">
        <v>0.99</v>
      </c>
      <c r="M95" s="34">
        <v>9.3699999999999992</v>
      </c>
      <c r="N95" s="24">
        <v>91</v>
      </c>
      <c r="O95" s="29">
        <v>43096.561944444446</v>
      </c>
    </row>
    <row r="96" spans="2:15" x14ac:dyDescent="0.25">
      <c r="B96" s="24" t="s">
        <v>3334</v>
      </c>
      <c r="C96" s="23" t="s">
        <v>3335</v>
      </c>
      <c r="D96" s="24" t="s">
        <v>3336</v>
      </c>
      <c r="E96" s="25">
        <v>1.965E-5</v>
      </c>
      <c r="F96" s="26">
        <v>0.31051400000000001</v>
      </c>
      <c r="G96" s="27">
        <v>8488590</v>
      </c>
      <c r="H96" s="27">
        <v>198958658</v>
      </c>
      <c r="I96" s="28">
        <v>640739733</v>
      </c>
      <c r="J96" s="28">
        <v>999999999</v>
      </c>
      <c r="K96" s="34">
        <v>0.83</v>
      </c>
      <c r="L96" s="34">
        <v>-3.42</v>
      </c>
      <c r="M96" s="34">
        <v>9.84</v>
      </c>
      <c r="N96" s="24">
        <v>92</v>
      </c>
      <c r="O96" s="29">
        <v>43096.561990740738</v>
      </c>
    </row>
    <row r="97" spans="2:15" x14ac:dyDescent="0.25">
      <c r="B97" s="24" t="s">
        <v>3618</v>
      </c>
      <c r="C97" s="23" t="s">
        <v>3619</v>
      </c>
      <c r="D97" s="24" t="s">
        <v>3620</v>
      </c>
      <c r="E97" s="25">
        <v>2.5021E-4</v>
      </c>
      <c r="F97" s="26">
        <v>3.9530400000000001</v>
      </c>
      <c r="G97" s="27">
        <v>8141340</v>
      </c>
      <c r="H97" s="27">
        <v>198240750</v>
      </c>
      <c r="I97" s="28">
        <v>50148936</v>
      </c>
      <c r="J97" s="28">
        <v>100000000</v>
      </c>
      <c r="K97" s="34">
        <v>-3.53</v>
      </c>
      <c r="L97" s="34">
        <v>1.74</v>
      </c>
      <c r="M97" s="34">
        <v>-5.29</v>
      </c>
      <c r="N97" s="24">
        <v>93</v>
      </c>
      <c r="O97" s="29">
        <v>43096.562013888892</v>
      </c>
    </row>
    <row r="98" spans="2:15" x14ac:dyDescent="0.25">
      <c r="B98" s="24" t="s">
        <v>3741</v>
      </c>
      <c r="C98" s="23" t="s">
        <v>3742</v>
      </c>
      <c r="D98" s="24" t="s">
        <v>3743</v>
      </c>
      <c r="E98" s="25">
        <v>1.6377000000000001E-4</v>
      </c>
      <c r="F98" s="26">
        <v>2.5873400000000002</v>
      </c>
      <c r="G98" s="27">
        <v>8277710</v>
      </c>
      <c r="H98" s="27">
        <v>195087926</v>
      </c>
      <c r="I98" s="28">
        <v>75400962</v>
      </c>
      <c r="J98" s="28">
        <v>222295208</v>
      </c>
      <c r="K98" s="34">
        <v>-2.14</v>
      </c>
      <c r="L98" s="34">
        <v>2.75</v>
      </c>
      <c r="M98" s="34">
        <v>29.58</v>
      </c>
      <c r="N98" s="24">
        <v>94</v>
      </c>
      <c r="O98" s="29">
        <v>43096.561956018515</v>
      </c>
    </row>
    <row r="99" spans="2:15" x14ac:dyDescent="0.25">
      <c r="B99" s="24" t="s">
        <v>2114</v>
      </c>
      <c r="C99" s="23" t="s">
        <v>192</v>
      </c>
      <c r="D99" s="24" t="s">
        <v>1161</v>
      </c>
      <c r="E99" s="25">
        <v>5.6759999999999999E-5</v>
      </c>
      <c r="F99" s="26">
        <v>0.89670799999999995</v>
      </c>
      <c r="G99" s="27">
        <v>8404560</v>
      </c>
      <c r="H99" s="27">
        <v>193874735</v>
      </c>
      <c r="I99" s="28">
        <v>216207210</v>
      </c>
      <c r="J99" s="28">
        <v>216207210</v>
      </c>
      <c r="K99" s="34">
        <v>0.01</v>
      </c>
      <c r="L99" s="34">
        <v>-2.1</v>
      </c>
      <c r="M99" s="34">
        <v>-42.78</v>
      </c>
      <c r="N99" s="24">
        <v>95</v>
      </c>
      <c r="O99" s="29">
        <v>43096.561828703707</v>
      </c>
    </row>
    <row r="100" spans="2:15" x14ac:dyDescent="0.25">
      <c r="B100" s="24" t="s">
        <v>3001</v>
      </c>
      <c r="C100" s="23" t="s">
        <v>3002</v>
      </c>
      <c r="D100" s="24" t="s">
        <v>3003</v>
      </c>
      <c r="E100" s="25">
        <v>5.3700000000000003E-6</v>
      </c>
      <c r="F100" s="26">
        <v>8.4817400000000001E-2</v>
      </c>
      <c r="G100" s="27">
        <v>20086400</v>
      </c>
      <c r="H100" s="27">
        <v>192854042</v>
      </c>
      <c r="I100" s="28">
        <v>2273755650</v>
      </c>
      <c r="J100" s="28">
        <v>2805886393</v>
      </c>
      <c r="K100" s="34">
        <v>-0.63</v>
      </c>
      <c r="L100" s="34">
        <v>-5.16</v>
      </c>
      <c r="M100" s="34">
        <v>-19.829999999999998</v>
      </c>
      <c r="N100" s="24">
        <v>96</v>
      </c>
      <c r="O100" s="29">
        <v>43096.561979166669</v>
      </c>
    </row>
    <row r="101" spans="2:15" x14ac:dyDescent="0.25">
      <c r="B101" s="24" t="s">
        <v>3581</v>
      </c>
      <c r="C101" s="23" t="s">
        <v>3582</v>
      </c>
      <c r="D101" s="24" t="s">
        <v>3583</v>
      </c>
      <c r="E101" s="25">
        <v>1.4834000000000001E-4</v>
      </c>
      <c r="F101" s="26">
        <v>2.3436400000000002</v>
      </c>
      <c r="G101" s="27">
        <v>13860200</v>
      </c>
      <c r="H101" s="27">
        <v>192286962</v>
      </c>
      <c r="I101" s="28">
        <v>82046288</v>
      </c>
      <c r="J101" s="28">
        <v>132046997</v>
      </c>
      <c r="K101" s="34">
        <v>0.62</v>
      </c>
      <c r="L101" s="34">
        <v>7.96</v>
      </c>
      <c r="M101" s="34">
        <v>45.91</v>
      </c>
      <c r="N101" s="24">
        <v>97</v>
      </c>
      <c r="O101" s="29">
        <v>43096.561932870369</v>
      </c>
    </row>
    <row r="102" spans="2:15" x14ac:dyDescent="0.25">
      <c r="B102" s="24" t="s">
        <v>1972</v>
      </c>
      <c r="C102" s="23" t="s">
        <v>47</v>
      </c>
      <c r="D102" s="24" t="s">
        <v>1016</v>
      </c>
      <c r="E102" s="25">
        <v>2.1376000000000001E-4</v>
      </c>
      <c r="F102" s="26">
        <v>3.3771</v>
      </c>
      <c r="G102" s="27">
        <v>1374040</v>
      </c>
      <c r="H102" s="27">
        <v>184535836</v>
      </c>
      <c r="I102" s="28">
        <v>54643284</v>
      </c>
      <c r="J102" s="28">
        <v>54643284</v>
      </c>
      <c r="K102" s="34">
        <v>-2.5299999999999998</v>
      </c>
      <c r="L102" s="34">
        <v>1.01</v>
      </c>
      <c r="M102" s="34">
        <v>-17.16</v>
      </c>
      <c r="N102" s="24">
        <v>98</v>
      </c>
      <c r="O102" s="29">
        <v>43096.561851851853</v>
      </c>
    </row>
    <row r="103" spans="2:15" x14ac:dyDescent="0.25">
      <c r="B103" s="24" t="s">
        <v>1975</v>
      </c>
      <c r="C103" s="23" t="s">
        <v>54</v>
      </c>
      <c r="D103" s="24" t="s">
        <v>1023</v>
      </c>
      <c r="E103" s="25">
        <v>2.3278700000000001E-3</v>
      </c>
      <c r="F103" s="26">
        <v>36.777500000000003</v>
      </c>
      <c r="G103" s="27">
        <v>735453</v>
      </c>
      <c r="H103" s="27">
        <v>181866339</v>
      </c>
      <c r="I103" s="28">
        <v>4945044</v>
      </c>
      <c r="J103" s="28">
        <v>4945044</v>
      </c>
      <c r="K103" s="34">
        <v>2.94</v>
      </c>
      <c r="L103" s="34">
        <v>8.07</v>
      </c>
      <c r="M103" s="34">
        <v>22.43</v>
      </c>
      <c r="N103" s="24">
        <v>99</v>
      </c>
      <c r="O103" s="29">
        <v>43096.561851851853</v>
      </c>
    </row>
    <row r="104" spans="2:15" x14ac:dyDescent="0.25">
      <c r="B104" s="24" t="s">
        <v>2064</v>
      </c>
      <c r="C104" s="23" t="s">
        <v>133</v>
      </c>
      <c r="D104" s="24" t="s">
        <v>1102</v>
      </c>
      <c r="E104" s="25">
        <v>1.61E-6</v>
      </c>
      <c r="F104" s="26">
        <v>2.53735E-2</v>
      </c>
      <c r="G104" s="27">
        <v>16405800</v>
      </c>
      <c r="H104" s="27">
        <v>174714201</v>
      </c>
      <c r="I104" s="28">
        <v>6885695758</v>
      </c>
      <c r="J104" s="28">
        <v>6885695758</v>
      </c>
      <c r="K104" s="34">
        <v>-2.0699999999999998</v>
      </c>
      <c r="L104" s="34">
        <v>6.25</v>
      </c>
      <c r="M104" s="34">
        <v>160.88</v>
      </c>
      <c r="N104" s="24">
        <v>100</v>
      </c>
      <c r="O104" s="29">
        <v>43096.561840277776</v>
      </c>
    </row>
    <row r="105" spans="2:15" x14ac:dyDescent="0.25">
      <c r="B105" s="24" t="s">
        <v>3046</v>
      </c>
      <c r="C105" s="23" t="s">
        <v>3047</v>
      </c>
      <c r="D105" s="24" t="s">
        <v>3048</v>
      </c>
      <c r="E105" s="25">
        <v>3.1359999999999998E-5</v>
      </c>
      <c r="F105" s="26">
        <v>0.49541099999999999</v>
      </c>
      <c r="G105" s="27">
        <v>7074510</v>
      </c>
      <c r="H105" s="27">
        <v>173393850</v>
      </c>
      <c r="I105" s="28">
        <v>350000000</v>
      </c>
      <c r="J105" s="28">
        <v>1000000000</v>
      </c>
      <c r="K105" s="34">
        <v>3.99</v>
      </c>
      <c r="L105" s="34">
        <v>2.89</v>
      </c>
      <c r="M105" s="34">
        <v>25.43</v>
      </c>
      <c r="N105" s="24">
        <v>101</v>
      </c>
      <c r="O105" s="29">
        <v>43096.561979166669</v>
      </c>
    </row>
    <row r="106" spans="2:15" x14ac:dyDescent="0.25">
      <c r="B106" s="24" t="s">
        <v>1984</v>
      </c>
      <c r="C106" s="23" t="s">
        <v>62</v>
      </c>
      <c r="D106" s="24" t="s">
        <v>1030</v>
      </c>
      <c r="E106" s="25">
        <v>2.7427000000000002E-4</v>
      </c>
      <c r="F106" s="26">
        <v>4.3331999999999997</v>
      </c>
      <c r="G106" s="27">
        <v>3982630</v>
      </c>
      <c r="H106" s="27">
        <v>168558060</v>
      </c>
      <c r="I106" s="28">
        <v>38899211</v>
      </c>
      <c r="J106" s="28">
        <v>38899211</v>
      </c>
      <c r="K106" s="34">
        <v>2.79</v>
      </c>
      <c r="L106" s="34">
        <v>1.74</v>
      </c>
      <c r="M106" s="34">
        <v>18.16</v>
      </c>
      <c r="N106" s="24">
        <v>102</v>
      </c>
      <c r="O106" s="29">
        <v>43096.561851851853</v>
      </c>
    </row>
    <row r="107" spans="2:15" x14ac:dyDescent="0.25">
      <c r="B107" s="24" t="s">
        <v>2092</v>
      </c>
      <c r="C107" s="23" t="s">
        <v>171</v>
      </c>
      <c r="D107" s="24" t="s">
        <v>1139</v>
      </c>
      <c r="E107" s="25">
        <v>4.9719999999999998E-5</v>
      </c>
      <c r="F107" s="26">
        <v>0.78558899999999998</v>
      </c>
      <c r="G107" s="27">
        <v>71963400</v>
      </c>
      <c r="H107" s="27">
        <v>164973690</v>
      </c>
      <c r="I107" s="28">
        <v>210000000</v>
      </c>
      <c r="J107" s="28">
        <v>210000000</v>
      </c>
      <c r="K107" s="34">
        <v>2.92</v>
      </c>
      <c r="L107" s="34">
        <v>41.44</v>
      </c>
      <c r="M107" s="34">
        <v>136.94</v>
      </c>
      <c r="N107" s="24">
        <v>103</v>
      </c>
      <c r="O107" s="29">
        <v>43096.561886574076</v>
      </c>
    </row>
    <row r="108" spans="2:15" x14ac:dyDescent="0.25">
      <c r="B108" s="24" t="s">
        <v>1957</v>
      </c>
      <c r="C108" s="23" t="s">
        <v>36</v>
      </c>
      <c r="D108" s="24" t="s">
        <v>1006</v>
      </c>
      <c r="E108" s="25">
        <v>5.3406999999999999E-4</v>
      </c>
      <c r="F108" s="26">
        <v>8.4376300000000004</v>
      </c>
      <c r="G108" s="27">
        <v>12508400</v>
      </c>
      <c r="H108" s="27">
        <v>162854646</v>
      </c>
      <c r="I108" s="28">
        <v>19300994</v>
      </c>
      <c r="J108" s="28">
        <v>66588888</v>
      </c>
      <c r="K108" s="34">
        <v>0.06</v>
      </c>
      <c r="L108" s="34">
        <v>3.58</v>
      </c>
      <c r="M108" s="34">
        <v>-8.5299999999999994</v>
      </c>
      <c r="N108" s="24">
        <v>104</v>
      </c>
      <c r="O108" s="29">
        <v>43096.561956018515</v>
      </c>
    </row>
    <row r="109" spans="2:15" x14ac:dyDescent="0.25">
      <c r="B109" s="24" t="s">
        <v>1988</v>
      </c>
      <c r="C109" s="23" t="s">
        <v>64</v>
      </c>
      <c r="D109" s="24" t="s">
        <v>1032</v>
      </c>
      <c r="E109" s="25">
        <v>9.3059999999999993E-5</v>
      </c>
      <c r="F109" s="26">
        <v>1.47027</v>
      </c>
      <c r="G109" s="27">
        <v>18762800</v>
      </c>
      <c r="H109" s="27">
        <v>162217651</v>
      </c>
      <c r="I109" s="28">
        <v>110331879</v>
      </c>
      <c r="J109" s="28">
        <v>424999998</v>
      </c>
      <c r="K109" s="34">
        <v>-0.51</v>
      </c>
      <c r="L109" s="34">
        <v>0.01</v>
      </c>
      <c r="M109" s="34">
        <v>-9.6300000000000008</v>
      </c>
      <c r="N109" s="24">
        <v>105</v>
      </c>
      <c r="O109" s="29">
        <v>43096.561956018515</v>
      </c>
    </row>
    <row r="110" spans="2:15" x14ac:dyDescent="0.25">
      <c r="B110" s="24" t="s">
        <v>3647</v>
      </c>
      <c r="C110" s="23" t="s">
        <v>3410</v>
      </c>
      <c r="D110" s="24" t="s">
        <v>3380</v>
      </c>
      <c r="E110" s="25">
        <v>1.1273E-4</v>
      </c>
      <c r="F110" s="26">
        <v>1.7809900000000001</v>
      </c>
      <c r="G110" s="27">
        <v>3608020</v>
      </c>
      <c r="H110" s="27">
        <v>162146808</v>
      </c>
      <c r="I110" s="28">
        <v>91043076</v>
      </c>
      <c r="J110" s="28">
        <v>181043076</v>
      </c>
      <c r="K110" s="34">
        <v>2.14</v>
      </c>
      <c r="L110" s="34">
        <v>33.369999999999997</v>
      </c>
      <c r="M110" s="34">
        <v>106.42</v>
      </c>
      <c r="N110" s="24">
        <v>106</v>
      </c>
      <c r="O110" s="29">
        <v>43096.561990740738</v>
      </c>
    </row>
    <row r="111" spans="2:15" x14ac:dyDescent="0.25">
      <c r="B111" s="24" t="s">
        <v>1985</v>
      </c>
      <c r="C111" s="23" t="s">
        <v>66</v>
      </c>
      <c r="D111" s="24" t="s">
        <v>1034</v>
      </c>
      <c r="E111" s="25">
        <v>1.2500499999999999E-3</v>
      </c>
      <c r="F111" s="26">
        <v>19.749199999999998</v>
      </c>
      <c r="G111" s="27">
        <v>2325680</v>
      </c>
      <c r="H111" s="27">
        <v>154431883</v>
      </c>
      <c r="I111" s="28">
        <v>7819653</v>
      </c>
      <c r="J111" s="28">
        <v>8815653</v>
      </c>
      <c r="K111" s="34">
        <v>0.9</v>
      </c>
      <c r="L111" s="34">
        <v>13.48</v>
      </c>
      <c r="M111" s="34">
        <v>75.5</v>
      </c>
      <c r="N111" s="24">
        <v>107</v>
      </c>
      <c r="O111" s="29">
        <v>43096.561956018515</v>
      </c>
    </row>
    <row r="112" spans="2:15" x14ac:dyDescent="0.25">
      <c r="B112" s="24" t="s">
        <v>3411</v>
      </c>
      <c r="C112" s="23" t="s">
        <v>3412</v>
      </c>
      <c r="D112" s="24" t="s">
        <v>3413</v>
      </c>
      <c r="E112" s="25">
        <v>1.4399999999999999E-5</v>
      </c>
      <c r="F112" s="26">
        <v>0.227579</v>
      </c>
      <c r="G112" s="27">
        <v>4933830</v>
      </c>
      <c r="H112" s="27">
        <v>154106147</v>
      </c>
      <c r="I112" s="28">
        <v>677154514</v>
      </c>
      <c r="J112" s="28">
        <v>987154514</v>
      </c>
      <c r="K112" s="34">
        <v>-0.31</v>
      </c>
      <c r="L112" s="34">
        <v>5.63</v>
      </c>
      <c r="M112" s="34">
        <v>-11.51</v>
      </c>
      <c r="N112" s="24">
        <v>108</v>
      </c>
      <c r="O112" s="29">
        <v>43096.562002314815</v>
      </c>
    </row>
    <row r="113" spans="2:15" x14ac:dyDescent="0.25">
      <c r="B113" s="24" t="s">
        <v>2009</v>
      </c>
      <c r="C113" s="23" t="s">
        <v>79</v>
      </c>
      <c r="D113" s="24" t="s">
        <v>1047</v>
      </c>
      <c r="E113" s="25">
        <v>8.4090000000000003E-5</v>
      </c>
      <c r="F113" s="26">
        <v>1.3284899999999999</v>
      </c>
      <c r="G113" s="27">
        <v>14917400</v>
      </c>
      <c r="H113" s="27">
        <v>150304296</v>
      </c>
      <c r="I113" s="28">
        <v>113139200</v>
      </c>
      <c r="J113" s="28">
        <v>113139200</v>
      </c>
      <c r="K113" s="34">
        <v>3.53</v>
      </c>
      <c r="L113" s="34">
        <v>22.74</v>
      </c>
      <c r="M113" s="34">
        <v>90.13</v>
      </c>
      <c r="N113" s="24">
        <v>109</v>
      </c>
      <c r="O113" s="29">
        <v>43096.561886574076</v>
      </c>
    </row>
    <row r="114" spans="2:15" x14ac:dyDescent="0.25">
      <c r="B114" s="24" t="s">
        <v>2068</v>
      </c>
      <c r="C114" s="23" t="s">
        <v>157</v>
      </c>
      <c r="D114" s="24" t="s">
        <v>1127</v>
      </c>
      <c r="E114" s="25">
        <v>5.2700000000000004E-6</v>
      </c>
      <c r="F114" s="26">
        <v>8.3336400000000005E-2</v>
      </c>
      <c r="G114" s="27">
        <v>16386500</v>
      </c>
      <c r="H114" s="27">
        <v>150033839</v>
      </c>
      <c r="I114" s="28">
        <v>1800339818</v>
      </c>
      <c r="J114" s="28">
        <v>1800339818</v>
      </c>
      <c r="K114" s="34">
        <v>1.18</v>
      </c>
      <c r="L114" s="34">
        <v>41.2</v>
      </c>
      <c r="M114" s="34">
        <v>217.44</v>
      </c>
      <c r="N114" s="24">
        <v>110</v>
      </c>
      <c r="O114" s="29">
        <v>43096.561840277776</v>
      </c>
    </row>
    <row r="115" spans="2:15" x14ac:dyDescent="0.25">
      <c r="B115" s="24" t="s">
        <v>2718</v>
      </c>
      <c r="C115" s="23" t="s">
        <v>791</v>
      </c>
      <c r="D115" s="24" t="s">
        <v>1746</v>
      </c>
      <c r="E115" s="25">
        <v>1.3809E-4</v>
      </c>
      <c r="F115" s="26">
        <v>2.1816800000000001</v>
      </c>
      <c r="G115" s="27">
        <v>11914400</v>
      </c>
      <c r="H115" s="27">
        <v>148354240</v>
      </c>
      <c r="I115" s="28">
        <v>68000000</v>
      </c>
      <c r="J115" s="28">
        <v>98272765</v>
      </c>
      <c r="K115" s="34">
        <v>-0.9</v>
      </c>
      <c r="L115" s="34">
        <v>-12.72</v>
      </c>
      <c r="M115" s="34">
        <v>86.44</v>
      </c>
      <c r="N115" s="24">
        <v>111</v>
      </c>
      <c r="O115" s="29">
        <v>43096.561967592592</v>
      </c>
    </row>
    <row r="116" spans="2:15" x14ac:dyDescent="0.25">
      <c r="B116" s="24" t="s">
        <v>3834</v>
      </c>
      <c r="C116" s="23" t="s">
        <v>3835</v>
      </c>
      <c r="D116" s="24" t="s">
        <v>3836</v>
      </c>
      <c r="E116" s="24">
        <v>5.7899999999999996E-6</v>
      </c>
      <c r="F116" s="26">
        <v>9.1495999999999994E-2</v>
      </c>
      <c r="G116" s="24">
        <v>17861300</v>
      </c>
      <c r="H116" s="24">
        <v>146471316</v>
      </c>
      <c r="I116" s="28">
        <v>1600849393</v>
      </c>
      <c r="J116" s="28">
        <v>5541877892</v>
      </c>
      <c r="K116" s="34">
        <v>2.89</v>
      </c>
      <c r="L116" s="34">
        <v>1.38</v>
      </c>
      <c r="M116" s="34">
        <v>-2.65</v>
      </c>
      <c r="N116" s="24">
        <v>112</v>
      </c>
      <c r="O116" s="29">
        <v>43096.562013888892</v>
      </c>
    </row>
    <row r="117" spans="2:15" x14ac:dyDescent="0.25">
      <c r="B117" s="24" t="s">
        <v>2075</v>
      </c>
      <c r="C117" s="23" t="s">
        <v>153</v>
      </c>
      <c r="D117" s="24" t="s">
        <v>1123</v>
      </c>
      <c r="E117" s="25">
        <v>2.1963000000000001E-4</v>
      </c>
      <c r="F117" s="26">
        <v>3.4698899999999999</v>
      </c>
      <c r="G117" s="27">
        <v>4118320</v>
      </c>
      <c r="H117" s="27">
        <v>145735380</v>
      </c>
      <c r="I117" s="28">
        <v>42000000</v>
      </c>
      <c r="J117" s="28">
        <v>42000000</v>
      </c>
      <c r="K117" s="34">
        <v>-0.38</v>
      </c>
      <c r="L117" s="34">
        <v>2.95</v>
      </c>
      <c r="M117" s="34">
        <v>73.47</v>
      </c>
      <c r="N117" s="24">
        <v>113</v>
      </c>
      <c r="O117" s="29">
        <v>43096.561874999999</v>
      </c>
    </row>
    <row r="118" spans="2:15" x14ac:dyDescent="0.25">
      <c r="B118" s="24" t="s">
        <v>1989</v>
      </c>
      <c r="C118" s="23" t="s">
        <v>67</v>
      </c>
      <c r="D118" s="24" t="s">
        <v>1035</v>
      </c>
      <c r="E118" s="25">
        <v>1.415E-5</v>
      </c>
      <c r="F118" s="26">
        <v>0.22355800000000001</v>
      </c>
      <c r="G118" s="27">
        <v>4401120</v>
      </c>
      <c r="H118" s="27">
        <v>134134800</v>
      </c>
      <c r="I118" s="28">
        <v>600000000</v>
      </c>
      <c r="J118" s="28">
        <v>1000000000</v>
      </c>
      <c r="K118" s="34">
        <v>0.13</v>
      </c>
      <c r="L118" s="34">
        <v>-5.38</v>
      </c>
      <c r="M118" s="34">
        <v>12.63</v>
      </c>
      <c r="N118" s="24">
        <v>114</v>
      </c>
      <c r="O118" s="29">
        <v>43096.561909722222</v>
      </c>
    </row>
    <row r="119" spans="2:15" x14ac:dyDescent="0.25">
      <c r="B119" s="24" t="s">
        <v>3231</v>
      </c>
      <c r="C119" s="23" t="s">
        <v>3232</v>
      </c>
      <c r="D119" s="24" t="s">
        <v>3233</v>
      </c>
      <c r="E119" s="25">
        <v>1.0119999999999999E-4</v>
      </c>
      <c r="F119" s="26">
        <v>1.5988199999999999</v>
      </c>
      <c r="G119" s="27">
        <v>328861</v>
      </c>
      <c r="H119" s="27">
        <v>131902650</v>
      </c>
      <c r="I119" s="28">
        <v>82500000</v>
      </c>
      <c r="J119" s="28">
        <v>165000000</v>
      </c>
      <c r="K119" s="34">
        <v>-7.92</v>
      </c>
      <c r="L119" s="34">
        <v>-18.149999999999999</v>
      </c>
      <c r="M119" s="34">
        <v>-13.72</v>
      </c>
      <c r="N119" s="24">
        <v>115</v>
      </c>
      <c r="O119" s="29">
        <v>43096.561979166669</v>
      </c>
    </row>
    <row r="120" spans="2:15" x14ac:dyDescent="0.25">
      <c r="B120" s="24" t="s">
        <v>1994</v>
      </c>
      <c r="C120" s="23" t="s">
        <v>73</v>
      </c>
      <c r="D120" s="24" t="s">
        <v>1041</v>
      </c>
      <c r="E120" s="25">
        <v>2.1787E-4</v>
      </c>
      <c r="F120" s="26">
        <v>3.44211</v>
      </c>
      <c r="G120" s="27">
        <v>9615860</v>
      </c>
      <c r="H120" s="27">
        <v>126678426</v>
      </c>
      <c r="I120" s="28">
        <v>36802550</v>
      </c>
      <c r="J120" s="28">
        <v>56202550</v>
      </c>
      <c r="K120" s="34">
        <v>-1.79</v>
      </c>
      <c r="L120" s="34">
        <v>3.8</v>
      </c>
      <c r="M120" s="34">
        <v>-17.18</v>
      </c>
      <c r="N120" s="24">
        <v>116</v>
      </c>
      <c r="O120" s="29">
        <v>43096.561944444446</v>
      </c>
    </row>
    <row r="121" spans="2:15" x14ac:dyDescent="0.25">
      <c r="B121" s="24" t="s">
        <v>3417</v>
      </c>
      <c r="C121" s="23" t="s">
        <v>3418</v>
      </c>
      <c r="D121" s="24" t="s">
        <v>3419</v>
      </c>
      <c r="E121" s="25">
        <v>4.3319999999999999E-5</v>
      </c>
      <c r="F121" s="26">
        <v>0.68435400000000002</v>
      </c>
      <c r="G121" s="27">
        <v>1025750</v>
      </c>
      <c r="H121" s="27">
        <v>126229095</v>
      </c>
      <c r="I121" s="28">
        <v>184450000</v>
      </c>
      <c r="J121" s="28">
        <v>484450000</v>
      </c>
      <c r="K121" s="34">
        <v>0.04</v>
      </c>
      <c r="L121" s="34">
        <v>9.44</v>
      </c>
      <c r="M121" s="34">
        <v>9.67</v>
      </c>
      <c r="N121" s="24">
        <v>117</v>
      </c>
      <c r="O121" s="29">
        <v>43096.562002314815</v>
      </c>
    </row>
    <row r="122" spans="2:15" x14ac:dyDescent="0.25">
      <c r="B122" s="24" t="s">
        <v>3469</v>
      </c>
      <c r="C122" s="23" t="s">
        <v>3470</v>
      </c>
      <c r="D122" s="24" t="s">
        <v>3471</v>
      </c>
      <c r="E122" s="25">
        <v>1.0530000000000001E-5</v>
      </c>
      <c r="F122" s="26">
        <v>0.16641500000000001</v>
      </c>
      <c r="G122" s="27">
        <v>7474050</v>
      </c>
      <c r="H122" s="27">
        <v>125841781</v>
      </c>
      <c r="I122" s="28">
        <v>756192535</v>
      </c>
      <c r="J122" s="28">
        <v>1000000000</v>
      </c>
      <c r="K122" s="34">
        <v>11.4</v>
      </c>
      <c r="L122" s="34">
        <v>20.54</v>
      </c>
      <c r="M122" s="34">
        <v>45.43</v>
      </c>
      <c r="N122" s="24">
        <v>118</v>
      </c>
      <c r="O122" s="29">
        <v>43096.562002314815</v>
      </c>
    </row>
    <row r="123" spans="2:15" x14ac:dyDescent="0.25">
      <c r="B123" s="24" t="s">
        <v>3414</v>
      </c>
      <c r="C123" s="23" t="s">
        <v>3415</v>
      </c>
      <c r="D123" s="24" t="s">
        <v>3416</v>
      </c>
      <c r="E123" s="25">
        <v>1.4610000000000001E-5</v>
      </c>
      <c r="F123" s="26">
        <v>0.23075699999999999</v>
      </c>
      <c r="G123" s="27">
        <v>3388650</v>
      </c>
      <c r="H123" s="27">
        <v>125381470</v>
      </c>
      <c r="I123" s="28">
        <v>543348500</v>
      </c>
      <c r="J123" s="28">
        <v>1358371250</v>
      </c>
      <c r="K123" s="34">
        <v>3.38</v>
      </c>
      <c r="L123" s="34">
        <v>47.3</v>
      </c>
      <c r="M123" s="34">
        <v>70.23</v>
      </c>
      <c r="N123" s="24">
        <v>119</v>
      </c>
      <c r="O123" s="29">
        <v>43096.562002314815</v>
      </c>
    </row>
    <row r="124" spans="2:15" x14ac:dyDescent="0.25">
      <c r="B124" s="24" t="s">
        <v>3194</v>
      </c>
      <c r="C124" s="23" t="s">
        <v>3195</v>
      </c>
      <c r="D124" s="24" t="s">
        <v>3196</v>
      </c>
      <c r="E124" s="25">
        <v>4.2979999999999998E-5</v>
      </c>
      <c r="F124" s="26">
        <v>0.67900799999999994</v>
      </c>
      <c r="G124" s="27">
        <v>566582</v>
      </c>
      <c r="H124" s="27">
        <v>124233473</v>
      </c>
      <c r="I124" s="28">
        <v>182963195</v>
      </c>
      <c r="J124" s="28">
        <v>870663574</v>
      </c>
      <c r="K124" s="34">
        <v>2.0499999999999998</v>
      </c>
      <c r="L124" s="34">
        <v>13.05</v>
      </c>
      <c r="M124" s="34">
        <v>-15.68</v>
      </c>
      <c r="N124" s="24">
        <v>120</v>
      </c>
      <c r="O124" s="29">
        <v>43096.561990740738</v>
      </c>
    </row>
    <row r="125" spans="2:15" x14ac:dyDescent="0.25">
      <c r="B125" s="24" t="s">
        <v>3584</v>
      </c>
      <c r="C125" s="23" t="s">
        <v>3585</v>
      </c>
      <c r="D125" s="24" t="s">
        <v>3586</v>
      </c>
      <c r="E125" s="25">
        <v>1.1339E-4</v>
      </c>
      <c r="F125" s="26">
        <v>1.7914300000000001</v>
      </c>
      <c r="G125" s="27">
        <v>4149640</v>
      </c>
      <c r="H125" s="27">
        <v>123773220</v>
      </c>
      <c r="I125" s="28">
        <v>69091854</v>
      </c>
      <c r="J125" s="28">
        <v>69091854</v>
      </c>
      <c r="K125" s="34">
        <v>-1.71</v>
      </c>
      <c r="L125" s="34">
        <v>-4.66</v>
      </c>
      <c r="M125" s="34">
        <v>-17.8</v>
      </c>
      <c r="N125" s="24">
        <v>121</v>
      </c>
      <c r="O125" s="29">
        <v>43096.561828703707</v>
      </c>
    </row>
    <row r="126" spans="2:15" x14ac:dyDescent="0.25">
      <c r="B126" s="24" t="s">
        <v>2181</v>
      </c>
      <c r="C126" s="23" t="s">
        <v>243</v>
      </c>
      <c r="D126" s="24" t="s">
        <v>1211</v>
      </c>
      <c r="E126" s="25">
        <v>1.517E-5</v>
      </c>
      <c r="F126" s="26">
        <v>0.23974300000000001</v>
      </c>
      <c r="G126" s="27">
        <v>501413</v>
      </c>
      <c r="H126" s="27">
        <v>122987999</v>
      </c>
      <c r="I126" s="28">
        <v>512999334</v>
      </c>
      <c r="J126" s="28">
        <v>1114043613</v>
      </c>
      <c r="K126" s="34">
        <v>-2.15</v>
      </c>
      <c r="L126" s="34">
        <v>27.13</v>
      </c>
      <c r="M126" s="34">
        <v>92.22</v>
      </c>
      <c r="N126" s="24">
        <v>122</v>
      </c>
      <c r="O126" s="29">
        <v>43096.561956018515</v>
      </c>
    </row>
    <row r="127" spans="2:15" x14ac:dyDescent="0.25">
      <c r="B127" s="24" t="s">
        <v>2015</v>
      </c>
      <c r="C127" s="23" t="s">
        <v>98</v>
      </c>
      <c r="D127" s="24" t="s">
        <v>1066</v>
      </c>
      <c r="E127" s="25">
        <v>1.493E-4</v>
      </c>
      <c r="F127" s="26">
        <v>2.3587600000000002</v>
      </c>
      <c r="G127" s="27">
        <v>8303670</v>
      </c>
      <c r="H127" s="27">
        <v>122655520</v>
      </c>
      <c r="I127" s="28">
        <v>52000000</v>
      </c>
      <c r="J127" s="28">
        <v>65000000</v>
      </c>
      <c r="K127" s="34">
        <v>0.51</v>
      </c>
      <c r="L127" s="34">
        <v>0.54</v>
      </c>
      <c r="M127" s="34">
        <v>50.97</v>
      </c>
      <c r="N127" s="24">
        <v>123</v>
      </c>
      <c r="O127" s="29">
        <v>43096.561944444446</v>
      </c>
    </row>
    <row r="128" spans="2:15" x14ac:dyDescent="0.25">
      <c r="B128" s="24" t="s">
        <v>1998</v>
      </c>
      <c r="C128" s="23" t="s">
        <v>78</v>
      </c>
      <c r="D128" s="24" t="s">
        <v>1046</v>
      </c>
      <c r="E128" s="25">
        <v>8.4629999999999994E-5</v>
      </c>
      <c r="F128" s="26">
        <v>1.33708</v>
      </c>
      <c r="G128" s="27">
        <v>6794550</v>
      </c>
      <c r="H128" s="27">
        <v>122248506</v>
      </c>
      <c r="I128" s="28">
        <v>91429463</v>
      </c>
      <c r="J128" s="28">
        <v>112929463</v>
      </c>
      <c r="K128" s="34">
        <v>-0.8</v>
      </c>
      <c r="L128" s="34">
        <v>-6.14</v>
      </c>
      <c r="M128" s="34">
        <v>-6.31</v>
      </c>
      <c r="N128" s="24">
        <v>124</v>
      </c>
      <c r="O128" s="29">
        <v>43096.561932870369</v>
      </c>
    </row>
    <row r="129" spans="2:15" x14ac:dyDescent="0.25">
      <c r="B129" s="24" t="s">
        <v>1993</v>
      </c>
      <c r="C129" s="23" t="s">
        <v>71</v>
      </c>
      <c r="D129" s="24" t="s">
        <v>1039</v>
      </c>
      <c r="E129" s="25">
        <v>8.4320000000000006E-5</v>
      </c>
      <c r="F129" s="26">
        <v>1.3322000000000001</v>
      </c>
      <c r="G129" s="27">
        <v>8580740</v>
      </c>
      <c r="H129" s="27">
        <v>119509441</v>
      </c>
      <c r="I129" s="28">
        <v>89708333</v>
      </c>
      <c r="J129" s="28">
        <v>100000000</v>
      </c>
      <c r="K129" s="34">
        <v>-1.31</v>
      </c>
      <c r="L129" s="34">
        <v>-7.36</v>
      </c>
      <c r="M129" s="34">
        <v>54.75</v>
      </c>
      <c r="N129" s="24">
        <v>125</v>
      </c>
      <c r="O129" s="29">
        <v>43096.561921296299</v>
      </c>
    </row>
    <row r="130" spans="2:15" x14ac:dyDescent="0.25">
      <c r="B130" s="24" t="s">
        <v>2004</v>
      </c>
      <c r="C130" s="23" t="s">
        <v>88</v>
      </c>
      <c r="D130" s="24" t="s">
        <v>1056</v>
      </c>
      <c r="E130" s="25">
        <v>3.0763999999999998E-4</v>
      </c>
      <c r="F130" s="26">
        <v>4.8604099999999999</v>
      </c>
      <c r="G130" s="27">
        <v>2095550</v>
      </c>
      <c r="H130" s="27">
        <v>119257010</v>
      </c>
      <c r="I130" s="28">
        <v>24536410</v>
      </c>
      <c r="J130" s="28">
        <v>24536410</v>
      </c>
      <c r="K130" s="34">
        <v>-1.68</v>
      </c>
      <c r="L130" s="34">
        <v>-1.52</v>
      </c>
      <c r="M130" s="34">
        <v>-16.64</v>
      </c>
      <c r="N130" s="24">
        <v>126</v>
      </c>
      <c r="O130" s="29">
        <v>43096.56181712963</v>
      </c>
    </row>
    <row r="131" spans="2:15" x14ac:dyDescent="0.25">
      <c r="B131" s="24" t="s">
        <v>2043</v>
      </c>
      <c r="C131" s="23" t="s">
        <v>127</v>
      </c>
      <c r="D131" s="24" t="s">
        <v>1095</v>
      </c>
      <c r="E131" s="25">
        <v>2.6124299999999998E-3</v>
      </c>
      <c r="F131" s="26">
        <v>41.273299999999999</v>
      </c>
      <c r="G131" s="27">
        <v>2833540</v>
      </c>
      <c r="H131" s="27">
        <v>118375952</v>
      </c>
      <c r="I131" s="28">
        <v>2868100</v>
      </c>
      <c r="J131" s="28">
        <v>2868100</v>
      </c>
      <c r="K131" s="34">
        <v>-2.35</v>
      </c>
      <c r="L131" s="34">
        <v>-2.64</v>
      </c>
      <c r="M131" s="34">
        <v>12.88</v>
      </c>
      <c r="N131" s="24">
        <v>127</v>
      </c>
      <c r="O131" s="29">
        <v>43096.561944444446</v>
      </c>
    </row>
    <row r="132" spans="2:15" x14ac:dyDescent="0.25">
      <c r="B132" s="24" t="s">
        <v>2007</v>
      </c>
      <c r="C132" s="23" t="s">
        <v>82</v>
      </c>
      <c r="D132" s="24" t="s">
        <v>1050</v>
      </c>
      <c r="E132" s="25">
        <v>1.8202E-4</v>
      </c>
      <c r="F132" s="26">
        <v>2.8756400000000002</v>
      </c>
      <c r="G132" s="27">
        <v>4847150</v>
      </c>
      <c r="H132" s="27">
        <v>118157673</v>
      </c>
      <c r="I132" s="28">
        <v>41089174</v>
      </c>
      <c r="J132" s="28">
        <v>41089174</v>
      </c>
      <c r="K132" s="34">
        <v>-0.3</v>
      </c>
      <c r="L132" s="34">
        <v>0.17</v>
      </c>
      <c r="M132" s="34">
        <v>83.71</v>
      </c>
      <c r="N132" s="24">
        <v>128</v>
      </c>
      <c r="O132" s="29">
        <v>43096.561851851853</v>
      </c>
    </row>
    <row r="133" spans="2:15" x14ac:dyDescent="0.25">
      <c r="B133" s="24" t="s">
        <v>1987</v>
      </c>
      <c r="C133" s="23" t="s">
        <v>65</v>
      </c>
      <c r="D133" s="24" t="s">
        <v>1033</v>
      </c>
      <c r="E133" s="25">
        <v>2.2995000000000001E-4</v>
      </c>
      <c r="F133" s="26">
        <v>3.6329600000000002</v>
      </c>
      <c r="G133" s="27">
        <v>1610520</v>
      </c>
      <c r="H133" s="27">
        <v>117164621</v>
      </c>
      <c r="I133" s="28">
        <v>32250457</v>
      </c>
      <c r="J133" s="28">
        <v>39609524</v>
      </c>
      <c r="K133" s="34">
        <v>-1.43</v>
      </c>
      <c r="L133" s="34">
        <v>-0.59</v>
      </c>
      <c r="M133" s="34">
        <v>15.09</v>
      </c>
      <c r="N133" s="24">
        <v>129</v>
      </c>
      <c r="O133" s="29">
        <v>43096.561944444446</v>
      </c>
    </row>
    <row r="134" spans="2:15" x14ac:dyDescent="0.25">
      <c r="B134" s="24" t="s">
        <v>2029</v>
      </c>
      <c r="C134" s="23" t="s">
        <v>131</v>
      </c>
      <c r="D134" s="24" t="s">
        <v>1099</v>
      </c>
      <c r="E134" s="25">
        <v>2.2881E-4</v>
      </c>
      <c r="F134" s="26">
        <v>3.6149200000000001</v>
      </c>
      <c r="G134" s="27">
        <v>9141880</v>
      </c>
      <c r="H134" s="27">
        <v>116059094</v>
      </c>
      <c r="I134" s="28">
        <v>32105578</v>
      </c>
      <c r="J134" s="28">
        <v>32105578</v>
      </c>
      <c r="K134" s="34">
        <v>-0.71</v>
      </c>
      <c r="L134" s="34">
        <v>18.23</v>
      </c>
      <c r="M134" s="34">
        <v>155.44999999999999</v>
      </c>
      <c r="N134" s="24">
        <v>130</v>
      </c>
      <c r="O134" s="29">
        <v>43096.561909722222</v>
      </c>
    </row>
    <row r="135" spans="2:15" x14ac:dyDescent="0.25">
      <c r="B135" s="24" t="s">
        <v>3218</v>
      </c>
      <c r="C135" s="23" t="s">
        <v>3219</v>
      </c>
      <c r="D135" s="24" t="s">
        <v>3220</v>
      </c>
      <c r="E135" s="25">
        <v>2.4470000000000001E-5</v>
      </c>
      <c r="F135" s="26">
        <v>0.38664700000000002</v>
      </c>
      <c r="G135" s="27">
        <v>1086340</v>
      </c>
      <c r="H135" s="27">
        <v>115994100</v>
      </c>
      <c r="I135" s="28">
        <v>300000000</v>
      </c>
      <c r="J135" s="28">
        <v>1000000000</v>
      </c>
      <c r="K135" s="34">
        <v>-1.96</v>
      </c>
      <c r="L135" s="34">
        <v>1.0900000000000001</v>
      </c>
      <c r="M135" s="34">
        <v>-7.4</v>
      </c>
      <c r="N135" s="24">
        <v>131</v>
      </c>
      <c r="O135" s="29">
        <v>43096.561967592592</v>
      </c>
    </row>
    <row r="136" spans="2:15" x14ac:dyDescent="0.25">
      <c r="B136" s="24" t="s">
        <v>2039</v>
      </c>
      <c r="C136" s="23" t="s">
        <v>113</v>
      </c>
      <c r="D136" s="24" t="s">
        <v>1080</v>
      </c>
      <c r="E136" s="25">
        <v>2.0129999999999999E-5</v>
      </c>
      <c r="F136" s="26">
        <v>0.31804100000000002</v>
      </c>
      <c r="G136" s="27">
        <v>6373530</v>
      </c>
      <c r="H136" s="27">
        <v>114367544</v>
      </c>
      <c r="I136" s="28">
        <v>359600000</v>
      </c>
      <c r="J136" s="28">
        <v>444000000</v>
      </c>
      <c r="K136" s="34">
        <v>0.16</v>
      </c>
      <c r="L136" s="34">
        <v>-13.68</v>
      </c>
      <c r="M136" s="34">
        <v>-16.059999999999999</v>
      </c>
      <c r="N136" s="24">
        <v>132</v>
      </c>
      <c r="O136" s="29">
        <v>43096.561944444446</v>
      </c>
    </row>
    <row r="137" spans="2:15" x14ac:dyDescent="0.25">
      <c r="B137" s="24" t="s">
        <v>3774</v>
      </c>
      <c r="C137" s="23" t="s">
        <v>3775</v>
      </c>
      <c r="D137" s="24" t="s">
        <v>3776</v>
      </c>
      <c r="E137" s="25">
        <v>4.0339999999999997E-5</v>
      </c>
      <c r="F137" s="26">
        <v>0.63726000000000005</v>
      </c>
      <c r="G137" s="27">
        <v>141352000</v>
      </c>
      <c r="H137" s="27">
        <v>113591595</v>
      </c>
      <c r="I137" s="28">
        <v>178250000</v>
      </c>
      <c r="J137" s="28">
        <v>1000000000</v>
      </c>
      <c r="K137" s="34">
        <v>-3.16</v>
      </c>
      <c r="L137" s="34">
        <v>-7.66</v>
      </c>
      <c r="M137" s="34">
        <v>-25.29</v>
      </c>
      <c r="N137" s="24">
        <v>133</v>
      </c>
      <c r="O137" s="29">
        <v>43096.562013888892</v>
      </c>
    </row>
    <row r="138" spans="2:15" x14ac:dyDescent="0.25">
      <c r="B138" s="24" t="s">
        <v>1996</v>
      </c>
      <c r="C138" s="23" t="s">
        <v>76</v>
      </c>
      <c r="D138" s="24" t="s">
        <v>1044</v>
      </c>
      <c r="E138" s="25">
        <v>1.3611E-4</v>
      </c>
      <c r="F138" s="26">
        <v>2.1503800000000002</v>
      </c>
      <c r="G138" s="27">
        <v>24186900</v>
      </c>
      <c r="H138" s="27">
        <v>110327588</v>
      </c>
      <c r="I138" s="28">
        <v>51306089</v>
      </c>
      <c r="J138" s="28">
        <v>73197775</v>
      </c>
      <c r="K138" s="34">
        <v>-2.12</v>
      </c>
      <c r="L138" s="34">
        <v>61.61</v>
      </c>
      <c r="M138" s="34">
        <v>107.56</v>
      </c>
      <c r="N138" s="24">
        <v>134</v>
      </c>
      <c r="O138" s="29">
        <v>43096.561909722222</v>
      </c>
    </row>
    <row r="139" spans="2:15" x14ac:dyDescent="0.25">
      <c r="B139" s="24" t="s">
        <v>1991</v>
      </c>
      <c r="C139" s="23" t="s">
        <v>70</v>
      </c>
      <c r="D139" s="24" t="s">
        <v>1038</v>
      </c>
      <c r="E139" s="25">
        <v>2.1489999999999999E-5</v>
      </c>
      <c r="F139" s="26">
        <v>0.33945900000000001</v>
      </c>
      <c r="G139" s="27">
        <v>9811800</v>
      </c>
      <c r="H139" s="27">
        <v>110324175</v>
      </c>
      <c r="I139" s="28">
        <v>325000000</v>
      </c>
      <c r="J139" s="28">
        <v>500000000</v>
      </c>
      <c r="K139" s="34">
        <v>10</v>
      </c>
      <c r="L139" s="34">
        <v>22.15</v>
      </c>
      <c r="M139" s="34">
        <v>59.15</v>
      </c>
      <c r="N139" s="24">
        <v>135</v>
      </c>
      <c r="O139" s="29">
        <v>43096.561944444446</v>
      </c>
    </row>
    <row r="140" spans="2:15" x14ac:dyDescent="0.25">
      <c r="B140" s="24" t="s">
        <v>3102</v>
      </c>
      <c r="C140" s="23" t="s">
        <v>3103</v>
      </c>
      <c r="D140" s="24" t="s">
        <v>3104</v>
      </c>
      <c r="E140" s="25">
        <v>8.9999999999999995E-9</v>
      </c>
      <c r="F140" s="26">
        <v>1.41151E-4</v>
      </c>
      <c r="G140" s="27">
        <v>490260</v>
      </c>
      <c r="H140" s="27">
        <v>106723927</v>
      </c>
      <c r="I140" s="28">
        <v>756097560976</v>
      </c>
      <c r="J140" s="28">
        <v>10000000000000</v>
      </c>
      <c r="K140" s="34">
        <v>-2.3199999999999998</v>
      </c>
      <c r="L140" s="34">
        <v>5.88</v>
      </c>
      <c r="M140" s="34">
        <v>2.2200000000000002</v>
      </c>
      <c r="N140" s="24">
        <v>136</v>
      </c>
      <c r="O140" s="29">
        <v>43096.561979166669</v>
      </c>
    </row>
    <row r="141" spans="2:15" x14ac:dyDescent="0.25">
      <c r="B141" s="24" t="s">
        <v>2024</v>
      </c>
      <c r="C141" s="23" t="s">
        <v>110</v>
      </c>
      <c r="D141" s="24" t="s">
        <v>1078</v>
      </c>
      <c r="E141" s="25">
        <v>1.33662E-3</v>
      </c>
      <c r="F141" s="26">
        <v>21.117000000000001</v>
      </c>
      <c r="G141" s="27">
        <v>1401730</v>
      </c>
      <c r="H141" s="27">
        <v>106718835</v>
      </c>
      <c r="I141" s="28">
        <v>5053693</v>
      </c>
      <c r="J141" s="28">
        <v>5053693</v>
      </c>
      <c r="K141" s="34">
        <v>-1.48</v>
      </c>
      <c r="L141" s="34">
        <v>-6.69</v>
      </c>
      <c r="M141" s="34">
        <v>43.32</v>
      </c>
      <c r="N141" s="24">
        <v>137</v>
      </c>
      <c r="O141" s="29">
        <v>43096.561840277776</v>
      </c>
    </row>
    <row r="142" spans="2:15" x14ac:dyDescent="0.25">
      <c r="B142" s="24" t="s">
        <v>3578</v>
      </c>
      <c r="C142" s="23" t="s">
        <v>3579</v>
      </c>
      <c r="D142" s="24" t="s">
        <v>3580</v>
      </c>
      <c r="E142" s="25">
        <v>2.317E-5</v>
      </c>
      <c r="F142" s="26">
        <v>0.36607000000000001</v>
      </c>
      <c r="G142" s="27">
        <v>7294860</v>
      </c>
      <c r="H142" s="27">
        <v>104758528</v>
      </c>
      <c r="I142" s="28">
        <v>286170756</v>
      </c>
      <c r="J142" s="28">
        <v>1395076054</v>
      </c>
      <c r="K142" s="34">
        <v>-0.86</v>
      </c>
      <c r="L142" s="34">
        <v>19.28</v>
      </c>
      <c r="M142" s="34">
        <v>9.68</v>
      </c>
      <c r="N142" s="24">
        <v>138</v>
      </c>
      <c r="O142" s="29">
        <v>43096.561979166669</v>
      </c>
    </row>
    <row r="143" spans="2:15" x14ac:dyDescent="0.25">
      <c r="B143" s="24" t="s">
        <v>2083</v>
      </c>
      <c r="C143" s="23" t="s">
        <v>159</v>
      </c>
      <c r="D143" s="24" t="s">
        <v>1129</v>
      </c>
      <c r="E143" s="25">
        <v>3.5979999999999998E-5</v>
      </c>
      <c r="F143" s="26">
        <v>0.56845199999999996</v>
      </c>
      <c r="G143" s="27">
        <v>643714</v>
      </c>
      <c r="H143" s="27">
        <v>104026716</v>
      </c>
      <c r="I143" s="28">
        <v>183000000</v>
      </c>
      <c r="J143" s="28">
        <v>198360471</v>
      </c>
      <c r="K143" s="34">
        <v>-8.18</v>
      </c>
      <c r="L143" s="34">
        <v>-6.97</v>
      </c>
      <c r="M143" s="34">
        <v>66.010000000000005</v>
      </c>
      <c r="N143" s="24">
        <v>139</v>
      </c>
      <c r="O143" s="29">
        <v>43096.561944444446</v>
      </c>
    </row>
    <row r="144" spans="2:15" x14ac:dyDescent="0.25">
      <c r="B144" s="24" t="s">
        <v>2019</v>
      </c>
      <c r="C144" s="23" t="s">
        <v>96</v>
      </c>
      <c r="D144" s="24" t="s">
        <v>1064</v>
      </c>
      <c r="E144" s="25">
        <v>2.8650000000000003E-4</v>
      </c>
      <c r="F144" s="26">
        <v>4.5263400000000003</v>
      </c>
      <c r="G144" s="27">
        <v>3913050</v>
      </c>
      <c r="H144" s="27">
        <v>103829624</v>
      </c>
      <c r="I144" s="28">
        <v>22938980</v>
      </c>
      <c r="J144" s="28">
        <v>22938980</v>
      </c>
      <c r="K144" s="34">
        <v>3.44</v>
      </c>
      <c r="L144" s="34">
        <v>6.6</v>
      </c>
      <c r="M144" s="34">
        <v>30.35</v>
      </c>
      <c r="N144" s="24">
        <v>140</v>
      </c>
      <c r="O144" s="29">
        <v>43096.561840277776</v>
      </c>
    </row>
    <row r="145" spans="2:15" x14ac:dyDescent="0.25">
      <c r="B145" s="24" t="s">
        <v>2041</v>
      </c>
      <c r="C145" s="23" t="s">
        <v>118</v>
      </c>
      <c r="D145" s="24" t="s">
        <v>1085</v>
      </c>
      <c r="E145" s="25">
        <v>4.0200000000000001E-5</v>
      </c>
      <c r="F145" s="26">
        <v>0.63503299999999996</v>
      </c>
      <c r="G145" s="27">
        <v>30254800</v>
      </c>
      <c r="H145" s="27">
        <v>103423344</v>
      </c>
      <c r="I145" s="28">
        <v>162862944</v>
      </c>
      <c r="J145" s="28">
        <v>184194944</v>
      </c>
      <c r="K145" s="34">
        <v>1.73</v>
      </c>
      <c r="L145" s="34">
        <v>28.87</v>
      </c>
      <c r="M145" s="34">
        <v>78.84</v>
      </c>
      <c r="N145" s="24">
        <v>141</v>
      </c>
      <c r="O145" s="29">
        <v>43096.561944444446</v>
      </c>
    </row>
    <row r="146" spans="2:15" x14ac:dyDescent="0.25">
      <c r="B146" s="24" t="s">
        <v>3749</v>
      </c>
      <c r="C146" s="23" t="s">
        <v>3750</v>
      </c>
      <c r="D146" s="24" t="s">
        <v>3751</v>
      </c>
      <c r="E146" s="25">
        <v>1.06E-5</v>
      </c>
      <c r="F146" s="26">
        <v>0.167459</v>
      </c>
      <c r="G146" s="27">
        <v>9641800</v>
      </c>
      <c r="H146" s="27">
        <v>103374814</v>
      </c>
      <c r="I146" s="28">
        <v>617314171</v>
      </c>
      <c r="J146" s="28">
        <v>976442388</v>
      </c>
      <c r="K146" s="34">
        <v>-3.15</v>
      </c>
      <c r="L146" s="34">
        <v>-3.57</v>
      </c>
      <c r="M146" s="34">
        <v>-2.76</v>
      </c>
      <c r="N146" s="24">
        <v>142</v>
      </c>
      <c r="O146" s="29">
        <v>43096.562013888892</v>
      </c>
    </row>
    <row r="147" spans="2:15" x14ac:dyDescent="0.25">
      <c r="B147" s="24" t="s">
        <v>2097</v>
      </c>
      <c r="C147" s="23" t="s">
        <v>2</v>
      </c>
      <c r="D147" s="24" t="s">
        <v>1148</v>
      </c>
      <c r="E147" s="25">
        <v>1.5140000000000001E-5</v>
      </c>
      <c r="F147" s="26">
        <v>0.23924400000000001</v>
      </c>
      <c r="G147" s="27">
        <v>1078240</v>
      </c>
      <c r="H147" s="27">
        <v>102874920</v>
      </c>
      <c r="I147" s="28">
        <v>430000000</v>
      </c>
      <c r="J147" s="28">
        <v>650000000</v>
      </c>
      <c r="K147" s="34">
        <v>-1.76</v>
      </c>
      <c r="L147" s="34">
        <v>-9.0500000000000007</v>
      </c>
      <c r="M147" s="34">
        <v>81.88</v>
      </c>
      <c r="N147" s="24">
        <v>143</v>
      </c>
      <c r="O147" s="29">
        <v>43096.561932870369</v>
      </c>
    </row>
    <row r="148" spans="2:15" x14ac:dyDescent="0.25">
      <c r="B148" s="24" t="s">
        <v>4055</v>
      </c>
      <c r="C148" s="23" t="s">
        <v>4056</v>
      </c>
      <c r="D148" s="24" t="s">
        <v>4057</v>
      </c>
      <c r="E148" s="25">
        <v>1.0932E-4</v>
      </c>
      <c r="F148" s="26">
        <v>1.72716</v>
      </c>
      <c r="G148" s="27">
        <v>28226800</v>
      </c>
      <c r="H148" s="27">
        <v>102320086</v>
      </c>
      <c r="I148" s="28">
        <v>59241811</v>
      </c>
      <c r="J148" s="28">
        <v>88862718</v>
      </c>
      <c r="K148" s="34">
        <v>5.21</v>
      </c>
      <c r="L148" s="34">
        <v>3.33</v>
      </c>
      <c r="M148" s="34"/>
      <c r="N148" s="24">
        <v>144</v>
      </c>
      <c r="O148" s="29">
        <v>43096.562025462961</v>
      </c>
    </row>
    <row r="149" spans="2:15" x14ac:dyDescent="0.25">
      <c r="B149" s="24" t="s">
        <v>1992</v>
      </c>
      <c r="C149" s="23" t="s">
        <v>69</v>
      </c>
      <c r="D149" s="24" t="s">
        <v>1037</v>
      </c>
      <c r="E149" s="25">
        <v>6.3089999999999994E-5</v>
      </c>
      <c r="F149" s="26">
        <v>0.99671200000000004</v>
      </c>
      <c r="G149" s="27">
        <v>601368</v>
      </c>
      <c r="H149" s="27">
        <v>97706568</v>
      </c>
      <c r="I149" s="28">
        <v>98028887</v>
      </c>
      <c r="J149" s="28">
        <v>100000000</v>
      </c>
      <c r="K149" s="34">
        <v>-0.18</v>
      </c>
      <c r="L149" s="34">
        <v>10.33</v>
      </c>
      <c r="M149" s="34">
        <v>39.19</v>
      </c>
      <c r="N149" s="24">
        <v>145</v>
      </c>
      <c r="O149" s="29">
        <v>43096.561944444446</v>
      </c>
    </row>
    <row r="150" spans="2:15" x14ac:dyDescent="0.25">
      <c r="B150" s="24" t="s">
        <v>3013</v>
      </c>
      <c r="C150" s="23" t="s">
        <v>3014</v>
      </c>
      <c r="D150" s="24" t="s">
        <v>3015</v>
      </c>
      <c r="E150" s="25">
        <v>6.1700000000000002E-6</v>
      </c>
      <c r="F150" s="26">
        <v>9.7517300000000001E-2</v>
      </c>
      <c r="G150" s="27">
        <v>517960</v>
      </c>
      <c r="H150" s="27">
        <v>97517300</v>
      </c>
      <c r="I150" s="28">
        <v>1000000000</v>
      </c>
      <c r="J150" s="28">
        <v>10000000000</v>
      </c>
      <c r="K150" s="34">
        <v>-3.36</v>
      </c>
      <c r="L150" s="34">
        <v>31</v>
      </c>
      <c r="M150" s="34">
        <v>189.72</v>
      </c>
      <c r="N150" s="24">
        <v>146</v>
      </c>
      <c r="O150" s="29">
        <v>43096.561979166669</v>
      </c>
    </row>
    <row r="151" spans="2:15" x14ac:dyDescent="0.25">
      <c r="B151" s="24" t="s">
        <v>3627</v>
      </c>
      <c r="C151" s="23" t="s">
        <v>3628</v>
      </c>
      <c r="D151" s="24" t="s">
        <v>3629</v>
      </c>
      <c r="E151" s="25">
        <v>2.1484E-4</v>
      </c>
      <c r="F151" s="26">
        <v>3.39418</v>
      </c>
      <c r="G151" s="27">
        <v>483242</v>
      </c>
      <c r="H151" s="27">
        <v>95602746</v>
      </c>
      <c r="I151" s="28">
        <v>28166669</v>
      </c>
      <c r="J151" s="28">
        <v>100000000</v>
      </c>
      <c r="K151" s="34">
        <v>-3.5</v>
      </c>
      <c r="L151" s="34">
        <v>36.08</v>
      </c>
      <c r="M151" s="34">
        <v>27.47</v>
      </c>
      <c r="N151" s="24">
        <v>147</v>
      </c>
      <c r="O151" s="29">
        <v>43096.562002314815</v>
      </c>
    </row>
    <row r="152" spans="2:15" x14ac:dyDescent="0.25">
      <c r="B152" s="24" t="s">
        <v>2967</v>
      </c>
      <c r="C152" s="23" t="s">
        <v>2968</v>
      </c>
      <c r="D152" s="24" t="s">
        <v>2969</v>
      </c>
      <c r="E152" s="25">
        <v>4.7460999999999998E-4</v>
      </c>
      <c r="F152" s="26">
        <v>7.49831</v>
      </c>
      <c r="G152" s="27">
        <v>1719860</v>
      </c>
      <c r="H152" s="27">
        <v>94998241</v>
      </c>
      <c r="I152" s="28">
        <v>12669287</v>
      </c>
      <c r="J152" s="28">
        <v>13407310</v>
      </c>
      <c r="K152" s="34">
        <v>13.95</v>
      </c>
      <c r="L152" s="34">
        <v>21.54</v>
      </c>
      <c r="M152" s="34">
        <v>75.400000000000006</v>
      </c>
      <c r="N152" s="24">
        <v>148</v>
      </c>
      <c r="O152" s="29">
        <v>43096.561979166669</v>
      </c>
    </row>
    <row r="153" spans="2:15" x14ac:dyDescent="0.25">
      <c r="B153" s="24" t="s">
        <v>2711</v>
      </c>
      <c r="C153" s="23" t="s">
        <v>780</v>
      </c>
      <c r="D153" s="24" t="s">
        <v>1735</v>
      </c>
      <c r="E153" s="25">
        <v>3.4499999999999998E-5</v>
      </c>
      <c r="F153" s="26">
        <v>0.54502099999999998</v>
      </c>
      <c r="G153" s="27">
        <v>212686</v>
      </c>
      <c r="H153" s="27">
        <v>93862478</v>
      </c>
      <c r="I153" s="28">
        <v>172218095</v>
      </c>
      <c r="J153" s="28">
        <v>179000589</v>
      </c>
      <c r="K153" s="34">
        <v>-1.5</v>
      </c>
      <c r="L153" s="34">
        <v>0.28000000000000003</v>
      </c>
      <c r="M153" s="34">
        <v>-18.82</v>
      </c>
      <c r="N153" s="24">
        <v>149</v>
      </c>
      <c r="O153" s="29">
        <v>43096.561863425923</v>
      </c>
    </row>
    <row r="154" spans="2:15" x14ac:dyDescent="0.25">
      <c r="B154" s="24" t="s">
        <v>2035</v>
      </c>
      <c r="C154" s="23" t="s">
        <v>120</v>
      </c>
      <c r="D154" s="24" t="s">
        <v>1087</v>
      </c>
      <c r="E154" s="25">
        <v>4.693E-5</v>
      </c>
      <c r="F154" s="26">
        <v>0.74149399999999999</v>
      </c>
      <c r="G154" s="27">
        <v>6489450</v>
      </c>
      <c r="H154" s="27">
        <v>93697535</v>
      </c>
      <c r="I154" s="28">
        <v>126363173</v>
      </c>
      <c r="J154" s="28">
        <v>513263176</v>
      </c>
      <c r="K154" s="34">
        <v>4.18</v>
      </c>
      <c r="L154" s="34">
        <v>5.36</v>
      </c>
      <c r="M154" s="34">
        <v>-4.8600000000000003</v>
      </c>
      <c r="N154" s="24">
        <v>150</v>
      </c>
      <c r="O154" s="29">
        <v>43096.561898148146</v>
      </c>
    </row>
    <row r="155" spans="2:15" x14ac:dyDescent="0.25">
      <c r="B155" s="24" t="s">
        <v>2000</v>
      </c>
      <c r="C155" s="23" t="s">
        <v>86</v>
      </c>
      <c r="D155" s="24" t="s">
        <v>1054</v>
      </c>
      <c r="E155" s="25">
        <v>7.2479999999999997E-5</v>
      </c>
      <c r="F155" s="26">
        <v>1.1451199999999999</v>
      </c>
      <c r="G155" s="27">
        <v>1923070</v>
      </c>
      <c r="H155" s="27">
        <v>90545547</v>
      </c>
      <c r="I155" s="28">
        <v>79070793</v>
      </c>
      <c r="J155" s="28">
        <v>86999785</v>
      </c>
      <c r="K155" s="34">
        <v>-3.49</v>
      </c>
      <c r="L155" s="34">
        <v>6.14</v>
      </c>
      <c r="M155" s="34">
        <v>7.46</v>
      </c>
      <c r="N155" s="24">
        <v>151</v>
      </c>
      <c r="O155" s="29">
        <v>43096.561932870369</v>
      </c>
    </row>
    <row r="156" spans="2:15" x14ac:dyDescent="0.25">
      <c r="B156" s="24" t="s">
        <v>2074</v>
      </c>
      <c r="C156" s="23" t="s">
        <v>150</v>
      </c>
      <c r="D156" s="24" t="s">
        <v>1120</v>
      </c>
      <c r="E156" s="25">
        <v>5.6710700000000003E-3</v>
      </c>
      <c r="F156" s="26">
        <v>89.596000000000004</v>
      </c>
      <c r="G156" s="27">
        <v>11592000</v>
      </c>
      <c r="H156" s="27">
        <v>90470395</v>
      </c>
      <c r="I156" s="28">
        <v>1009759</v>
      </c>
      <c r="J156" s="28">
        <v>1009759</v>
      </c>
      <c r="K156" s="34">
        <v>-0.8</v>
      </c>
      <c r="L156" s="34">
        <v>5.66</v>
      </c>
      <c r="M156" s="34">
        <v>182.56</v>
      </c>
      <c r="N156" s="24">
        <v>152</v>
      </c>
      <c r="O156" s="29">
        <v>43096.561874999999</v>
      </c>
    </row>
    <row r="157" spans="2:15" x14ac:dyDescent="0.25">
      <c r="B157" s="24" t="s">
        <v>3944</v>
      </c>
      <c r="C157" s="23" t="s">
        <v>3945</v>
      </c>
      <c r="D157" s="24" t="s">
        <v>3946</v>
      </c>
      <c r="E157" s="25">
        <v>1.2483000000000001E-4</v>
      </c>
      <c r="F157" s="26">
        <v>1.9721</v>
      </c>
      <c r="G157" s="27">
        <v>7987000</v>
      </c>
      <c r="H157" s="27">
        <v>89233646</v>
      </c>
      <c r="I157" s="28">
        <v>45248033</v>
      </c>
      <c r="J157" s="28">
        <v>99218023</v>
      </c>
      <c r="K157" s="34">
        <v>2.54</v>
      </c>
      <c r="L157" s="34">
        <v>6.43</v>
      </c>
      <c r="M157" s="34">
        <v>21.31</v>
      </c>
      <c r="N157" s="24">
        <v>153</v>
      </c>
      <c r="O157" s="29">
        <v>43096.562013888892</v>
      </c>
    </row>
    <row r="158" spans="2:15" x14ac:dyDescent="0.25">
      <c r="B158" s="24" t="s">
        <v>3297</v>
      </c>
      <c r="C158" s="23" t="s">
        <v>3298</v>
      </c>
      <c r="D158" s="24" t="s">
        <v>3299</v>
      </c>
      <c r="E158" s="25">
        <v>2.3897E-4</v>
      </c>
      <c r="F158" s="26">
        <v>3.7754699999999999</v>
      </c>
      <c r="G158" s="27">
        <v>7042560</v>
      </c>
      <c r="H158" s="27">
        <v>85401859</v>
      </c>
      <c r="I158" s="28">
        <v>22620193</v>
      </c>
      <c r="J158" s="28">
        <v>90408327</v>
      </c>
      <c r="K158" s="34">
        <v>1.43</v>
      </c>
      <c r="L158" s="34">
        <v>-0.69</v>
      </c>
      <c r="M158" s="34">
        <v>15.01</v>
      </c>
      <c r="N158" s="24">
        <v>154</v>
      </c>
      <c r="O158" s="29">
        <v>43096.561990740738</v>
      </c>
    </row>
    <row r="159" spans="2:15" x14ac:dyDescent="0.25">
      <c r="B159" s="24" t="s">
        <v>2001</v>
      </c>
      <c r="C159" s="23" t="s">
        <v>84</v>
      </c>
      <c r="D159" s="24" t="s">
        <v>1052</v>
      </c>
      <c r="E159" s="25">
        <v>6.3100000000000002E-5</v>
      </c>
      <c r="F159" s="26">
        <v>0.99689300000000003</v>
      </c>
      <c r="G159" s="27">
        <v>4440250</v>
      </c>
      <c r="H159" s="27">
        <v>85292541</v>
      </c>
      <c r="I159" s="28">
        <v>85558371</v>
      </c>
      <c r="J159" s="28">
        <v>93468691</v>
      </c>
      <c r="K159" s="34">
        <v>-1.56</v>
      </c>
      <c r="L159" s="34">
        <v>5.31</v>
      </c>
      <c r="M159" s="34">
        <v>47.11</v>
      </c>
      <c r="N159" s="24">
        <v>155</v>
      </c>
      <c r="O159" s="29">
        <v>43096.561909722222</v>
      </c>
    </row>
    <row r="160" spans="2:15" x14ac:dyDescent="0.25">
      <c r="B160" s="24" t="s">
        <v>2071</v>
      </c>
      <c r="C160" s="23" t="s">
        <v>149</v>
      </c>
      <c r="D160" s="24" t="s">
        <v>1119</v>
      </c>
      <c r="E160" s="25">
        <v>3.3536999999999998E-4</v>
      </c>
      <c r="F160" s="26">
        <v>5.2984299999999998</v>
      </c>
      <c r="G160" s="27">
        <v>4583640</v>
      </c>
      <c r="H160" s="27">
        <v>85161415</v>
      </c>
      <c r="I160" s="28">
        <v>16072953</v>
      </c>
      <c r="J160" s="28">
        <v>16072953</v>
      </c>
      <c r="K160" s="34">
        <v>2.9</v>
      </c>
      <c r="L160" s="34">
        <v>20.52</v>
      </c>
      <c r="M160" s="34">
        <v>61.98</v>
      </c>
      <c r="N160" s="24">
        <v>156</v>
      </c>
      <c r="O160" s="29">
        <v>43096.561874999999</v>
      </c>
    </row>
    <row r="161" spans="2:15" x14ac:dyDescent="0.25">
      <c r="B161" s="24" t="s">
        <v>2018</v>
      </c>
      <c r="C161" s="23" t="s">
        <v>99</v>
      </c>
      <c r="D161" s="24" t="s">
        <v>1067</v>
      </c>
      <c r="E161" s="25">
        <v>2.0447600000000001E-3</v>
      </c>
      <c r="F161" s="26">
        <v>32.3048</v>
      </c>
      <c r="G161" s="27">
        <v>995815</v>
      </c>
      <c r="H161" s="27">
        <v>84555713</v>
      </c>
      <c r="I161" s="28">
        <v>2617435</v>
      </c>
      <c r="J161" s="28">
        <v>2617435</v>
      </c>
      <c r="K161" s="34">
        <v>0.7</v>
      </c>
      <c r="L161" s="34">
        <v>0.2</v>
      </c>
      <c r="M161" s="34">
        <v>-9.33</v>
      </c>
      <c r="N161" s="24">
        <v>157</v>
      </c>
      <c r="O161" s="29">
        <v>43096.56181712963</v>
      </c>
    </row>
    <row r="162" spans="2:15" x14ac:dyDescent="0.25">
      <c r="B162" s="24" t="s">
        <v>2925</v>
      </c>
      <c r="C162" s="23" t="s">
        <v>2926</v>
      </c>
      <c r="D162" s="24" t="s">
        <v>2927</v>
      </c>
      <c r="E162" s="25">
        <v>2.4530000000000001E-5</v>
      </c>
      <c r="F162" s="26">
        <v>0.38751400000000003</v>
      </c>
      <c r="G162" s="27">
        <v>33081100</v>
      </c>
      <c r="H162" s="27">
        <v>84045362</v>
      </c>
      <c r="I162" s="28">
        <v>216883420</v>
      </c>
      <c r="J162" s="28">
        <v>402400000</v>
      </c>
      <c r="K162" s="34">
        <v>4.1500000000000004</v>
      </c>
      <c r="L162" s="34">
        <v>55.61</v>
      </c>
      <c r="M162" s="34">
        <v>117.37</v>
      </c>
      <c r="N162" s="24">
        <v>158</v>
      </c>
      <c r="O162" s="29">
        <v>43096.561967592592</v>
      </c>
    </row>
    <row r="163" spans="2:15" x14ac:dyDescent="0.25">
      <c r="B163" s="24" t="s">
        <v>2002</v>
      </c>
      <c r="C163" s="23" t="s">
        <v>85</v>
      </c>
      <c r="D163" s="24" t="s">
        <v>1053</v>
      </c>
      <c r="E163" s="25">
        <v>8.79746E-3</v>
      </c>
      <c r="F163" s="26">
        <v>138.989</v>
      </c>
      <c r="G163" s="27">
        <v>1613450</v>
      </c>
      <c r="H163" s="27">
        <v>83310007</v>
      </c>
      <c r="I163" s="28">
        <v>599400</v>
      </c>
      <c r="J163" s="28">
        <v>749400</v>
      </c>
      <c r="K163" s="34">
        <v>0.21</v>
      </c>
      <c r="L163" s="34">
        <v>15.93</v>
      </c>
      <c r="M163" s="34">
        <v>6.24</v>
      </c>
      <c r="N163" s="24">
        <v>159</v>
      </c>
      <c r="O163" s="29">
        <v>43096.561921296299</v>
      </c>
    </row>
    <row r="164" spans="2:15" x14ac:dyDescent="0.25">
      <c r="B164" s="24" t="s">
        <v>3864</v>
      </c>
      <c r="C164" s="23" t="s">
        <v>3929</v>
      </c>
      <c r="D164" s="24" t="s">
        <v>3865</v>
      </c>
      <c r="E164" s="25">
        <v>5.2000000000000002E-6</v>
      </c>
      <c r="F164" s="26">
        <v>8.2216600000000001E-2</v>
      </c>
      <c r="G164" s="27">
        <v>11387700</v>
      </c>
      <c r="H164" s="27">
        <v>83277830</v>
      </c>
      <c r="I164" s="28">
        <v>1012907733</v>
      </c>
      <c r="J164" s="28">
        <v>1299999942</v>
      </c>
      <c r="K164" s="34">
        <v>-2.48</v>
      </c>
      <c r="L164" s="34">
        <v>-2.4300000000000002</v>
      </c>
      <c r="M164" s="34">
        <v>27.87</v>
      </c>
      <c r="N164" s="24">
        <v>160</v>
      </c>
      <c r="O164" s="29">
        <v>43096.562013888892</v>
      </c>
    </row>
    <row r="165" spans="2:15" x14ac:dyDescent="0.25">
      <c r="B165" s="24" t="s">
        <v>3165</v>
      </c>
      <c r="C165" s="23" t="s">
        <v>3179</v>
      </c>
      <c r="D165" s="24" t="s">
        <v>3166</v>
      </c>
      <c r="E165" s="25">
        <v>1.1999999999999999E-6</v>
      </c>
      <c r="F165" s="26">
        <v>1.9005399999999999E-2</v>
      </c>
      <c r="G165" s="27">
        <v>58489.5</v>
      </c>
      <c r="H165" s="27">
        <v>80680845</v>
      </c>
      <c r="I165" s="28">
        <v>4245153758</v>
      </c>
      <c r="J165" s="28">
        <v>10000000000</v>
      </c>
      <c r="K165" s="34">
        <v>1.1299999999999999</v>
      </c>
      <c r="L165" s="34">
        <v>-1.85</v>
      </c>
      <c r="M165" s="34">
        <v>-2.11</v>
      </c>
      <c r="N165" s="24">
        <v>161</v>
      </c>
      <c r="O165" s="29">
        <v>43096.561990740738</v>
      </c>
    </row>
    <row r="166" spans="2:15" x14ac:dyDescent="0.25">
      <c r="B166" s="24" t="s">
        <v>2106</v>
      </c>
      <c r="C166" s="23" t="s">
        <v>185</v>
      </c>
      <c r="D166" s="24" t="s">
        <v>1155</v>
      </c>
      <c r="E166" s="25">
        <v>2.6950000000000001E-5</v>
      </c>
      <c r="F166" s="26">
        <v>0.42581000000000002</v>
      </c>
      <c r="G166" s="27">
        <v>2088710</v>
      </c>
      <c r="H166" s="27">
        <v>79354888</v>
      </c>
      <c r="I166" s="28">
        <v>186362200</v>
      </c>
      <c r="J166" s="28">
        <v>186362200</v>
      </c>
      <c r="K166" s="34">
        <v>2</v>
      </c>
      <c r="L166" s="34">
        <v>-0.33</v>
      </c>
      <c r="M166" s="34">
        <v>0.35</v>
      </c>
      <c r="N166" s="24">
        <v>162</v>
      </c>
      <c r="O166" s="29">
        <v>43096.561805555553</v>
      </c>
    </row>
    <row r="167" spans="2:15" x14ac:dyDescent="0.25">
      <c r="B167" s="24" t="s">
        <v>2003</v>
      </c>
      <c r="C167" s="23" t="s">
        <v>87</v>
      </c>
      <c r="D167" s="24" t="s">
        <v>1055</v>
      </c>
      <c r="E167" s="25">
        <v>2.177E-5</v>
      </c>
      <c r="F167" s="26">
        <v>0.34392499999999998</v>
      </c>
      <c r="G167" s="27">
        <v>157830</v>
      </c>
      <c r="H167" s="27">
        <v>78203317</v>
      </c>
      <c r="I167" s="28">
        <v>227384800</v>
      </c>
      <c r="J167" s="28">
        <v>800000000</v>
      </c>
      <c r="K167" s="34">
        <v>-0.74</v>
      </c>
      <c r="L167" s="34">
        <v>6.86</v>
      </c>
      <c r="M167" s="34">
        <v>18.96</v>
      </c>
      <c r="N167" s="24">
        <v>163</v>
      </c>
      <c r="O167" s="29">
        <v>43096.561967592592</v>
      </c>
    </row>
    <row r="168" spans="2:15" x14ac:dyDescent="0.25">
      <c r="B168" s="24" t="s">
        <v>2228</v>
      </c>
      <c r="C168" s="23" t="s">
        <v>305</v>
      </c>
      <c r="D168" s="24" t="s">
        <v>1273</v>
      </c>
      <c r="E168" s="25">
        <v>2.1060000000000002E-5</v>
      </c>
      <c r="F168" s="26">
        <v>0.33272200000000002</v>
      </c>
      <c r="G168" s="27">
        <v>3224650</v>
      </c>
      <c r="H168" s="27">
        <v>76528520</v>
      </c>
      <c r="I168" s="28">
        <v>230007393</v>
      </c>
      <c r="J168" s="28">
        <v>230007393</v>
      </c>
      <c r="K168" s="34">
        <v>-2.76</v>
      </c>
      <c r="L168" s="34">
        <v>3.83</v>
      </c>
      <c r="M168" s="34">
        <v>46.41</v>
      </c>
      <c r="N168" s="24">
        <v>164</v>
      </c>
      <c r="O168" s="29">
        <v>43096.561840277776</v>
      </c>
    </row>
    <row r="169" spans="2:15" x14ac:dyDescent="0.25">
      <c r="B169" s="24" t="s">
        <v>3261</v>
      </c>
      <c r="C169" s="23" t="s">
        <v>3262</v>
      </c>
      <c r="D169" s="24" t="s">
        <v>3263</v>
      </c>
      <c r="E169" s="25">
        <v>3.3100000000000001E-6</v>
      </c>
      <c r="F169" s="26">
        <v>5.2271999999999999E-2</v>
      </c>
      <c r="G169" s="27">
        <v>11318800</v>
      </c>
      <c r="H169" s="27">
        <v>75584088</v>
      </c>
      <c r="I169" s="28">
        <v>1445976590</v>
      </c>
      <c r="J169" s="28">
        <v>2000000005</v>
      </c>
      <c r="K169" s="34">
        <v>0.52</v>
      </c>
      <c r="L169" s="34">
        <v>1.74</v>
      </c>
      <c r="M169" s="34">
        <v>-20.420000000000002</v>
      </c>
      <c r="N169" s="24">
        <v>165</v>
      </c>
      <c r="O169" s="29">
        <v>43096.561990740738</v>
      </c>
    </row>
    <row r="170" spans="2:15" x14ac:dyDescent="0.25">
      <c r="B170" s="24" t="s">
        <v>3224</v>
      </c>
      <c r="C170" s="23" t="s">
        <v>3225</v>
      </c>
      <c r="D170" s="24" t="s">
        <v>3226</v>
      </c>
      <c r="E170" s="25">
        <v>1.7710999999999999E-4</v>
      </c>
      <c r="F170" s="26">
        <v>2.7980999999999998</v>
      </c>
      <c r="G170" s="27">
        <v>221044</v>
      </c>
      <c r="H170" s="27">
        <v>75548700</v>
      </c>
      <c r="I170" s="28">
        <v>27000000</v>
      </c>
      <c r="J170" s="28">
        <v>27000000</v>
      </c>
      <c r="K170" s="34">
        <v>2.65</v>
      </c>
      <c r="L170" s="34">
        <v>85.83</v>
      </c>
      <c r="M170" s="34">
        <v>117.67</v>
      </c>
      <c r="N170" s="24">
        <v>166</v>
      </c>
      <c r="O170" s="29">
        <v>43096.561990740738</v>
      </c>
    </row>
    <row r="171" spans="2:15" x14ac:dyDescent="0.25">
      <c r="B171" s="24" t="s">
        <v>3885</v>
      </c>
      <c r="C171" s="23" t="s">
        <v>3886</v>
      </c>
      <c r="D171" s="24" t="s">
        <v>1684</v>
      </c>
      <c r="E171" s="25">
        <v>1.1229999999999999E-5</v>
      </c>
      <c r="F171" s="26">
        <v>0.17741899999999999</v>
      </c>
      <c r="G171" s="27">
        <v>6154950</v>
      </c>
      <c r="H171" s="27">
        <v>74515980</v>
      </c>
      <c r="I171" s="28">
        <v>420000000</v>
      </c>
      <c r="J171" s="28">
        <v>1000000000</v>
      </c>
      <c r="K171" s="34">
        <v>-0.23</v>
      </c>
      <c r="L171" s="34">
        <v>-3.86</v>
      </c>
      <c r="M171" s="34">
        <v>-21.19</v>
      </c>
      <c r="N171" s="24">
        <v>167</v>
      </c>
      <c r="O171" s="29">
        <v>43096.562013888892</v>
      </c>
    </row>
    <row r="172" spans="2:15" x14ac:dyDescent="0.25">
      <c r="B172" s="24" t="s">
        <v>2047</v>
      </c>
      <c r="C172" s="23" t="s">
        <v>123</v>
      </c>
      <c r="D172" s="24" t="s">
        <v>1091</v>
      </c>
      <c r="E172" s="25">
        <v>2.1480000000000001E-5</v>
      </c>
      <c r="F172" s="26">
        <v>0.33940300000000001</v>
      </c>
      <c r="G172" s="27">
        <v>5988610</v>
      </c>
      <c r="H172" s="27">
        <v>74350283</v>
      </c>
      <c r="I172" s="28">
        <v>219061950</v>
      </c>
      <c r="J172" s="28">
        <v>219061950</v>
      </c>
      <c r="K172" s="34">
        <v>-0.38</v>
      </c>
      <c r="L172" s="34">
        <v>4.4000000000000004</v>
      </c>
      <c r="M172" s="34">
        <v>3.79</v>
      </c>
      <c r="N172" s="24">
        <v>168</v>
      </c>
      <c r="O172" s="29">
        <v>43096.56181712963</v>
      </c>
    </row>
    <row r="173" spans="2:15" x14ac:dyDescent="0.25">
      <c r="B173" s="24" t="s">
        <v>3370</v>
      </c>
      <c r="C173" s="23" t="s">
        <v>3833</v>
      </c>
      <c r="D173" s="24" t="s">
        <v>3371</v>
      </c>
      <c r="E173" s="25">
        <v>3.2100000000000001E-5</v>
      </c>
      <c r="F173" s="26">
        <v>0.50713900000000001</v>
      </c>
      <c r="G173" s="27">
        <v>10670500</v>
      </c>
      <c r="H173" s="27">
        <v>73327722</v>
      </c>
      <c r="I173" s="28">
        <v>144590975</v>
      </c>
      <c r="J173" s="28">
        <v>361477438</v>
      </c>
      <c r="K173" s="34">
        <v>-4.25</v>
      </c>
      <c r="L173" s="34">
        <v>43.28</v>
      </c>
      <c r="M173" s="34">
        <v>52.01</v>
      </c>
      <c r="N173" s="24">
        <v>169</v>
      </c>
      <c r="O173" s="29">
        <v>43096.561990740738</v>
      </c>
    </row>
    <row r="174" spans="2:15" x14ac:dyDescent="0.25">
      <c r="B174" s="24" t="s">
        <v>2060</v>
      </c>
      <c r="C174" s="23" t="s">
        <v>135</v>
      </c>
      <c r="D174" s="24" t="s">
        <v>1104</v>
      </c>
      <c r="E174" s="25">
        <v>6.1600000000000007E-5</v>
      </c>
      <c r="F174" s="26">
        <v>0.97314800000000001</v>
      </c>
      <c r="G174" s="27">
        <v>34717800</v>
      </c>
      <c r="H174" s="27">
        <v>72986100</v>
      </c>
      <c r="I174" s="28">
        <v>75000000</v>
      </c>
      <c r="J174" s="28">
        <v>98855150</v>
      </c>
      <c r="K174" s="34">
        <v>1.36</v>
      </c>
      <c r="L174" s="34">
        <v>54.35</v>
      </c>
      <c r="M174" s="34">
        <v>52.23</v>
      </c>
      <c r="N174" s="24">
        <v>170</v>
      </c>
      <c r="O174" s="29">
        <v>43096.561921296299</v>
      </c>
    </row>
    <row r="175" spans="2:15" x14ac:dyDescent="0.25">
      <c r="B175" s="24" t="s">
        <v>2716</v>
      </c>
      <c r="C175" s="23" t="s">
        <v>792</v>
      </c>
      <c r="D175" s="24" t="s">
        <v>1747</v>
      </c>
      <c r="E175" s="25">
        <v>2.1100000000000001E-6</v>
      </c>
      <c r="F175" s="26">
        <v>3.3281199999999997E-2</v>
      </c>
      <c r="G175" s="27">
        <v>5140520</v>
      </c>
      <c r="H175" s="27">
        <v>72436378</v>
      </c>
      <c r="I175" s="28">
        <v>2176495390</v>
      </c>
      <c r="J175" s="28">
        <v>3141592653</v>
      </c>
      <c r="K175" s="34">
        <v>6.78</v>
      </c>
      <c r="L175" s="34">
        <v>11.85</v>
      </c>
      <c r="M175" s="34">
        <v>20.18</v>
      </c>
      <c r="N175" s="24">
        <v>171</v>
      </c>
      <c r="O175" s="29">
        <v>43096.561979166669</v>
      </c>
    </row>
    <row r="176" spans="2:15" x14ac:dyDescent="0.25">
      <c r="B176" s="24" t="s">
        <v>2046</v>
      </c>
      <c r="C176" s="23" t="s">
        <v>0</v>
      </c>
      <c r="D176" s="24" t="s">
        <v>1090</v>
      </c>
      <c r="E176" s="25">
        <v>3.9093E-4</v>
      </c>
      <c r="F176" s="26">
        <v>6.1761499999999998</v>
      </c>
      <c r="G176" s="27">
        <v>2611580</v>
      </c>
      <c r="H176" s="27">
        <v>71336449</v>
      </c>
      <c r="I176" s="28">
        <v>11550310</v>
      </c>
      <c r="J176" s="28">
        <v>11550310</v>
      </c>
      <c r="K176" s="34">
        <v>-1.89</v>
      </c>
      <c r="L176" s="34">
        <v>-3.98</v>
      </c>
      <c r="M176" s="34">
        <v>76.510000000000005</v>
      </c>
      <c r="N176" s="24">
        <v>172</v>
      </c>
      <c r="O176" s="29">
        <v>43096.561863425923</v>
      </c>
    </row>
    <row r="177" spans="2:15" x14ac:dyDescent="0.25">
      <c r="B177" s="24" t="s">
        <v>2131</v>
      </c>
      <c r="C177" s="23" t="s">
        <v>206</v>
      </c>
      <c r="D177" s="24" t="s">
        <v>1175</v>
      </c>
      <c r="E177" s="25">
        <v>6.3799999999999999E-6</v>
      </c>
      <c r="F177" s="26">
        <v>0.100854</v>
      </c>
      <c r="G177" s="27">
        <v>1247200</v>
      </c>
      <c r="H177" s="27">
        <v>70787810</v>
      </c>
      <c r="I177" s="28">
        <v>701884009</v>
      </c>
      <c r="J177" s="28">
        <v>701884009</v>
      </c>
      <c r="K177" s="34">
        <v>-1.08</v>
      </c>
      <c r="L177" s="34">
        <v>12.64</v>
      </c>
      <c r="M177" s="34">
        <v>-14.09</v>
      </c>
      <c r="N177" s="24">
        <v>173</v>
      </c>
      <c r="O177" s="29">
        <v>43096.561909722222</v>
      </c>
    </row>
    <row r="178" spans="2:15" x14ac:dyDescent="0.25">
      <c r="B178" s="24" t="s">
        <v>3180</v>
      </c>
      <c r="C178" s="23" t="s">
        <v>3181</v>
      </c>
      <c r="D178" s="24" t="s">
        <v>3182</v>
      </c>
      <c r="E178" s="25">
        <v>2.7310000000000001E-5</v>
      </c>
      <c r="F178" s="26">
        <v>0.43143999999999999</v>
      </c>
      <c r="G178" s="27">
        <v>13769300</v>
      </c>
      <c r="H178" s="27">
        <v>70022626</v>
      </c>
      <c r="I178" s="28">
        <v>162299801</v>
      </c>
      <c r="J178" s="28">
        <v>200000000</v>
      </c>
      <c r="K178" s="34">
        <v>-1.76</v>
      </c>
      <c r="L178" s="34">
        <v>1.1499999999999999</v>
      </c>
      <c r="M178" s="34">
        <v>94.52</v>
      </c>
      <c r="N178" s="24">
        <v>174</v>
      </c>
      <c r="O178" s="29">
        <v>43096.561990740738</v>
      </c>
    </row>
    <row r="179" spans="2:15" x14ac:dyDescent="0.25">
      <c r="B179" s="24" t="s">
        <v>2205</v>
      </c>
      <c r="C179" s="23" t="s">
        <v>277</v>
      </c>
      <c r="D179" s="24" t="s">
        <v>1246</v>
      </c>
      <c r="E179" s="25">
        <v>1.77E-5</v>
      </c>
      <c r="F179" s="26">
        <v>0.27966800000000003</v>
      </c>
      <c r="G179" s="27">
        <v>3329520</v>
      </c>
      <c r="H179" s="27">
        <v>69523018</v>
      </c>
      <c r="I179" s="28">
        <v>248591251</v>
      </c>
      <c r="J179" s="28">
        <v>248591251</v>
      </c>
      <c r="K179" s="34">
        <v>2.56</v>
      </c>
      <c r="L179" s="34">
        <v>-0.69</v>
      </c>
      <c r="M179" s="34">
        <v>15.77</v>
      </c>
      <c r="N179" s="24">
        <v>175</v>
      </c>
      <c r="O179" s="29">
        <v>43096.561828703707</v>
      </c>
    </row>
    <row r="180" spans="2:15" x14ac:dyDescent="0.25">
      <c r="B180" s="24" t="s">
        <v>4013</v>
      </c>
      <c r="C180" s="23" t="s">
        <v>4014</v>
      </c>
      <c r="D180" s="24" t="s">
        <v>4015</v>
      </c>
      <c r="E180" s="25">
        <v>1.7999999999999999E-6</v>
      </c>
      <c r="F180" s="26">
        <v>2.8470599999999999E-2</v>
      </c>
      <c r="G180" s="27">
        <v>1087710</v>
      </c>
      <c r="H180" s="27">
        <v>69064337</v>
      </c>
      <c r="I180" s="28">
        <v>2425812483</v>
      </c>
      <c r="J180" s="28">
        <v>10000000000</v>
      </c>
      <c r="K180" s="34">
        <v>-5.16</v>
      </c>
      <c r="L180" s="34">
        <v>6.74</v>
      </c>
      <c r="M180" s="34"/>
      <c r="N180" s="24">
        <v>176</v>
      </c>
      <c r="O180" s="29">
        <v>43096.562025462961</v>
      </c>
    </row>
    <row r="181" spans="2:15" x14ac:dyDescent="0.25">
      <c r="B181" s="24" t="s">
        <v>77</v>
      </c>
      <c r="C181" s="23" t="s">
        <v>77</v>
      </c>
      <c r="D181" s="24" t="s">
        <v>1045</v>
      </c>
      <c r="E181" s="25">
        <v>7.1199999999999996E-6</v>
      </c>
      <c r="F181" s="26">
        <v>0.11255900000000001</v>
      </c>
      <c r="G181" s="27">
        <v>6052030</v>
      </c>
      <c r="H181" s="27">
        <v>67535400</v>
      </c>
      <c r="I181" s="28">
        <v>600000000</v>
      </c>
      <c r="J181" s="28">
        <v>1000000000</v>
      </c>
      <c r="K181" s="34">
        <v>-0.23</v>
      </c>
      <c r="L181" s="34">
        <v>-5.36</v>
      </c>
      <c r="M181" s="34">
        <v>34.869999999999997</v>
      </c>
      <c r="N181" s="24">
        <v>177</v>
      </c>
      <c r="O181" s="29">
        <v>43096.561967592592</v>
      </c>
    </row>
    <row r="182" spans="2:15" x14ac:dyDescent="0.25">
      <c r="B182" s="24" t="s">
        <v>2254</v>
      </c>
      <c r="C182" s="23" t="s">
        <v>338</v>
      </c>
      <c r="D182" s="24" t="s">
        <v>1306</v>
      </c>
      <c r="E182" s="25">
        <v>4.1940000000000002E-5</v>
      </c>
      <c r="F182" s="26">
        <v>0.66268000000000005</v>
      </c>
      <c r="G182" s="27">
        <v>729975</v>
      </c>
      <c r="H182" s="27">
        <v>66268000</v>
      </c>
      <c r="I182" s="28">
        <v>100000000</v>
      </c>
      <c r="J182" s="28">
        <v>100000000</v>
      </c>
      <c r="K182" s="34">
        <v>-1.39</v>
      </c>
      <c r="L182" s="34">
        <v>-0.5</v>
      </c>
      <c r="M182" s="34">
        <v>-14.63</v>
      </c>
      <c r="N182" s="24">
        <v>178</v>
      </c>
      <c r="O182" s="29">
        <v>43096.561921296299</v>
      </c>
    </row>
    <row r="183" spans="2:15" x14ac:dyDescent="0.25">
      <c r="B183" s="24" t="s">
        <v>2006</v>
      </c>
      <c r="C183" s="23" t="s">
        <v>91</v>
      </c>
      <c r="D183" s="24" t="s">
        <v>1059</v>
      </c>
      <c r="E183" s="25">
        <v>1.1590000000000001E-5</v>
      </c>
      <c r="F183" s="26">
        <v>0.183064</v>
      </c>
      <c r="G183" s="27">
        <v>670420</v>
      </c>
      <c r="H183" s="27">
        <v>65667591</v>
      </c>
      <c r="I183" s="28">
        <v>358713845</v>
      </c>
      <c r="J183" s="28">
        <v>460734000</v>
      </c>
      <c r="K183" s="34">
        <v>-0.39</v>
      </c>
      <c r="L183" s="34">
        <v>-0.42</v>
      </c>
      <c r="M183" s="34">
        <v>24.7</v>
      </c>
      <c r="N183" s="24">
        <v>179</v>
      </c>
      <c r="O183" s="29">
        <v>43096.561828703707</v>
      </c>
    </row>
    <row r="184" spans="2:15" x14ac:dyDescent="0.25">
      <c r="B184" s="24" t="s">
        <v>2717</v>
      </c>
      <c r="C184" s="23" t="s">
        <v>786</v>
      </c>
      <c r="D184" s="24" t="s">
        <v>786</v>
      </c>
      <c r="E184" s="25">
        <v>1.9550000000000001E-5</v>
      </c>
      <c r="F184" s="26">
        <v>0.30880000000000002</v>
      </c>
      <c r="G184" s="27">
        <v>5141680</v>
      </c>
      <c r="H184" s="27">
        <v>65291513</v>
      </c>
      <c r="I184" s="28">
        <v>211436247</v>
      </c>
      <c r="J184" s="28">
        <v>300000000</v>
      </c>
      <c r="K184" s="34">
        <v>-0.05</v>
      </c>
      <c r="L184" s="34">
        <v>1.92</v>
      </c>
      <c r="M184" s="34">
        <v>-20.47</v>
      </c>
      <c r="N184" s="24">
        <v>180</v>
      </c>
      <c r="O184" s="29">
        <v>43096.561967592592</v>
      </c>
    </row>
    <row r="185" spans="2:15" x14ac:dyDescent="0.25">
      <c r="B185" s="24" t="s">
        <v>3140</v>
      </c>
      <c r="C185" s="23" t="s">
        <v>3141</v>
      </c>
      <c r="D185" s="24" t="s">
        <v>3142</v>
      </c>
      <c r="E185" s="25">
        <v>1.2330000000000001E-5</v>
      </c>
      <c r="F185" s="26">
        <v>0.19486000000000001</v>
      </c>
      <c r="G185" s="27">
        <v>134781</v>
      </c>
      <c r="H185" s="27">
        <v>63237604</v>
      </c>
      <c r="I185" s="28">
        <v>324528401</v>
      </c>
      <c r="J185" s="28">
        <v>1000000000</v>
      </c>
      <c r="K185" s="34">
        <v>1.36</v>
      </c>
      <c r="L185" s="34">
        <v>-15.56</v>
      </c>
      <c r="M185" s="34">
        <v>-16.600000000000001</v>
      </c>
      <c r="N185" s="24">
        <v>181</v>
      </c>
      <c r="O185" s="29">
        <v>43096.561979166669</v>
      </c>
    </row>
    <row r="186" spans="2:15" x14ac:dyDescent="0.25">
      <c r="B186" s="24" t="s">
        <v>2037</v>
      </c>
      <c r="C186" s="23" t="s">
        <v>111</v>
      </c>
      <c r="D186" s="24" t="s">
        <v>111</v>
      </c>
      <c r="E186" s="25">
        <v>2.1389E-4</v>
      </c>
      <c r="F186" s="26">
        <v>3.3792</v>
      </c>
      <c r="G186" s="27">
        <v>1049440</v>
      </c>
      <c r="H186" s="27">
        <v>62838921</v>
      </c>
      <c r="I186" s="28">
        <v>18595798</v>
      </c>
      <c r="J186" s="28">
        <v>24495798</v>
      </c>
      <c r="K186" s="34">
        <v>0.76</v>
      </c>
      <c r="L186" s="34">
        <v>-4.8899999999999997</v>
      </c>
      <c r="M186" s="34">
        <v>33.19</v>
      </c>
      <c r="N186" s="24">
        <v>182</v>
      </c>
      <c r="O186" s="29">
        <v>43096.561886574076</v>
      </c>
    </row>
    <row r="187" spans="2:15" x14ac:dyDescent="0.25">
      <c r="B187" s="24" t="s">
        <v>2031</v>
      </c>
      <c r="C187" s="23" t="s">
        <v>109</v>
      </c>
      <c r="D187" s="24" t="s">
        <v>1077</v>
      </c>
      <c r="E187" s="25">
        <v>2.6801E-4</v>
      </c>
      <c r="F187" s="26">
        <v>4.2343200000000003</v>
      </c>
      <c r="G187" s="27">
        <v>550089</v>
      </c>
      <c r="H187" s="27">
        <v>62398633</v>
      </c>
      <c r="I187" s="28">
        <v>14736400</v>
      </c>
      <c r="J187" s="28">
        <v>14736400</v>
      </c>
      <c r="K187" s="34">
        <v>0.27</v>
      </c>
      <c r="L187" s="34">
        <v>-1.54</v>
      </c>
      <c r="M187" s="34">
        <v>1.76</v>
      </c>
      <c r="N187" s="24">
        <v>183</v>
      </c>
      <c r="O187" s="29">
        <v>43096.56181712963</v>
      </c>
    </row>
    <row r="188" spans="2:15" x14ac:dyDescent="0.25">
      <c r="B188" s="24" t="s">
        <v>3367</v>
      </c>
      <c r="C188" s="23" t="s">
        <v>3368</v>
      </c>
      <c r="D188" s="24" t="s">
        <v>3369</v>
      </c>
      <c r="E188" s="25">
        <v>2.1272000000000001E-4</v>
      </c>
      <c r="F188" s="26">
        <v>3.3606699999999998</v>
      </c>
      <c r="G188" s="27">
        <v>6665470</v>
      </c>
      <c r="H188" s="27">
        <v>61386670</v>
      </c>
      <c r="I188" s="28">
        <v>18266200</v>
      </c>
      <c r="J188" s="28">
        <v>27266200</v>
      </c>
      <c r="K188" s="34">
        <v>-2.16</v>
      </c>
      <c r="L188" s="34">
        <v>-4.38</v>
      </c>
      <c r="M188" s="34">
        <v>49.46</v>
      </c>
      <c r="N188" s="24">
        <v>184</v>
      </c>
      <c r="O188" s="29">
        <v>43096.561990740738</v>
      </c>
    </row>
    <row r="189" spans="2:15" x14ac:dyDescent="0.25">
      <c r="B189" s="24" t="s">
        <v>1997</v>
      </c>
      <c r="C189" s="23" t="s">
        <v>74</v>
      </c>
      <c r="D189" s="24" t="s">
        <v>1042</v>
      </c>
      <c r="E189" s="25">
        <v>9.0599999999999997E-6</v>
      </c>
      <c r="F189" s="26">
        <v>0.14311199999999999</v>
      </c>
      <c r="G189" s="27">
        <v>2824590</v>
      </c>
      <c r="H189" s="27">
        <v>61320811</v>
      </c>
      <c r="I189" s="28">
        <v>428481269</v>
      </c>
      <c r="J189" s="28">
        <v>1000000000</v>
      </c>
      <c r="K189" s="34">
        <v>0.21</v>
      </c>
      <c r="L189" s="34">
        <v>-2.11</v>
      </c>
      <c r="M189" s="34">
        <v>-3.5</v>
      </c>
      <c r="N189" s="24">
        <v>185</v>
      </c>
      <c r="O189" s="29">
        <v>43096.561967592592</v>
      </c>
    </row>
    <row r="190" spans="2:15" x14ac:dyDescent="0.25">
      <c r="B190" s="24" t="s">
        <v>2030</v>
      </c>
      <c r="C190" s="23" t="s">
        <v>106</v>
      </c>
      <c r="D190" s="24" t="s">
        <v>1074</v>
      </c>
      <c r="E190" s="25">
        <v>7.2449999999999999E-5</v>
      </c>
      <c r="F190" s="26">
        <v>1.14462</v>
      </c>
      <c r="G190" s="27">
        <v>89764.1</v>
      </c>
      <c r="H190" s="27">
        <v>60886723</v>
      </c>
      <c r="I190" s="28">
        <v>53193831</v>
      </c>
      <c r="J190" s="28">
        <v>53193831</v>
      </c>
      <c r="K190" s="34">
        <v>-1.64</v>
      </c>
      <c r="L190" s="34">
        <v>2.94</v>
      </c>
      <c r="M190" s="34">
        <v>14.04</v>
      </c>
      <c r="N190" s="24">
        <v>186</v>
      </c>
      <c r="O190" s="29">
        <v>43096.561828703707</v>
      </c>
    </row>
    <row r="191" spans="2:15" x14ac:dyDescent="0.25">
      <c r="B191" s="24" t="s">
        <v>2008</v>
      </c>
      <c r="C191" s="23" t="s">
        <v>93</v>
      </c>
      <c r="D191" s="24" t="s">
        <v>1061</v>
      </c>
      <c r="E191" s="25">
        <v>4.2459999999999997E-5</v>
      </c>
      <c r="F191" s="26">
        <v>0.67081599999999997</v>
      </c>
      <c r="G191" s="27">
        <v>2787590</v>
      </c>
      <c r="H191" s="27">
        <v>59135978</v>
      </c>
      <c r="I191" s="28">
        <v>88155288</v>
      </c>
      <c r="J191" s="28">
        <v>100000000</v>
      </c>
      <c r="K191" s="34">
        <v>-1.48</v>
      </c>
      <c r="L191" s="34">
        <v>6.07</v>
      </c>
      <c r="M191" s="34">
        <v>27.76</v>
      </c>
      <c r="N191" s="24">
        <v>187</v>
      </c>
      <c r="O191" s="29">
        <v>43096.561944444446</v>
      </c>
    </row>
    <row r="192" spans="2:15" x14ac:dyDescent="0.25">
      <c r="B192" s="24" t="s">
        <v>3840</v>
      </c>
      <c r="C192" s="23" t="s">
        <v>3841</v>
      </c>
      <c r="D192" s="24" t="s">
        <v>3842</v>
      </c>
      <c r="E192" s="25">
        <v>2.7700000000000002E-6</v>
      </c>
      <c r="F192" s="26">
        <v>4.3748200000000001E-2</v>
      </c>
      <c r="G192" s="27">
        <v>511884</v>
      </c>
      <c r="H192" s="27">
        <v>59021587</v>
      </c>
      <c r="I192" s="28">
        <v>1349120359</v>
      </c>
      <c r="J192" s="28">
        <v>3646271241</v>
      </c>
      <c r="K192" s="34">
        <v>1.43</v>
      </c>
      <c r="L192" s="34">
        <v>-9.0500000000000007</v>
      </c>
      <c r="M192" s="34">
        <v>20.29</v>
      </c>
      <c r="N192" s="24">
        <v>188</v>
      </c>
      <c r="O192" s="29">
        <v>43096.562013888892</v>
      </c>
    </row>
    <row r="193" spans="2:15" x14ac:dyDescent="0.25">
      <c r="B193" s="24" t="s">
        <v>3294</v>
      </c>
      <c r="C193" s="23" t="s">
        <v>3295</v>
      </c>
      <c r="D193" s="24" t="s">
        <v>3296</v>
      </c>
      <c r="E193" s="25">
        <v>2.4870000000000001E-5</v>
      </c>
      <c r="F193" s="26">
        <v>0.39288499999999998</v>
      </c>
      <c r="G193" s="27">
        <v>6802480</v>
      </c>
      <c r="H193" s="27">
        <v>58932750</v>
      </c>
      <c r="I193" s="28">
        <v>150000000</v>
      </c>
      <c r="J193" s="28">
        <v>500000000</v>
      </c>
      <c r="K193" s="34">
        <v>-0.28000000000000003</v>
      </c>
      <c r="L193" s="34">
        <v>-1.66</v>
      </c>
      <c r="M193" s="34">
        <v>12.38</v>
      </c>
      <c r="N193" s="24">
        <v>189</v>
      </c>
      <c r="O193" s="29">
        <v>43096.561990740738</v>
      </c>
    </row>
    <row r="194" spans="2:15" x14ac:dyDescent="0.25">
      <c r="B194" s="24" t="s">
        <v>2085</v>
      </c>
      <c r="C194" s="23" t="s">
        <v>158</v>
      </c>
      <c r="D194" s="24" t="s">
        <v>1128</v>
      </c>
      <c r="E194" s="25">
        <v>2.5454999999999998E-4</v>
      </c>
      <c r="F194" s="26">
        <v>4.0216099999999999</v>
      </c>
      <c r="G194" s="27">
        <v>352468</v>
      </c>
      <c r="H194" s="27">
        <v>58921173</v>
      </c>
      <c r="I194" s="28">
        <v>14651140</v>
      </c>
      <c r="J194" s="28">
        <v>14651140</v>
      </c>
      <c r="K194" s="34">
        <v>-1.68</v>
      </c>
      <c r="L194" s="34">
        <v>1.94</v>
      </c>
      <c r="M194" s="34">
        <v>2.13</v>
      </c>
      <c r="N194" s="24">
        <v>190</v>
      </c>
      <c r="O194" s="29">
        <v>43096.561863425923</v>
      </c>
    </row>
    <row r="195" spans="2:15" x14ac:dyDescent="0.25">
      <c r="B195" s="24" t="s">
        <v>1986</v>
      </c>
      <c r="C195" s="23" t="s">
        <v>63</v>
      </c>
      <c r="D195" s="24" t="s">
        <v>1031</v>
      </c>
      <c r="E195" s="25">
        <v>1.3879999999999999E-5</v>
      </c>
      <c r="F195" s="26">
        <v>0.21928</v>
      </c>
      <c r="G195" s="27">
        <v>135382</v>
      </c>
      <c r="H195" s="27">
        <v>57946583</v>
      </c>
      <c r="I195" s="28">
        <v>264258407</v>
      </c>
      <c r="J195" s="28">
        <v>1285690000</v>
      </c>
      <c r="K195" s="34">
        <v>-1.94</v>
      </c>
      <c r="L195" s="34">
        <v>-3.31</v>
      </c>
      <c r="M195" s="34">
        <v>-15.98</v>
      </c>
      <c r="N195" s="24">
        <v>191</v>
      </c>
      <c r="O195" s="29">
        <v>43096.561909722222</v>
      </c>
    </row>
    <row r="196" spans="2:15" x14ac:dyDescent="0.25">
      <c r="B196" s="24" t="s">
        <v>3904</v>
      </c>
      <c r="C196" s="23" t="s">
        <v>3905</v>
      </c>
      <c r="D196" s="24" t="s">
        <v>3930</v>
      </c>
      <c r="E196" s="25">
        <v>9.4439999999999997E-5</v>
      </c>
      <c r="F196" s="26">
        <v>1.4920199999999999</v>
      </c>
      <c r="G196" s="27">
        <v>4642710</v>
      </c>
      <c r="H196" s="27">
        <v>56771261</v>
      </c>
      <c r="I196" s="28">
        <v>38049933</v>
      </c>
      <c r="J196" s="28">
        <v>100000000</v>
      </c>
      <c r="K196" s="34">
        <v>3.17</v>
      </c>
      <c r="L196" s="34">
        <v>18.88</v>
      </c>
      <c r="M196" s="34">
        <v>20.99</v>
      </c>
      <c r="N196" s="24">
        <v>192</v>
      </c>
      <c r="O196" s="29">
        <v>43096.562013888892</v>
      </c>
    </row>
    <row r="197" spans="2:15" x14ac:dyDescent="0.25">
      <c r="B197" s="24" t="s">
        <v>2073</v>
      </c>
      <c r="C197" s="23" t="s">
        <v>152</v>
      </c>
      <c r="D197" s="24" t="s">
        <v>1122</v>
      </c>
      <c r="E197" s="25">
        <v>4.367E-5</v>
      </c>
      <c r="F197" s="26">
        <v>0.68996000000000002</v>
      </c>
      <c r="G197" s="27">
        <v>6871710</v>
      </c>
      <c r="H197" s="27">
        <v>56753573</v>
      </c>
      <c r="I197" s="28">
        <v>82256324</v>
      </c>
      <c r="J197" s="28">
        <v>949291063</v>
      </c>
      <c r="K197" s="34">
        <v>-1.3</v>
      </c>
      <c r="L197" s="34">
        <v>18.72</v>
      </c>
      <c r="M197" s="34">
        <v>57.96</v>
      </c>
      <c r="N197" s="24">
        <v>193</v>
      </c>
      <c r="O197" s="29">
        <v>43096.561886574076</v>
      </c>
    </row>
    <row r="198" spans="2:15" x14ac:dyDescent="0.25">
      <c r="B198" s="24" t="s">
        <v>2034</v>
      </c>
      <c r="C198" s="23" t="s">
        <v>122</v>
      </c>
      <c r="D198" s="24" t="s">
        <v>1089</v>
      </c>
      <c r="E198" s="25">
        <v>4.5260999999999999E-4</v>
      </c>
      <c r="F198" s="26">
        <v>7.1506499999999997</v>
      </c>
      <c r="G198" s="27">
        <v>15749700</v>
      </c>
      <c r="H198" s="27">
        <v>56535874</v>
      </c>
      <c r="I198" s="28">
        <v>7906397</v>
      </c>
      <c r="J198" s="28">
        <v>16906397</v>
      </c>
      <c r="K198" s="34">
        <v>0.08</v>
      </c>
      <c r="L198" s="34">
        <v>42.68</v>
      </c>
      <c r="M198" s="34">
        <v>100.46</v>
      </c>
      <c r="N198" s="24">
        <v>194</v>
      </c>
      <c r="O198" s="29">
        <v>43096.561874999999</v>
      </c>
    </row>
    <row r="199" spans="2:15" x14ac:dyDescent="0.25">
      <c r="B199" s="24" t="s">
        <v>2272</v>
      </c>
      <c r="C199" s="23" t="s">
        <v>4061</v>
      </c>
      <c r="D199" s="24" t="s">
        <v>387</v>
      </c>
      <c r="E199" s="25">
        <v>2E-8</v>
      </c>
      <c r="F199" s="26">
        <v>2.8449500000000001E-4</v>
      </c>
      <c r="G199" s="27">
        <v>979258</v>
      </c>
      <c r="H199" s="27">
        <v>55943591</v>
      </c>
      <c r="I199" s="28">
        <v>196641737177</v>
      </c>
      <c r="J199" s="28">
        <v>241403297355</v>
      </c>
      <c r="K199" s="34">
        <v>-7.16</v>
      </c>
      <c r="L199" s="34">
        <v>7.27</v>
      </c>
      <c r="M199" s="34">
        <v>22.08</v>
      </c>
      <c r="N199" s="24">
        <v>195</v>
      </c>
      <c r="O199" s="29">
        <v>43096.561898148146</v>
      </c>
    </row>
    <row r="200" spans="2:15" x14ac:dyDescent="0.25">
      <c r="B200" s="24" t="s">
        <v>2013</v>
      </c>
      <c r="C200" s="23" t="s">
        <v>128</v>
      </c>
      <c r="D200" s="24" t="s">
        <v>1096</v>
      </c>
      <c r="E200" s="25">
        <v>3.7759999999999998E-5</v>
      </c>
      <c r="F200" s="26">
        <v>0.59650400000000003</v>
      </c>
      <c r="G200" s="27">
        <v>1520740</v>
      </c>
      <c r="H200" s="27">
        <v>54966352</v>
      </c>
      <c r="I200" s="28">
        <v>92147500</v>
      </c>
      <c r="J200" s="28">
        <v>100000000</v>
      </c>
      <c r="K200" s="34">
        <v>-0.61</v>
      </c>
      <c r="L200" s="34">
        <v>18.66</v>
      </c>
      <c r="M200" s="34">
        <v>11.9</v>
      </c>
      <c r="N200" s="24">
        <v>196</v>
      </c>
      <c r="O200" s="29">
        <v>43096.561932870369</v>
      </c>
    </row>
    <row r="201" spans="2:15" x14ac:dyDescent="0.25">
      <c r="B201" s="24" t="s">
        <v>3499</v>
      </c>
      <c r="C201" s="23" t="s">
        <v>3500</v>
      </c>
      <c r="D201" s="24" t="s">
        <v>3501</v>
      </c>
      <c r="E201" s="25">
        <v>7.1300000000000003E-6</v>
      </c>
      <c r="F201" s="26">
        <v>0.11269700000000001</v>
      </c>
      <c r="G201" s="27">
        <v>2780770</v>
      </c>
      <c r="H201" s="27">
        <v>54668892</v>
      </c>
      <c r="I201" s="28">
        <v>485096253</v>
      </c>
      <c r="J201" s="28">
        <v>1000000000</v>
      </c>
      <c r="K201" s="34">
        <v>-2.44</v>
      </c>
      <c r="L201" s="34">
        <v>14.66</v>
      </c>
      <c r="M201" s="34">
        <v>23.73</v>
      </c>
      <c r="N201" s="24">
        <v>197</v>
      </c>
      <c r="O201" s="29">
        <v>43096.562002314815</v>
      </c>
    </row>
    <row r="202" spans="2:15" x14ac:dyDescent="0.25">
      <c r="B202" s="24" t="s">
        <v>2005</v>
      </c>
      <c r="C202" s="23" t="s">
        <v>81</v>
      </c>
      <c r="D202" s="24" t="s">
        <v>1049</v>
      </c>
      <c r="E202" s="25">
        <v>6.1399999999999997E-6</v>
      </c>
      <c r="F202" s="26">
        <v>9.6935499999999994E-2</v>
      </c>
      <c r="G202" s="27">
        <v>3051630</v>
      </c>
      <c r="H202" s="27">
        <v>54346896</v>
      </c>
      <c r="I202" s="28">
        <v>560650080</v>
      </c>
      <c r="J202" s="28">
        <v>1000000000</v>
      </c>
      <c r="K202" s="34">
        <v>-0.75</v>
      </c>
      <c r="L202" s="34">
        <v>0.94</v>
      </c>
      <c r="M202" s="34">
        <v>-6.89</v>
      </c>
      <c r="N202" s="24">
        <v>198</v>
      </c>
      <c r="O202" s="29">
        <v>43096.561967592592</v>
      </c>
    </row>
    <row r="203" spans="2:15" x14ac:dyDescent="0.25">
      <c r="B203" s="24" t="s">
        <v>3590</v>
      </c>
      <c r="C203" s="23" t="s">
        <v>3591</v>
      </c>
      <c r="D203" s="24" t="s">
        <v>3592</v>
      </c>
      <c r="E203" s="25">
        <v>2.075E-4</v>
      </c>
      <c r="F203" s="26">
        <v>3.2782499999999999</v>
      </c>
      <c r="G203" s="27">
        <v>336574</v>
      </c>
      <c r="H203" s="27">
        <v>53877539</v>
      </c>
      <c r="I203" s="28">
        <v>16434847</v>
      </c>
      <c r="J203" s="28">
        <v>16434847</v>
      </c>
      <c r="K203" s="34">
        <v>0.15</v>
      </c>
      <c r="L203" s="34">
        <v>8.32</v>
      </c>
      <c r="M203" s="34">
        <v>10.68</v>
      </c>
      <c r="N203" s="24">
        <v>199</v>
      </c>
      <c r="O203" s="29">
        <v>43096.561840277776</v>
      </c>
    </row>
    <row r="204" spans="2:15" x14ac:dyDescent="0.25">
      <c r="B204" s="24" t="s">
        <v>2052</v>
      </c>
      <c r="C204" s="23" t="s">
        <v>126</v>
      </c>
      <c r="D204" s="24" t="s">
        <v>1094</v>
      </c>
      <c r="E204" s="25">
        <v>2.0421E-4</v>
      </c>
      <c r="F204" s="26">
        <v>3.2262300000000002</v>
      </c>
      <c r="G204" s="27">
        <v>419208</v>
      </c>
      <c r="H204" s="27">
        <v>53517755</v>
      </c>
      <c r="I204" s="28">
        <v>16588326</v>
      </c>
      <c r="J204" s="28">
        <v>16588326</v>
      </c>
      <c r="K204" s="34">
        <v>-1.0900000000000001</v>
      </c>
      <c r="L204" s="34">
        <v>-7.9</v>
      </c>
      <c r="M204" s="34">
        <v>-6.22</v>
      </c>
      <c r="N204" s="24">
        <v>200</v>
      </c>
      <c r="O204" s="29">
        <v>43096.561851851853</v>
      </c>
    </row>
    <row r="205" spans="2:15" x14ac:dyDescent="0.25">
      <c r="B205" s="24" t="s">
        <v>2063</v>
      </c>
      <c r="C205" s="23" t="s">
        <v>144</v>
      </c>
      <c r="D205" s="24" t="s">
        <v>1113</v>
      </c>
      <c r="E205" s="25">
        <v>2.7889999999999999E-5</v>
      </c>
      <c r="F205" s="26">
        <v>0.44062000000000001</v>
      </c>
      <c r="G205" s="27">
        <v>4593140</v>
      </c>
      <c r="H205" s="27">
        <v>53313142</v>
      </c>
      <c r="I205" s="28">
        <v>120995737</v>
      </c>
      <c r="J205" s="28">
        <v>120995737</v>
      </c>
      <c r="K205" s="34">
        <v>0.28000000000000003</v>
      </c>
      <c r="L205" s="34">
        <v>6.96</v>
      </c>
      <c r="M205" s="34">
        <v>55.36</v>
      </c>
      <c r="N205" s="24">
        <v>201</v>
      </c>
      <c r="O205" s="29">
        <v>43096.561851851853</v>
      </c>
    </row>
    <row r="206" spans="2:15" x14ac:dyDescent="0.25">
      <c r="B206" s="24" t="s">
        <v>3984</v>
      </c>
      <c r="C206" s="23" t="s">
        <v>3985</v>
      </c>
      <c r="D206" s="24" t="s">
        <v>3986</v>
      </c>
      <c r="E206" s="25">
        <v>1.7920000000000001E-5</v>
      </c>
      <c r="F206" s="26">
        <v>0.28309299999999998</v>
      </c>
      <c r="G206" s="27">
        <v>3503330</v>
      </c>
      <c r="H206" s="27">
        <v>53023153</v>
      </c>
      <c r="I206" s="28">
        <v>187299413</v>
      </c>
      <c r="J206" s="28">
        <v>800000000</v>
      </c>
      <c r="K206" s="34">
        <v>-0.91</v>
      </c>
      <c r="L206" s="34">
        <v>20.100000000000001</v>
      </c>
      <c r="M206" s="34">
        <v>-19.43</v>
      </c>
      <c r="N206" s="24">
        <v>202</v>
      </c>
      <c r="O206" s="29">
        <v>43096.562025462961</v>
      </c>
    </row>
    <row r="207" spans="2:15" x14ac:dyDescent="0.25">
      <c r="B207" s="24" t="s">
        <v>3398</v>
      </c>
      <c r="C207" s="23" t="s">
        <v>3399</v>
      </c>
      <c r="D207" s="24" t="s">
        <v>3400</v>
      </c>
      <c r="E207" s="25">
        <v>1.4176E-4</v>
      </c>
      <c r="F207" s="26">
        <v>2.2395999999999998</v>
      </c>
      <c r="G207" s="27">
        <v>10172500</v>
      </c>
      <c r="H207" s="27">
        <v>52775910</v>
      </c>
      <c r="I207" s="28">
        <v>23564882</v>
      </c>
      <c r="J207" s="28">
        <v>40000000</v>
      </c>
      <c r="K207" s="34">
        <v>1.8</v>
      </c>
      <c r="L207" s="34">
        <v>36.130000000000003</v>
      </c>
      <c r="M207" s="34">
        <v>118.88</v>
      </c>
      <c r="N207" s="24">
        <v>203</v>
      </c>
      <c r="O207" s="29">
        <v>43096.561990740738</v>
      </c>
    </row>
    <row r="208" spans="2:15" x14ac:dyDescent="0.25">
      <c r="B208" s="24" t="s">
        <v>3649</v>
      </c>
      <c r="C208" s="23" t="s">
        <v>3593</v>
      </c>
      <c r="D208" s="24" t="s">
        <v>3441</v>
      </c>
      <c r="E208" s="25">
        <v>6.9700000000000002E-6</v>
      </c>
      <c r="F208" s="26">
        <v>0.110179</v>
      </c>
      <c r="G208" s="27">
        <v>840220</v>
      </c>
      <c r="H208" s="27">
        <v>52447613</v>
      </c>
      <c r="I208" s="28">
        <v>476021868</v>
      </c>
      <c r="J208" s="28">
        <v>476021868</v>
      </c>
      <c r="K208" s="34">
        <v>-1.35</v>
      </c>
      <c r="L208" s="34">
        <v>4.41</v>
      </c>
      <c r="M208" s="34">
        <v>247.4</v>
      </c>
      <c r="N208" s="24">
        <v>204</v>
      </c>
      <c r="O208" s="29">
        <v>43096.562002314815</v>
      </c>
    </row>
    <row r="209" spans="2:15" x14ac:dyDescent="0.25">
      <c r="B209" s="24" t="s">
        <v>3505</v>
      </c>
      <c r="C209" s="23" t="s">
        <v>3506</v>
      </c>
      <c r="D209" s="24" t="s">
        <v>3507</v>
      </c>
      <c r="E209" s="25">
        <v>1.0971100000000001E-3</v>
      </c>
      <c r="F209" s="26">
        <v>17.332999999999998</v>
      </c>
      <c r="G209" s="27">
        <v>93409.7</v>
      </c>
      <c r="H209" s="27">
        <v>51999000</v>
      </c>
      <c r="I209" s="28">
        <v>3000000</v>
      </c>
      <c r="J209" s="28">
        <v>6000000</v>
      </c>
      <c r="K209" s="34">
        <v>-2.4</v>
      </c>
      <c r="L209" s="34">
        <v>-19.63</v>
      </c>
      <c r="M209" s="34">
        <v>-31.47</v>
      </c>
      <c r="N209" s="24">
        <v>205</v>
      </c>
      <c r="O209" s="29">
        <v>43096.562002314815</v>
      </c>
    </row>
    <row r="210" spans="2:15" x14ac:dyDescent="0.25">
      <c r="B210" s="24" t="s">
        <v>2163</v>
      </c>
      <c r="C210" s="23" t="s">
        <v>256</v>
      </c>
      <c r="D210" s="24" t="s">
        <v>1225</v>
      </c>
      <c r="E210" s="25">
        <v>1.7898899999999999E-3</v>
      </c>
      <c r="F210" s="26">
        <v>28.278099999999998</v>
      </c>
      <c r="G210" s="27">
        <v>27457200</v>
      </c>
      <c r="H210" s="27">
        <v>51177705</v>
      </c>
      <c r="I210" s="28">
        <v>1809800</v>
      </c>
      <c r="J210" s="28">
        <v>1809800</v>
      </c>
      <c r="K210" s="34">
        <v>10.07</v>
      </c>
      <c r="L210" s="34">
        <v>115.04</v>
      </c>
      <c r="M210" s="34">
        <v>476.85</v>
      </c>
      <c r="N210" s="24">
        <v>206</v>
      </c>
      <c r="O210" s="29">
        <v>43096.561909722222</v>
      </c>
    </row>
    <row r="211" spans="2:15" x14ac:dyDescent="0.25">
      <c r="B211" s="24" t="s">
        <v>2096</v>
      </c>
      <c r="C211" s="23" t="s">
        <v>169</v>
      </c>
      <c r="D211" s="24" t="s">
        <v>1137</v>
      </c>
      <c r="E211" s="25">
        <v>8.8000000000000004E-6</v>
      </c>
      <c r="F211" s="26">
        <v>0.139015</v>
      </c>
      <c r="G211" s="27">
        <v>35449300</v>
      </c>
      <c r="H211" s="27">
        <v>50444929</v>
      </c>
      <c r="I211" s="28">
        <v>362874000</v>
      </c>
      <c r="J211" s="28">
        <v>362874000</v>
      </c>
      <c r="K211" s="34">
        <v>-0.56999999999999995</v>
      </c>
      <c r="L211" s="34">
        <v>-1.07</v>
      </c>
      <c r="M211" s="34">
        <v>-4.75</v>
      </c>
      <c r="N211" s="24">
        <v>207</v>
      </c>
      <c r="O211" s="29">
        <v>43096.561863425923</v>
      </c>
    </row>
    <row r="212" spans="2:15" x14ac:dyDescent="0.25">
      <c r="B212" s="24" t="s">
        <v>2089</v>
      </c>
      <c r="C212" s="23" t="s">
        <v>166</v>
      </c>
      <c r="D212" s="24" t="s">
        <v>1135</v>
      </c>
      <c r="E212" s="25">
        <v>3.9721E-4</v>
      </c>
      <c r="F212" s="26">
        <v>6.2754599999999998</v>
      </c>
      <c r="G212" s="27">
        <v>7995100</v>
      </c>
      <c r="H212" s="27">
        <v>50004313</v>
      </c>
      <c r="I212" s="28">
        <v>7968231</v>
      </c>
      <c r="J212" s="28">
        <v>7968231</v>
      </c>
      <c r="K212" s="34">
        <v>-1.46</v>
      </c>
      <c r="L212" s="34">
        <v>47.6</v>
      </c>
      <c r="M212" s="34">
        <v>144.31</v>
      </c>
      <c r="N212" s="24">
        <v>208</v>
      </c>
      <c r="O212" s="29">
        <v>43096.561932870369</v>
      </c>
    </row>
    <row r="213" spans="2:15" x14ac:dyDescent="0.25">
      <c r="B213" s="24" t="s">
        <v>2057</v>
      </c>
      <c r="C213" s="23" t="s">
        <v>140</v>
      </c>
      <c r="D213" s="24" t="s">
        <v>1109</v>
      </c>
      <c r="E213" s="25">
        <v>4.087E-5</v>
      </c>
      <c r="F213" s="26">
        <v>0.64567099999999999</v>
      </c>
      <c r="G213" s="27">
        <v>1773140</v>
      </c>
      <c r="H213" s="27">
        <v>49440229</v>
      </c>
      <c r="I213" s="28">
        <v>76571860</v>
      </c>
      <c r="J213" s="28">
        <v>76571860</v>
      </c>
      <c r="K213" s="34">
        <v>-1.98</v>
      </c>
      <c r="L213" s="34">
        <v>3.77</v>
      </c>
      <c r="M213" s="34">
        <v>12.61</v>
      </c>
      <c r="N213" s="24">
        <v>209</v>
      </c>
      <c r="O213" s="29">
        <v>43096.561828703707</v>
      </c>
    </row>
    <row r="214" spans="2:15" x14ac:dyDescent="0.25">
      <c r="B214" s="24" t="s">
        <v>2017</v>
      </c>
      <c r="C214" s="23" t="s">
        <v>94</v>
      </c>
      <c r="D214" s="24" t="s">
        <v>1062</v>
      </c>
      <c r="E214" s="25">
        <v>2.3778699999999998E-3</v>
      </c>
      <c r="F214" s="26">
        <v>37.567500000000003</v>
      </c>
      <c r="G214" s="27">
        <v>3406880</v>
      </c>
      <c r="H214" s="27">
        <v>48710499</v>
      </c>
      <c r="I214" s="28">
        <v>1296613</v>
      </c>
      <c r="J214" s="28">
        <v>2296613</v>
      </c>
      <c r="K214" s="34">
        <v>0.1</v>
      </c>
      <c r="L214" s="34">
        <v>21.54</v>
      </c>
      <c r="M214" s="34">
        <v>38.1</v>
      </c>
      <c r="N214" s="24">
        <v>210</v>
      </c>
      <c r="O214" s="29">
        <v>43096.561944444446</v>
      </c>
    </row>
    <row r="215" spans="2:15" x14ac:dyDescent="0.25">
      <c r="B215" s="24" t="s">
        <v>2028</v>
      </c>
      <c r="C215" s="23" t="s">
        <v>100</v>
      </c>
      <c r="D215" s="24" t="s">
        <v>1068</v>
      </c>
      <c r="E215" s="25">
        <v>3.6898999999999998E-4</v>
      </c>
      <c r="F215" s="26">
        <v>5.8296599999999996</v>
      </c>
      <c r="G215" s="27">
        <v>874695</v>
      </c>
      <c r="H215" s="27">
        <v>47488415</v>
      </c>
      <c r="I215" s="28">
        <v>8146001</v>
      </c>
      <c r="J215" s="28">
        <v>8146001</v>
      </c>
      <c r="K215" s="34">
        <v>-0.49</v>
      </c>
      <c r="L215" s="34">
        <v>2.73</v>
      </c>
      <c r="M215" s="34">
        <v>-8.56</v>
      </c>
      <c r="N215" s="24">
        <v>211</v>
      </c>
      <c r="O215" s="29">
        <v>43096.561932870369</v>
      </c>
    </row>
    <row r="216" spans="2:15" x14ac:dyDescent="0.25">
      <c r="B216" s="24" t="s">
        <v>2120</v>
      </c>
      <c r="C216" s="23" t="s">
        <v>194</v>
      </c>
      <c r="D216" s="24" t="s">
        <v>1163</v>
      </c>
      <c r="E216" s="25">
        <v>4.0689999999999998E-5</v>
      </c>
      <c r="F216" s="26">
        <v>0.64277300000000004</v>
      </c>
      <c r="G216" s="27">
        <v>8632630</v>
      </c>
      <c r="H216" s="27">
        <v>47263354</v>
      </c>
      <c r="I216" s="28">
        <v>73530398</v>
      </c>
      <c r="J216" s="28">
        <v>73530398</v>
      </c>
      <c r="K216" s="34">
        <v>1.1100000000000001</v>
      </c>
      <c r="L216" s="34">
        <v>15.2</v>
      </c>
      <c r="M216" s="34">
        <v>11.35</v>
      </c>
      <c r="N216" s="24">
        <v>212</v>
      </c>
      <c r="O216" s="29">
        <v>43096.561851851853</v>
      </c>
    </row>
    <row r="217" spans="2:15" x14ac:dyDescent="0.25">
      <c r="B217" s="24" t="s">
        <v>2094</v>
      </c>
      <c r="C217" s="23" t="s">
        <v>172</v>
      </c>
      <c r="D217" s="24" t="s">
        <v>1140</v>
      </c>
      <c r="E217" s="25">
        <v>1.15182E-3</v>
      </c>
      <c r="F217" s="26">
        <v>18.197399999999998</v>
      </c>
      <c r="G217" s="27">
        <v>360994</v>
      </c>
      <c r="H217" s="27">
        <v>46874156</v>
      </c>
      <c r="I217" s="28">
        <v>2575871</v>
      </c>
      <c r="J217" s="28">
        <v>2575871</v>
      </c>
      <c r="K217" s="34">
        <v>-1.63</v>
      </c>
      <c r="L217" s="34">
        <v>-0.64</v>
      </c>
      <c r="M217" s="34">
        <v>-2.2799999999999998</v>
      </c>
      <c r="N217" s="24">
        <v>213</v>
      </c>
      <c r="O217" s="29">
        <v>43096.56181712963</v>
      </c>
    </row>
    <row r="218" spans="2:15" x14ac:dyDescent="0.25">
      <c r="B218" s="24" t="s">
        <v>2151</v>
      </c>
      <c r="C218" s="23" t="s">
        <v>235</v>
      </c>
      <c r="D218" s="24" t="s">
        <v>1203</v>
      </c>
      <c r="E218" s="25">
        <v>1.7958000000000001E-4</v>
      </c>
      <c r="F218" s="26">
        <v>2.8371499999999998</v>
      </c>
      <c r="G218" s="27">
        <v>1865380</v>
      </c>
      <c r="H218" s="27">
        <v>46522451</v>
      </c>
      <c r="I218" s="28">
        <v>16397600</v>
      </c>
      <c r="J218" s="28">
        <v>16397600</v>
      </c>
      <c r="K218" s="34">
        <v>1.21</v>
      </c>
      <c r="L218" s="34">
        <v>58.14</v>
      </c>
      <c r="M218" s="34">
        <v>105.63</v>
      </c>
      <c r="N218" s="24">
        <v>214</v>
      </c>
      <c r="O218" s="29">
        <v>43096.561909722222</v>
      </c>
    </row>
    <row r="219" spans="2:15" x14ac:dyDescent="0.25">
      <c r="B219" s="24" t="s">
        <v>3758</v>
      </c>
      <c r="C219" s="23" t="s">
        <v>3759</v>
      </c>
      <c r="D219" s="24" t="s">
        <v>3760</v>
      </c>
      <c r="E219" s="25">
        <v>7.3369999999999997E-5</v>
      </c>
      <c r="F219" s="26">
        <v>1.15909</v>
      </c>
      <c r="G219" s="27">
        <v>17299300</v>
      </c>
      <c r="H219" s="27">
        <v>46363600</v>
      </c>
      <c r="I219" s="28">
        <v>40000000</v>
      </c>
      <c r="J219" s="28">
        <v>60000000</v>
      </c>
      <c r="K219" s="34">
        <v>6.78</v>
      </c>
      <c r="L219" s="34">
        <v>-0.32</v>
      </c>
      <c r="M219" s="34">
        <v>-1.1499999999999999</v>
      </c>
      <c r="N219" s="24">
        <v>215</v>
      </c>
      <c r="O219" s="29">
        <v>43096.562013888892</v>
      </c>
    </row>
    <row r="220" spans="2:15" x14ac:dyDescent="0.25">
      <c r="B220" s="24" t="s">
        <v>3597</v>
      </c>
      <c r="C220" s="23" t="s">
        <v>3598</v>
      </c>
      <c r="D220" s="24" t="s">
        <v>3599</v>
      </c>
      <c r="E220" s="25">
        <v>3.6513000000000002E-4</v>
      </c>
      <c r="F220" s="26">
        <v>5.7686700000000002</v>
      </c>
      <c r="G220" s="27">
        <v>1144110</v>
      </c>
      <c r="H220" s="27">
        <v>46172423</v>
      </c>
      <c r="I220" s="28">
        <v>8003998</v>
      </c>
      <c r="J220" s="28">
        <v>11503998</v>
      </c>
      <c r="K220" s="34">
        <v>-5.6</v>
      </c>
      <c r="L220" s="34">
        <v>-1.58</v>
      </c>
      <c r="M220" s="34">
        <v>143.01</v>
      </c>
      <c r="N220" s="24">
        <v>216</v>
      </c>
      <c r="O220" s="29">
        <v>43096.562002314815</v>
      </c>
    </row>
    <row r="221" spans="2:15" x14ac:dyDescent="0.25">
      <c r="B221" s="24" t="s">
        <v>2137</v>
      </c>
      <c r="C221" s="23" t="s">
        <v>180</v>
      </c>
      <c r="D221" s="24" t="s">
        <v>1149</v>
      </c>
      <c r="E221" s="25">
        <v>7.2420000000000001E-5</v>
      </c>
      <c r="F221" s="26">
        <v>1.14418</v>
      </c>
      <c r="G221" s="27">
        <v>3583840</v>
      </c>
      <c r="H221" s="27">
        <v>45767200</v>
      </c>
      <c r="I221" s="28">
        <v>40000000</v>
      </c>
      <c r="J221" s="28">
        <v>62500000</v>
      </c>
      <c r="K221" s="34">
        <v>-0.67</v>
      </c>
      <c r="L221" s="34">
        <v>3.16</v>
      </c>
      <c r="M221" s="34">
        <v>-13.43</v>
      </c>
      <c r="N221" s="24">
        <v>217</v>
      </c>
      <c r="O221" s="29">
        <v>43096.561967592592</v>
      </c>
    </row>
    <row r="222" spans="2:15" x14ac:dyDescent="0.25">
      <c r="B222" s="24" t="s">
        <v>2059</v>
      </c>
      <c r="C222" s="23" t="s">
        <v>137</v>
      </c>
      <c r="D222" s="24" t="s">
        <v>1106</v>
      </c>
      <c r="E222" s="25">
        <v>8.4458999999999999E-4</v>
      </c>
      <c r="F222" s="26">
        <v>13.343500000000001</v>
      </c>
      <c r="G222" s="27">
        <v>3902470</v>
      </c>
      <c r="H222" s="27">
        <v>45601198</v>
      </c>
      <c r="I222" s="28">
        <v>3417484</v>
      </c>
      <c r="J222" s="28">
        <v>3417484</v>
      </c>
      <c r="K222" s="34">
        <v>0.55000000000000004</v>
      </c>
      <c r="L222" s="34">
        <v>13.76</v>
      </c>
      <c r="M222" s="34">
        <v>28.96</v>
      </c>
      <c r="N222" s="24">
        <v>218</v>
      </c>
      <c r="O222" s="29">
        <v>43096.561874999999</v>
      </c>
    </row>
    <row r="223" spans="2:15" x14ac:dyDescent="0.25">
      <c r="B223" s="24" t="s">
        <v>2032</v>
      </c>
      <c r="C223" s="23" t="s">
        <v>117</v>
      </c>
      <c r="D223" s="24" t="s">
        <v>1084</v>
      </c>
      <c r="E223" s="25">
        <v>4.0280000000000001E-5</v>
      </c>
      <c r="F223" s="26">
        <v>0.63644999999999996</v>
      </c>
      <c r="G223" s="27">
        <v>6561220</v>
      </c>
      <c r="H223" s="27">
        <v>44551500</v>
      </c>
      <c r="I223" s="28">
        <v>70000000</v>
      </c>
      <c r="J223" s="28">
        <v>100002000</v>
      </c>
      <c r="K223" s="34">
        <v>2.15</v>
      </c>
      <c r="L223" s="34">
        <v>14.81</v>
      </c>
      <c r="M223" s="34">
        <v>35.9</v>
      </c>
      <c r="N223" s="24">
        <v>219</v>
      </c>
      <c r="O223" s="29">
        <v>43096.561944444446</v>
      </c>
    </row>
    <row r="224" spans="2:15" x14ac:dyDescent="0.25">
      <c r="B224" s="24" t="s">
        <v>3798</v>
      </c>
      <c r="C224" s="23" t="s">
        <v>3799</v>
      </c>
      <c r="D224" s="24" t="s">
        <v>3800</v>
      </c>
      <c r="E224" s="25">
        <v>9.3100000000000006E-6</v>
      </c>
      <c r="F224" s="26">
        <v>0.147009</v>
      </c>
      <c r="G224" s="27">
        <v>311772</v>
      </c>
      <c r="H224" s="27">
        <v>44109078</v>
      </c>
      <c r="I224" s="28">
        <v>300043386</v>
      </c>
      <c r="J224" s="28">
        <v>1000000000</v>
      </c>
      <c r="K224" s="34">
        <v>2.96</v>
      </c>
      <c r="L224" s="34">
        <v>-0.05</v>
      </c>
      <c r="M224" s="34">
        <v>-4.33</v>
      </c>
      <c r="N224" s="24">
        <v>220</v>
      </c>
      <c r="O224" s="29">
        <v>43096.562013888892</v>
      </c>
    </row>
    <row r="225" spans="2:15" x14ac:dyDescent="0.25">
      <c r="B225" s="24" t="s">
        <v>2070</v>
      </c>
      <c r="C225" s="23" t="s">
        <v>145</v>
      </c>
      <c r="D225" s="24" t="s">
        <v>1115</v>
      </c>
      <c r="E225" s="25">
        <v>4.9514600000000004E-3</v>
      </c>
      <c r="F225" s="26">
        <v>78.227000000000004</v>
      </c>
      <c r="G225" s="27">
        <v>1297940</v>
      </c>
      <c r="H225" s="27">
        <v>43834242</v>
      </c>
      <c r="I225" s="28">
        <v>560347</v>
      </c>
      <c r="J225" s="28">
        <v>616663</v>
      </c>
      <c r="K225" s="34">
        <v>-0.77</v>
      </c>
      <c r="L225" s="34">
        <v>-8.1300000000000008</v>
      </c>
      <c r="M225" s="34">
        <v>0.89</v>
      </c>
      <c r="N225" s="24">
        <v>221</v>
      </c>
      <c r="O225" s="29">
        <v>43096.56181712963</v>
      </c>
    </row>
    <row r="226" spans="2:15" x14ac:dyDescent="0.25">
      <c r="B226" s="24" t="s">
        <v>2088</v>
      </c>
      <c r="C226" s="23" t="s">
        <v>163</v>
      </c>
      <c r="D226" s="24" t="s">
        <v>1132</v>
      </c>
      <c r="E226" s="25">
        <v>1.3174000000000001E-4</v>
      </c>
      <c r="F226" s="26">
        <v>2.0813100000000002</v>
      </c>
      <c r="G226" s="27">
        <v>459095</v>
      </c>
      <c r="H226" s="27">
        <v>43260578</v>
      </c>
      <c r="I226" s="28">
        <v>20785264</v>
      </c>
      <c r="J226" s="28">
        <v>20785264</v>
      </c>
      <c r="K226" s="34">
        <v>1.1200000000000001</v>
      </c>
      <c r="L226" s="34">
        <v>24.35</v>
      </c>
      <c r="M226" s="34">
        <v>45.21</v>
      </c>
      <c r="N226" s="24">
        <v>222</v>
      </c>
      <c r="O226" s="29">
        <v>43096.561909722222</v>
      </c>
    </row>
    <row r="227" spans="2:15" x14ac:dyDescent="0.25">
      <c r="B227" s="24" t="s">
        <v>2077</v>
      </c>
      <c r="C227" s="23" t="s">
        <v>155</v>
      </c>
      <c r="D227" s="24" t="s">
        <v>1125</v>
      </c>
      <c r="E227" s="25">
        <v>6.8399999999999997E-6</v>
      </c>
      <c r="F227" s="26">
        <v>0.108025</v>
      </c>
      <c r="G227" s="27">
        <v>784138</v>
      </c>
      <c r="H227" s="27">
        <v>42163535</v>
      </c>
      <c r="I227" s="28">
        <v>390312753</v>
      </c>
      <c r="J227" s="28">
        <v>390312753</v>
      </c>
      <c r="K227" s="34">
        <v>-0.55000000000000004</v>
      </c>
      <c r="L227" s="34">
        <v>1.5</v>
      </c>
      <c r="M227" s="34">
        <v>9.4600000000000009</v>
      </c>
      <c r="N227" s="24">
        <v>223</v>
      </c>
      <c r="O227" s="29">
        <v>43096.561851851853</v>
      </c>
    </row>
    <row r="228" spans="2:15" x14ac:dyDescent="0.25">
      <c r="B228" s="24" t="s">
        <v>3488</v>
      </c>
      <c r="C228" s="23" t="s">
        <v>3489</v>
      </c>
      <c r="D228" s="24" t="s">
        <v>3490</v>
      </c>
      <c r="E228" s="25">
        <v>1.986E-5</v>
      </c>
      <c r="F228" s="26">
        <v>0.31379899999999999</v>
      </c>
      <c r="G228" s="27">
        <v>119476</v>
      </c>
      <c r="H228" s="27">
        <v>42045814</v>
      </c>
      <c r="I228" s="28">
        <v>133989637</v>
      </c>
      <c r="J228" s="28">
        <v>1000000000</v>
      </c>
      <c r="K228" s="34">
        <v>2.87</v>
      </c>
      <c r="L228" s="34">
        <v>4.43</v>
      </c>
      <c r="M228" s="34">
        <v>-25.32</v>
      </c>
      <c r="N228" s="24">
        <v>224</v>
      </c>
      <c r="O228" s="29">
        <v>43096.562002314815</v>
      </c>
    </row>
    <row r="229" spans="2:15" x14ac:dyDescent="0.25">
      <c r="B229" s="24" t="s">
        <v>2051</v>
      </c>
      <c r="C229" s="23" t="s">
        <v>138</v>
      </c>
      <c r="D229" s="24" t="s">
        <v>1107</v>
      </c>
      <c r="E229" s="25">
        <v>6.7369999999999995E-4</v>
      </c>
      <c r="F229" s="26">
        <v>10.643599999999999</v>
      </c>
      <c r="G229" s="27">
        <v>10479.9</v>
      </c>
      <c r="H229" s="27">
        <v>41948304</v>
      </c>
      <c r="I229" s="28">
        <v>3941176</v>
      </c>
      <c r="J229" s="28">
        <v>5500663</v>
      </c>
      <c r="K229" s="34">
        <v>18.72</v>
      </c>
      <c r="L229" s="34">
        <v>10.87</v>
      </c>
      <c r="M229" s="34">
        <v>96.67</v>
      </c>
      <c r="N229" s="24">
        <v>225</v>
      </c>
      <c r="O229" s="29">
        <v>43096.561944444446</v>
      </c>
    </row>
    <row r="230" spans="2:15" x14ac:dyDescent="0.25">
      <c r="B230" s="24" t="s">
        <v>3664</v>
      </c>
      <c r="C230" s="23" t="s">
        <v>3665</v>
      </c>
      <c r="D230" s="24" t="s">
        <v>3666</v>
      </c>
      <c r="E230" s="25">
        <v>8.4839999999999994E-5</v>
      </c>
      <c r="F230" s="26">
        <v>1.3404</v>
      </c>
      <c r="G230" s="27">
        <v>570141</v>
      </c>
      <c r="H230" s="27">
        <v>41865114</v>
      </c>
      <c r="I230" s="28">
        <v>31233299</v>
      </c>
      <c r="J230" s="28">
        <v>48240070</v>
      </c>
      <c r="K230" s="34">
        <v>3.33</v>
      </c>
      <c r="L230" s="34">
        <v>-3.09</v>
      </c>
      <c r="M230" s="34">
        <v>159.83000000000001</v>
      </c>
      <c r="N230" s="24">
        <v>226</v>
      </c>
      <c r="O230" s="29">
        <v>43096.562002314815</v>
      </c>
    </row>
    <row r="231" spans="2:15" x14ac:dyDescent="0.25">
      <c r="B231" s="24" t="s">
        <v>2023</v>
      </c>
      <c r="C231" s="23" t="s">
        <v>108</v>
      </c>
      <c r="D231" s="24" t="s">
        <v>1076</v>
      </c>
      <c r="E231" s="25">
        <v>1.3594E-4</v>
      </c>
      <c r="F231" s="26">
        <v>2.1476000000000002</v>
      </c>
      <c r="G231" s="27">
        <v>2261500</v>
      </c>
      <c r="H231" s="27">
        <v>41725772</v>
      </c>
      <c r="I231" s="28">
        <v>19429024</v>
      </c>
      <c r="J231" s="28">
        <v>32433366</v>
      </c>
      <c r="K231" s="34">
        <v>-0.71</v>
      </c>
      <c r="L231" s="34">
        <v>-1.74</v>
      </c>
      <c r="M231" s="34">
        <v>41.19</v>
      </c>
      <c r="N231" s="24">
        <v>227</v>
      </c>
      <c r="O231" s="29">
        <v>43096.561944444446</v>
      </c>
    </row>
    <row r="232" spans="2:15" x14ac:dyDescent="0.25">
      <c r="B232" s="24" t="s">
        <v>3392</v>
      </c>
      <c r="C232" s="23" t="s">
        <v>3393</v>
      </c>
      <c r="D232" s="24" t="s">
        <v>3394</v>
      </c>
      <c r="E232" s="25">
        <v>5.3005000000000001E-4</v>
      </c>
      <c r="F232" s="26">
        <v>8.3740900000000007</v>
      </c>
      <c r="G232" s="27">
        <v>147278</v>
      </c>
      <c r="H232" s="27">
        <v>41445855</v>
      </c>
      <c r="I232" s="28">
        <v>4949297</v>
      </c>
      <c r="J232" s="28">
        <v>82319286</v>
      </c>
      <c r="K232" s="34">
        <v>-1.57</v>
      </c>
      <c r="L232" s="34">
        <v>6.43</v>
      </c>
      <c r="M232" s="34">
        <v>4.7</v>
      </c>
      <c r="N232" s="24">
        <v>228</v>
      </c>
      <c r="O232" s="29">
        <v>43096.561990740738</v>
      </c>
    </row>
    <row r="233" spans="2:15" x14ac:dyDescent="0.25">
      <c r="B233" s="24" t="s">
        <v>2980</v>
      </c>
      <c r="C233" s="23" t="s">
        <v>2981</v>
      </c>
      <c r="D233" s="24" t="s">
        <v>2982</v>
      </c>
      <c r="E233" s="25">
        <v>1.3271999999999999E-4</v>
      </c>
      <c r="F233" s="26">
        <v>2.0968599999999999</v>
      </c>
      <c r="G233" s="27">
        <v>1042710</v>
      </c>
      <c r="H233" s="27">
        <v>41159030</v>
      </c>
      <c r="I233" s="28">
        <v>19628888</v>
      </c>
      <c r="J233" s="28">
        <v>19628888</v>
      </c>
      <c r="K233" s="34">
        <v>-1.63</v>
      </c>
      <c r="L233" s="34">
        <v>-4.57</v>
      </c>
      <c r="M233" s="34">
        <v>0.08</v>
      </c>
      <c r="N233" s="24">
        <v>229</v>
      </c>
      <c r="O233" s="29">
        <v>43096.561979166669</v>
      </c>
    </row>
    <row r="234" spans="2:15" x14ac:dyDescent="0.25">
      <c r="B234" s="24" t="s">
        <v>2214</v>
      </c>
      <c r="C234" s="23" t="s">
        <v>297</v>
      </c>
      <c r="D234" s="24" t="s">
        <v>1265</v>
      </c>
      <c r="E234" s="25">
        <v>9.1999999999999998E-7</v>
      </c>
      <c r="F234" s="26">
        <v>1.4465799999999999E-2</v>
      </c>
      <c r="G234" s="27">
        <v>51210.3</v>
      </c>
      <c r="H234" s="27">
        <v>40180217</v>
      </c>
      <c r="I234" s="28">
        <v>2777600756</v>
      </c>
      <c r="J234" s="28">
        <v>3248671497</v>
      </c>
      <c r="K234" s="34">
        <v>-3.03</v>
      </c>
      <c r="L234" s="34">
        <v>102.12</v>
      </c>
      <c r="M234" s="34">
        <v>123.7</v>
      </c>
      <c r="N234" s="24">
        <v>230</v>
      </c>
      <c r="O234" s="29">
        <v>43096.561851851853</v>
      </c>
    </row>
    <row r="235" spans="2:15" x14ac:dyDescent="0.25">
      <c r="B235" s="24" t="s">
        <v>2204</v>
      </c>
      <c r="C235" s="23" t="s">
        <v>280</v>
      </c>
      <c r="D235" s="24" t="s">
        <v>1248</v>
      </c>
      <c r="E235" s="25">
        <v>5.7247999999999999E-4</v>
      </c>
      <c r="F235" s="26">
        <v>9.0444200000000006</v>
      </c>
      <c r="G235" s="27">
        <v>1501240</v>
      </c>
      <c r="H235" s="27">
        <v>39948573</v>
      </c>
      <c r="I235" s="28">
        <v>4416930</v>
      </c>
      <c r="J235" s="28">
        <v>4416930</v>
      </c>
      <c r="K235" s="34">
        <v>0.2</v>
      </c>
      <c r="L235" s="34">
        <v>-2.69</v>
      </c>
      <c r="M235" s="34">
        <v>-28.82</v>
      </c>
      <c r="N235" s="24">
        <v>231</v>
      </c>
      <c r="O235" s="29">
        <v>43096.561898148146</v>
      </c>
    </row>
    <row r="236" spans="2:15" x14ac:dyDescent="0.25">
      <c r="B236" s="24" t="s">
        <v>3401</v>
      </c>
      <c r="C236" s="23" t="s">
        <v>3402</v>
      </c>
      <c r="D236" s="24" t="s">
        <v>3403</v>
      </c>
      <c r="E236" s="25">
        <v>3.8699999999999999E-5</v>
      </c>
      <c r="F236" s="26">
        <v>0.61140899999999998</v>
      </c>
      <c r="G236" s="27">
        <v>114506</v>
      </c>
      <c r="H236" s="27">
        <v>39702852</v>
      </c>
      <c r="I236" s="28">
        <v>64936650</v>
      </c>
      <c r="J236" s="28">
        <v>164936650</v>
      </c>
      <c r="K236" s="34">
        <v>-2.34</v>
      </c>
      <c r="L236" s="34">
        <v>-0.92</v>
      </c>
      <c r="M236" s="34">
        <v>64.709999999999994</v>
      </c>
      <c r="N236" s="24">
        <v>232</v>
      </c>
      <c r="O236" s="29">
        <v>43096.562002314815</v>
      </c>
    </row>
    <row r="237" spans="2:15" x14ac:dyDescent="0.25">
      <c r="B237" s="24" t="s">
        <v>2062</v>
      </c>
      <c r="C237" s="23" t="s">
        <v>142</v>
      </c>
      <c r="D237" s="24" t="s">
        <v>1111</v>
      </c>
      <c r="E237" s="25">
        <v>1.9389999999999999E-5</v>
      </c>
      <c r="F237" s="26">
        <v>0.30639699999999997</v>
      </c>
      <c r="G237" s="27">
        <v>349103</v>
      </c>
      <c r="H237" s="27">
        <v>38152215</v>
      </c>
      <c r="I237" s="28">
        <v>124518891</v>
      </c>
      <c r="J237" s="28">
        <v>124518891</v>
      </c>
      <c r="K237" s="34">
        <v>-2.2999999999999998</v>
      </c>
      <c r="L237" s="34">
        <v>-10.06</v>
      </c>
      <c r="M237" s="34">
        <v>36.21</v>
      </c>
      <c r="N237" s="24">
        <v>233</v>
      </c>
      <c r="O237" s="29">
        <v>43096.561909722222</v>
      </c>
    </row>
    <row r="238" spans="2:15" x14ac:dyDescent="0.25">
      <c r="B238" s="24" t="s">
        <v>3711</v>
      </c>
      <c r="C238" s="23" t="s">
        <v>3712</v>
      </c>
      <c r="D238" s="24" t="s">
        <v>3713</v>
      </c>
      <c r="E238" s="25">
        <v>3.5139999999999999E-5</v>
      </c>
      <c r="F238" s="26">
        <v>0.55509799999999998</v>
      </c>
      <c r="G238" s="27">
        <v>16331.9</v>
      </c>
      <c r="H238" s="27">
        <v>37957745</v>
      </c>
      <c r="I238" s="28">
        <v>68380258</v>
      </c>
      <c r="J238" s="28">
        <v>150000000</v>
      </c>
      <c r="K238" s="34">
        <v>-1.29</v>
      </c>
      <c r="L238" s="34">
        <v>4.4000000000000004</v>
      </c>
      <c r="M238" s="34">
        <v>-37.380000000000003</v>
      </c>
      <c r="N238" s="24">
        <v>234</v>
      </c>
      <c r="O238" s="29">
        <v>43096.562013888892</v>
      </c>
    </row>
    <row r="239" spans="2:15" x14ac:dyDescent="0.25">
      <c r="B239" s="24" t="s">
        <v>2128</v>
      </c>
      <c r="C239" s="23" t="s">
        <v>216</v>
      </c>
      <c r="D239" s="24" t="s">
        <v>1184</v>
      </c>
      <c r="E239" s="25">
        <v>1.04E-6</v>
      </c>
      <c r="F239" s="26">
        <v>1.64406E-2</v>
      </c>
      <c r="G239" s="27">
        <v>3957150</v>
      </c>
      <c r="H239" s="27">
        <v>37563138</v>
      </c>
      <c r="I239" s="28">
        <v>2284779000</v>
      </c>
      <c r="J239" s="28">
        <v>2284779000</v>
      </c>
      <c r="K239" s="34">
        <v>-1.65</v>
      </c>
      <c r="L239" s="34">
        <v>2.67</v>
      </c>
      <c r="M239" s="34">
        <v>107</v>
      </c>
      <c r="N239" s="24">
        <v>235</v>
      </c>
      <c r="O239" s="29">
        <v>43096.561851851853</v>
      </c>
    </row>
    <row r="240" spans="2:15" x14ac:dyDescent="0.25">
      <c r="B240" s="24" t="s">
        <v>2026</v>
      </c>
      <c r="C240" s="23" t="s">
        <v>105</v>
      </c>
      <c r="D240" s="24" t="s">
        <v>1073</v>
      </c>
      <c r="E240" s="25">
        <v>3.9199999999999997E-6</v>
      </c>
      <c r="F240" s="26">
        <v>6.1878700000000002E-2</v>
      </c>
      <c r="G240" s="27">
        <v>2219350</v>
      </c>
      <c r="H240" s="27">
        <v>37127220</v>
      </c>
      <c r="I240" s="28">
        <v>600000000</v>
      </c>
      <c r="J240" s="28">
        <v>1000000000</v>
      </c>
      <c r="K240" s="34">
        <v>-5.48</v>
      </c>
      <c r="L240" s="34">
        <v>-7.85</v>
      </c>
      <c r="M240" s="34">
        <v>22.69</v>
      </c>
      <c r="N240" s="24">
        <v>236</v>
      </c>
      <c r="O240" s="29">
        <v>43096.561956018515</v>
      </c>
    </row>
    <row r="241" spans="2:15" x14ac:dyDescent="0.25">
      <c r="B241" s="24" t="s">
        <v>3881</v>
      </c>
      <c r="C241" s="23" t="s">
        <v>3882</v>
      </c>
      <c r="D241" s="24" t="s">
        <v>3883</v>
      </c>
      <c r="E241" s="25">
        <v>1.5150000000000001E-5</v>
      </c>
      <c r="F241" s="26">
        <v>0.23932899999999999</v>
      </c>
      <c r="G241" s="27">
        <v>53136.1</v>
      </c>
      <c r="H241" s="27">
        <v>37095995</v>
      </c>
      <c r="I241" s="28">
        <v>155000000</v>
      </c>
      <c r="J241" s="28">
        <v>170000000</v>
      </c>
      <c r="K241" s="34">
        <v>-3.34</v>
      </c>
      <c r="L241" s="34">
        <v>-0.4</v>
      </c>
      <c r="M241" s="34">
        <v>23.45</v>
      </c>
      <c r="N241" s="24">
        <v>237</v>
      </c>
      <c r="O241" s="29">
        <v>43096.562013888892</v>
      </c>
    </row>
    <row r="242" spans="2:15" x14ac:dyDescent="0.25">
      <c r="B242" s="24" t="s">
        <v>2259</v>
      </c>
      <c r="C242" s="23" t="s">
        <v>337</v>
      </c>
      <c r="D242" s="24" t="s">
        <v>1305</v>
      </c>
      <c r="E242" s="25">
        <v>1.0795399999999999E-3</v>
      </c>
      <c r="F242" s="26">
        <v>17.055399999999999</v>
      </c>
      <c r="G242" s="27">
        <v>3485710</v>
      </c>
      <c r="H242" s="27">
        <v>35303297</v>
      </c>
      <c r="I242" s="28">
        <v>2069919</v>
      </c>
      <c r="J242" s="28">
        <v>16716816</v>
      </c>
      <c r="K242" s="34">
        <v>-2.25</v>
      </c>
      <c r="L242" s="34">
        <v>-0.16</v>
      </c>
      <c r="M242" s="34">
        <v>5.98</v>
      </c>
      <c r="N242" s="24">
        <v>238</v>
      </c>
      <c r="O242" s="29">
        <v>43096.561932870369</v>
      </c>
    </row>
    <row r="243" spans="2:15" x14ac:dyDescent="0.25">
      <c r="B243" s="24" t="s">
        <v>2173</v>
      </c>
      <c r="C243" s="23" t="s">
        <v>248</v>
      </c>
      <c r="D243" s="24" t="s">
        <v>1217</v>
      </c>
      <c r="E243" s="25">
        <v>8.0630000000000006E-5</v>
      </c>
      <c r="F243" s="26">
        <v>1.27389</v>
      </c>
      <c r="G243" s="27">
        <v>1794550</v>
      </c>
      <c r="H243" s="27">
        <v>35302498</v>
      </c>
      <c r="I243" s="28">
        <v>27712359</v>
      </c>
      <c r="J243" s="28">
        <v>27712359</v>
      </c>
      <c r="K243" s="34">
        <v>3.63</v>
      </c>
      <c r="L243" s="34">
        <v>29.46</v>
      </c>
      <c r="M243" s="34">
        <v>29.87</v>
      </c>
      <c r="N243" s="24">
        <v>239</v>
      </c>
      <c r="O243" s="29">
        <v>43096.561840277776</v>
      </c>
    </row>
    <row r="244" spans="2:15" x14ac:dyDescent="0.25">
      <c r="B244" s="24" t="s">
        <v>3267</v>
      </c>
      <c r="C244" s="23" t="s">
        <v>3268</v>
      </c>
      <c r="D244" s="24" t="s">
        <v>3269</v>
      </c>
      <c r="E244" s="25">
        <v>1.9E-6</v>
      </c>
      <c r="F244" s="26">
        <v>3.0036400000000001E-2</v>
      </c>
      <c r="G244" s="27">
        <v>1706110</v>
      </c>
      <c r="H244" s="27">
        <v>34637098</v>
      </c>
      <c r="I244" s="28">
        <v>1153170765</v>
      </c>
      <c r="J244" s="28">
        <v>5642500000</v>
      </c>
      <c r="K244" s="34">
        <v>1.29</v>
      </c>
      <c r="L244" s="34">
        <v>-5.94</v>
      </c>
      <c r="M244" s="34">
        <v>-14.32</v>
      </c>
      <c r="N244" s="24">
        <v>240</v>
      </c>
      <c r="O244" s="29">
        <v>43096.562002314815</v>
      </c>
    </row>
    <row r="245" spans="2:15" x14ac:dyDescent="0.25">
      <c r="B245" s="24" t="s">
        <v>3115</v>
      </c>
      <c r="C245" s="23" t="s">
        <v>3116</v>
      </c>
      <c r="D245" s="24" t="s">
        <v>3117</v>
      </c>
      <c r="E245" s="25">
        <v>1.4514000000000001E-4</v>
      </c>
      <c r="F245" s="26">
        <v>2.2930600000000001</v>
      </c>
      <c r="G245" s="27">
        <v>2052460</v>
      </c>
      <c r="H245" s="27">
        <v>34428097</v>
      </c>
      <c r="I245" s="28">
        <v>15014041</v>
      </c>
      <c r="J245" s="28">
        <v>200000000</v>
      </c>
      <c r="K245" s="34">
        <v>-1.46</v>
      </c>
      <c r="L245" s="34">
        <v>-0.03</v>
      </c>
      <c r="M245" s="34">
        <v>-10.34</v>
      </c>
      <c r="N245" s="24">
        <v>241</v>
      </c>
      <c r="O245" s="29">
        <v>43096.561979166669</v>
      </c>
    </row>
    <row r="246" spans="2:15" x14ac:dyDescent="0.25">
      <c r="B246" s="24" t="s">
        <v>3091</v>
      </c>
      <c r="C246" s="23" t="s">
        <v>3092</v>
      </c>
      <c r="D246" s="24" t="s">
        <v>3093</v>
      </c>
      <c r="E246" s="25">
        <v>3.0929999999999997E-5</v>
      </c>
      <c r="F246" s="26">
        <v>0.48869299999999999</v>
      </c>
      <c r="G246" s="27">
        <v>73468.100000000006</v>
      </c>
      <c r="H246" s="27">
        <v>34208510</v>
      </c>
      <c r="I246" s="28">
        <v>70000000</v>
      </c>
      <c r="J246" s="28">
        <v>100000000</v>
      </c>
      <c r="K246" s="34">
        <v>22.04</v>
      </c>
      <c r="L246" s="34">
        <v>23.17</v>
      </c>
      <c r="M246" s="34">
        <v>8.4600000000000009</v>
      </c>
      <c r="N246" s="24">
        <v>242</v>
      </c>
      <c r="O246" s="29">
        <v>43096.561990740738</v>
      </c>
    </row>
    <row r="247" spans="2:15" x14ac:dyDescent="0.25">
      <c r="B247" s="24" t="s">
        <v>2079</v>
      </c>
      <c r="C247" s="23" t="s">
        <v>146</v>
      </c>
      <c r="D247" s="24" t="s">
        <v>1116</v>
      </c>
      <c r="E247" s="25">
        <v>2.1656999999999999E-4</v>
      </c>
      <c r="F247" s="26">
        <v>3.4215300000000002</v>
      </c>
      <c r="G247" s="27">
        <v>153305</v>
      </c>
      <c r="H247" s="27">
        <v>34124900</v>
      </c>
      <c r="I247" s="28">
        <v>9973579</v>
      </c>
      <c r="J247" s="28">
        <v>10000000</v>
      </c>
      <c r="K247" s="34">
        <v>-0.43</v>
      </c>
      <c r="L247" s="34">
        <v>-15.15</v>
      </c>
      <c r="M247" s="34">
        <v>14.4</v>
      </c>
      <c r="N247" s="24">
        <v>243</v>
      </c>
      <c r="O247" s="29">
        <v>43096.561921296299</v>
      </c>
    </row>
    <row r="248" spans="2:15" x14ac:dyDescent="0.25">
      <c r="B248" s="24" t="s">
        <v>3035</v>
      </c>
      <c r="C248" s="23" t="s">
        <v>3005</v>
      </c>
      <c r="D248" s="24" t="s">
        <v>2948</v>
      </c>
      <c r="E248" s="25">
        <v>2.5029999999999999E-5</v>
      </c>
      <c r="F248" s="26">
        <v>0.395513</v>
      </c>
      <c r="G248" s="27">
        <v>1126670</v>
      </c>
      <c r="H248" s="27">
        <v>34005762</v>
      </c>
      <c r="I248" s="28">
        <v>85978873</v>
      </c>
      <c r="J248" s="28">
        <v>130271020</v>
      </c>
      <c r="K248" s="34">
        <v>-5.76</v>
      </c>
      <c r="L248" s="34">
        <v>-8.1999999999999993</v>
      </c>
      <c r="M248" s="34">
        <v>19.899999999999999</v>
      </c>
      <c r="N248" s="24">
        <v>244</v>
      </c>
      <c r="O248" s="29">
        <v>43096.561967592592</v>
      </c>
    </row>
    <row r="249" spans="2:15" x14ac:dyDescent="0.25">
      <c r="B249" s="24" t="s">
        <v>2212</v>
      </c>
      <c r="C249" s="23" t="s">
        <v>266</v>
      </c>
      <c r="D249" s="24" t="s">
        <v>1235</v>
      </c>
      <c r="E249" s="25">
        <v>5.0000000000000001E-9</v>
      </c>
      <c r="F249" s="26">
        <v>7.6255500000000002E-5</v>
      </c>
      <c r="G249" s="27">
        <v>28977</v>
      </c>
      <c r="H249" s="27">
        <v>33794011</v>
      </c>
      <c r="I249" s="28">
        <v>443168182458</v>
      </c>
      <c r="J249" s="28">
        <v>443168182458</v>
      </c>
      <c r="K249" s="34">
        <v>-4.3</v>
      </c>
      <c r="L249" s="34">
        <v>14.75</v>
      </c>
      <c r="M249" s="34">
        <v>-10.94</v>
      </c>
      <c r="N249" s="24">
        <v>245</v>
      </c>
      <c r="O249" s="29">
        <v>43096.56181712963</v>
      </c>
    </row>
    <row r="250" spans="2:15" x14ac:dyDescent="0.25">
      <c r="B250" s="24" t="s">
        <v>2054</v>
      </c>
      <c r="C250" s="23" t="s">
        <v>115</v>
      </c>
      <c r="D250" s="24" t="s">
        <v>1082</v>
      </c>
      <c r="E250" s="25">
        <v>4.1279999999999998E-5</v>
      </c>
      <c r="F250" s="26">
        <v>0.65216700000000005</v>
      </c>
      <c r="G250" s="27">
        <v>579822</v>
      </c>
      <c r="H250" s="27">
        <v>33390950</v>
      </c>
      <c r="I250" s="28">
        <v>51200000</v>
      </c>
      <c r="J250" s="28">
        <v>100000000</v>
      </c>
      <c r="K250" s="34">
        <v>-0.49</v>
      </c>
      <c r="L250" s="34">
        <v>11.34</v>
      </c>
      <c r="M250" s="34">
        <v>7.62</v>
      </c>
      <c r="N250" s="24">
        <v>246</v>
      </c>
      <c r="O250" s="29">
        <v>43096.561967592592</v>
      </c>
    </row>
    <row r="251" spans="2:15" x14ac:dyDescent="0.25">
      <c r="B251" s="24" t="s">
        <v>3685</v>
      </c>
      <c r="C251" s="23" t="s">
        <v>3686</v>
      </c>
      <c r="D251" s="24" t="s">
        <v>3687</v>
      </c>
      <c r="E251" s="25">
        <v>5.6357E-4</v>
      </c>
      <c r="F251" s="26">
        <v>8.9036500000000007</v>
      </c>
      <c r="G251" s="27">
        <v>2292450</v>
      </c>
      <c r="H251" s="27">
        <v>33181953</v>
      </c>
      <c r="I251" s="28">
        <v>3726781</v>
      </c>
      <c r="J251" s="28">
        <v>4436644</v>
      </c>
      <c r="K251" s="34">
        <v>2.63</v>
      </c>
      <c r="L251" s="34">
        <v>16.47</v>
      </c>
      <c r="M251" s="34">
        <v>15.77</v>
      </c>
      <c r="N251" s="24">
        <v>247</v>
      </c>
      <c r="O251" s="29">
        <v>43096.562002314815</v>
      </c>
    </row>
    <row r="252" spans="2:15" x14ac:dyDescent="0.25">
      <c r="B252" s="24" t="s">
        <v>2180</v>
      </c>
      <c r="C252" s="23" t="s">
        <v>263</v>
      </c>
      <c r="D252" s="24" t="s">
        <v>1233</v>
      </c>
      <c r="E252" s="25">
        <v>8.9999999999999999E-8</v>
      </c>
      <c r="F252" s="26">
        <v>1.4218900000000001E-3</v>
      </c>
      <c r="G252" s="27">
        <v>146328</v>
      </c>
      <c r="H252" s="27">
        <v>32631658</v>
      </c>
      <c r="I252" s="28">
        <v>22949495189</v>
      </c>
      <c r="J252" s="28">
        <v>22949495189</v>
      </c>
      <c r="K252" s="34">
        <v>2.15</v>
      </c>
      <c r="L252" s="34">
        <v>92.92</v>
      </c>
      <c r="M252" s="34">
        <v>1913.11</v>
      </c>
      <c r="N252" s="24">
        <v>248</v>
      </c>
      <c r="O252" s="29">
        <v>43096.561851851853</v>
      </c>
    </row>
    <row r="253" spans="2:15" x14ac:dyDescent="0.25">
      <c r="B253" s="24" t="s">
        <v>2090</v>
      </c>
      <c r="C253" s="23" t="s">
        <v>167</v>
      </c>
      <c r="D253" s="24" t="s">
        <v>1136</v>
      </c>
      <c r="E253" s="25">
        <v>8.2120000000000007E-5</v>
      </c>
      <c r="F253" s="26">
        <v>1.29745</v>
      </c>
      <c r="G253" s="27">
        <v>146757</v>
      </c>
      <c r="H253" s="27">
        <v>32606152</v>
      </c>
      <c r="I253" s="28">
        <v>25130950</v>
      </c>
      <c r="J253" s="28">
        <v>25130950</v>
      </c>
      <c r="K253" s="34">
        <v>-1.5</v>
      </c>
      <c r="L253" s="34">
        <v>-0.23</v>
      </c>
      <c r="M253" s="34">
        <v>16.579999999999998</v>
      </c>
      <c r="N253" s="24">
        <v>249</v>
      </c>
      <c r="O253" s="29">
        <v>43096.561828703707</v>
      </c>
    </row>
    <row r="254" spans="2:15" x14ac:dyDescent="0.25">
      <c r="B254" s="24" t="s">
        <v>3227</v>
      </c>
      <c r="C254" s="23" t="s">
        <v>3228</v>
      </c>
      <c r="D254" s="24" t="s">
        <v>3229</v>
      </c>
      <c r="E254" s="25">
        <v>1.2308999999999999E-4</v>
      </c>
      <c r="F254" s="26">
        <v>1.94472</v>
      </c>
      <c r="G254" s="27">
        <v>2002210</v>
      </c>
      <c r="H254" s="27">
        <v>32087880</v>
      </c>
      <c r="I254" s="28">
        <v>16500000</v>
      </c>
      <c r="J254" s="28">
        <v>25000000</v>
      </c>
      <c r="K254" s="34">
        <v>2.64</v>
      </c>
      <c r="L254" s="34">
        <v>1.1200000000000001</v>
      </c>
      <c r="M254" s="34">
        <v>21.81</v>
      </c>
      <c r="N254" s="24">
        <v>250</v>
      </c>
      <c r="O254" s="29">
        <v>43096.561979166669</v>
      </c>
    </row>
    <row r="255" spans="2:15" x14ac:dyDescent="0.25">
      <c r="B255" s="24" t="s">
        <v>2109</v>
      </c>
      <c r="C255" s="23" t="s">
        <v>193</v>
      </c>
      <c r="D255" s="24" t="s">
        <v>1162</v>
      </c>
      <c r="E255" s="25">
        <v>6.5649999999999997E-5</v>
      </c>
      <c r="F255" s="26">
        <v>1.03714</v>
      </c>
      <c r="G255" s="27">
        <v>2452580</v>
      </c>
      <c r="H255" s="27">
        <v>31682881</v>
      </c>
      <c r="I255" s="28">
        <v>30548316</v>
      </c>
      <c r="J255" s="28">
        <v>30548316</v>
      </c>
      <c r="K255" s="34">
        <v>1.1299999999999999</v>
      </c>
      <c r="L255" s="34">
        <v>7.4</v>
      </c>
      <c r="M255" s="34">
        <v>6.23</v>
      </c>
      <c r="N255" s="24">
        <v>251</v>
      </c>
      <c r="O255" s="29">
        <v>43096.561840277776</v>
      </c>
    </row>
    <row r="256" spans="2:15" x14ac:dyDescent="0.25">
      <c r="B256" s="24" t="s">
        <v>2126</v>
      </c>
      <c r="C256" s="23" t="s">
        <v>200</v>
      </c>
      <c r="D256" s="24" t="s">
        <v>1169</v>
      </c>
      <c r="E256" s="25">
        <v>3.6200000000000001E-6</v>
      </c>
      <c r="F256" s="26">
        <v>5.7180500000000002E-2</v>
      </c>
      <c r="G256" s="27">
        <v>1646000</v>
      </c>
      <c r="H256" s="27">
        <v>31469780</v>
      </c>
      <c r="I256" s="28">
        <v>550358603</v>
      </c>
      <c r="J256" s="28">
        <v>1000000000</v>
      </c>
      <c r="K256" s="34">
        <v>0.64</v>
      </c>
      <c r="L256" s="34">
        <v>5.13</v>
      </c>
      <c r="M256" s="34">
        <v>62.33</v>
      </c>
      <c r="N256" s="24">
        <v>252</v>
      </c>
      <c r="O256" s="29">
        <v>43096.561851851853</v>
      </c>
    </row>
    <row r="257" spans="2:15" x14ac:dyDescent="0.25">
      <c r="B257" s="24" t="s">
        <v>798</v>
      </c>
      <c r="C257" s="23" t="s">
        <v>798</v>
      </c>
      <c r="D257" s="24" t="s">
        <v>1754</v>
      </c>
      <c r="E257" s="25">
        <v>7.3E-7</v>
      </c>
      <c r="F257" s="26">
        <v>1.1513799999999999E-2</v>
      </c>
      <c r="G257" s="27">
        <v>17536.2</v>
      </c>
      <c r="H257" s="27">
        <v>31242341</v>
      </c>
      <c r="I257" s="28">
        <v>2713469159</v>
      </c>
      <c r="J257" s="28">
        <v>10000000000</v>
      </c>
      <c r="K257" s="34">
        <v>-0.92</v>
      </c>
      <c r="L257" s="34">
        <v>63.73</v>
      </c>
      <c r="M257" s="34">
        <v>38.67</v>
      </c>
      <c r="N257" s="24">
        <v>253</v>
      </c>
      <c r="O257" s="29">
        <v>43096.561967592592</v>
      </c>
    </row>
    <row r="258" spans="2:15" x14ac:dyDescent="0.25">
      <c r="B258" s="24" t="s">
        <v>2076</v>
      </c>
      <c r="C258" s="23" t="s">
        <v>151</v>
      </c>
      <c r="D258" s="24" t="s">
        <v>1121</v>
      </c>
      <c r="E258" s="25">
        <v>2.5259999999999999E-5</v>
      </c>
      <c r="F258" s="26">
        <v>0.39910200000000001</v>
      </c>
      <c r="G258" s="27">
        <v>32644.2</v>
      </c>
      <c r="H258" s="27">
        <v>30902098</v>
      </c>
      <c r="I258" s="28">
        <v>77429074</v>
      </c>
      <c r="J258" s="28">
        <v>242337121</v>
      </c>
      <c r="K258" s="34">
        <v>0.33</v>
      </c>
      <c r="L258" s="34">
        <v>-0.47</v>
      </c>
      <c r="M258" s="34">
        <v>5.35</v>
      </c>
      <c r="N258" s="24">
        <v>254</v>
      </c>
      <c r="O258" s="29">
        <v>43096.561944444446</v>
      </c>
    </row>
    <row r="259" spans="2:15" x14ac:dyDescent="0.25">
      <c r="B259" s="24" t="s">
        <v>3587</v>
      </c>
      <c r="C259" s="23" t="s">
        <v>3588</v>
      </c>
      <c r="D259" s="24" t="s">
        <v>3589</v>
      </c>
      <c r="E259" s="25">
        <v>9.55E-6</v>
      </c>
      <c r="F259" s="26">
        <v>0.15085499999999999</v>
      </c>
      <c r="G259" s="27">
        <v>183986</v>
      </c>
      <c r="H259" s="27">
        <v>30899369</v>
      </c>
      <c r="I259" s="28">
        <v>204828275</v>
      </c>
      <c r="J259" s="28">
        <v>204828275</v>
      </c>
      <c r="K259" s="34">
        <v>-1.2</v>
      </c>
      <c r="L259" s="34">
        <v>-1.31</v>
      </c>
      <c r="M259" s="34">
        <v>-3.1</v>
      </c>
      <c r="N259" s="24">
        <v>255</v>
      </c>
      <c r="O259" s="29">
        <v>43096.561898148146</v>
      </c>
    </row>
    <row r="260" spans="2:15" x14ac:dyDescent="0.25">
      <c r="B260" s="24" t="s">
        <v>2119</v>
      </c>
      <c r="C260" s="23" t="s">
        <v>191</v>
      </c>
      <c r="D260" s="24" t="s">
        <v>191</v>
      </c>
      <c r="E260" s="25">
        <v>6.2730000000000004E-5</v>
      </c>
      <c r="F260" s="26">
        <v>0.99101099999999998</v>
      </c>
      <c r="G260" s="27">
        <v>26838.7</v>
      </c>
      <c r="H260" s="27">
        <v>30870738</v>
      </c>
      <c r="I260" s="28">
        <v>31150752</v>
      </c>
      <c r="J260" s="28">
        <v>31150752</v>
      </c>
      <c r="K260" s="34">
        <v>-5.66</v>
      </c>
      <c r="L260" s="34">
        <v>-6.52</v>
      </c>
      <c r="M260" s="34">
        <v>82.76</v>
      </c>
      <c r="N260" s="24">
        <v>256</v>
      </c>
      <c r="O260" s="29">
        <v>43096.561898148146</v>
      </c>
    </row>
    <row r="261" spans="2:15" x14ac:dyDescent="0.25">
      <c r="B261" s="24" t="s">
        <v>3522</v>
      </c>
      <c r="C261" s="23" t="s">
        <v>3909</v>
      </c>
      <c r="D261" s="24" t="s">
        <v>1792</v>
      </c>
      <c r="E261" s="25">
        <v>1.2893699999999999</v>
      </c>
      <c r="F261" s="26">
        <v>20370.5</v>
      </c>
      <c r="G261" s="27">
        <v>180823</v>
      </c>
      <c r="H261" s="27">
        <v>30698344</v>
      </c>
      <c r="I261" s="28">
        <v>1507</v>
      </c>
      <c r="J261" s="28">
        <v>10757</v>
      </c>
      <c r="K261" s="34">
        <v>0.92</v>
      </c>
      <c r="L261" s="34">
        <v>3.38</v>
      </c>
      <c r="M261" s="34">
        <v>-6.56</v>
      </c>
      <c r="N261" s="24">
        <v>257</v>
      </c>
      <c r="O261" s="29">
        <v>43096.562002314815</v>
      </c>
    </row>
    <row r="262" spans="2:15" x14ac:dyDescent="0.25">
      <c r="B262" s="24" t="s">
        <v>2105</v>
      </c>
      <c r="C262" s="23" t="s">
        <v>175</v>
      </c>
      <c r="D262" s="24" t="s">
        <v>1143</v>
      </c>
      <c r="E262" s="25">
        <v>1.8337E-4</v>
      </c>
      <c r="F262" s="26">
        <v>2.8970699999999998</v>
      </c>
      <c r="G262" s="27">
        <v>405078</v>
      </c>
      <c r="H262" s="27">
        <v>30419235</v>
      </c>
      <c r="I262" s="28">
        <v>10500000</v>
      </c>
      <c r="J262" s="28">
        <v>10500000</v>
      </c>
      <c r="K262" s="34">
        <v>0.41</v>
      </c>
      <c r="L262" s="34">
        <v>7.44</v>
      </c>
      <c r="M262" s="34">
        <v>38.770000000000003</v>
      </c>
      <c r="N262" s="24">
        <v>258</v>
      </c>
      <c r="O262" s="29">
        <v>43096.561956018515</v>
      </c>
    </row>
    <row r="263" spans="2:15" x14ac:dyDescent="0.25">
      <c r="B263" s="24" t="s">
        <v>2095</v>
      </c>
      <c r="C263" s="23" t="s">
        <v>174</v>
      </c>
      <c r="D263" s="24" t="s">
        <v>1142</v>
      </c>
      <c r="E263" s="25">
        <v>1.349E-5</v>
      </c>
      <c r="F263" s="26">
        <v>0.213092</v>
      </c>
      <c r="G263" s="27">
        <v>935932</v>
      </c>
      <c r="H263" s="27">
        <v>30023080</v>
      </c>
      <c r="I263" s="28">
        <v>140892572</v>
      </c>
      <c r="J263" s="28">
        <v>140892572</v>
      </c>
      <c r="K263" s="34">
        <v>-2.6</v>
      </c>
      <c r="L263" s="34">
        <v>5.73</v>
      </c>
      <c r="M263" s="34">
        <v>-11.62</v>
      </c>
      <c r="N263" s="24">
        <v>259</v>
      </c>
      <c r="O263" s="29">
        <v>43096.56181712963</v>
      </c>
    </row>
    <row r="264" spans="2:15" x14ac:dyDescent="0.25">
      <c r="B264" s="24" t="s">
        <v>2099</v>
      </c>
      <c r="C264" s="23" t="s">
        <v>161</v>
      </c>
      <c r="D264" s="24" t="s">
        <v>1131</v>
      </c>
      <c r="E264" s="25">
        <v>8.0000000000000005E-9</v>
      </c>
      <c r="F264" s="26">
        <v>1.34227E-4</v>
      </c>
      <c r="G264" s="27">
        <v>90973.6</v>
      </c>
      <c r="H264" s="27">
        <v>29947965</v>
      </c>
      <c r="I264" s="28">
        <v>223114315277</v>
      </c>
      <c r="J264" s="28">
        <v>223114315277</v>
      </c>
      <c r="K264" s="34">
        <v>-3.38</v>
      </c>
      <c r="L264" s="34">
        <v>4.49</v>
      </c>
      <c r="M264" s="34">
        <v>39.81</v>
      </c>
      <c r="N264" s="24">
        <v>260</v>
      </c>
      <c r="O264" s="29">
        <v>43096.56181712963</v>
      </c>
    </row>
    <row r="265" spans="2:15" x14ac:dyDescent="0.25">
      <c r="B265" s="24" t="s">
        <v>2084</v>
      </c>
      <c r="C265" s="23" t="s">
        <v>165</v>
      </c>
      <c r="D265" s="24" t="s">
        <v>1134</v>
      </c>
      <c r="E265" s="25">
        <v>5.1362999999999995E-4</v>
      </c>
      <c r="F265" s="26">
        <v>8.1148000000000007</v>
      </c>
      <c r="G265" s="27">
        <v>1336170</v>
      </c>
      <c r="H265" s="27">
        <v>29458259</v>
      </c>
      <c r="I265" s="28">
        <v>3630189</v>
      </c>
      <c r="J265" s="28">
        <v>3630189</v>
      </c>
      <c r="K265" s="34">
        <v>-2.94</v>
      </c>
      <c r="L265" s="34">
        <v>4.37</v>
      </c>
      <c r="M265" s="34">
        <v>25.53</v>
      </c>
      <c r="N265" s="24">
        <v>261</v>
      </c>
      <c r="O265" s="29">
        <v>43096.561851851853</v>
      </c>
    </row>
    <row r="266" spans="2:15" x14ac:dyDescent="0.25">
      <c r="B266" s="24" t="s">
        <v>2011</v>
      </c>
      <c r="C266" s="23" t="s">
        <v>90</v>
      </c>
      <c r="D266" s="24" t="s">
        <v>1058</v>
      </c>
      <c r="E266" s="25">
        <v>9.8105999999999996E-4</v>
      </c>
      <c r="F266" s="26">
        <v>15.499599999999999</v>
      </c>
      <c r="G266" s="27">
        <v>642937</v>
      </c>
      <c r="H266" s="27">
        <v>28983263</v>
      </c>
      <c r="I266" s="28">
        <v>1869936</v>
      </c>
      <c r="J266" s="28">
        <v>110000000</v>
      </c>
      <c r="K266" s="34">
        <v>-2.1800000000000002</v>
      </c>
      <c r="L266" s="34">
        <v>8.2799999999999994</v>
      </c>
      <c r="M266" s="34">
        <v>0.55000000000000004</v>
      </c>
      <c r="N266" s="24">
        <v>262</v>
      </c>
      <c r="O266" s="29">
        <v>43096.561921296299</v>
      </c>
    </row>
    <row r="267" spans="2:15" x14ac:dyDescent="0.25">
      <c r="B267" s="24" t="s">
        <v>2950</v>
      </c>
      <c r="C267" s="23" t="s">
        <v>2951</v>
      </c>
      <c r="D267" s="24" t="s">
        <v>2952</v>
      </c>
      <c r="E267" s="25">
        <v>4.8899999999999998E-6</v>
      </c>
      <c r="F267" s="26">
        <v>7.7276700000000004E-2</v>
      </c>
      <c r="G267" s="27">
        <v>717423</v>
      </c>
      <c r="H267" s="27">
        <v>28978763</v>
      </c>
      <c r="I267" s="28">
        <v>375000000</v>
      </c>
      <c r="J267" s="28">
        <v>500000000</v>
      </c>
      <c r="K267" s="34">
        <v>0.64</v>
      </c>
      <c r="L267" s="34">
        <v>-10.98</v>
      </c>
      <c r="M267" s="34">
        <v>-51.91</v>
      </c>
      <c r="N267" s="24">
        <v>263</v>
      </c>
      <c r="O267" s="29">
        <v>43096.561979166669</v>
      </c>
    </row>
    <row r="268" spans="2:15" x14ac:dyDescent="0.25">
      <c r="B268" s="24" t="s">
        <v>2185</v>
      </c>
      <c r="C268" s="23" t="s">
        <v>259</v>
      </c>
      <c r="D268" s="24" t="s">
        <v>1229</v>
      </c>
      <c r="E268" s="25">
        <v>1.19E-6</v>
      </c>
      <c r="F268" s="26">
        <v>1.88007E-2</v>
      </c>
      <c r="G268" s="27">
        <v>1813500</v>
      </c>
      <c r="H268" s="27">
        <v>28950822</v>
      </c>
      <c r="I268" s="28">
        <v>1539880000</v>
      </c>
      <c r="J268" s="28">
        <v>1539880000</v>
      </c>
      <c r="K268" s="34">
        <v>-0.56000000000000005</v>
      </c>
      <c r="L268" s="34">
        <v>-8.2200000000000006</v>
      </c>
      <c r="M268" s="34">
        <v>97.4</v>
      </c>
      <c r="N268" s="24">
        <v>264</v>
      </c>
      <c r="O268" s="29">
        <v>43096.561828703707</v>
      </c>
    </row>
    <row r="269" spans="2:15" x14ac:dyDescent="0.25">
      <c r="B269" s="24" t="s">
        <v>3485</v>
      </c>
      <c r="C269" s="23" t="s">
        <v>3486</v>
      </c>
      <c r="D269" s="24" t="s">
        <v>3487</v>
      </c>
      <c r="E269" s="25">
        <v>4.6249999999999999E-5</v>
      </c>
      <c r="F269" s="26">
        <v>0.73062300000000002</v>
      </c>
      <c r="G269" s="27">
        <v>62489.1</v>
      </c>
      <c r="H269" s="27">
        <v>28667083</v>
      </c>
      <c r="I269" s="28">
        <v>39236491</v>
      </c>
      <c r="J269" s="28">
        <v>300000000</v>
      </c>
      <c r="K269" s="34">
        <v>-13.1</v>
      </c>
      <c r="L269" s="34">
        <v>-21.18</v>
      </c>
      <c r="M269" s="34">
        <v>-19.98</v>
      </c>
      <c r="N269" s="24">
        <v>265</v>
      </c>
      <c r="O269" s="29">
        <v>43096.562002314815</v>
      </c>
    </row>
    <row r="270" spans="2:15" x14ac:dyDescent="0.25">
      <c r="B270" s="24" t="s">
        <v>2110</v>
      </c>
      <c r="C270" s="23" t="s">
        <v>186</v>
      </c>
      <c r="D270" s="24" t="s">
        <v>1156</v>
      </c>
      <c r="E270" s="25">
        <v>8.1000000000000004E-6</v>
      </c>
      <c r="F270" s="26">
        <v>0.12795100000000001</v>
      </c>
      <c r="G270" s="27">
        <v>1181150</v>
      </c>
      <c r="H270" s="27">
        <v>28478519</v>
      </c>
      <c r="I270" s="28">
        <v>222573633</v>
      </c>
      <c r="J270" s="28">
        <v>307573633</v>
      </c>
      <c r="K270" s="34">
        <v>4.67</v>
      </c>
      <c r="L270" s="34">
        <v>13.28</v>
      </c>
      <c r="M270" s="34">
        <v>42.52</v>
      </c>
      <c r="N270" s="24">
        <v>266</v>
      </c>
      <c r="O270" s="29">
        <v>43096.561909722222</v>
      </c>
    </row>
    <row r="271" spans="2:15" x14ac:dyDescent="0.25">
      <c r="B271" s="24" t="s">
        <v>2056</v>
      </c>
      <c r="C271" s="23" t="s">
        <v>139</v>
      </c>
      <c r="D271" s="24" t="s">
        <v>1108</v>
      </c>
      <c r="E271" s="25">
        <v>6.4632999999999997E-4</v>
      </c>
      <c r="F271" s="26">
        <v>10.2111</v>
      </c>
      <c r="G271" s="27">
        <v>496769</v>
      </c>
      <c r="H271" s="27">
        <v>28438484</v>
      </c>
      <c r="I271" s="28">
        <v>2785056</v>
      </c>
      <c r="J271" s="28">
        <v>16504513</v>
      </c>
      <c r="K271" s="34">
        <v>3.32</v>
      </c>
      <c r="L271" s="34">
        <v>6.7</v>
      </c>
      <c r="M271" s="34">
        <v>-1.86</v>
      </c>
      <c r="N271" s="24">
        <v>267</v>
      </c>
      <c r="O271" s="29">
        <v>43096.561840277776</v>
      </c>
    </row>
    <row r="272" spans="2:15" x14ac:dyDescent="0.25">
      <c r="B272" s="24" t="s">
        <v>2033</v>
      </c>
      <c r="C272" s="23" t="s">
        <v>107</v>
      </c>
      <c r="D272" s="24" t="s">
        <v>1075</v>
      </c>
      <c r="E272" s="25">
        <v>7.8317999999999997E-4</v>
      </c>
      <c r="F272" s="26">
        <v>12.3733</v>
      </c>
      <c r="G272" s="27">
        <v>616599</v>
      </c>
      <c r="H272" s="27">
        <v>28432025</v>
      </c>
      <c r="I272" s="28">
        <v>2297853</v>
      </c>
      <c r="J272" s="28">
        <v>2703356</v>
      </c>
      <c r="K272" s="34">
        <v>1.61</v>
      </c>
      <c r="L272" s="34">
        <v>5.37</v>
      </c>
      <c r="M272" s="34">
        <v>54.72</v>
      </c>
      <c r="N272" s="24">
        <v>268</v>
      </c>
      <c r="O272" s="29">
        <v>43096.561932870369</v>
      </c>
    </row>
    <row r="273" spans="2:15" x14ac:dyDescent="0.25">
      <c r="B273" s="24" t="s">
        <v>2065</v>
      </c>
      <c r="C273" s="23" t="s">
        <v>141</v>
      </c>
      <c r="D273" s="24" t="s">
        <v>1110</v>
      </c>
      <c r="E273" s="25">
        <v>7.8889999999999999E-5</v>
      </c>
      <c r="F273" s="26">
        <v>1.2463299999999999</v>
      </c>
      <c r="G273" s="27">
        <v>249973</v>
      </c>
      <c r="H273" s="27">
        <v>28351276</v>
      </c>
      <c r="I273" s="28">
        <v>22747809</v>
      </c>
      <c r="J273" s="28">
        <v>22747809</v>
      </c>
      <c r="K273" s="34">
        <v>-1.24</v>
      </c>
      <c r="L273" s="34">
        <v>-5.81</v>
      </c>
      <c r="M273" s="34">
        <v>25.28</v>
      </c>
      <c r="N273" s="24">
        <v>269</v>
      </c>
      <c r="O273" s="29">
        <v>43096.561921296299</v>
      </c>
    </row>
    <row r="274" spans="2:15" x14ac:dyDescent="0.25">
      <c r="B274" s="24" t="s">
        <v>2091</v>
      </c>
      <c r="C274" s="23" t="s">
        <v>168</v>
      </c>
      <c r="D274" s="24" t="s">
        <v>168</v>
      </c>
      <c r="E274" s="25">
        <v>1.7804999999999999E-4</v>
      </c>
      <c r="F274" s="26">
        <v>2.8130000000000002</v>
      </c>
      <c r="G274" s="27">
        <v>36645.5</v>
      </c>
      <c r="H274" s="27">
        <v>28130000</v>
      </c>
      <c r="I274" s="28">
        <v>10000000</v>
      </c>
      <c r="J274" s="28">
        <v>10000000</v>
      </c>
      <c r="K274" s="34">
        <v>-0.64</v>
      </c>
      <c r="L274" s="34">
        <v>-7.5</v>
      </c>
      <c r="M274" s="34">
        <v>-6.28</v>
      </c>
      <c r="N274" s="24">
        <v>270</v>
      </c>
      <c r="O274" s="29">
        <v>43096.561944444446</v>
      </c>
    </row>
    <row r="275" spans="2:15" x14ac:dyDescent="0.25">
      <c r="B275" s="24" t="s">
        <v>2021</v>
      </c>
      <c r="C275" s="23" t="s">
        <v>95</v>
      </c>
      <c r="D275" s="24" t="s">
        <v>1063</v>
      </c>
      <c r="E275" s="25">
        <v>4.2020000000000001E-5</v>
      </c>
      <c r="F275" s="26">
        <v>0.66389600000000004</v>
      </c>
      <c r="G275" s="27">
        <v>1914350</v>
      </c>
      <c r="H275" s="27">
        <v>28086339</v>
      </c>
      <c r="I275" s="28">
        <v>42305329</v>
      </c>
      <c r="J275" s="28">
        <v>58145871</v>
      </c>
      <c r="K275" s="34">
        <v>-0.09</v>
      </c>
      <c r="L275" s="34">
        <v>0.64</v>
      </c>
      <c r="M275" s="34">
        <v>0.3</v>
      </c>
      <c r="N275" s="24">
        <v>271</v>
      </c>
      <c r="O275" s="29">
        <v>43096.561967592592</v>
      </c>
    </row>
    <row r="276" spans="2:15" x14ac:dyDescent="0.25">
      <c r="B276" s="24" t="s">
        <v>2066</v>
      </c>
      <c r="C276" s="23" t="s">
        <v>136</v>
      </c>
      <c r="D276" s="24" t="s">
        <v>1105</v>
      </c>
      <c r="E276" s="25">
        <v>2.652E-5</v>
      </c>
      <c r="F276" s="26">
        <v>0.419047</v>
      </c>
      <c r="G276" s="27">
        <v>1194360</v>
      </c>
      <c r="H276" s="27">
        <v>27875671</v>
      </c>
      <c r="I276" s="28">
        <v>66521586</v>
      </c>
      <c r="J276" s="28">
        <v>66521586</v>
      </c>
      <c r="K276" s="34">
        <v>-5.32</v>
      </c>
      <c r="L276" s="34">
        <v>10.44</v>
      </c>
      <c r="M276" s="34">
        <v>37.11</v>
      </c>
      <c r="N276" s="24">
        <v>272</v>
      </c>
      <c r="O276" s="29">
        <v>43096.561921296299</v>
      </c>
    </row>
    <row r="277" spans="2:15" x14ac:dyDescent="0.25">
      <c r="B277" s="24" t="s">
        <v>2107</v>
      </c>
      <c r="C277" s="23" t="s">
        <v>187</v>
      </c>
      <c r="D277" s="24" t="s">
        <v>1157</v>
      </c>
      <c r="E277" s="25">
        <v>1.47029E-3</v>
      </c>
      <c r="F277" s="26">
        <v>23.2288</v>
      </c>
      <c r="G277" s="27">
        <v>312352</v>
      </c>
      <c r="H277" s="27">
        <v>27871111</v>
      </c>
      <c r="I277" s="28">
        <v>1199852</v>
      </c>
      <c r="J277" s="28">
        <v>1199852</v>
      </c>
      <c r="K277" s="34">
        <v>-1.0900000000000001</v>
      </c>
      <c r="L277" s="34">
        <v>2.87</v>
      </c>
      <c r="M277" s="34">
        <v>-5.66</v>
      </c>
      <c r="N277" s="24">
        <v>273</v>
      </c>
      <c r="O277" s="29">
        <v>43096.561863425923</v>
      </c>
    </row>
    <row r="278" spans="2:15" x14ac:dyDescent="0.25">
      <c r="B278" s="24" t="s">
        <v>3077</v>
      </c>
      <c r="C278" s="23" t="s">
        <v>3078</v>
      </c>
      <c r="D278" s="24" t="s">
        <v>3078</v>
      </c>
      <c r="E278" s="25">
        <v>1.0149999999999999E-5</v>
      </c>
      <c r="F278" s="26">
        <v>0.16034699999999999</v>
      </c>
      <c r="G278" s="27">
        <v>72496.899999999994</v>
      </c>
      <c r="H278" s="27">
        <v>27735220</v>
      </c>
      <c r="I278" s="28">
        <v>172969998</v>
      </c>
      <c r="J278" s="28">
        <v>267000000</v>
      </c>
      <c r="K278" s="34">
        <v>-3.08</v>
      </c>
      <c r="L278" s="34">
        <v>8.59</v>
      </c>
      <c r="M278" s="34">
        <v>133.74</v>
      </c>
      <c r="N278" s="24">
        <v>274</v>
      </c>
      <c r="O278" s="29">
        <v>43096.561979166669</v>
      </c>
    </row>
    <row r="279" spans="2:15" x14ac:dyDescent="0.25">
      <c r="B279" s="24" t="s">
        <v>2134</v>
      </c>
      <c r="C279" s="23" t="s">
        <v>211</v>
      </c>
      <c r="D279" s="24" t="s">
        <v>1179</v>
      </c>
      <c r="E279" s="25">
        <v>5.8369999999999998E-5</v>
      </c>
      <c r="F279" s="26">
        <v>0.922122</v>
      </c>
      <c r="G279" s="27">
        <v>129930</v>
      </c>
      <c r="H279" s="27">
        <v>27663660</v>
      </c>
      <c r="I279" s="28">
        <v>30000000</v>
      </c>
      <c r="J279" s="28">
        <v>30000000</v>
      </c>
      <c r="K279" s="34">
        <v>-4.76</v>
      </c>
      <c r="L279" s="34">
        <v>-3.57</v>
      </c>
      <c r="M279" s="34">
        <v>0.05</v>
      </c>
      <c r="N279" s="24">
        <v>275</v>
      </c>
      <c r="O279" s="29">
        <v>43096.561956018515</v>
      </c>
    </row>
    <row r="280" spans="2:15" x14ac:dyDescent="0.25">
      <c r="B280" s="24" t="s">
        <v>2168</v>
      </c>
      <c r="C280" s="23" t="s">
        <v>238</v>
      </c>
      <c r="D280" s="24" t="s">
        <v>1206</v>
      </c>
      <c r="E280" s="25">
        <v>1.683E-5</v>
      </c>
      <c r="F280" s="26">
        <v>0.26586300000000002</v>
      </c>
      <c r="G280" s="27">
        <v>953875</v>
      </c>
      <c r="H280" s="27">
        <v>27530611</v>
      </c>
      <c r="I280" s="28">
        <v>103551869</v>
      </c>
      <c r="J280" s="28">
        <v>103551869</v>
      </c>
      <c r="K280" s="34">
        <v>-3.92</v>
      </c>
      <c r="L280" s="34">
        <v>3.67</v>
      </c>
      <c r="M280" s="34">
        <v>12.38</v>
      </c>
      <c r="N280" s="24">
        <v>276</v>
      </c>
      <c r="O280" s="29">
        <v>43096.561863425923</v>
      </c>
    </row>
    <row r="281" spans="2:15" x14ac:dyDescent="0.25">
      <c r="B281" s="24" t="s">
        <v>2933</v>
      </c>
      <c r="C281" s="23" t="s">
        <v>2934</v>
      </c>
      <c r="D281" s="24" t="s">
        <v>2935</v>
      </c>
      <c r="E281" s="25">
        <v>2.8319E-4</v>
      </c>
      <c r="F281" s="26">
        <v>4.4741099999999996</v>
      </c>
      <c r="G281" s="27">
        <v>1158880</v>
      </c>
      <c r="H281" s="27">
        <v>26844660</v>
      </c>
      <c r="I281" s="28">
        <v>6000000</v>
      </c>
      <c r="J281" s="28">
        <v>10000000</v>
      </c>
      <c r="K281" s="34">
        <v>0.01</v>
      </c>
      <c r="L281" s="34">
        <v>-1.89</v>
      </c>
      <c r="M281" s="34">
        <v>13.54</v>
      </c>
      <c r="N281" s="24">
        <v>277</v>
      </c>
      <c r="O281" s="29">
        <v>43096.561967592592</v>
      </c>
    </row>
    <row r="282" spans="2:15" x14ac:dyDescent="0.25">
      <c r="B282" s="24" t="s">
        <v>3097</v>
      </c>
      <c r="C282" s="23" t="s">
        <v>3098</v>
      </c>
      <c r="D282" s="24" t="s">
        <v>3099</v>
      </c>
      <c r="E282" s="25">
        <v>6.2520000000000004E-5</v>
      </c>
      <c r="F282" s="26">
        <v>0.98781399999999997</v>
      </c>
      <c r="G282" s="27">
        <v>135966</v>
      </c>
      <c r="H282" s="27">
        <v>25924653</v>
      </c>
      <c r="I282" s="28">
        <v>26244468</v>
      </c>
      <c r="J282" s="28">
        <v>200000000</v>
      </c>
      <c r="K282" s="34">
        <v>0.43</v>
      </c>
      <c r="L282" s="34">
        <v>18.260000000000002</v>
      </c>
      <c r="M282" s="34">
        <v>72.08</v>
      </c>
      <c r="N282" s="24">
        <v>278</v>
      </c>
      <c r="O282" s="29">
        <v>43096.561990740738</v>
      </c>
    </row>
    <row r="283" spans="2:15" x14ac:dyDescent="0.25">
      <c r="B283" s="24" t="s">
        <v>2159</v>
      </c>
      <c r="C283" s="23" t="s">
        <v>250</v>
      </c>
      <c r="D283" s="24" t="s">
        <v>1219</v>
      </c>
      <c r="E283" s="25">
        <v>1.5E-5</v>
      </c>
      <c r="F283" s="26">
        <v>0.236925</v>
      </c>
      <c r="G283" s="27">
        <v>1066340</v>
      </c>
      <c r="H283" s="27">
        <v>25519668</v>
      </c>
      <c r="I283" s="28">
        <v>107712011</v>
      </c>
      <c r="J283" s="28">
        <v>122707503</v>
      </c>
      <c r="K283" s="34">
        <v>2.92</v>
      </c>
      <c r="L283" s="34">
        <v>1.33</v>
      </c>
      <c r="M283" s="34">
        <v>-2.82</v>
      </c>
      <c r="N283" s="24">
        <v>279</v>
      </c>
      <c r="O283" s="29">
        <v>43096.561956018515</v>
      </c>
    </row>
    <row r="284" spans="2:15" x14ac:dyDescent="0.25">
      <c r="B284" s="24" t="s">
        <v>2146</v>
      </c>
      <c r="C284" s="23" t="s">
        <v>229</v>
      </c>
      <c r="D284" s="24" t="s">
        <v>1197</v>
      </c>
      <c r="E284" s="25">
        <v>9.1340000000000003E-5</v>
      </c>
      <c r="F284" s="26">
        <v>1.44303</v>
      </c>
      <c r="G284" s="27">
        <v>1456620</v>
      </c>
      <c r="H284" s="27">
        <v>25456456</v>
      </c>
      <c r="I284" s="28">
        <v>17640975</v>
      </c>
      <c r="J284" s="28">
        <v>17640975</v>
      </c>
      <c r="K284" s="34">
        <v>-2.79</v>
      </c>
      <c r="L284" s="34">
        <v>9.07</v>
      </c>
      <c r="M284" s="34">
        <v>5.65</v>
      </c>
      <c r="N284" s="24">
        <v>280</v>
      </c>
      <c r="O284" s="29">
        <v>43096.561840277776</v>
      </c>
    </row>
    <row r="285" spans="2:15" x14ac:dyDescent="0.25">
      <c r="B285" s="24" t="s">
        <v>2058</v>
      </c>
      <c r="C285" s="23" t="s">
        <v>134</v>
      </c>
      <c r="D285" s="24" t="s">
        <v>1103</v>
      </c>
      <c r="E285" s="25">
        <v>2.2299999999999998E-6</v>
      </c>
      <c r="F285" s="26">
        <v>3.5196999999999999E-2</v>
      </c>
      <c r="G285" s="27">
        <v>62406.6</v>
      </c>
      <c r="H285" s="27">
        <v>25285268</v>
      </c>
      <c r="I285" s="28">
        <v>718392712</v>
      </c>
      <c r="J285" s="28">
        <v>5000000000</v>
      </c>
      <c r="K285" s="34">
        <v>0.2</v>
      </c>
      <c r="L285" s="34">
        <v>5.48</v>
      </c>
      <c r="M285" s="34">
        <v>41.66</v>
      </c>
      <c r="N285" s="24">
        <v>281</v>
      </c>
      <c r="O285" s="29">
        <v>43096.561932870369</v>
      </c>
    </row>
    <row r="286" spans="2:15" x14ac:dyDescent="0.25">
      <c r="B286" s="24" t="s">
        <v>2027</v>
      </c>
      <c r="C286" s="23" t="s">
        <v>101</v>
      </c>
      <c r="D286" s="24" t="s">
        <v>1069</v>
      </c>
      <c r="E286" s="25">
        <v>1.1379999999999999E-5</v>
      </c>
      <c r="F286" s="26">
        <v>0.17982400000000001</v>
      </c>
      <c r="G286" s="27">
        <v>382240</v>
      </c>
      <c r="H286" s="27">
        <v>25175360</v>
      </c>
      <c r="I286" s="28">
        <v>140000000</v>
      </c>
      <c r="J286" s="28">
        <v>200000000</v>
      </c>
      <c r="K286" s="34">
        <v>-1.25</v>
      </c>
      <c r="L286" s="34">
        <v>-5.6</v>
      </c>
      <c r="M286" s="34">
        <v>16.23</v>
      </c>
      <c r="N286" s="24">
        <v>282</v>
      </c>
      <c r="O286" s="29">
        <v>43096.561967592592</v>
      </c>
    </row>
    <row r="287" spans="2:15" x14ac:dyDescent="0.25">
      <c r="B287" s="24" t="s">
        <v>2087</v>
      </c>
      <c r="C287" s="23" t="s">
        <v>170</v>
      </c>
      <c r="D287" s="24" t="s">
        <v>1138</v>
      </c>
      <c r="E287" s="25">
        <v>3.1538999999999997E-4</v>
      </c>
      <c r="F287" s="26">
        <v>4.98285</v>
      </c>
      <c r="G287" s="27">
        <v>1322.6</v>
      </c>
      <c r="H287" s="27">
        <v>24233233</v>
      </c>
      <c r="I287" s="28">
        <v>4863328</v>
      </c>
      <c r="J287" s="28">
        <v>213152220</v>
      </c>
      <c r="K287" s="34">
        <v>-55.63</v>
      </c>
      <c r="L287" s="34">
        <v>119.91</v>
      </c>
      <c r="M287" s="34">
        <v>52.27</v>
      </c>
      <c r="N287" s="24">
        <v>283</v>
      </c>
      <c r="O287" s="29">
        <v>43096.561932870369</v>
      </c>
    </row>
    <row r="288" spans="2:15" x14ac:dyDescent="0.25">
      <c r="B288" s="24" t="s">
        <v>2719</v>
      </c>
      <c r="C288" s="23" t="s">
        <v>783</v>
      </c>
      <c r="D288" s="24" t="s">
        <v>1738</v>
      </c>
      <c r="E288" s="25">
        <v>4.6500000000000003E-4</v>
      </c>
      <c r="F288" s="26">
        <v>7.3464400000000003</v>
      </c>
      <c r="G288" s="27">
        <v>3561470</v>
      </c>
      <c r="H288" s="27">
        <v>24209218</v>
      </c>
      <c r="I288" s="28">
        <v>3295367</v>
      </c>
      <c r="J288" s="28">
        <v>3357007</v>
      </c>
      <c r="K288" s="34">
        <v>1.68</v>
      </c>
      <c r="L288" s="34">
        <v>12.08</v>
      </c>
      <c r="M288" s="34">
        <v>18.260000000000002</v>
      </c>
      <c r="N288" s="24">
        <v>284</v>
      </c>
      <c r="O288" s="29">
        <v>43096.561909722222</v>
      </c>
    </row>
    <row r="289" spans="2:15" x14ac:dyDescent="0.25">
      <c r="B289" s="24" t="s">
        <v>3389</v>
      </c>
      <c r="C289" s="23" t="s">
        <v>3390</v>
      </c>
      <c r="D289" s="24" t="s">
        <v>3391</v>
      </c>
      <c r="E289" s="25">
        <v>1.9470000000000002E-5</v>
      </c>
      <c r="F289" s="26">
        <v>0.30755100000000002</v>
      </c>
      <c r="G289" s="27">
        <v>1363020</v>
      </c>
      <c r="H289" s="27">
        <v>23939587</v>
      </c>
      <c r="I289" s="28">
        <v>77839404</v>
      </c>
      <c r="J289" s="28">
        <v>400000000</v>
      </c>
      <c r="K289" s="34">
        <v>4.38</v>
      </c>
      <c r="L289" s="34">
        <v>3.05</v>
      </c>
      <c r="M289" s="34">
        <v>2.19</v>
      </c>
      <c r="N289" s="24">
        <v>285</v>
      </c>
      <c r="O289" s="29">
        <v>43096.561990740738</v>
      </c>
    </row>
    <row r="290" spans="2:15" x14ac:dyDescent="0.25">
      <c r="B290" s="24" t="s">
        <v>2012</v>
      </c>
      <c r="C290" s="23" t="s">
        <v>83</v>
      </c>
      <c r="D290" s="24" t="s">
        <v>1051</v>
      </c>
      <c r="E290" s="25">
        <v>6.4049999999999998E-5</v>
      </c>
      <c r="F290" s="26">
        <v>1.01193</v>
      </c>
      <c r="G290" s="27">
        <v>126405</v>
      </c>
      <c r="H290" s="27">
        <v>23926130</v>
      </c>
      <c r="I290" s="28">
        <v>23644056</v>
      </c>
      <c r="J290" s="28">
        <v>30133540</v>
      </c>
      <c r="K290" s="34">
        <v>-0.71</v>
      </c>
      <c r="L290" s="34">
        <v>-2.97</v>
      </c>
      <c r="M290" s="34">
        <v>5.37</v>
      </c>
      <c r="N290" s="24">
        <v>286</v>
      </c>
      <c r="O290" s="29">
        <v>43096.561932870369</v>
      </c>
    </row>
    <row r="291" spans="2:15" x14ac:dyDescent="0.25">
      <c r="B291" s="24" t="s">
        <v>2080</v>
      </c>
      <c r="C291" s="23" t="s">
        <v>1153</v>
      </c>
      <c r="D291" s="24" t="s">
        <v>1153</v>
      </c>
      <c r="E291" s="25">
        <v>5.9999999999999995E-8</v>
      </c>
      <c r="F291" s="30">
        <v>9.4792699999999999E-4</v>
      </c>
      <c r="G291" s="27">
        <v>57360.6</v>
      </c>
      <c r="H291" s="27">
        <v>23698175</v>
      </c>
      <c r="I291" s="28">
        <v>25000000000</v>
      </c>
      <c r="J291" s="28">
        <v>25000000000</v>
      </c>
      <c r="K291" s="34">
        <v>3.86</v>
      </c>
      <c r="L291" s="34">
        <v>3.8</v>
      </c>
      <c r="M291" s="34">
        <v>115.96</v>
      </c>
      <c r="N291" s="24">
        <v>287</v>
      </c>
      <c r="O291" s="29">
        <v>43096.561828703707</v>
      </c>
    </row>
    <row r="292" spans="2:15" x14ac:dyDescent="0.25">
      <c r="B292" s="24" t="s">
        <v>3245</v>
      </c>
      <c r="C292" s="23" t="s">
        <v>3246</v>
      </c>
      <c r="D292" s="24" t="s">
        <v>3246</v>
      </c>
      <c r="E292" s="25">
        <v>3.8460000000000001E-5</v>
      </c>
      <c r="F292" s="26">
        <v>0.60764499999999999</v>
      </c>
      <c r="G292" s="27">
        <v>149200</v>
      </c>
      <c r="H292" s="27">
        <v>23417817</v>
      </c>
      <c r="I292" s="28">
        <v>38538648</v>
      </c>
      <c r="J292" s="28">
        <v>75209200</v>
      </c>
      <c r="K292" s="34">
        <v>-0.64</v>
      </c>
      <c r="L292" s="34">
        <v>4.9800000000000004</v>
      </c>
      <c r="M292" s="34">
        <v>0.67</v>
      </c>
      <c r="N292" s="24">
        <v>288</v>
      </c>
      <c r="O292" s="29">
        <v>43096.561990740738</v>
      </c>
    </row>
    <row r="293" spans="2:15" x14ac:dyDescent="0.25">
      <c r="B293" s="24" t="s">
        <v>2010</v>
      </c>
      <c r="C293" s="23" t="s">
        <v>89</v>
      </c>
      <c r="D293" s="24" t="s">
        <v>1057</v>
      </c>
      <c r="E293" s="25">
        <v>1.5469999999999999E-5</v>
      </c>
      <c r="F293" s="26">
        <v>0.244362</v>
      </c>
      <c r="G293" s="27">
        <v>20973</v>
      </c>
      <c r="H293" s="27">
        <v>23319325</v>
      </c>
      <c r="I293" s="28">
        <v>95429424</v>
      </c>
      <c r="J293" s="28">
        <v>103786842</v>
      </c>
      <c r="K293" s="34">
        <v>-0.3</v>
      </c>
      <c r="L293" s="34">
        <v>1.62</v>
      </c>
      <c r="M293" s="34">
        <v>5.03</v>
      </c>
      <c r="N293" s="24">
        <v>289</v>
      </c>
      <c r="O293" s="29">
        <v>43096.561863425923</v>
      </c>
    </row>
    <row r="294" spans="2:15" x14ac:dyDescent="0.25">
      <c r="B294" s="24" t="s">
        <v>2218</v>
      </c>
      <c r="C294" s="23" t="s">
        <v>295</v>
      </c>
      <c r="D294" s="24" t="s">
        <v>1263</v>
      </c>
      <c r="E294" s="25">
        <v>2.3541999999999999E-4</v>
      </c>
      <c r="F294" s="26">
        <v>3.71943</v>
      </c>
      <c r="G294" s="27">
        <v>1189860</v>
      </c>
      <c r="H294" s="27">
        <v>23289836</v>
      </c>
      <c r="I294" s="28">
        <v>6261668</v>
      </c>
      <c r="J294" s="28">
        <v>6261668</v>
      </c>
      <c r="K294" s="34">
        <v>0.85</v>
      </c>
      <c r="L294" s="34">
        <v>1.8</v>
      </c>
      <c r="M294" s="34">
        <v>9.9499999999999993</v>
      </c>
      <c r="N294" s="24">
        <v>290</v>
      </c>
      <c r="O294" s="29">
        <v>43096.561874999999</v>
      </c>
    </row>
    <row r="295" spans="2:15" x14ac:dyDescent="0.25">
      <c r="B295" s="24" t="s">
        <v>3235</v>
      </c>
      <c r="C295" s="23" t="s">
        <v>3236</v>
      </c>
      <c r="D295" s="24" t="s">
        <v>3237</v>
      </c>
      <c r="E295" s="25">
        <v>1.39E-6</v>
      </c>
      <c r="F295" s="26">
        <v>2.1907800000000002E-2</v>
      </c>
      <c r="G295" s="27">
        <v>215386</v>
      </c>
      <c r="H295" s="27">
        <v>23003190</v>
      </c>
      <c r="I295" s="28">
        <v>1050000000</v>
      </c>
      <c r="J295" s="28">
        <v>1491492558</v>
      </c>
      <c r="K295" s="34">
        <v>0.13</v>
      </c>
      <c r="L295" s="34">
        <v>12.86</v>
      </c>
      <c r="M295" s="34">
        <v>33.06</v>
      </c>
      <c r="N295" s="24">
        <v>291</v>
      </c>
      <c r="O295" s="29">
        <v>43096.561990740738</v>
      </c>
    </row>
    <row r="296" spans="2:15" x14ac:dyDescent="0.25">
      <c r="B296" s="24" t="s">
        <v>2192</v>
      </c>
      <c r="C296" s="23" t="s">
        <v>269</v>
      </c>
      <c r="D296" s="24" t="s">
        <v>1238</v>
      </c>
      <c r="E296" s="25">
        <v>6.016E-5</v>
      </c>
      <c r="F296" s="26">
        <v>0.95046799999999998</v>
      </c>
      <c r="G296" s="27">
        <v>2450310</v>
      </c>
      <c r="H296" s="27">
        <v>22876149</v>
      </c>
      <c r="I296" s="28">
        <v>24068300</v>
      </c>
      <c r="J296" s="28">
        <v>24068300</v>
      </c>
      <c r="K296" s="34">
        <v>-0.32</v>
      </c>
      <c r="L296" s="34">
        <v>0.08</v>
      </c>
      <c r="M296" s="34">
        <v>-5.09</v>
      </c>
      <c r="N296" s="24">
        <v>292</v>
      </c>
      <c r="O296" s="29">
        <v>43096.561840277776</v>
      </c>
    </row>
    <row r="297" spans="2:15" x14ac:dyDescent="0.25">
      <c r="B297" s="24" t="s">
        <v>3328</v>
      </c>
      <c r="C297" s="23" t="s">
        <v>3329</v>
      </c>
      <c r="D297" s="24" t="s">
        <v>3330</v>
      </c>
      <c r="E297" s="25">
        <v>2.4200000000000001E-6</v>
      </c>
      <c r="F297" s="26">
        <v>3.8227200000000003E-2</v>
      </c>
      <c r="G297" s="27">
        <v>7967.87</v>
      </c>
      <c r="H297" s="27">
        <v>22611389</v>
      </c>
      <c r="I297" s="28">
        <v>591500000</v>
      </c>
      <c r="J297" s="28">
        <v>1300000000</v>
      </c>
      <c r="K297" s="34">
        <v>-3.91</v>
      </c>
      <c r="L297" s="34">
        <v>1.99</v>
      </c>
      <c r="M297" s="34">
        <v>-25.78</v>
      </c>
      <c r="N297" s="24">
        <v>293</v>
      </c>
      <c r="O297" s="29">
        <v>43096.561990740738</v>
      </c>
    </row>
    <row r="298" spans="2:15" x14ac:dyDescent="0.25">
      <c r="B298" s="24" t="s">
        <v>2104</v>
      </c>
      <c r="C298" s="23" t="s">
        <v>182</v>
      </c>
      <c r="D298" s="24" t="s">
        <v>1151</v>
      </c>
      <c r="E298" s="25">
        <v>2.7099999999999999E-6</v>
      </c>
      <c r="F298" s="26">
        <v>4.27962E-2</v>
      </c>
      <c r="G298" s="27">
        <v>1452270</v>
      </c>
      <c r="H298" s="27">
        <v>22488236</v>
      </c>
      <c r="I298" s="28">
        <v>525472720</v>
      </c>
      <c r="J298" s="28">
        <v>525472720</v>
      </c>
      <c r="K298" s="34">
        <v>-3</v>
      </c>
      <c r="L298" s="34">
        <v>3.43</v>
      </c>
      <c r="M298" s="34">
        <v>40.450000000000003</v>
      </c>
      <c r="N298" s="24">
        <v>294</v>
      </c>
      <c r="O298" s="29">
        <v>43096.561921296299</v>
      </c>
    </row>
    <row r="299" spans="2:15" x14ac:dyDescent="0.25">
      <c r="B299" s="24" t="s">
        <v>2078</v>
      </c>
      <c r="C299" s="23" t="s">
        <v>148</v>
      </c>
      <c r="D299" s="24" t="s">
        <v>1118</v>
      </c>
      <c r="E299" s="25">
        <v>1.169E-5</v>
      </c>
      <c r="F299" s="26">
        <v>0.18468799999999999</v>
      </c>
      <c r="G299" s="27">
        <v>194780</v>
      </c>
      <c r="H299" s="27">
        <v>22439752</v>
      </c>
      <c r="I299" s="28">
        <v>121500869</v>
      </c>
      <c r="J299" s="28">
        <v>121500869</v>
      </c>
      <c r="K299" s="34">
        <v>1.89</v>
      </c>
      <c r="L299" s="34">
        <v>4.5999999999999996</v>
      </c>
      <c r="M299" s="34">
        <v>32.340000000000003</v>
      </c>
      <c r="N299" s="24">
        <v>295</v>
      </c>
      <c r="O299" s="29">
        <v>43096.561828703707</v>
      </c>
    </row>
    <row r="300" spans="2:15" x14ac:dyDescent="0.25">
      <c r="B300" s="24" t="s">
        <v>2156</v>
      </c>
      <c r="C300" s="23" t="s">
        <v>220</v>
      </c>
      <c r="D300" s="24" t="s">
        <v>1188</v>
      </c>
      <c r="E300" s="25">
        <v>3.0431000000000002E-4</v>
      </c>
      <c r="F300" s="26">
        <v>4.8077899999999998</v>
      </c>
      <c r="G300" s="27">
        <v>796547</v>
      </c>
      <c r="H300" s="27">
        <v>22317839</v>
      </c>
      <c r="I300" s="28">
        <v>4642016</v>
      </c>
      <c r="J300" s="28">
        <v>19209881</v>
      </c>
      <c r="K300" s="34">
        <v>-0.1</v>
      </c>
      <c r="L300" s="34">
        <v>19.61</v>
      </c>
      <c r="M300" s="34">
        <v>36.979999999999997</v>
      </c>
      <c r="N300" s="24">
        <v>296</v>
      </c>
      <c r="O300" s="29">
        <v>43096.561967592592</v>
      </c>
    </row>
    <row r="301" spans="2:15" x14ac:dyDescent="0.25">
      <c r="B301" s="24" t="s">
        <v>3853</v>
      </c>
      <c r="C301" s="23" t="s">
        <v>3854</v>
      </c>
      <c r="D301" s="24" t="s">
        <v>3855</v>
      </c>
      <c r="E301" s="25">
        <v>1.305E-4</v>
      </c>
      <c r="F301" s="26">
        <v>2.0617399999999999</v>
      </c>
      <c r="G301" s="27">
        <v>24744.3</v>
      </c>
      <c r="H301" s="27">
        <v>22101932</v>
      </c>
      <c r="I301" s="28">
        <v>10720038</v>
      </c>
      <c r="J301" s="28">
        <v>10720038</v>
      </c>
      <c r="K301" s="34">
        <v>-0.72</v>
      </c>
      <c r="L301" s="34">
        <v>12.08</v>
      </c>
      <c r="M301" s="34">
        <v>-4.3</v>
      </c>
      <c r="N301" s="24">
        <v>297</v>
      </c>
      <c r="O301" s="29">
        <v>43096.561840277776</v>
      </c>
    </row>
    <row r="302" spans="2:15" x14ac:dyDescent="0.25">
      <c r="B302" s="24" t="s">
        <v>2050</v>
      </c>
      <c r="C302" s="23" t="s">
        <v>129</v>
      </c>
      <c r="D302" s="24" t="s">
        <v>1097</v>
      </c>
      <c r="E302" s="25">
        <v>1.082E-5</v>
      </c>
      <c r="F302" s="26">
        <v>0.17092499999999999</v>
      </c>
      <c r="G302" s="27">
        <v>81217.399999999994</v>
      </c>
      <c r="H302" s="27">
        <v>21725712</v>
      </c>
      <c r="I302" s="28">
        <v>127106697</v>
      </c>
      <c r="J302" s="28">
        <v>127106697</v>
      </c>
      <c r="K302" s="34">
        <v>2.75</v>
      </c>
      <c r="L302" s="34">
        <v>1.25</v>
      </c>
      <c r="M302" s="34">
        <v>8.09</v>
      </c>
      <c r="N302" s="24">
        <v>298</v>
      </c>
      <c r="O302" s="29">
        <v>43096.561863425923</v>
      </c>
    </row>
    <row r="303" spans="2:15" x14ac:dyDescent="0.25">
      <c r="B303" s="24" t="s">
        <v>2022</v>
      </c>
      <c r="C303" s="23" t="s">
        <v>102</v>
      </c>
      <c r="D303" s="24" t="s">
        <v>1070</v>
      </c>
      <c r="E303" s="25">
        <v>1.613E-5</v>
      </c>
      <c r="F303" s="26">
        <v>0.25475799999999998</v>
      </c>
      <c r="G303" s="27">
        <v>160865</v>
      </c>
      <c r="H303" s="27">
        <v>21654430</v>
      </c>
      <c r="I303" s="28">
        <v>85000000</v>
      </c>
      <c r="J303" s="28">
        <v>100000000</v>
      </c>
      <c r="K303" s="34">
        <v>3.74</v>
      </c>
      <c r="L303" s="34">
        <v>-9.52</v>
      </c>
      <c r="M303" s="34">
        <v>-7.16</v>
      </c>
      <c r="N303" s="24">
        <v>299</v>
      </c>
      <c r="O303" s="29">
        <v>43096.561956018515</v>
      </c>
    </row>
    <row r="304" spans="2:15" x14ac:dyDescent="0.25">
      <c r="B304" s="24" t="s">
        <v>2140</v>
      </c>
      <c r="C304" s="23" t="s">
        <v>230</v>
      </c>
      <c r="D304" s="24" t="s">
        <v>1198</v>
      </c>
      <c r="E304" s="25">
        <v>1.37E-6</v>
      </c>
      <c r="F304" s="26">
        <v>2.1644300000000002E-2</v>
      </c>
      <c r="G304" s="27">
        <v>1745150</v>
      </c>
      <c r="H304" s="27">
        <v>21644300</v>
      </c>
      <c r="I304" s="28">
        <v>1000000000</v>
      </c>
      <c r="J304" s="28">
        <v>1200000000</v>
      </c>
      <c r="K304" s="34">
        <v>-3.31</v>
      </c>
      <c r="L304" s="34">
        <v>-6.59</v>
      </c>
      <c r="M304" s="34">
        <v>44.29</v>
      </c>
      <c r="N304" s="24">
        <v>300</v>
      </c>
      <c r="O304" s="29">
        <v>43096.561851851853</v>
      </c>
    </row>
    <row r="305" spans="2:15" x14ac:dyDescent="0.25">
      <c r="B305" s="24" t="s">
        <v>2082</v>
      </c>
      <c r="C305" s="23" t="s">
        <v>162</v>
      </c>
      <c r="D305" s="24" t="s">
        <v>162</v>
      </c>
      <c r="E305" s="25">
        <v>8.6479999999999999E-5</v>
      </c>
      <c r="F305" s="26">
        <v>1.3663400000000001</v>
      </c>
      <c r="G305" s="27">
        <v>9199.66</v>
      </c>
      <c r="H305" s="27">
        <v>21522588</v>
      </c>
      <c r="I305" s="28">
        <v>15752000</v>
      </c>
      <c r="J305" s="28">
        <v>15752000</v>
      </c>
      <c r="K305" s="34">
        <v>-2.17</v>
      </c>
      <c r="L305" s="34">
        <v>-4.63</v>
      </c>
      <c r="M305" s="34">
        <v>-17.13</v>
      </c>
      <c r="N305" s="24">
        <v>301</v>
      </c>
      <c r="O305" s="29">
        <v>43096.561874999999</v>
      </c>
    </row>
    <row r="306" spans="2:15" x14ac:dyDescent="0.25">
      <c r="B306" s="24" t="s">
        <v>2922</v>
      </c>
      <c r="C306" s="23" t="s">
        <v>2921</v>
      </c>
      <c r="D306" s="24" t="s">
        <v>1101</v>
      </c>
      <c r="E306" s="25">
        <v>3.7719999999999998E-5</v>
      </c>
      <c r="F306" s="26">
        <v>0.59596700000000002</v>
      </c>
      <c r="G306" s="27">
        <v>248506</v>
      </c>
      <c r="H306" s="27">
        <v>21323010</v>
      </c>
      <c r="I306" s="28">
        <v>35778844</v>
      </c>
      <c r="J306" s="28">
        <v>65778844</v>
      </c>
      <c r="K306" s="34">
        <v>2.4900000000000002</v>
      </c>
      <c r="L306" s="34">
        <v>6.51</v>
      </c>
      <c r="M306" s="34">
        <v>-15.08</v>
      </c>
      <c r="N306" s="24">
        <v>302</v>
      </c>
      <c r="O306" s="29">
        <v>43096.561967592592</v>
      </c>
    </row>
    <row r="307" spans="2:15" x14ac:dyDescent="0.25">
      <c r="B307" s="24" t="s">
        <v>3303</v>
      </c>
      <c r="C307" s="23" t="s">
        <v>3304</v>
      </c>
      <c r="D307" s="24" t="s">
        <v>3305</v>
      </c>
      <c r="E307" s="25">
        <v>3.6350000000000003E-5</v>
      </c>
      <c r="F307" s="26">
        <v>0.57420899999999997</v>
      </c>
      <c r="G307" s="27">
        <v>572301</v>
      </c>
      <c r="H307" s="27">
        <v>21308831</v>
      </c>
      <c r="I307" s="28">
        <v>37109887</v>
      </c>
      <c r="J307" s="28">
        <v>79184116</v>
      </c>
      <c r="K307" s="34">
        <v>-2.2599999999999998</v>
      </c>
      <c r="L307" s="34">
        <v>36.78</v>
      </c>
      <c r="M307" s="34">
        <v>57.77</v>
      </c>
      <c r="N307" s="24">
        <v>303</v>
      </c>
      <c r="O307" s="29">
        <v>43096.561990740738</v>
      </c>
    </row>
    <row r="308" spans="2:15" x14ac:dyDescent="0.25">
      <c r="B308" s="24" t="s">
        <v>3051</v>
      </c>
      <c r="C308" s="23" t="s">
        <v>3052</v>
      </c>
      <c r="D308" s="24" t="s">
        <v>3053</v>
      </c>
      <c r="E308" s="25">
        <v>4.481E-5</v>
      </c>
      <c r="F308" s="26">
        <v>0.70801700000000001</v>
      </c>
      <c r="G308" s="27">
        <v>2025080</v>
      </c>
      <c r="H308" s="27">
        <v>21275380</v>
      </c>
      <c r="I308" s="28">
        <v>30049251</v>
      </c>
      <c r="J308" s="28">
        <v>60000000</v>
      </c>
      <c r="K308" s="34">
        <v>-0.93</v>
      </c>
      <c r="L308" s="34">
        <v>-19.489999999999998</v>
      </c>
      <c r="M308" s="34">
        <v>34.020000000000003</v>
      </c>
      <c r="N308" s="24">
        <v>304</v>
      </c>
      <c r="O308" s="29">
        <v>43096.561979166669</v>
      </c>
    </row>
    <row r="309" spans="2:15" x14ac:dyDescent="0.25">
      <c r="B309" s="24" t="s">
        <v>3022</v>
      </c>
      <c r="C309" s="23" t="s">
        <v>3023</v>
      </c>
      <c r="D309" s="24" t="s">
        <v>3024</v>
      </c>
      <c r="E309" s="25">
        <v>3.3720000000000002E-5</v>
      </c>
      <c r="F309" s="30">
        <v>0.53280700000000003</v>
      </c>
      <c r="G309" s="27">
        <v>3564760</v>
      </c>
      <c r="H309" s="27">
        <v>21265842</v>
      </c>
      <c r="I309" s="28">
        <v>39912842</v>
      </c>
      <c r="J309" s="28">
        <v>51889642</v>
      </c>
      <c r="K309" s="34">
        <v>-1.91</v>
      </c>
      <c r="L309" s="34">
        <v>31.76</v>
      </c>
      <c r="M309" s="34">
        <v>11.61</v>
      </c>
      <c r="N309" s="24">
        <v>305</v>
      </c>
      <c r="O309" s="29">
        <v>43096.561990740738</v>
      </c>
    </row>
    <row r="310" spans="2:15" x14ac:dyDescent="0.25">
      <c r="B310" s="24" t="s">
        <v>2166</v>
      </c>
      <c r="C310" s="23" t="s">
        <v>237</v>
      </c>
      <c r="D310" s="24" t="s">
        <v>1205</v>
      </c>
      <c r="E310" s="25">
        <v>8.7369999999999999E-5</v>
      </c>
      <c r="F310" s="26">
        <v>1.3803399999999999</v>
      </c>
      <c r="G310" s="27">
        <v>717226</v>
      </c>
      <c r="H310" s="27">
        <v>21214905</v>
      </c>
      <c r="I310" s="28">
        <v>15369333</v>
      </c>
      <c r="J310" s="28">
        <v>15369333</v>
      </c>
      <c r="K310" s="34">
        <v>5.08</v>
      </c>
      <c r="L310" s="34">
        <v>9.39</v>
      </c>
      <c r="M310" s="34">
        <v>1.38</v>
      </c>
      <c r="N310" s="24">
        <v>306</v>
      </c>
      <c r="O310" s="29">
        <v>43096.561863425923</v>
      </c>
    </row>
    <row r="311" spans="2:15" x14ac:dyDescent="0.25">
      <c r="B311" s="24" t="s">
        <v>2165</v>
      </c>
      <c r="C311" s="23" t="s">
        <v>239</v>
      </c>
      <c r="D311" s="24" t="s">
        <v>1207</v>
      </c>
      <c r="E311" s="25">
        <v>3.478E-4</v>
      </c>
      <c r="F311" s="26">
        <v>5.4948300000000003</v>
      </c>
      <c r="G311" s="27">
        <v>83205.8</v>
      </c>
      <c r="H311" s="27">
        <v>20919620</v>
      </c>
      <c r="I311" s="28">
        <v>3807146</v>
      </c>
      <c r="J311" s="28">
        <v>4988894</v>
      </c>
      <c r="K311" s="34">
        <v>28.43</v>
      </c>
      <c r="L311" s="34">
        <v>287.75</v>
      </c>
      <c r="M311" s="34">
        <v>245.44</v>
      </c>
      <c r="N311" s="24">
        <v>307</v>
      </c>
      <c r="O311" s="29">
        <v>43096.561944444446</v>
      </c>
    </row>
    <row r="312" spans="2:15" x14ac:dyDescent="0.25">
      <c r="B312" s="24" t="s">
        <v>2111</v>
      </c>
      <c r="C312" s="23" t="s">
        <v>189</v>
      </c>
      <c r="D312" s="24" t="s">
        <v>1159</v>
      </c>
      <c r="E312" s="25">
        <v>3.5099999999999999E-6</v>
      </c>
      <c r="F312" s="26">
        <v>5.5463899999999997E-2</v>
      </c>
      <c r="G312" s="27">
        <v>662009</v>
      </c>
      <c r="H312" s="27">
        <v>20775426</v>
      </c>
      <c r="I312" s="28">
        <v>374575649</v>
      </c>
      <c r="J312" s="28">
        <v>389575649</v>
      </c>
      <c r="K312" s="34">
        <v>-2.6</v>
      </c>
      <c r="L312" s="34">
        <v>10.97</v>
      </c>
      <c r="M312" s="34">
        <v>38.4</v>
      </c>
      <c r="N312" s="24">
        <v>308</v>
      </c>
      <c r="O312" s="29">
        <v>43096.561840277776</v>
      </c>
    </row>
    <row r="313" spans="2:15" x14ac:dyDescent="0.25">
      <c r="B313" s="24" t="s">
        <v>3677</v>
      </c>
      <c r="C313" s="23" t="s">
        <v>3678</v>
      </c>
      <c r="D313" s="24" t="s">
        <v>3679</v>
      </c>
      <c r="E313" s="25">
        <v>1.607E-5</v>
      </c>
      <c r="F313" s="26">
        <v>0.25390000000000001</v>
      </c>
      <c r="G313" s="27">
        <v>50131.199999999997</v>
      </c>
      <c r="H313" s="27">
        <v>20714709</v>
      </c>
      <c r="I313" s="28">
        <v>81586095</v>
      </c>
      <c r="J313" s="28">
        <v>140357073</v>
      </c>
      <c r="K313" s="34">
        <v>-1.64</v>
      </c>
      <c r="L313" s="34">
        <v>15.43</v>
      </c>
      <c r="M313" s="34">
        <v>72.14</v>
      </c>
      <c r="N313" s="24">
        <v>309</v>
      </c>
      <c r="O313" s="29">
        <v>43096.562002314815</v>
      </c>
    </row>
    <row r="314" spans="2:15" x14ac:dyDescent="0.25">
      <c r="B314" s="24" t="s">
        <v>3386</v>
      </c>
      <c r="C314" s="23" t="s">
        <v>3387</v>
      </c>
      <c r="D314" s="24" t="s">
        <v>3388</v>
      </c>
      <c r="E314" s="25">
        <v>6.5403E-4</v>
      </c>
      <c r="F314" s="26">
        <v>10.332800000000001</v>
      </c>
      <c r="G314" s="27">
        <v>2388100</v>
      </c>
      <c r="H314" s="27">
        <v>20665600</v>
      </c>
      <c r="I314" s="28">
        <v>2000000</v>
      </c>
      <c r="J314" s="28">
        <v>3000000000</v>
      </c>
      <c r="K314" s="34">
        <v>-0.41</v>
      </c>
      <c r="L314" s="34">
        <v>7.73</v>
      </c>
      <c r="M314" s="34">
        <v>-26.21</v>
      </c>
      <c r="N314" s="24">
        <v>310</v>
      </c>
      <c r="O314" s="29">
        <v>43096.561990740738</v>
      </c>
    </row>
    <row r="315" spans="2:15" x14ac:dyDescent="0.25">
      <c r="B315" s="24" t="s">
        <v>2136</v>
      </c>
      <c r="C315" s="23" t="s">
        <v>212</v>
      </c>
      <c r="D315" s="24" t="s">
        <v>1180</v>
      </c>
      <c r="E315" s="25">
        <v>3.3840000000000001E-5</v>
      </c>
      <c r="F315" s="26">
        <v>0.53457100000000002</v>
      </c>
      <c r="G315" s="27">
        <v>338568</v>
      </c>
      <c r="H315" s="27">
        <v>20557772</v>
      </c>
      <c r="I315" s="28">
        <v>38456579</v>
      </c>
      <c r="J315" s="28">
        <v>98034330510</v>
      </c>
      <c r="K315" s="34">
        <v>-4.5999999999999996</v>
      </c>
      <c r="L315" s="34">
        <v>-2.69</v>
      </c>
      <c r="M315" s="34">
        <v>-3.45</v>
      </c>
      <c r="N315" s="24">
        <v>311</v>
      </c>
      <c r="O315" s="29">
        <v>43096.561828703707</v>
      </c>
    </row>
    <row r="316" spans="2:15" x14ac:dyDescent="0.25">
      <c r="B316" s="24" t="s">
        <v>3648</v>
      </c>
      <c r="C316" s="23" t="s">
        <v>224</v>
      </c>
      <c r="D316" s="24" t="s">
        <v>1192</v>
      </c>
      <c r="E316" s="25">
        <v>1.6300000000000001E-6</v>
      </c>
      <c r="F316" s="26">
        <v>2.5774399999999999E-2</v>
      </c>
      <c r="G316" s="27">
        <v>1090260</v>
      </c>
      <c r="H316" s="27">
        <v>20427172</v>
      </c>
      <c r="I316" s="28">
        <v>792537250</v>
      </c>
      <c r="J316" s="28">
        <v>792537250</v>
      </c>
      <c r="K316" s="34">
        <v>-2.1800000000000002</v>
      </c>
      <c r="L316" s="34">
        <v>1.1100000000000001</v>
      </c>
      <c r="M316" s="34">
        <v>98.86</v>
      </c>
      <c r="N316" s="24">
        <v>312</v>
      </c>
      <c r="O316" s="29">
        <v>43096.561840277776</v>
      </c>
    </row>
    <row r="317" spans="2:15" x14ac:dyDescent="0.25">
      <c r="B317" s="24" t="s">
        <v>2365</v>
      </c>
      <c r="C317" s="23" t="s">
        <v>425</v>
      </c>
      <c r="D317" s="24" t="s">
        <v>1389</v>
      </c>
      <c r="E317" s="25">
        <v>1E-8</v>
      </c>
      <c r="F317" s="26">
        <v>1.5798799999999999E-4</v>
      </c>
      <c r="G317" s="27">
        <v>42959</v>
      </c>
      <c r="H317" s="27">
        <v>20385631</v>
      </c>
      <c r="I317" s="28">
        <v>129032781759</v>
      </c>
      <c r="J317" s="28">
        <v>129032781759</v>
      </c>
      <c r="K317" s="34">
        <v>-1.0900000000000001</v>
      </c>
      <c r="L317" s="34">
        <v>2.87</v>
      </c>
      <c r="M317" s="34">
        <v>220.41</v>
      </c>
      <c r="N317" s="24">
        <v>313</v>
      </c>
      <c r="O317" s="29">
        <v>43096.561828703707</v>
      </c>
    </row>
    <row r="318" spans="2:15" x14ac:dyDescent="0.25">
      <c r="B318" s="24" t="s">
        <v>3147</v>
      </c>
      <c r="C318" s="23" t="s">
        <v>3148</v>
      </c>
      <c r="D318" s="24" t="s">
        <v>3149</v>
      </c>
      <c r="E318" s="25">
        <v>1.9724E-4</v>
      </c>
      <c r="F318" s="26">
        <v>3.1161599999999998</v>
      </c>
      <c r="G318" s="27">
        <v>433789</v>
      </c>
      <c r="H318" s="27">
        <v>20362636</v>
      </c>
      <c r="I318" s="28">
        <v>6534528</v>
      </c>
      <c r="J318" s="28">
        <v>7228537</v>
      </c>
      <c r="K318" s="34">
        <v>0.51</v>
      </c>
      <c r="L318" s="34">
        <v>26.25</v>
      </c>
      <c r="M318" s="34">
        <v>153.91</v>
      </c>
      <c r="N318" s="24">
        <v>314</v>
      </c>
      <c r="O318" s="29">
        <v>43096.561979166669</v>
      </c>
    </row>
    <row r="319" spans="2:15" x14ac:dyDescent="0.25">
      <c r="B319" s="24" t="s">
        <v>2113</v>
      </c>
      <c r="C319" s="23" t="s">
        <v>190</v>
      </c>
      <c r="D319" s="24" t="s">
        <v>1160</v>
      </c>
      <c r="E319" s="25">
        <v>5.4219999999999999E-5</v>
      </c>
      <c r="F319" s="26">
        <v>0.85655499999999996</v>
      </c>
      <c r="G319" s="27">
        <v>714377</v>
      </c>
      <c r="H319" s="27">
        <v>19865678</v>
      </c>
      <c r="I319" s="28">
        <v>23192531</v>
      </c>
      <c r="J319" s="28">
        <v>23192531</v>
      </c>
      <c r="K319" s="34">
        <v>-3.15</v>
      </c>
      <c r="L319" s="34">
        <v>5.15</v>
      </c>
      <c r="M319" s="34">
        <v>42.54</v>
      </c>
      <c r="N319" s="24">
        <v>315</v>
      </c>
      <c r="O319" s="29">
        <v>43096.561874999999</v>
      </c>
    </row>
    <row r="320" spans="2:15" x14ac:dyDescent="0.25">
      <c r="B320" s="24" t="s">
        <v>3144</v>
      </c>
      <c r="C320" s="23" t="s">
        <v>3145</v>
      </c>
      <c r="D320" s="24" t="s">
        <v>3146</v>
      </c>
      <c r="E320" s="25">
        <v>3.5271E-4</v>
      </c>
      <c r="F320" s="26">
        <v>5.5724600000000004</v>
      </c>
      <c r="G320" s="27">
        <v>1016990</v>
      </c>
      <c r="H320" s="27">
        <v>19811444</v>
      </c>
      <c r="I320" s="28">
        <v>3555242</v>
      </c>
      <c r="J320" s="28">
        <v>7428847</v>
      </c>
      <c r="K320" s="34">
        <v>-3.03</v>
      </c>
      <c r="L320" s="34">
        <v>-15.06</v>
      </c>
      <c r="M320" s="34">
        <v>-52.31</v>
      </c>
      <c r="N320" s="24">
        <v>316</v>
      </c>
      <c r="O320" s="29">
        <v>43096.561990740738</v>
      </c>
    </row>
    <row r="321" spans="2:15" x14ac:dyDescent="0.25">
      <c r="B321" s="24" t="s">
        <v>2040</v>
      </c>
      <c r="C321" s="23" t="s">
        <v>116</v>
      </c>
      <c r="D321" s="24" t="s">
        <v>1083</v>
      </c>
      <c r="E321" s="25">
        <v>3.2688999999999998E-4</v>
      </c>
      <c r="F321" s="26">
        <v>5.1645399999999997</v>
      </c>
      <c r="G321" s="27">
        <v>1417350</v>
      </c>
      <c r="H321" s="27">
        <v>19733468</v>
      </c>
      <c r="I321" s="28">
        <v>3820954</v>
      </c>
      <c r="J321" s="28">
        <v>3969565</v>
      </c>
      <c r="K321" s="34">
        <v>-4.2</v>
      </c>
      <c r="L321" s="34">
        <v>-9.07</v>
      </c>
      <c r="M321" s="34">
        <v>14.28</v>
      </c>
      <c r="N321" s="24">
        <v>317</v>
      </c>
      <c r="O321" s="29">
        <v>43096.561956018515</v>
      </c>
    </row>
    <row r="322" spans="2:15" x14ac:dyDescent="0.25">
      <c r="B322" s="24" t="s">
        <v>2112</v>
      </c>
      <c r="C322" s="23" t="s">
        <v>188</v>
      </c>
      <c r="D322" s="24" t="s">
        <v>1158</v>
      </c>
      <c r="E322" s="25">
        <v>2.6889999999999998E-5</v>
      </c>
      <c r="F322" s="26">
        <v>0.424842</v>
      </c>
      <c r="G322" s="27">
        <v>266378</v>
      </c>
      <c r="H322" s="27">
        <v>19549785</v>
      </c>
      <c r="I322" s="28">
        <v>46016602</v>
      </c>
      <c r="J322" s="28">
        <v>46016625</v>
      </c>
      <c r="K322" s="34">
        <v>-1.51</v>
      </c>
      <c r="L322" s="34">
        <v>5.93</v>
      </c>
      <c r="M322" s="34">
        <v>11.04</v>
      </c>
      <c r="N322" s="24">
        <v>318</v>
      </c>
      <c r="O322" s="29">
        <v>43096.561909722222</v>
      </c>
    </row>
    <row r="323" spans="2:15" x14ac:dyDescent="0.25">
      <c r="B323" s="24" t="s">
        <v>2155</v>
      </c>
      <c r="C323" s="23" t="s">
        <v>234</v>
      </c>
      <c r="D323" s="24" t="s">
        <v>1202</v>
      </c>
      <c r="E323" s="25">
        <v>5.1860000000000002E-5</v>
      </c>
      <c r="F323" s="26">
        <v>0.81933500000000004</v>
      </c>
      <c r="G323" s="27">
        <v>470859</v>
      </c>
      <c r="H323" s="27">
        <v>19519664</v>
      </c>
      <c r="I323" s="28">
        <v>23823789</v>
      </c>
      <c r="J323" s="28">
        <v>23823789</v>
      </c>
      <c r="K323" s="34">
        <v>17.440000000000001</v>
      </c>
      <c r="L323" s="34">
        <v>13.18</v>
      </c>
      <c r="M323" s="34">
        <v>37.51</v>
      </c>
      <c r="N323" s="24">
        <v>319</v>
      </c>
      <c r="O323" s="29">
        <v>43096.561840277776</v>
      </c>
    </row>
    <row r="324" spans="2:15" x14ac:dyDescent="0.25">
      <c r="B324" s="24" t="s">
        <v>2098</v>
      </c>
      <c r="C324" s="23" t="s">
        <v>183</v>
      </c>
      <c r="D324" s="24" t="s">
        <v>1152</v>
      </c>
      <c r="E324" s="25">
        <v>4.0074000000000002E-4</v>
      </c>
      <c r="F324" s="26">
        <v>6.3312099999999996</v>
      </c>
      <c r="G324" s="27">
        <v>1731040</v>
      </c>
      <c r="H324" s="27">
        <v>19518742</v>
      </c>
      <c r="I324" s="28">
        <v>3082940</v>
      </c>
      <c r="J324" s="28">
        <v>3082940</v>
      </c>
      <c r="K324" s="34">
        <v>-1.18</v>
      </c>
      <c r="L324" s="34">
        <v>6.43</v>
      </c>
      <c r="M324" s="34">
        <v>24.76</v>
      </c>
      <c r="N324" s="24">
        <v>320</v>
      </c>
      <c r="O324" s="29">
        <v>43096.561863425923</v>
      </c>
    </row>
    <row r="325" spans="2:15" x14ac:dyDescent="0.25">
      <c r="B325" s="24" t="s">
        <v>3777</v>
      </c>
      <c r="C325" s="23" t="s">
        <v>3778</v>
      </c>
      <c r="D325" s="24" t="s">
        <v>3779</v>
      </c>
      <c r="E325" s="25">
        <v>3.8220000000000003E-5</v>
      </c>
      <c r="F325" s="26">
        <v>0.60386200000000001</v>
      </c>
      <c r="G325" s="27">
        <v>2108100</v>
      </c>
      <c r="H325" s="27">
        <v>19216716</v>
      </c>
      <c r="I325" s="28">
        <v>31823026</v>
      </c>
      <c r="J325" s="28">
        <v>108592692</v>
      </c>
      <c r="K325" s="34">
        <v>2.29</v>
      </c>
      <c r="L325" s="34">
        <v>-19.04</v>
      </c>
      <c r="M325" s="34">
        <v>910.07</v>
      </c>
      <c r="N325" s="24">
        <v>321</v>
      </c>
      <c r="O325" s="29">
        <v>43096.562013888892</v>
      </c>
    </row>
    <row r="326" spans="2:15" x14ac:dyDescent="0.25">
      <c r="B326" s="24" t="s">
        <v>3372</v>
      </c>
      <c r="C326" s="23" t="s">
        <v>3373</v>
      </c>
      <c r="D326" s="24" t="s">
        <v>3373</v>
      </c>
      <c r="E326" s="25">
        <v>2.0933700000000002E-3</v>
      </c>
      <c r="F326" s="26">
        <v>33.072699999999998</v>
      </c>
      <c r="G326" s="27">
        <v>14264.4</v>
      </c>
      <c r="H326" s="27">
        <v>19055864</v>
      </c>
      <c r="I326" s="28">
        <v>576181</v>
      </c>
      <c r="J326" s="28">
        <v>591617</v>
      </c>
      <c r="K326" s="34">
        <v>0.19</v>
      </c>
      <c r="L326" s="34">
        <v>-4.41</v>
      </c>
      <c r="M326" s="34">
        <v>-15.83</v>
      </c>
      <c r="N326" s="24">
        <v>322</v>
      </c>
      <c r="O326" s="29">
        <v>43096.561990740738</v>
      </c>
    </row>
    <row r="327" spans="2:15" x14ac:dyDescent="0.25">
      <c r="B327" s="24" t="s">
        <v>3653</v>
      </c>
      <c r="C327" s="23" t="s">
        <v>3654</v>
      </c>
      <c r="D327" s="24" t="s">
        <v>3655</v>
      </c>
      <c r="E327" s="25">
        <v>1.4100000000000001E-5</v>
      </c>
      <c r="F327" s="26">
        <v>0.222827</v>
      </c>
      <c r="G327" s="27">
        <v>35244.400000000001</v>
      </c>
      <c r="H327" s="27">
        <v>18950471</v>
      </c>
      <c r="I327" s="28">
        <v>85045667</v>
      </c>
      <c r="J327" s="28">
        <v>104818985</v>
      </c>
      <c r="K327" s="34">
        <v>-1.1299999999999999</v>
      </c>
      <c r="L327" s="34">
        <v>-2.38</v>
      </c>
      <c r="M327" s="34">
        <v>21.24</v>
      </c>
      <c r="N327" s="24">
        <v>323</v>
      </c>
      <c r="O327" s="29">
        <v>43096.562013888892</v>
      </c>
    </row>
    <row r="328" spans="2:15" x14ac:dyDescent="0.25">
      <c r="B328" s="24" t="s">
        <v>2036</v>
      </c>
      <c r="C328" s="23" t="s">
        <v>112</v>
      </c>
      <c r="D328" s="24" t="s">
        <v>1079</v>
      </c>
      <c r="E328" s="25">
        <v>1.6979000000000001E-4</v>
      </c>
      <c r="F328" s="26">
        <v>2.6824499999999998</v>
      </c>
      <c r="G328" s="27">
        <v>50475.199999999997</v>
      </c>
      <c r="H328" s="27">
        <v>18781503</v>
      </c>
      <c r="I328" s="28">
        <v>7001623</v>
      </c>
      <c r="J328" s="28">
        <v>7001623</v>
      </c>
      <c r="K328" s="34">
        <v>-0.48</v>
      </c>
      <c r="L328" s="34">
        <v>-2.54</v>
      </c>
      <c r="M328" s="34">
        <v>-6.65</v>
      </c>
      <c r="N328" s="24">
        <v>324</v>
      </c>
      <c r="O328" s="29">
        <v>43096.561944444446</v>
      </c>
    </row>
    <row r="329" spans="2:15" x14ac:dyDescent="0.25">
      <c r="B329" s="24" t="s">
        <v>2069</v>
      </c>
      <c r="C329" s="23" t="s">
        <v>147</v>
      </c>
      <c r="D329" s="24" t="s">
        <v>1117</v>
      </c>
      <c r="E329" s="25">
        <v>5.9532500000000002E-3</v>
      </c>
      <c r="F329" s="26">
        <v>94.054100000000005</v>
      </c>
      <c r="G329" s="27">
        <v>39825.699999999997</v>
      </c>
      <c r="H329" s="27">
        <v>18621082</v>
      </c>
      <c r="I329" s="28">
        <v>197983</v>
      </c>
      <c r="J329" s="28">
        <v>197983</v>
      </c>
      <c r="K329" s="34">
        <v>-0.98</v>
      </c>
      <c r="L329" s="34">
        <v>2.82</v>
      </c>
      <c r="M329" s="34">
        <v>-6.62</v>
      </c>
      <c r="N329" s="24">
        <v>325</v>
      </c>
      <c r="O329" s="29">
        <v>43096.56181712963</v>
      </c>
    </row>
    <row r="330" spans="2:15" x14ac:dyDescent="0.25">
      <c r="B330" s="24" t="s">
        <v>3513</v>
      </c>
      <c r="C330" s="23" t="s">
        <v>3514</v>
      </c>
      <c r="D330" s="24" t="s">
        <v>3515</v>
      </c>
      <c r="E330" s="25">
        <v>3.8600000000000003E-6</v>
      </c>
      <c r="F330" s="26">
        <v>6.1054700000000003E-2</v>
      </c>
      <c r="G330" s="27">
        <v>45204.800000000003</v>
      </c>
      <c r="H330" s="27">
        <v>18316410</v>
      </c>
      <c r="I330" s="28">
        <v>300000000</v>
      </c>
      <c r="J330" s="28">
        <v>1000000000</v>
      </c>
      <c r="K330" s="34">
        <v>-1.28</v>
      </c>
      <c r="L330" s="34">
        <v>22.84</v>
      </c>
      <c r="M330" s="34">
        <v>70.569999999999993</v>
      </c>
      <c r="N330" s="24">
        <v>326</v>
      </c>
      <c r="O330" s="29">
        <v>43096.562002314815</v>
      </c>
    </row>
    <row r="331" spans="2:15" x14ac:dyDescent="0.25">
      <c r="B331" s="24" t="s">
        <v>3174</v>
      </c>
      <c r="C331" s="23" t="s">
        <v>1114</v>
      </c>
      <c r="D331" s="24" t="s">
        <v>1114</v>
      </c>
      <c r="E331" s="25">
        <v>4.5779999999999999E-5</v>
      </c>
      <c r="F331" s="26">
        <v>0.72324200000000005</v>
      </c>
      <c r="G331" s="27">
        <v>609212</v>
      </c>
      <c r="H331" s="27">
        <v>18087740</v>
      </c>
      <c r="I331" s="28">
        <v>25009250</v>
      </c>
      <c r="J331" s="28">
        <v>100000000</v>
      </c>
      <c r="K331" s="34">
        <v>-1.66</v>
      </c>
      <c r="L331" s="34">
        <v>-2.81</v>
      </c>
      <c r="M331" s="34">
        <v>28.43</v>
      </c>
      <c r="N331" s="24">
        <v>327</v>
      </c>
      <c r="O331" s="29">
        <v>43096.561956018515</v>
      </c>
    </row>
    <row r="332" spans="2:15" x14ac:dyDescent="0.25">
      <c r="B332" s="24" t="s">
        <v>2240</v>
      </c>
      <c r="C332" s="23" t="s">
        <v>318</v>
      </c>
      <c r="D332" s="24" t="s">
        <v>1286</v>
      </c>
      <c r="E332" s="25">
        <v>2.5550000000000001E-5</v>
      </c>
      <c r="F332" s="26">
        <v>0.40369300000000002</v>
      </c>
      <c r="G332" s="27">
        <v>214556</v>
      </c>
      <c r="H332" s="27">
        <v>17802861</v>
      </c>
      <c r="I332" s="28">
        <v>44100000</v>
      </c>
      <c r="J332" s="28">
        <v>70000000</v>
      </c>
      <c r="K332" s="34">
        <v>0.24</v>
      </c>
      <c r="L332" s="34">
        <v>2.42</v>
      </c>
      <c r="M332" s="34">
        <v>7.82</v>
      </c>
      <c r="N332" s="24">
        <v>328</v>
      </c>
      <c r="O332" s="29">
        <v>43096.561909722222</v>
      </c>
    </row>
    <row r="333" spans="2:15" x14ac:dyDescent="0.25">
      <c r="B333" s="24" t="s">
        <v>3306</v>
      </c>
      <c r="C333" s="23" t="s">
        <v>3307</v>
      </c>
      <c r="D333" s="24" t="s">
        <v>3308</v>
      </c>
      <c r="E333" s="25">
        <v>2.4729999999999999E-5</v>
      </c>
      <c r="F333" s="26">
        <v>0.39072099999999998</v>
      </c>
      <c r="G333" s="27">
        <v>1187570</v>
      </c>
      <c r="H333" s="27">
        <v>17647383</v>
      </c>
      <c r="I333" s="28">
        <v>45166200</v>
      </c>
      <c r="J333" s="28">
        <v>116158667</v>
      </c>
      <c r="K333" s="34">
        <v>1.75</v>
      </c>
      <c r="L333" s="34">
        <v>5.38</v>
      </c>
      <c r="M333" s="34">
        <v>-8.8699999999999992</v>
      </c>
      <c r="N333" s="24">
        <v>329</v>
      </c>
      <c r="O333" s="29">
        <v>43096.561990740738</v>
      </c>
    </row>
    <row r="334" spans="2:15" x14ac:dyDescent="0.25">
      <c r="B334" s="24" t="s">
        <v>2045</v>
      </c>
      <c r="C334" s="23" t="s">
        <v>124</v>
      </c>
      <c r="D334" s="24" t="s">
        <v>1092</v>
      </c>
      <c r="E334" s="25">
        <v>6.7700000000000004E-6</v>
      </c>
      <c r="F334" s="26">
        <v>0.106958</v>
      </c>
      <c r="G334" s="27">
        <v>5932.79</v>
      </c>
      <c r="H334" s="27">
        <v>17640126</v>
      </c>
      <c r="I334" s="28">
        <v>164925727</v>
      </c>
      <c r="J334" s="28">
        <v>218000000</v>
      </c>
      <c r="K334" s="34">
        <v>-1.1399999999999999</v>
      </c>
      <c r="L334" s="34">
        <v>2.84</v>
      </c>
      <c r="M334" s="34">
        <v>-7.57</v>
      </c>
      <c r="N334" s="24">
        <v>330</v>
      </c>
      <c r="O334" s="29">
        <v>43096.561979166669</v>
      </c>
    </row>
    <row r="335" spans="2:15" x14ac:dyDescent="0.25">
      <c r="B335" s="24" t="s">
        <v>3170</v>
      </c>
      <c r="C335" s="23" t="s">
        <v>3171</v>
      </c>
      <c r="D335" s="24" t="s">
        <v>3172</v>
      </c>
      <c r="E335" s="25">
        <v>3.4000000000000001E-6</v>
      </c>
      <c r="F335" s="26">
        <v>5.3746099999999998E-2</v>
      </c>
      <c r="G335" s="27">
        <v>399781</v>
      </c>
      <c r="H335" s="27">
        <v>17259903</v>
      </c>
      <c r="I335" s="28">
        <v>321137782</v>
      </c>
      <c r="J335" s="28">
        <v>457760868</v>
      </c>
      <c r="K335" s="34">
        <v>-0.24</v>
      </c>
      <c r="L335" s="34">
        <v>-1.31</v>
      </c>
      <c r="M335" s="34">
        <v>-10.86</v>
      </c>
      <c r="N335" s="24">
        <v>331</v>
      </c>
      <c r="O335" s="29">
        <v>43096.561979166669</v>
      </c>
    </row>
    <row r="336" spans="2:15" x14ac:dyDescent="0.25">
      <c r="B336" s="24" t="s">
        <v>2129</v>
      </c>
      <c r="C336" s="23" t="s">
        <v>196</v>
      </c>
      <c r="D336" s="24" t="s">
        <v>1165</v>
      </c>
      <c r="E336" s="25">
        <v>2.5821999999999998E-4</v>
      </c>
      <c r="F336" s="30">
        <v>4.0795599999999999</v>
      </c>
      <c r="G336" s="27">
        <v>596856</v>
      </c>
      <c r="H336" s="27">
        <v>16786339</v>
      </c>
      <c r="I336" s="28">
        <v>4114743</v>
      </c>
      <c r="J336" s="28">
        <v>4114743</v>
      </c>
      <c r="K336" s="34">
        <v>-4.74</v>
      </c>
      <c r="L336" s="34">
        <v>12.97</v>
      </c>
      <c r="M336" s="34">
        <v>62.22</v>
      </c>
      <c r="N336" s="24">
        <v>332</v>
      </c>
      <c r="O336" s="29">
        <v>43096.561863425923</v>
      </c>
    </row>
    <row r="337" spans="2:15" x14ac:dyDescent="0.25">
      <c r="B337" s="24" t="s">
        <v>2182</v>
      </c>
      <c r="C337" s="23" t="s">
        <v>264</v>
      </c>
      <c r="D337" s="24" t="s">
        <v>1028</v>
      </c>
      <c r="E337" s="25">
        <v>1.3915999999999999E-4</v>
      </c>
      <c r="F337" s="26">
        <v>2.1985600000000001</v>
      </c>
      <c r="G337" s="27">
        <v>82429.600000000006</v>
      </c>
      <c r="H337" s="27">
        <v>16592268</v>
      </c>
      <c r="I337" s="28">
        <v>7546880</v>
      </c>
      <c r="J337" s="28">
        <v>7546880</v>
      </c>
      <c r="K337" s="34">
        <v>-2.4300000000000002</v>
      </c>
      <c r="L337" s="34">
        <v>-0.03</v>
      </c>
      <c r="M337" s="34">
        <v>1.34</v>
      </c>
      <c r="N337" s="24">
        <v>333</v>
      </c>
      <c r="O337" s="29">
        <v>43096.561840277776</v>
      </c>
    </row>
    <row r="338" spans="2:15" x14ac:dyDescent="0.25">
      <c r="B338" s="24" t="s">
        <v>3016</v>
      </c>
      <c r="C338" s="23" t="s">
        <v>3017</v>
      </c>
      <c r="D338" s="24" t="s">
        <v>3018</v>
      </c>
      <c r="E338" s="25">
        <v>6.2879999999999994E-5</v>
      </c>
      <c r="F338" s="26">
        <v>0.99349200000000004</v>
      </c>
      <c r="G338" s="27">
        <v>1093560</v>
      </c>
      <c r="H338" s="27">
        <v>16569166</v>
      </c>
      <c r="I338" s="28">
        <v>16677704</v>
      </c>
      <c r="J338" s="28">
        <v>100000000</v>
      </c>
      <c r="K338" s="34">
        <v>-3.9</v>
      </c>
      <c r="L338" s="34">
        <v>1.88</v>
      </c>
      <c r="M338" s="34">
        <v>60.11</v>
      </c>
      <c r="N338" s="24">
        <v>334</v>
      </c>
      <c r="O338" s="29">
        <v>43096.561979166669</v>
      </c>
    </row>
    <row r="339" spans="2:15" x14ac:dyDescent="0.25">
      <c r="B339" s="24" t="s">
        <v>2127</v>
      </c>
      <c r="C339" s="23" t="s">
        <v>204</v>
      </c>
      <c r="D339" s="24" t="s">
        <v>1173</v>
      </c>
      <c r="E339" s="25">
        <v>2.315E-5</v>
      </c>
      <c r="F339" s="26">
        <v>0.36574200000000001</v>
      </c>
      <c r="G339" s="27">
        <v>111621</v>
      </c>
      <c r="H339" s="27">
        <v>16552356</v>
      </c>
      <c r="I339" s="28">
        <v>45256919</v>
      </c>
      <c r="J339" s="28">
        <v>45256919</v>
      </c>
      <c r="K339" s="34">
        <v>-2.9</v>
      </c>
      <c r="L339" s="34">
        <v>2.11</v>
      </c>
      <c r="M339" s="34">
        <v>12.34</v>
      </c>
      <c r="N339" s="24">
        <v>335</v>
      </c>
      <c r="O339" s="29">
        <v>43096.561909722222</v>
      </c>
    </row>
    <row r="340" spans="2:15" x14ac:dyDescent="0.25">
      <c r="B340" s="24" t="s">
        <v>3348</v>
      </c>
      <c r="C340" s="23" t="s">
        <v>3349</v>
      </c>
      <c r="D340" s="24" t="s">
        <v>3349</v>
      </c>
      <c r="E340" s="25">
        <v>3.074E-5</v>
      </c>
      <c r="F340" s="26">
        <v>0.48560300000000001</v>
      </c>
      <c r="G340" s="27">
        <v>130601</v>
      </c>
      <c r="H340" s="27">
        <v>16272416</v>
      </c>
      <c r="I340" s="28">
        <v>33509711</v>
      </c>
      <c r="J340" s="28">
        <v>42000000</v>
      </c>
      <c r="K340" s="34">
        <v>-1.83</v>
      </c>
      <c r="L340" s="34">
        <v>-7.25</v>
      </c>
      <c r="M340" s="34">
        <v>-10.58</v>
      </c>
      <c r="N340" s="24">
        <v>336</v>
      </c>
      <c r="O340" s="29">
        <v>43096.562002314815</v>
      </c>
    </row>
    <row r="341" spans="2:15" x14ac:dyDescent="0.25">
      <c r="B341" s="24" t="s">
        <v>2545</v>
      </c>
      <c r="C341" s="23" t="s">
        <v>626</v>
      </c>
      <c r="D341" s="24" t="s">
        <v>1586</v>
      </c>
      <c r="E341" s="24">
        <v>1.359E-5</v>
      </c>
      <c r="F341" s="24">
        <v>0.21465500000000001</v>
      </c>
      <c r="G341" s="24">
        <v>133189</v>
      </c>
      <c r="H341" s="24">
        <v>16231030</v>
      </c>
      <c r="I341" s="28">
        <v>75614500</v>
      </c>
      <c r="J341" s="28">
        <v>75614500</v>
      </c>
      <c r="K341" s="34">
        <v>-9.61</v>
      </c>
      <c r="L341" s="34">
        <v>-7.4</v>
      </c>
      <c r="M341" s="34">
        <v>1.36</v>
      </c>
      <c r="N341" s="24">
        <v>337</v>
      </c>
      <c r="O341" s="29">
        <v>43096.561863425923</v>
      </c>
    </row>
    <row r="342" spans="2:15" x14ac:dyDescent="0.25">
      <c r="B342" s="24" t="s">
        <v>3312</v>
      </c>
      <c r="C342" s="23" t="s">
        <v>3313</v>
      </c>
      <c r="D342" s="24" t="s">
        <v>3314</v>
      </c>
      <c r="E342" s="25">
        <v>3.3729999999999997E-5</v>
      </c>
      <c r="F342" s="26">
        <v>0.53294799999999998</v>
      </c>
      <c r="G342" s="27">
        <v>12443.2</v>
      </c>
      <c r="H342" s="27">
        <v>16068462</v>
      </c>
      <c r="I342" s="28">
        <v>30150150</v>
      </c>
      <c r="J342" s="28">
        <v>100000000</v>
      </c>
      <c r="K342" s="34">
        <v>-1.04</v>
      </c>
      <c r="L342" s="34">
        <v>6.6</v>
      </c>
      <c r="M342" s="34">
        <v>-4.16</v>
      </c>
      <c r="N342" s="24">
        <v>338</v>
      </c>
      <c r="O342" s="29">
        <v>43096.561990740738</v>
      </c>
    </row>
    <row r="343" spans="2:15" x14ac:dyDescent="0.25">
      <c r="B343" s="24" t="s">
        <v>2122</v>
      </c>
      <c r="C343" s="23" t="s">
        <v>201</v>
      </c>
      <c r="D343" s="24" t="s">
        <v>1170</v>
      </c>
      <c r="E343" s="24">
        <v>4.6390000000000001E-5</v>
      </c>
      <c r="F343" s="26">
        <v>0.73298099999999999</v>
      </c>
      <c r="G343" s="24">
        <v>846456</v>
      </c>
      <c r="H343" s="24">
        <v>16021426</v>
      </c>
      <c r="I343" s="28">
        <v>21857901</v>
      </c>
      <c r="J343" s="28">
        <v>21857901</v>
      </c>
      <c r="K343" s="34">
        <v>-1.2</v>
      </c>
      <c r="L343" s="34">
        <v>-4.2</v>
      </c>
      <c r="M343" s="34">
        <v>78.569999999999993</v>
      </c>
      <c r="N343" s="24">
        <v>339</v>
      </c>
      <c r="O343" s="29">
        <v>43096.56181712963</v>
      </c>
    </row>
    <row r="344" spans="2:15" x14ac:dyDescent="0.25">
      <c r="B344" s="24" t="s">
        <v>3089</v>
      </c>
      <c r="C344" s="23" t="s">
        <v>3090</v>
      </c>
      <c r="D344" s="24" t="s">
        <v>3090</v>
      </c>
      <c r="E344" s="25">
        <v>1.6359999999999999E-5</v>
      </c>
      <c r="F344" s="26">
        <v>0.25853300000000001</v>
      </c>
      <c r="G344" s="27">
        <v>432517</v>
      </c>
      <c r="H344" s="27">
        <v>15986215</v>
      </c>
      <c r="I344" s="28">
        <v>61834330</v>
      </c>
      <c r="J344" s="28">
        <v>104000000</v>
      </c>
      <c r="K344" s="34">
        <v>-4.6399999999999997</v>
      </c>
      <c r="L344" s="34">
        <v>-6.58</v>
      </c>
      <c r="M344" s="34">
        <v>-4.0999999999999996</v>
      </c>
      <c r="N344" s="24">
        <v>340</v>
      </c>
      <c r="O344" s="29">
        <v>43096.561990740738</v>
      </c>
    </row>
    <row r="345" spans="2:15" x14ac:dyDescent="0.25">
      <c r="B345" s="24" t="s">
        <v>3771</v>
      </c>
      <c r="C345" s="23" t="s">
        <v>3772</v>
      </c>
      <c r="D345" s="24" t="s">
        <v>3773</v>
      </c>
      <c r="E345" s="25">
        <v>2.616E-5</v>
      </c>
      <c r="F345" s="26">
        <v>0.41333700000000001</v>
      </c>
      <c r="G345" s="27">
        <v>139220</v>
      </c>
      <c r="H345" s="27">
        <v>15961848</v>
      </c>
      <c r="I345" s="28">
        <v>38617032</v>
      </c>
      <c r="J345" s="28">
        <v>70981320</v>
      </c>
      <c r="K345" s="34">
        <v>-1.85</v>
      </c>
      <c r="L345" s="34">
        <v>3.66</v>
      </c>
      <c r="M345" s="34">
        <v>25.94</v>
      </c>
      <c r="N345" s="24">
        <v>341</v>
      </c>
      <c r="O345" s="29">
        <v>43096.562013888892</v>
      </c>
    </row>
    <row r="346" spans="2:15" x14ac:dyDescent="0.25">
      <c r="B346" s="24" t="s">
        <v>2219</v>
      </c>
      <c r="C346" s="23" t="s">
        <v>3931</v>
      </c>
      <c r="D346" s="24" t="s">
        <v>1269</v>
      </c>
      <c r="E346" s="25">
        <v>5.295E-5</v>
      </c>
      <c r="F346" s="26">
        <v>0.83653500000000003</v>
      </c>
      <c r="G346" s="27">
        <v>2683220</v>
      </c>
      <c r="H346" s="27">
        <v>15660738</v>
      </c>
      <c r="I346" s="28">
        <v>18720959</v>
      </c>
      <c r="J346" s="28">
        <v>19088212</v>
      </c>
      <c r="K346" s="34">
        <v>-0.2</v>
      </c>
      <c r="L346" s="34">
        <v>4.1399999999999997</v>
      </c>
      <c r="M346" s="34">
        <v>4.8499999999999996</v>
      </c>
      <c r="N346" s="24">
        <v>342</v>
      </c>
      <c r="O346" s="29">
        <v>43096.561874999999</v>
      </c>
    </row>
    <row r="347" spans="2:15" x14ac:dyDescent="0.25">
      <c r="B347" s="24" t="s">
        <v>2086</v>
      </c>
      <c r="C347" s="23" t="s">
        <v>164</v>
      </c>
      <c r="D347" s="24" t="s">
        <v>1133</v>
      </c>
      <c r="E347" s="25">
        <v>1.16533E-3</v>
      </c>
      <c r="F347" s="26">
        <v>18.410799999999998</v>
      </c>
      <c r="G347" s="27">
        <v>24779.9</v>
      </c>
      <c r="H347" s="27">
        <v>15649171</v>
      </c>
      <c r="I347" s="28">
        <v>850000</v>
      </c>
      <c r="J347" s="28">
        <v>20000000</v>
      </c>
      <c r="K347" s="34">
        <v>3.23</v>
      </c>
      <c r="L347" s="34">
        <v>23.11</v>
      </c>
      <c r="M347" s="34">
        <v>100.25</v>
      </c>
      <c r="N347" s="24">
        <v>343</v>
      </c>
      <c r="O347" s="29">
        <v>43096.561898148146</v>
      </c>
    </row>
    <row r="348" spans="2:15" x14ac:dyDescent="0.25">
      <c r="B348" s="24" t="s">
        <v>2198</v>
      </c>
      <c r="C348" s="23" t="s">
        <v>276</v>
      </c>
      <c r="D348" s="24" t="s">
        <v>1245</v>
      </c>
      <c r="E348" s="25">
        <v>4.0000000000000001E-8</v>
      </c>
      <c r="F348" s="26">
        <v>6.2344899999999999E-4</v>
      </c>
      <c r="G348" s="27">
        <v>162638</v>
      </c>
      <c r="H348" s="27">
        <v>15553345</v>
      </c>
      <c r="I348" s="28">
        <v>24947260808</v>
      </c>
      <c r="J348" s="28">
        <v>24947260808</v>
      </c>
      <c r="K348" s="34">
        <v>1.03</v>
      </c>
      <c r="L348" s="34">
        <v>26.06</v>
      </c>
      <c r="M348" s="34">
        <v>107.52</v>
      </c>
      <c r="N348" s="24">
        <v>344</v>
      </c>
      <c r="O348" s="29">
        <v>43096.561828703707</v>
      </c>
    </row>
    <row r="349" spans="2:15" x14ac:dyDescent="0.25">
      <c r="B349" s="24" t="s">
        <v>4068</v>
      </c>
      <c r="C349" s="23" t="s">
        <v>4069</v>
      </c>
      <c r="D349" s="24" t="s">
        <v>4070</v>
      </c>
      <c r="E349" s="25">
        <v>8.5299999999999996E-6</v>
      </c>
      <c r="F349" s="26">
        <v>0.13477</v>
      </c>
      <c r="G349" s="27">
        <v>4531870</v>
      </c>
      <c r="H349" s="27">
        <v>15494118</v>
      </c>
      <c r="I349" s="28">
        <v>114967118</v>
      </c>
      <c r="J349" s="28">
        <v>500000000</v>
      </c>
      <c r="K349" s="34">
        <v>1.9</v>
      </c>
      <c r="L349" s="34"/>
      <c r="M349" s="34"/>
      <c r="N349" s="24">
        <v>345</v>
      </c>
      <c r="O349" s="29">
        <v>43096.562025462961</v>
      </c>
    </row>
    <row r="350" spans="2:15" x14ac:dyDescent="0.25">
      <c r="B350" s="24" t="s">
        <v>2067</v>
      </c>
      <c r="C350" s="23" t="s">
        <v>143</v>
      </c>
      <c r="D350" s="24" t="s">
        <v>1112</v>
      </c>
      <c r="E350" s="25">
        <v>1.37944E-3</v>
      </c>
      <c r="F350" s="26">
        <v>21.793500000000002</v>
      </c>
      <c r="G350" s="27">
        <v>282280</v>
      </c>
      <c r="H350" s="27">
        <v>15475844</v>
      </c>
      <c r="I350" s="28">
        <v>710113</v>
      </c>
      <c r="J350" s="28">
        <v>710113</v>
      </c>
      <c r="K350" s="34">
        <v>-0.5</v>
      </c>
      <c r="L350" s="34">
        <v>-0.98</v>
      </c>
      <c r="M350" s="34">
        <v>1.46</v>
      </c>
      <c r="N350" s="24">
        <v>346</v>
      </c>
      <c r="O350" s="29">
        <v>43096.561921296299</v>
      </c>
    </row>
    <row r="351" spans="2:15" x14ac:dyDescent="0.25">
      <c r="B351" s="24" t="s">
        <v>2135</v>
      </c>
      <c r="C351" s="23" t="s">
        <v>208</v>
      </c>
      <c r="D351" s="24" t="s">
        <v>1177</v>
      </c>
      <c r="E351" s="25">
        <v>1.5599E-4</v>
      </c>
      <c r="F351" s="26">
        <v>2.4644300000000001</v>
      </c>
      <c r="G351" s="27">
        <v>40212.6</v>
      </c>
      <c r="H351" s="27">
        <v>15395952</v>
      </c>
      <c r="I351" s="28">
        <v>6247267</v>
      </c>
      <c r="J351" s="28">
        <v>8924667</v>
      </c>
      <c r="K351" s="34">
        <v>0.65</v>
      </c>
      <c r="L351" s="34">
        <v>65.38</v>
      </c>
      <c r="M351" s="34">
        <v>160.07</v>
      </c>
      <c r="N351" s="24">
        <v>347</v>
      </c>
      <c r="O351" s="29">
        <v>43096.561967592592</v>
      </c>
    </row>
    <row r="352" spans="2:15" x14ac:dyDescent="0.25">
      <c r="B352" s="24" t="s">
        <v>2161</v>
      </c>
      <c r="C352" s="23" t="s">
        <v>222</v>
      </c>
      <c r="D352" s="24" t="s">
        <v>1190</v>
      </c>
      <c r="E352" s="25">
        <v>2.1796000000000001E-4</v>
      </c>
      <c r="F352" s="26">
        <v>3.44346</v>
      </c>
      <c r="G352" s="27">
        <v>1228190</v>
      </c>
      <c r="H352" s="27">
        <v>15114272</v>
      </c>
      <c r="I352" s="28">
        <v>4389269</v>
      </c>
      <c r="J352" s="28">
        <v>4389269</v>
      </c>
      <c r="K352" s="34">
        <v>3.11</v>
      </c>
      <c r="L352" s="34">
        <v>10.77</v>
      </c>
      <c r="M352" s="34">
        <v>52.48</v>
      </c>
      <c r="N352" s="24">
        <v>348</v>
      </c>
      <c r="O352" s="29">
        <v>43096.561851851853</v>
      </c>
    </row>
    <row r="353" spans="2:15" x14ac:dyDescent="0.25">
      <c r="B353" s="24" t="s">
        <v>2141</v>
      </c>
      <c r="C353" s="23" t="s">
        <v>226</v>
      </c>
      <c r="D353" s="24" t="s">
        <v>1194</v>
      </c>
      <c r="E353" s="25">
        <v>6.2169999999999996E-5</v>
      </c>
      <c r="F353" s="26">
        <v>0.98226999999999998</v>
      </c>
      <c r="G353" s="27">
        <v>4027.65</v>
      </c>
      <c r="H353" s="27">
        <v>14734050</v>
      </c>
      <c r="I353" s="28">
        <v>15000000</v>
      </c>
      <c r="J353" s="28">
        <v>15000000</v>
      </c>
      <c r="K353" s="34">
        <v>0.43</v>
      </c>
      <c r="L353" s="34"/>
      <c r="M353" s="34">
        <v>-19.96</v>
      </c>
      <c r="N353" s="24">
        <v>349</v>
      </c>
      <c r="O353" s="29">
        <v>43096.561956018515</v>
      </c>
    </row>
    <row r="354" spans="2:15" x14ac:dyDescent="0.25">
      <c r="B354" s="24" t="s">
        <v>2209</v>
      </c>
      <c r="C354" s="23" t="s">
        <v>284</v>
      </c>
      <c r="D354" s="24" t="s">
        <v>1252</v>
      </c>
      <c r="E354" s="25">
        <v>7.8299999999999996E-6</v>
      </c>
      <c r="F354" s="26">
        <v>0.12364600000000001</v>
      </c>
      <c r="G354" s="27">
        <v>710763</v>
      </c>
      <c r="H354" s="27">
        <v>14447445</v>
      </c>
      <c r="I354" s="28">
        <v>116845228</v>
      </c>
      <c r="J354" s="28">
        <v>116845228</v>
      </c>
      <c r="K354" s="34">
        <v>1.44</v>
      </c>
      <c r="L354" s="34">
        <v>16.04</v>
      </c>
      <c r="M354" s="34">
        <v>34.950000000000003</v>
      </c>
      <c r="N354" s="24">
        <v>350</v>
      </c>
      <c r="O354" s="29">
        <v>43096.561828703707</v>
      </c>
    </row>
    <row r="355" spans="2:15" x14ac:dyDescent="0.25">
      <c r="B355" s="24" t="s">
        <v>2759</v>
      </c>
      <c r="C355" s="23" t="s">
        <v>832</v>
      </c>
      <c r="D355" s="24" t="s">
        <v>1785</v>
      </c>
      <c r="E355" s="25">
        <v>3E-10</v>
      </c>
      <c r="F355" s="26">
        <v>4.3251999999999997E-6</v>
      </c>
      <c r="G355" s="27">
        <v>184572</v>
      </c>
      <c r="H355" s="27">
        <v>14401136</v>
      </c>
      <c r="I355" s="28">
        <v>3329588446342</v>
      </c>
      <c r="J355" s="28">
        <v>3329588446342</v>
      </c>
      <c r="K355" s="34">
        <v>-0.38</v>
      </c>
      <c r="L355" s="34">
        <v>39.79</v>
      </c>
      <c r="M355" s="34">
        <v>161.51</v>
      </c>
      <c r="N355" s="24">
        <v>351</v>
      </c>
      <c r="O355" s="29">
        <v>43096.561874999999</v>
      </c>
    </row>
    <row r="356" spans="2:15" x14ac:dyDescent="0.25">
      <c r="B356" s="24" t="s">
        <v>2174</v>
      </c>
      <c r="C356" s="23" t="s">
        <v>3206</v>
      </c>
      <c r="D356" s="24" t="s">
        <v>1214</v>
      </c>
      <c r="E356" s="25">
        <v>4.4000000000000002E-4</v>
      </c>
      <c r="F356" s="26">
        <v>6.9514699999999996</v>
      </c>
      <c r="G356" s="27">
        <v>1349080</v>
      </c>
      <c r="H356" s="27">
        <v>14059104</v>
      </c>
      <c r="I356" s="28">
        <v>2022465</v>
      </c>
      <c r="J356" s="28">
        <v>2022465</v>
      </c>
      <c r="K356" s="34">
        <v>1.92</v>
      </c>
      <c r="L356" s="34">
        <v>5.82</v>
      </c>
      <c r="M356" s="34">
        <v>6.36</v>
      </c>
      <c r="N356" s="24">
        <v>352</v>
      </c>
      <c r="O356" s="29">
        <v>43096.561840277776</v>
      </c>
    </row>
    <row r="357" spans="2:15" x14ac:dyDescent="0.25">
      <c r="B357" s="24" t="s">
        <v>3136</v>
      </c>
      <c r="C357" s="23" t="s">
        <v>3137</v>
      </c>
      <c r="D357" s="24" t="s">
        <v>3138</v>
      </c>
      <c r="E357" s="25">
        <v>3.5240000000000001E-5</v>
      </c>
      <c r="F357" s="26">
        <v>0.55679699999999999</v>
      </c>
      <c r="G357" s="27">
        <v>194944</v>
      </c>
      <c r="H357" s="27">
        <v>13919925</v>
      </c>
      <c r="I357" s="28">
        <v>25000000</v>
      </c>
      <c r="J357" s="28">
        <v>92337246</v>
      </c>
      <c r="K357" s="34">
        <v>-1.1200000000000001</v>
      </c>
      <c r="L357" s="34">
        <v>1.62</v>
      </c>
      <c r="M357" s="34">
        <v>-19.78</v>
      </c>
      <c r="N357" s="24">
        <v>353</v>
      </c>
      <c r="O357" s="29">
        <v>43096.561979166669</v>
      </c>
    </row>
    <row r="358" spans="2:15" x14ac:dyDescent="0.25">
      <c r="B358" s="24" t="s">
        <v>3381</v>
      </c>
      <c r="C358" s="23" t="s">
        <v>3382</v>
      </c>
      <c r="D358" s="24" t="s">
        <v>3383</v>
      </c>
      <c r="E358" s="25">
        <v>1.2485999999999999E-4</v>
      </c>
      <c r="F358" s="26">
        <v>1.97261</v>
      </c>
      <c r="G358" s="27">
        <v>391425</v>
      </c>
      <c r="H358" s="27">
        <v>13808252</v>
      </c>
      <c r="I358" s="28">
        <v>6999991</v>
      </c>
      <c r="J358" s="28">
        <v>8999992</v>
      </c>
      <c r="K358" s="34">
        <v>0.42</v>
      </c>
      <c r="L358" s="34">
        <v>7.52</v>
      </c>
      <c r="M358" s="34">
        <v>-11.57</v>
      </c>
      <c r="N358" s="24">
        <v>354</v>
      </c>
      <c r="O358" s="29">
        <v>43096.561990740738</v>
      </c>
    </row>
    <row r="359" spans="2:15" x14ac:dyDescent="0.25">
      <c r="B359" s="24" t="s">
        <v>2227</v>
      </c>
      <c r="C359" s="23" t="s">
        <v>291</v>
      </c>
      <c r="D359" s="24" t="s">
        <v>1259</v>
      </c>
      <c r="E359" s="25">
        <v>5.134E-5</v>
      </c>
      <c r="F359" s="26">
        <v>0.81116299999999997</v>
      </c>
      <c r="G359" s="27">
        <v>1572420</v>
      </c>
      <c r="H359" s="27">
        <v>13661104</v>
      </c>
      <c r="I359" s="28">
        <v>16841380</v>
      </c>
      <c r="J359" s="28">
        <v>16841380</v>
      </c>
      <c r="K359" s="34">
        <v>2.42</v>
      </c>
      <c r="L359" s="34">
        <v>8.06</v>
      </c>
      <c r="M359" s="34">
        <v>38.71</v>
      </c>
      <c r="N359" s="24">
        <v>355</v>
      </c>
      <c r="O359" s="29">
        <v>43096.561898148146</v>
      </c>
    </row>
    <row r="360" spans="2:15" x14ac:dyDescent="0.25">
      <c r="B360" s="24" t="s">
        <v>2101</v>
      </c>
      <c r="C360" s="23" t="s">
        <v>179</v>
      </c>
      <c r="D360" s="24" t="s">
        <v>1147</v>
      </c>
      <c r="E360" s="25">
        <v>7.0000000000000005E-8</v>
      </c>
      <c r="F360" s="30">
        <v>1.17281E-3</v>
      </c>
      <c r="G360" s="27">
        <v>106218</v>
      </c>
      <c r="H360" s="27">
        <v>13595321</v>
      </c>
      <c r="I360" s="28">
        <v>11592091391</v>
      </c>
      <c r="J360" s="28">
        <v>11592091391</v>
      </c>
      <c r="K360" s="34">
        <v>13.09</v>
      </c>
      <c r="L360" s="34">
        <v>-1.28</v>
      </c>
      <c r="M360" s="34">
        <v>9.26</v>
      </c>
      <c r="N360" s="24">
        <v>356</v>
      </c>
      <c r="O360" s="29">
        <v>43096.56181712963</v>
      </c>
    </row>
    <row r="361" spans="2:15" x14ac:dyDescent="0.25">
      <c r="B361" s="24" t="s">
        <v>2221</v>
      </c>
      <c r="C361" s="23" t="s">
        <v>289</v>
      </c>
      <c r="D361" s="24" t="s">
        <v>1257</v>
      </c>
      <c r="E361" s="25">
        <v>8.5699999999999993E-6</v>
      </c>
      <c r="F361" s="26">
        <v>0.135439</v>
      </c>
      <c r="G361" s="27">
        <v>55652.7</v>
      </c>
      <c r="H361" s="27">
        <v>13590134</v>
      </c>
      <c r="I361" s="28">
        <v>100341367</v>
      </c>
      <c r="J361" s="28">
        <v>110341367</v>
      </c>
      <c r="K361" s="34">
        <v>-3.96</v>
      </c>
      <c r="L361" s="34">
        <v>12.15</v>
      </c>
      <c r="M361" s="34">
        <v>102.74</v>
      </c>
      <c r="N361" s="24">
        <v>357</v>
      </c>
      <c r="O361" s="29">
        <v>43096.561932870369</v>
      </c>
    </row>
    <row r="362" spans="2:15" x14ac:dyDescent="0.25">
      <c r="B362" s="24" t="s">
        <v>2281</v>
      </c>
      <c r="C362" s="23" t="s">
        <v>358</v>
      </c>
      <c r="D362" s="24" t="s">
        <v>1326</v>
      </c>
      <c r="E362" s="25">
        <v>6.8000000000000001E-6</v>
      </c>
      <c r="F362" s="26">
        <v>0.107465</v>
      </c>
      <c r="G362" s="27">
        <v>55166.5</v>
      </c>
      <c r="H362" s="27">
        <v>13494883</v>
      </c>
      <c r="I362" s="28">
        <v>125574682</v>
      </c>
      <c r="J362" s="28">
        <v>125574682</v>
      </c>
      <c r="K362" s="34">
        <v>0.27</v>
      </c>
      <c r="L362" s="34">
        <v>7.92</v>
      </c>
      <c r="M362" s="34">
        <v>29.36</v>
      </c>
      <c r="N362" s="24">
        <v>358</v>
      </c>
      <c r="O362" s="29">
        <v>43096.562094907407</v>
      </c>
    </row>
    <row r="363" spans="2:15" x14ac:dyDescent="0.25">
      <c r="B363" s="24" t="s">
        <v>3066</v>
      </c>
      <c r="C363" s="23" t="s">
        <v>3067</v>
      </c>
      <c r="D363" s="24" t="s">
        <v>3068</v>
      </c>
      <c r="E363" s="25">
        <v>3.0280000000000001E-5</v>
      </c>
      <c r="F363" s="26">
        <v>0.47846499999999997</v>
      </c>
      <c r="G363" s="27">
        <v>647363</v>
      </c>
      <c r="H363" s="27">
        <v>13444694</v>
      </c>
      <c r="I363" s="28">
        <v>28099639</v>
      </c>
      <c r="J363" s="28">
        <v>28099639</v>
      </c>
      <c r="K363" s="34">
        <v>-13.12</v>
      </c>
      <c r="L363" s="34">
        <v>-10.59</v>
      </c>
      <c r="M363" s="34">
        <v>81.19</v>
      </c>
      <c r="N363" s="24">
        <v>359</v>
      </c>
      <c r="O363" s="29">
        <v>43096.561979166669</v>
      </c>
    </row>
    <row r="364" spans="2:15" x14ac:dyDescent="0.25">
      <c r="B364" s="24" t="s">
        <v>2108</v>
      </c>
      <c r="C364" s="23" t="s">
        <v>177</v>
      </c>
      <c r="D364" s="24" t="s">
        <v>1145</v>
      </c>
      <c r="E364" s="25">
        <v>6.6859999999999993E-5</v>
      </c>
      <c r="F364" s="26">
        <v>1.05629</v>
      </c>
      <c r="G364" s="27">
        <v>17268.2</v>
      </c>
      <c r="H364" s="27">
        <v>13243222</v>
      </c>
      <c r="I364" s="28">
        <v>12537487</v>
      </c>
      <c r="J364" s="28">
        <v>12537487</v>
      </c>
      <c r="K364" s="34">
        <v>-11.49</v>
      </c>
      <c r="L364" s="34">
        <v>39.56</v>
      </c>
      <c r="M364" s="34">
        <v>18.72</v>
      </c>
      <c r="N364" s="24">
        <v>360</v>
      </c>
      <c r="O364" s="29">
        <v>43096.561932870369</v>
      </c>
    </row>
    <row r="365" spans="2:15" x14ac:dyDescent="0.25">
      <c r="B365" s="24" t="s">
        <v>2143</v>
      </c>
      <c r="C365" s="23" t="s">
        <v>219</v>
      </c>
      <c r="D365" s="24" t="s">
        <v>1187</v>
      </c>
      <c r="E365" s="25">
        <v>4.3137999999999998E-4</v>
      </c>
      <c r="F365" s="26">
        <v>6.8152400000000002</v>
      </c>
      <c r="G365" s="27">
        <v>110685</v>
      </c>
      <c r="H365" s="27">
        <v>13204032</v>
      </c>
      <c r="I365" s="28">
        <v>1937427</v>
      </c>
      <c r="J365" s="28">
        <v>1937427</v>
      </c>
      <c r="K365" s="34">
        <v>-0.88</v>
      </c>
      <c r="L365" s="34">
        <v>0.5</v>
      </c>
      <c r="M365" s="34">
        <v>-14.09</v>
      </c>
      <c r="N365" s="24">
        <v>361</v>
      </c>
      <c r="O365" s="29">
        <v>43096.561805555553</v>
      </c>
    </row>
    <row r="366" spans="2:15" x14ac:dyDescent="0.25">
      <c r="B366" s="24" t="s">
        <v>2724</v>
      </c>
      <c r="C366" s="23" t="s">
        <v>788</v>
      </c>
      <c r="D366" s="24" t="s">
        <v>1743</v>
      </c>
      <c r="E366" s="25">
        <v>4.3599999999999998E-6</v>
      </c>
      <c r="F366" s="26">
        <v>6.8862400000000004E-2</v>
      </c>
      <c r="G366" s="27">
        <v>67760.600000000006</v>
      </c>
      <c r="H366" s="27">
        <v>13178973</v>
      </c>
      <c r="I366" s="28">
        <v>191381257</v>
      </c>
      <c r="J366" s="28">
        <v>191381257</v>
      </c>
      <c r="K366" s="34">
        <v>-0.51</v>
      </c>
      <c r="L366" s="34">
        <v>0.5</v>
      </c>
      <c r="M366" s="34">
        <v>17.82</v>
      </c>
      <c r="N366" s="24">
        <v>362</v>
      </c>
      <c r="O366" s="29">
        <v>43096.561967592592</v>
      </c>
    </row>
    <row r="367" spans="2:15" x14ac:dyDescent="0.25">
      <c r="B367" s="24" t="s">
        <v>2102</v>
      </c>
      <c r="C367" s="23" t="s">
        <v>178</v>
      </c>
      <c r="D367" s="24" t="s">
        <v>1146</v>
      </c>
      <c r="E367" s="25">
        <v>4.9799999999999998E-6</v>
      </c>
      <c r="F367" s="26">
        <v>7.8719800000000006E-2</v>
      </c>
      <c r="G367" s="27">
        <v>19742.7</v>
      </c>
      <c r="H367" s="27">
        <v>13167526</v>
      </c>
      <c r="I367" s="28">
        <v>167270821</v>
      </c>
      <c r="J367" s="28">
        <v>167270821</v>
      </c>
      <c r="K367" s="34">
        <v>-4.2699999999999996</v>
      </c>
      <c r="L367" s="34">
        <v>-7.16</v>
      </c>
      <c r="M367" s="34">
        <v>-13.66</v>
      </c>
      <c r="N367" s="24">
        <v>363</v>
      </c>
      <c r="O367" s="29">
        <v>43096.561956018515</v>
      </c>
    </row>
    <row r="368" spans="2:15" x14ac:dyDescent="0.25">
      <c r="B368" s="24" t="s">
        <v>3761</v>
      </c>
      <c r="C368" s="23" t="s">
        <v>3794</v>
      </c>
      <c r="D368" s="24" t="s">
        <v>3794</v>
      </c>
      <c r="E368" s="25">
        <v>5.045E-5</v>
      </c>
      <c r="F368" s="26">
        <v>0.79701699999999998</v>
      </c>
      <c r="G368" s="27">
        <v>34531</v>
      </c>
      <c r="H368" s="27">
        <v>12857656</v>
      </c>
      <c r="I368" s="28">
        <v>16132223</v>
      </c>
      <c r="J368" s="28">
        <v>19822337</v>
      </c>
      <c r="K368" s="34">
        <v>-0.21</v>
      </c>
      <c r="L368" s="34">
        <v>-14.21</v>
      </c>
      <c r="M368" s="34">
        <v>22.73</v>
      </c>
      <c r="N368" s="24">
        <v>364</v>
      </c>
      <c r="O368" s="29">
        <v>43096.562013888892</v>
      </c>
    </row>
    <row r="369" spans="2:15" x14ac:dyDescent="0.25">
      <c r="B369" s="24" t="s">
        <v>2164</v>
      </c>
      <c r="C369" s="23" t="s">
        <v>246</v>
      </c>
      <c r="D369" s="24" t="s">
        <v>1215</v>
      </c>
      <c r="E369" s="25">
        <v>2E-8</v>
      </c>
      <c r="F369" s="26">
        <v>3.1597599999999998E-4</v>
      </c>
      <c r="G369" s="27">
        <v>43035.8</v>
      </c>
      <c r="H369" s="27">
        <v>12847275</v>
      </c>
      <c r="I369" s="28">
        <v>40659020000</v>
      </c>
      <c r="J369" s="28">
        <v>40659020000</v>
      </c>
      <c r="K369" s="34">
        <v>-20.93</v>
      </c>
      <c r="L369" s="34">
        <v>-29.47</v>
      </c>
      <c r="M369" s="34">
        <v>85.37</v>
      </c>
      <c r="N369" s="24">
        <v>365</v>
      </c>
      <c r="O369" s="29">
        <v>43096.561851851853</v>
      </c>
    </row>
    <row r="370" spans="2:15" x14ac:dyDescent="0.25">
      <c r="B370" s="24" t="s">
        <v>2152</v>
      </c>
      <c r="C370" s="23" t="s">
        <v>231</v>
      </c>
      <c r="D370" s="24" t="s">
        <v>1199</v>
      </c>
      <c r="E370" s="25">
        <v>9.3410000000000002E-5</v>
      </c>
      <c r="F370" s="26">
        <v>1.4757899999999999</v>
      </c>
      <c r="G370" s="27">
        <v>198850</v>
      </c>
      <c r="H370" s="27">
        <v>12777595</v>
      </c>
      <c r="I370" s="28">
        <v>8658139</v>
      </c>
      <c r="J370" s="28">
        <v>8658139</v>
      </c>
      <c r="K370" s="34">
        <v>-3.83</v>
      </c>
      <c r="L370" s="34">
        <v>-1.01</v>
      </c>
      <c r="M370" s="34">
        <v>-0.71</v>
      </c>
      <c r="N370" s="24">
        <v>366</v>
      </c>
      <c r="O370" s="29">
        <v>43096.56181712963</v>
      </c>
    </row>
    <row r="371" spans="2:15" x14ac:dyDescent="0.25">
      <c r="B371" s="24" t="s">
        <v>2144</v>
      </c>
      <c r="C371" s="23" t="s">
        <v>215</v>
      </c>
      <c r="D371" s="24" t="s">
        <v>1183</v>
      </c>
      <c r="E371" s="25">
        <v>1.6030000000000001E-5</v>
      </c>
      <c r="F371" s="26">
        <v>0.25325500000000001</v>
      </c>
      <c r="G371" s="27">
        <v>403305</v>
      </c>
      <c r="H371" s="27">
        <v>12662750</v>
      </c>
      <c r="I371" s="28">
        <v>50000000</v>
      </c>
      <c r="J371" s="28">
        <v>50000000</v>
      </c>
      <c r="K371" s="34">
        <v>5.23</v>
      </c>
      <c r="L371" s="34">
        <v>30.29</v>
      </c>
      <c r="M371" s="34">
        <v>53.61</v>
      </c>
      <c r="N371" s="24">
        <v>367</v>
      </c>
      <c r="O371" s="29">
        <v>43096.561898148146</v>
      </c>
    </row>
    <row r="372" spans="2:15" x14ac:dyDescent="0.25">
      <c r="B372" s="24" t="s">
        <v>2231</v>
      </c>
      <c r="C372" s="23" t="s">
        <v>296</v>
      </c>
      <c r="D372" s="24" t="s">
        <v>1264</v>
      </c>
      <c r="E372" s="25">
        <v>2.4260000000000002E-5</v>
      </c>
      <c r="F372" s="26">
        <v>0.38322499999999998</v>
      </c>
      <c r="G372" s="27">
        <v>42473.4</v>
      </c>
      <c r="H372" s="27">
        <v>12630266</v>
      </c>
      <c r="I372" s="28">
        <v>32957833</v>
      </c>
      <c r="J372" s="28">
        <v>32957833</v>
      </c>
      <c r="K372" s="34">
        <v>-1.88</v>
      </c>
      <c r="L372" s="34">
        <v>14.42</v>
      </c>
      <c r="M372" s="34">
        <v>97.35</v>
      </c>
      <c r="N372" s="24">
        <v>368</v>
      </c>
      <c r="O372" s="29">
        <v>43096.561851851853</v>
      </c>
    </row>
    <row r="373" spans="2:15" x14ac:dyDescent="0.25">
      <c r="B373" s="24" t="s">
        <v>2149</v>
      </c>
      <c r="C373" s="23" t="s">
        <v>217</v>
      </c>
      <c r="D373" s="24" t="s">
        <v>1185</v>
      </c>
      <c r="E373" s="25">
        <v>1.8009999999999999E-5</v>
      </c>
      <c r="F373" s="26">
        <v>0.28453400000000001</v>
      </c>
      <c r="G373" s="27">
        <v>307682</v>
      </c>
      <c r="H373" s="27">
        <v>12529159</v>
      </c>
      <c r="I373" s="28">
        <v>44033962</v>
      </c>
      <c r="J373" s="28">
        <v>206075989</v>
      </c>
      <c r="K373" s="34">
        <v>-2.04</v>
      </c>
      <c r="L373" s="34">
        <v>-0.46</v>
      </c>
      <c r="M373" s="34">
        <v>26.36</v>
      </c>
      <c r="N373" s="24">
        <v>369</v>
      </c>
      <c r="O373" s="29">
        <v>43096.561874999999</v>
      </c>
    </row>
    <row r="374" spans="2:15" x14ac:dyDescent="0.25">
      <c r="B374" s="24" t="s">
        <v>2130</v>
      </c>
      <c r="C374" s="23" t="s">
        <v>205</v>
      </c>
      <c r="D374" s="24" t="s">
        <v>1174</v>
      </c>
      <c r="E374" s="25">
        <v>7.5300100000000002E-3</v>
      </c>
      <c r="F374" s="26">
        <v>118.965</v>
      </c>
      <c r="G374" s="27">
        <v>243429</v>
      </c>
      <c r="H374" s="27">
        <v>12399367</v>
      </c>
      <c r="I374" s="28">
        <v>104227</v>
      </c>
      <c r="J374" s="28">
        <v>104227</v>
      </c>
      <c r="K374" s="34">
        <v>-0.38</v>
      </c>
      <c r="L374" s="34">
        <v>2.91</v>
      </c>
      <c r="M374" s="34">
        <v>0.51</v>
      </c>
      <c r="N374" s="24">
        <v>370</v>
      </c>
      <c r="O374" s="29">
        <v>43096.561828703707</v>
      </c>
    </row>
    <row r="375" spans="2:15" x14ac:dyDescent="0.25">
      <c r="B375" s="24" t="s">
        <v>2100</v>
      </c>
      <c r="C375" s="23" t="s">
        <v>173</v>
      </c>
      <c r="D375" s="24" t="s">
        <v>1141</v>
      </c>
      <c r="E375" s="25">
        <v>1.058E-4</v>
      </c>
      <c r="F375" s="26">
        <v>1.6715</v>
      </c>
      <c r="G375" s="27">
        <v>134538</v>
      </c>
      <c r="H375" s="27">
        <v>12302442</v>
      </c>
      <c r="I375" s="28">
        <v>7360121</v>
      </c>
      <c r="J375" s="28">
        <v>9200151</v>
      </c>
      <c r="K375" s="34">
        <v>1.44</v>
      </c>
      <c r="L375" s="34">
        <v>0.57999999999999996</v>
      </c>
      <c r="M375" s="34">
        <v>0.84</v>
      </c>
      <c r="N375" s="24">
        <v>371</v>
      </c>
      <c r="O375" s="29">
        <v>43096.561967592592</v>
      </c>
    </row>
    <row r="376" spans="2:15" x14ac:dyDescent="0.25">
      <c r="B376" s="24" t="s">
        <v>2208</v>
      </c>
      <c r="C376" s="23" t="s">
        <v>279</v>
      </c>
      <c r="D376" s="24" t="s">
        <v>279</v>
      </c>
      <c r="E376" s="25">
        <v>1.4899999999999999E-6</v>
      </c>
      <c r="F376" s="26">
        <v>2.35263E-2</v>
      </c>
      <c r="G376" s="27">
        <v>740288</v>
      </c>
      <c r="H376" s="27">
        <v>12216471</v>
      </c>
      <c r="I376" s="28">
        <v>519268702</v>
      </c>
      <c r="J376" s="28">
        <v>519268702</v>
      </c>
      <c r="K376" s="34">
        <v>-0.7</v>
      </c>
      <c r="L376" s="34">
        <v>24.1</v>
      </c>
      <c r="M376" s="34">
        <v>70.38</v>
      </c>
      <c r="N376" s="24">
        <v>372</v>
      </c>
      <c r="O376" s="29">
        <v>43096.561886574076</v>
      </c>
    </row>
    <row r="377" spans="2:15" x14ac:dyDescent="0.25">
      <c r="B377" s="24" t="s">
        <v>3110</v>
      </c>
      <c r="C377" s="23" t="s">
        <v>3111</v>
      </c>
      <c r="D377" s="24" t="s">
        <v>3112</v>
      </c>
      <c r="E377" s="25">
        <v>8.0999999999999997E-7</v>
      </c>
      <c r="F377" s="26">
        <v>1.2794700000000001E-2</v>
      </c>
      <c r="G377" s="27">
        <v>1884.86</v>
      </c>
      <c r="H377" s="27">
        <v>12186055</v>
      </c>
      <c r="I377" s="28">
        <v>952429892</v>
      </c>
      <c r="J377" s="28">
        <v>2000100000</v>
      </c>
      <c r="K377" s="34">
        <v>-14.28</v>
      </c>
      <c r="L377" s="34">
        <v>-9.5399999999999991</v>
      </c>
      <c r="M377" s="34">
        <v>-14.82</v>
      </c>
      <c r="N377" s="24">
        <v>373</v>
      </c>
      <c r="O377" s="29">
        <v>43096.561979166669</v>
      </c>
    </row>
    <row r="378" spans="2:15" x14ac:dyDescent="0.25">
      <c r="B378" s="24" t="s">
        <v>3544</v>
      </c>
      <c r="C378" s="23" t="s">
        <v>3545</v>
      </c>
      <c r="D378" s="24" t="s">
        <v>3546</v>
      </c>
      <c r="E378" s="25">
        <v>4.3689999999999997E-5</v>
      </c>
      <c r="F378" s="26">
        <v>0.69017099999999998</v>
      </c>
      <c r="G378" s="27">
        <v>138974</v>
      </c>
      <c r="H378" s="27">
        <v>12173706</v>
      </c>
      <c r="I378" s="28">
        <v>17638681</v>
      </c>
      <c r="J378" s="28">
        <v>35277363</v>
      </c>
      <c r="K378" s="34">
        <v>10.95</v>
      </c>
      <c r="L378" s="34">
        <v>50.17</v>
      </c>
      <c r="M378" s="34">
        <v>375.96</v>
      </c>
      <c r="N378" s="24">
        <v>374</v>
      </c>
      <c r="O378" s="29">
        <v>43096.562002314815</v>
      </c>
    </row>
    <row r="379" spans="2:15" x14ac:dyDescent="0.25">
      <c r="B379" s="24" t="s">
        <v>2193</v>
      </c>
      <c r="C379" s="23" t="s">
        <v>283</v>
      </c>
      <c r="D379" s="24" t="s">
        <v>1251</v>
      </c>
      <c r="E379" s="25">
        <v>5.8000000000000004E-6</v>
      </c>
      <c r="F379" s="26">
        <v>9.1704499999999994E-2</v>
      </c>
      <c r="G379" s="27">
        <v>251782</v>
      </c>
      <c r="H379" s="27">
        <v>12109444</v>
      </c>
      <c r="I379" s="28">
        <v>132048524</v>
      </c>
      <c r="J379" s="28">
        <v>132048524</v>
      </c>
      <c r="K379" s="34">
        <v>-6.07</v>
      </c>
      <c r="L379" s="34">
        <v>11.69</v>
      </c>
      <c r="M379" s="34">
        <v>19.13</v>
      </c>
      <c r="N379" s="24">
        <v>375</v>
      </c>
      <c r="O379" s="29">
        <v>43096.561828703707</v>
      </c>
    </row>
    <row r="380" spans="2:15" x14ac:dyDescent="0.25">
      <c r="B380" s="24" t="s">
        <v>2175</v>
      </c>
      <c r="C380" s="23" t="s">
        <v>251</v>
      </c>
      <c r="D380" s="24" t="s">
        <v>1220</v>
      </c>
      <c r="E380" s="25">
        <v>3.9589999999999997E-4</v>
      </c>
      <c r="F380" s="26">
        <v>6.25474</v>
      </c>
      <c r="G380" s="27">
        <v>8098810</v>
      </c>
      <c r="H380" s="27">
        <v>11808489</v>
      </c>
      <c r="I380" s="28">
        <v>1887926</v>
      </c>
      <c r="J380" s="28">
        <v>4641830</v>
      </c>
      <c r="K380" s="34">
        <v>-1.8</v>
      </c>
      <c r="L380" s="34">
        <v>1.06</v>
      </c>
      <c r="M380" s="34">
        <v>42.24</v>
      </c>
      <c r="N380" s="24">
        <v>376</v>
      </c>
      <c r="O380" s="29">
        <v>43096.561921296299</v>
      </c>
    </row>
    <row r="381" spans="2:15" x14ac:dyDescent="0.25">
      <c r="B381" s="24" t="s">
        <v>3130</v>
      </c>
      <c r="C381" s="23" t="s">
        <v>3131</v>
      </c>
      <c r="D381" s="24" t="s">
        <v>3132</v>
      </c>
      <c r="E381" s="25">
        <v>1.8E-7</v>
      </c>
      <c r="F381" s="26">
        <v>2.89077E-3</v>
      </c>
      <c r="G381" s="27">
        <v>1169880</v>
      </c>
      <c r="H381" s="27">
        <v>11641222</v>
      </c>
      <c r="I381" s="28">
        <v>4027031669</v>
      </c>
      <c r="J381" s="28">
        <v>12204883809</v>
      </c>
      <c r="K381" s="34">
        <v>0.9</v>
      </c>
      <c r="L381" s="34">
        <v>16.75</v>
      </c>
      <c r="M381" s="34">
        <v>886.96</v>
      </c>
      <c r="N381" s="24">
        <v>377</v>
      </c>
      <c r="O381" s="29">
        <v>43096.561979166669</v>
      </c>
    </row>
    <row r="382" spans="2:15" x14ac:dyDescent="0.25">
      <c r="B382" s="24" t="s">
        <v>3191</v>
      </c>
      <c r="C382" s="23" t="s">
        <v>3192</v>
      </c>
      <c r="D382" s="24" t="s">
        <v>3193</v>
      </c>
      <c r="E382" s="25">
        <v>1.15317E-3</v>
      </c>
      <c r="F382" s="26">
        <v>18.218699999999998</v>
      </c>
      <c r="G382" s="27">
        <v>150120</v>
      </c>
      <c r="H382" s="27">
        <v>11470667</v>
      </c>
      <c r="I382" s="28">
        <v>629610</v>
      </c>
      <c r="J382" s="28">
        <v>629610</v>
      </c>
      <c r="K382" s="34">
        <v>-14.81</v>
      </c>
      <c r="L382" s="34">
        <v>-7.26</v>
      </c>
      <c r="M382" s="34">
        <v>36.53</v>
      </c>
      <c r="N382" s="24">
        <v>378</v>
      </c>
      <c r="O382" s="29">
        <v>43096.561990740738</v>
      </c>
    </row>
    <row r="383" spans="2:15" x14ac:dyDescent="0.25">
      <c r="B383" s="24" t="s">
        <v>2150</v>
      </c>
      <c r="C383" s="23" t="s">
        <v>233</v>
      </c>
      <c r="D383" s="24" t="s">
        <v>1201</v>
      </c>
      <c r="E383" s="25">
        <v>1.8450000000000001E-5</v>
      </c>
      <c r="F383" s="26">
        <v>0.291545</v>
      </c>
      <c r="G383" s="27">
        <v>283799</v>
      </c>
      <c r="H383" s="27">
        <v>11421917</v>
      </c>
      <c r="I383" s="28">
        <v>39177200</v>
      </c>
      <c r="J383" s="28">
        <v>39177200</v>
      </c>
      <c r="K383" s="34">
        <v>-0.39</v>
      </c>
      <c r="L383" s="34">
        <v>2.39</v>
      </c>
      <c r="M383" s="34">
        <v>23.33</v>
      </c>
      <c r="N383" s="24">
        <v>379</v>
      </c>
      <c r="O383" s="29">
        <v>43096.561828703707</v>
      </c>
    </row>
    <row r="384" spans="2:15" x14ac:dyDescent="0.25">
      <c r="B384" s="24" t="s">
        <v>2226</v>
      </c>
      <c r="C384" s="23" t="s">
        <v>286</v>
      </c>
      <c r="D384" s="24" t="s">
        <v>1254</v>
      </c>
      <c r="E384" s="25">
        <v>1.0000000000000001E-9</v>
      </c>
      <c r="F384" s="26">
        <v>2.09557E-5</v>
      </c>
      <c r="G384" s="27">
        <v>113454</v>
      </c>
      <c r="H384" s="27">
        <v>11297150</v>
      </c>
      <c r="I384" s="28">
        <v>539096740560</v>
      </c>
      <c r="J384" s="28">
        <v>539096740560</v>
      </c>
      <c r="K384" s="34">
        <v>-11.09</v>
      </c>
      <c r="L384" s="34">
        <v>-57.91</v>
      </c>
      <c r="M384" s="34">
        <v>81.47</v>
      </c>
      <c r="N384" s="24">
        <v>380</v>
      </c>
      <c r="O384" s="29">
        <v>43096.56181712963</v>
      </c>
    </row>
    <row r="385" spans="2:15" x14ac:dyDescent="0.25">
      <c r="B385" s="24" t="s">
        <v>3609</v>
      </c>
      <c r="C385" s="23" t="s">
        <v>3610</v>
      </c>
      <c r="D385" s="24" t="s">
        <v>3611</v>
      </c>
      <c r="E385" s="25">
        <v>5.9490000000000001E-5</v>
      </c>
      <c r="F385" s="26">
        <v>0.93992799999999999</v>
      </c>
      <c r="G385" s="27">
        <v>6343560</v>
      </c>
      <c r="H385" s="27">
        <v>11279136</v>
      </c>
      <c r="I385" s="28">
        <v>12000000</v>
      </c>
      <c r="J385" s="28">
        <v>20000000</v>
      </c>
      <c r="K385" s="34">
        <v>3.99</v>
      </c>
      <c r="L385" s="34">
        <v>14.65</v>
      </c>
      <c r="M385" s="34">
        <v>27.84</v>
      </c>
      <c r="N385" s="24">
        <v>381</v>
      </c>
      <c r="O385" s="29">
        <v>43096.562002314815</v>
      </c>
    </row>
    <row r="386" spans="2:15" x14ac:dyDescent="0.25">
      <c r="B386" s="24" t="s">
        <v>3671</v>
      </c>
      <c r="C386" s="23" t="s">
        <v>3672</v>
      </c>
      <c r="D386" s="24" t="s">
        <v>3673</v>
      </c>
      <c r="E386" s="25">
        <v>4.0999999999999999E-7</v>
      </c>
      <c r="F386" s="26">
        <v>6.4408E-3</v>
      </c>
      <c r="G386" s="27">
        <v>50366</v>
      </c>
      <c r="H386" s="27">
        <v>11232907</v>
      </c>
      <c r="I386" s="28">
        <v>1744023561</v>
      </c>
      <c r="J386" s="28">
        <v>10000000000</v>
      </c>
      <c r="K386" s="34">
        <v>-1.76</v>
      </c>
      <c r="L386" s="34">
        <v>-2.14</v>
      </c>
      <c r="M386" s="34">
        <v>82.45</v>
      </c>
      <c r="N386" s="24">
        <v>382</v>
      </c>
      <c r="O386" s="29">
        <v>43096.562013888892</v>
      </c>
    </row>
    <row r="387" spans="2:15" x14ac:dyDescent="0.25">
      <c r="B387" s="24" t="s">
        <v>2103</v>
      </c>
      <c r="C387" s="23" t="s">
        <v>181</v>
      </c>
      <c r="D387" s="24" t="s">
        <v>1150</v>
      </c>
      <c r="E387" s="25">
        <v>7.8999999999999995E-7</v>
      </c>
      <c r="F387" s="26">
        <v>1.25021E-2</v>
      </c>
      <c r="G387" s="27">
        <v>280437</v>
      </c>
      <c r="H387" s="27">
        <v>11079511</v>
      </c>
      <c r="I387" s="28">
        <v>886211988</v>
      </c>
      <c r="J387" s="28">
        <v>1011211988</v>
      </c>
      <c r="K387" s="34">
        <v>-4.87</v>
      </c>
      <c r="L387" s="34">
        <v>10.09</v>
      </c>
      <c r="M387" s="34">
        <v>5.8</v>
      </c>
      <c r="N387" s="24">
        <v>383</v>
      </c>
      <c r="O387" s="29">
        <v>43096.561898148146</v>
      </c>
    </row>
    <row r="388" spans="2:15" x14ac:dyDescent="0.25">
      <c r="B388" s="24" t="s">
        <v>2133</v>
      </c>
      <c r="C388" s="23" t="s">
        <v>210</v>
      </c>
      <c r="D388" s="24" t="s">
        <v>210</v>
      </c>
      <c r="E388" s="25">
        <v>9.8200000000000002E-4</v>
      </c>
      <c r="F388" s="26">
        <v>15.5144</v>
      </c>
      <c r="G388" s="27">
        <v>115768</v>
      </c>
      <c r="H388" s="27">
        <v>10909400</v>
      </c>
      <c r="I388" s="28">
        <v>703179</v>
      </c>
      <c r="J388" s="28">
        <v>803179</v>
      </c>
      <c r="K388" s="34">
        <v>-1.02</v>
      </c>
      <c r="L388" s="34">
        <v>6.6</v>
      </c>
      <c r="M388" s="34">
        <v>9.42</v>
      </c>
      <c r="N388" s="24">
        <v>384</v>
      </c>
      <c r="O388" s="29">
        <v>43096.561944444446</v>
      </c>
    </row>
    <row r="389" spans="2:15" x14ac:dyDescent="0.25">
      <c r="B389" s="24" t="s">
        <v>3086</v>
      </c>
      <c r="C389" s="23" t="s">
        <v>3087</v>
      </c>
      <c r="D389" s="24" t="s">
        <v>3088</v>
      </c>
      <c r="E389" s="25">
        <v>6.0700000000000003E-6</v>
      </c>
      <c r="F389" s="26">
        <v>9.5819799999999997E-2</v>
      </c>
      <c r="G389" s="27">
        <v>17343.8</v>
      </c>
      <c r="H389" s="27">
        <v>10858493</v>
      </c>
      <c r="I389" s="28">
        <v>113322017</v>
      </c>
      <c r="J389" s="28">
        <v>327154880</v>
      </c>
      <c r="K389" s="34">
        <v>-0.14000000000000001</v>
      </c>
      <c r="L389" s="34">
        <v>-9.08</v>
      </c>
      <c r="M389" s="34">
        <v>1.53</v>
      </c>
      <c r="N389" s="24">
        <v>385</v>
      </c>
      <c r="O389" s="29">
        <v>43096.561979166669</v>
      </c>
    </row>
    <row r="390" spans="2:15" x14ac:dyDescent="0.25">
      <c r="B390" s="24" t="s">
        <v>2170</v>
      </c>
      <c r="C390" s="23" t="s">
        <v>245</v>
      </c>
      <c r="D390" s="24" t="s">
        <v>1213</v>
      </c>
      <c r="E390" s="25">
        <v>2.0718000000000001E-4</v>
      </c>
      <c r="F390" s="26">
        <v>3.27319</v>
      </c>
      <c r="G390" s="27">
        <v>395891</v>
      </c>
      <c r="H390" s="27">
        <v>10792044</v>
      </c>
      <c r="I390" s="28">
        <v>3297103</v>
      </c>
      <c r="J390" s="28">
        <v>3297103</v>
      </c>
      <c r="K390" s="34">
        <v>-3.34</v>
      </c>
      <c r="L390" s="34">
        <v>17.89</v>
      </c>
      <c r="M390" s="34">
        <v>35.799999999999997</v>
      </c>
      <c r="N390" s="24">
        <v>386</v>
      </c>
      <c r="O390" s="29">
        <v>43096.561863425923</v>
      </c>
    </row>
    <row r="391" spans="2:15" x14ac:dyDescent="0.25">
      <c r="B391" s="24" t="s">
        <v>2177</v>
      </c>
      <c r="C391" s="23" t="s">
        <v>254</v>
      </c>
      <c r="D391" s="24" t="s">
        <v>1223</v>
      </c>
      <c r="E391" s="25">
        <v>1.664E-5</v>
      </c>
      <c r="F391" s="26">
        <v>0.26284299999999999</v>
      </c>
      <c r="G391" s="27">
        <v>249499</v>
      </c>
      <c r="H391" s="27">
        <v>10702443</v>
      </c>
      <c r="I391" s="28">
        <v>40718008</v>
      </c>
      <c r="J391" s="28">
        <v>40718008</v>
      </c>
      <c r="K391" s="34">
        <v>-4.13</v>
      </c>
      <c r="L391" s="34">
        <v>6.39</v>
      </c>
      <c r="M391" s="34">
        <v>-19.809999999999999</v>
      </c>
      <c r="N391" s="24">
        <v>387</v>
      </c>
      <c r="O391" s="29">
        <v>43096.56181712963</v>
      </c>
    </row>
    <row r="392" spans="2:15" x14ac:dyDescent="0.25">
      <c r="B392" s="24" t="s">
        <v>2456</v>
      </c>
      <c r="C392" s="23" t="s">
        <v>396</v>
      </c>
      <c r="D392" s="24" t="s">
        <v>1359</v>
      </c>
      <c r="E392" s="25">
        <v>2.9999999999999997E-8</v>
      </c>
      <c r="F392" s="26">
        <v>4.7333E-4</v>
      </c>
      <c r="G392" s="27">
        <v>874220</v>
      </c>
      <c r="H392" s="27">
        <v>10638583</v>
      </c>
      <c r="I392" s="28">
        <v>22476037522</v>
      </c>
      <c r="J392" s="28">
        <v>22808290613</v>
      </c>
      <c r="K392" s="34">
        <v>3.28</v>
      </c>
      <c r="L392" s="34">
        <v>3.28</v>
      </c>
      <c r="M392" s="34">
        <v>357.66</v>
      </c>
      <c r="N392" s="24">
        <v>388</v>
      </c>
      <c r="O392" s="29">
        <v>43096.561944444446</v>
      </c>
    </row>
    <row r="393" spans="2:15" x14ac:dyDescent="0.25">
      <c r="B393" s="24" t="s">
        <v>2116</v>
      </c>
      <c r="C393" s="23" t="s">
        <v>199</v>
      </c>
      <c r="D393" s="24" t="s">
        <v>1168</v>
      </c>
      <c r="E393" s="25">
        <v>4.0550000000000003E-5</v>
      </c>
      <c r="F393" s="26">
        <v>0.64071299999999998</v>
      </c>
      <c r="G393" s="27">
        <v>1536220</v>
      </c>
      <c r="H393" s="27">
        <v>10577118</v>
      </c>
      <c r="I393" s="28">
        <v>16508356</v>
      </c>
      <c r="J393" s="28">
        <v>16508356</v>
      </c>
      <c r="K393" s="34">
        <v>-2.0499999999999998</v>
      </c>
      <c r="L393" s="34">
        <v>6.64</v>
      </c>
      <c r="M393" s="34">
        <v>44.96</v>
      </c>
      <c r="N393" s="24">
        <v>389</v>
      </c>
      <c r="O393" s="29">
        <v>43096.561874999999</v>
      </c>
    </row>
    <row r="394" spans="2:15" x14ac:dyDescent="0.25">
      <c r="B394" s="24" t="s">
        <v>3980</v>
      </c>
      <c r="C394" s="23" t="s">
        <v>3981</v>
      </c>
      <c r="D394" s="24" t="s">
        <v>3982</v>
      </c>
      <c r="E394" s="25">
        <v>5.613E-5</v>
      </c>
      <c r="F394" s="26">
        <v>0.88671</v>
      </c>
      <c r="G394" s="27">
        <v>560767</v>
      </c>
      <c r="H394" s="27">
        <v>10459078</v>
      </c>
      <c r="I394" s="28">
        <v>11795376</v>
      </c>
      <c r="J394" s="28">
        <v>29997543</v>
      </c>
      <c r="K394" s="34">
        <v>13.2</v>
      </c>
      <c r="L394" s="34">
        <v>154.71</v>
      </c>
      <c r="M394" s="34">
        <v>108.33</v>
      </c>
      <c r="N394" s="24">
        <v>390</v>
      </c>
      <c r="O394" s="29">
        <v>43096.562013888892</v>
      </c>
    </row>
    <row r="395" spans="2:15" x14ac:dyDescent="0.25">
      <c r="B395" s="24" t="s">
        <v>2217</v>
      </c>
      <c r="C395" s="23" t="s">
        <v>294</v>
      </c>
      <c r="D395" s="24" t="s">
        <v>1262</v>
      </c>
      <c r="E395" s="25">
        <v>4.5972999999999999E-4</v>
      </c>
      <c r="F395" s="26">
        <v>7.2631100000000002</v>
      </c>
      <c r="G395" s="27">
        <v>611684</v>
      </c>
      <c r="H395" s="27">
        <v>10371061</v>
      </c>
      <c r="I395" s="28">
        <v>1427909</v>
      </c>
      <c r="J395" s="28">
        <v>1427909</v>
      </c>
      <c r="K395" s="34">
        <v>-3.04</v>
      </c>
      <c r="L395" s="34">
        <v>21.88</v>
      </c>
      <c r="M395" s="34">
        <v>90.19</v>
      </c>
      <c r="N395" s="24">
        <v>391</v>
      </c>
      <c r="O395" s="29">
        <v>43096.561909722222</v>
      </c>
    </row>
    <row r="396" spans="2:15" x14ac:dyDescent="0.25">
      <c r="B396" s="24" t="s">
        <v>2207</v>
      </c>
      <c r="C396" s="23" t="s">
        <v>285</v>
      </c>
      <c r="D396" s="24" t="s">
        <v>1253</v>
      </c>
      <c r="E396" s="25">
        <v>1.63E-5</v>
      </c>
      <c r="F396" s="26">
        <v>0.25754199999999999</v>
      </c>
      <c r="G396" s="27">
        <v>362008</v>
      </c>
      <c r="H396" s="27">
        <v>10341387</v>
      </c>
      <c r="I396" s="28">
        <v>40154175</v>
      </c>
      <c r="J396" s="28">
        <v>40154175</v>
      </c>
      <c r="K396" s="34">
        <v>0.94</v>
      </c>
      <c r="L396" s="34">
        <v>8.0500000000000007</v>
      </c>
      <c r="M396" s="34">
        <v>7.85</v>
      </c>
      <c r="N396" s="24">
        <v>392</v>
      </c>
      <c r="O396" s="29">
        <v>43096.56181712963</v>
      </c>
    </row>
    <row r="397" spans="2:15" x14ac:dyDescent="0.25">
      <c r="B397" s="24" t="s">
        <v>2732</v>
      </c>
      <c r="C397" s="23" t="s">
        <v>803</v>
      </c>
      <c r="D397" s="24" t="s">
        <v>1758</v>
      </c>
      <c r="E397" s="25">
        <v>3.7299999999999999E-6</v>
      </c>
      <c r="F397" s="26">
        <v>5.8855499999999998E-2</v>
      </c>
      <c r="G397" s="27">
        <v>346387</v>
      </c>
      <c r="H397" s="27">
        <v>10334072</v>
      </c>
      <c r="I397" s="28">
        <v>175583793</v>
      </c>
      <c r="J397" s="28">
        <v>219568662</v>
      </c>
      <c r="K397" s="34">
        <v>3.03</v>
      </c>
      <c r="L397" s="34">
        <v>93.52</v>
      </c>
      <c r="M397" s="34">
        <v>12.16</v>
      </c>
      <c r="N397" s="24">
        <v>393</v>
      </c>
      <c r="O397" s="29">
        <v>43096.561967592592</v>
      </c>
    </row>
    <row r="398" spans="2:15" x14ac:dyDescent="0.25">
      <c r="B398" s="24" t="s">
        <v>3624</v>
      </c>
      <c r="C398" s="23" t="s">
        <v>3625</v>
      </c>
      <c r="D398" s="24" t="s">
        <v>3626</v>
      </c>
      <c r="E398" s="25">
        <v>5.1499999999999998E-6</v>
      </c>
      <c r="F398" s="26">
        <v>8.1369899999999995E-2</v>
      </c>
      <c r="G398" s="27">
        <v>4212.04</v>
      </c>
      <c r="H398" s="27">
        <v>10251837</v>
      </c>
      <c r="I398" s="28">
        <v>125990535</v>
      </c>
      <c r="J398" s="28">
        <v>2000000000</v>
      </c>
      <c r="K398" s="34">
        <v>-1.32</v>
      </c>
      <c r="L398" s="34">
        <v>3.31</v>
      </c>
      <c r="M398" s="34">
        <v>7.67</v>
      </c>
      <c r="N398" s="24">
        <v>394</v>
      </c>
      <c r="O398" s="29">
        <v>43096.562002314815</v>
      </c>
    </row>
    <row r="399" spans="2:15" x14ac:dyDescent="0.25">
      <c r="B399" s="24" t="s">
        <v>2442</v>
      </c>
      <c r="C399" s="23" t="s">
        <v>500</v>
      </c>
      <c r="D399" s="24" t="s">
        <v>1466</v>
      </c>
      <c r="E399" s="25">
        <v>2.2786E-4</v>
      </c>
      <c r="F399" s="26">
        <v>3.59992</v>
      </c>
      <c r="G399" s="27">
        <v>4181.66</v>
      </c>
      <c r="H399" s="27">
        <v>10213273</v>
      </c>
      <c r="I399" s="28">
        <v>2837083</v>
      </c>
      <c r="J399" s="28">
        <v>2837083</v>
      </c>
      <c r="K399" s="34">
        <v>-2.02</v>
      </c>
      <c r="L399" s="34">
        <v>-3.42</v>
      </c>
      <c r="M399" s="34">
        <v>-23.9</v>
      </c>
      <c r="N399" s="24">
        <v>395</v>
      </c>
      <c r="O399" s="29">
        <v>43096.561886574076</v>
      </c>
    </row>
    <row r="400" spans="2:15" x14ac:dyDescent="0.25">
      <c r="B400" s="24" t="s">
        <v>2330</v>
      </c>
      <c r="C400" s="23" t="s">
        <v>404</v>
      </c>
      <c r="D400" s="24" t="s">
        <v>1368</v>
      </c>
      <c r="E400" s="25">
        <v>4.0509999999999997E-5</v>
      </c>
      <c r="F400" s="26">
        <v>0.63995199999999997</v>
      </c>
      <c r="G400" s="27">
        <v>205220</v>
      </c>
      <c r="H400" s="27">
        <v>10159494</v>
      </c>
      <c r="I400" s="28">
        <v>15875400</v>
      </c>
      <c r="J400" s="28">
        <v>15875400</v>
      </c>
      <c r="K400" s="34">
        <v>0.32</v>
      </c>
      <c r="L400" s="34">
        <v>24.37</v>
      </c>
      <c r="M400" s="34">
        <v>311.36</v>
      </c>
      <c r="N400" s="24">
        <v>396</v>
      </c>
      <c r="O400" s="29">
        <v>43096.561909722222</v>
      </c>
    </row>
    <row r="401" spans="2:15" x14ac:dyDescent="0.25">
      <c r="B401" s="24" t="s">
        <v>3253</v>
      </c>
      <c r="C401" s="23" t="s">
        <v>3254</v>
      </c>
      <c r="D401" s="24" t="s">
        <v>3255</v>
      </c>
      <c r="E401" s="25">
        <v>2.4200000000000001E-6</v>
      </c>
      <c r="F401" s="26">
        <v>3.8214900000000003E-2</v>
      </c>
      <c r="G401" s="27">
        <v>50751</v>
      </c>
      <c r="H401" s="27">
        <v>10051843</v>
      </c>
      <c r="I401" s="28">
        <v>263034654</v>
      </c>
      <c r="J401" s="28">
        <v>1000000000</v>
      </c>
      <c r="K401" s="34">
        <v>-6.53</v>
      </c>
      <c r="L401" s="34">
        <v>-9.61</v>
      </c>
      <c r="M401" s="34">
        <v>12.18</v>
      </c>
      <c r="N401" s="24">
        <v>397</v>
      </c>
      <c r="O401" s="29">
        <v>43096.561990740738</v>
      </c>
    </row>
    <row r="402" spans="2:15" x14ac:dyDescent="0.25">
      <c r="B402" s="24" t="s">
        <v>2393</v>
      </c>
      <c r="C402" s="23" t="s">
        <v>616</v>
      </c>
      <c r="D402" s="24" t="s">
        <v>1577</v>
      </c>
      <c r="E402" s="25">
        <v>3.2399999999999999E-6</v>
      </c>
      <c r="F402" s="26">
        <v>5.11671E-2</v>
      </c>
      <c r="G402" s="27">
        <v>89873.1</v>
      </c>
      <c r="H402" s="27">
        <v>10043998</v>
      </c>
      <c r="I402" s="28">
        <v>196297971</v>
      </c>
      <c r="J402" s="28">
        <v>10025186872</v>
      </c>
      <c r="K402" s="34">
        <v>-32.18</v>
      </c>
      <c r="L402" s="34">
        <v>1086.06</v>
      </c>
      <c r="M402" s="34">
        <v>1548.96</v>
      </c>
      <c r="N402" s="24">
        <v>398</v>
      </c>
      <c r="O402" s="29">
        <v>43096.561874999999</v>
      </c>
    </row>
    <row r="403" spans="2:15" x14ac:dyDescent="0.25">
      <c r="B403" s="24" t="s">
        <v>3987</v>
      </c>
      <c r="C403" s="23" t="s">
        <v>3988</v>
      </c>
      <c r="D403" s="24" t="s">
        <v>3989</v>
      </c>
      <c r="E403" s="25">
        <v>4.5059999999999999E-5</v>
      </c>
      <c r="F403" s="26">
        <v>0.71181499999999998</v>
      </c>
      <c r="G403" s="27">
        <v>21981.5</v>
      </c>
      <c r="H403" s="27">
        <v>9996246</v>
      </c>
      <c r="I403" s="28">
        <v>14043321</v>
      </c>
      <c r="J403" s="28">
        <v>18585933</v>
      </c>
      <c r="K403" s="34">
        <v>3.35</v>
      </c>
      <c r="L403" s="34">
        <v>4.72</v>
      </c>
      <c r="M403" s="34">
        <v>-9.08</v>
      </c>
      <c r="N403" s="24">
        <v>399</v>
      </c>
      <c r="O403" s="29">
        <v>43096.562025462961</v>
      </c>
    </row>
    <row r="404" spans="2:15" x14ac:dyDescent="0.25">
      <c r="B404" s="24" t="s">
        <v>2470</v>
      </c>
      <c r="C404" s="23" t="s">
        <v>541</v>
      </c>
      <c r="D404" s="24" t="s">
        <v>1504</v>
      </c>
      <c r="E404" s="25">
        <v>5.0689999999999997E-5</v>
      </c>
      <c r="F404" s="26">
        <v>0.80085899999999999</v>
      </c>
      <c r="G404" s="27">
        <v>55734.6</v>
      </c>
      <c r="H404" s="27">
        <v>9982482</v>
      </c>
      <c r="I404" s="28">
        <v>12464718</v>
      </c>
      <c r="J404" s="28">
        <v>16564718</v>
      </c>
      <c r="K404" s="34">
        <v>4.29</v>
      </c>
      <c r="L404" s="34">
        <v>-14.43</v>
      </c>
      <c r="M404" s="34">
        <v>99.75</v>
      </c>
      <c r="N404" s="24">
        <v>400</v>
      </c>
      <c r="O404" s="29">
        <v>43096.561863425923</v>
      </c>
    </row>
    <row r="405" spans="2:15" x14ac:dyDescent="0.25">
      <c r="B405" s="24" t="s">
        <v>2145</v>
      </c>
      <c r="C405" s="23" t="s">
        <v>225</v>
      </c>
      <c r="D405" s="24" t="s">
        <v>1193</v>
      </c>
      <c r="E405" s="25">
        <v>3.5935999999999997E-4</v>
      </c>
      <c r="F405" s="26">
        <v>5.6774899999999997</v>
      </c>
      <c r="G405" s="27">
        <v>150203</v>
      </c>
      <c r="H405" s="27">
        <v>9953604</v>
      </c>
      <c r="I405" s="28">
        <v>1753170</v>
      </c>
      <c r="J405" s="28">
        <v>1753170</v>
      </c>
      <c r="K405" s="34">
        <v>-2.21</v>
      </c>
      <c r="L405" s="34">
        <v>-0.85</v>
      </c>
      <c r="M405" s="34">
        <v>9.8800000000000008</v>
      </c>
      <c r="N405" s="24">
        <v>401</v>
      </c>
      <c r="O405" s="29">
        <v>43096.561932870369</v>
      </c>
    </row>
    <row r="406" spans="2:15" x14ac:dyDescent="0.25">
      <c r="B406" s="24" t="s">
        <v>3600</v>
      </c>
      <c r="C406" s="23" t="s">
        <v>3601</v>
      </c>
      <c r="D406" s="24" t="s">
        <v>3602</v>
      </c>
      <c r="E406" s="25">
        <v>4.8500000000000002E-6</v>
      </c>
      <c r="F406" s="26">
        <v>7.6677700000000001E-2</v>
      </c>
      <c r="G406" s="27">
        <v>20993.200000000001</v>
      </c>
      <c r="H406" s="27">
        <v>9924288</v>
      </c>
      <c r="I406" s="28">
        <v>129428614</v>
      </c>
      <c r="J406" s="28">
        <v>200000000</v>
      </c>
      <c r="K406" s="34">
        <v>-3.75</v>
      </c>
      <c r="L406" s="34">
        <v>16.91</v>
      </c>
      <c r="M406" s="34">
        <v>1.96</v>
      </c>
      <c r="N406" s="24">
        <v>402</v>
      </c>
      <c r="O406" s="29">
        <v>43096.562002314815</v>
      </c>
    </row>
    <row r="407" spans="2:15" x14ac:dyDescent="0.25">
      <c r="B407" s="24" t="s">
        <v>2194</v>
      </c>
      <c r="C407" s="23" t="s">
        <v>272</v>
      </c>
      <c r="D407" s="24" t="s">
        <v>1241</v>
      </c>
      <c r="E407" s="25">
        <v>2.9999999999999997E-8</v>
      </c>
      <c r="F407" s="26">
        <v>4.7381700000000002E-4</v>
      </c>
      <c r="G407" s="27">
        <v>98548.7</v>
      </c>
      <c r="H407" s="27">
        <v>9877913</v>
      </c>
      <c r="I407" s="28">
        <v>20847528384</v>
      </c>
      <c r="J407" s="28">
        <v>20847528384</v>
      </c>
      <c r="K407" s="34">
        <v>4.0599999999999996</v>
      </c>
      <c r="L407" s="34">
        <v>-8.23</v>
      </c>
      <c r="M407" s="34">
        <v>139.06</v>
      </c>
      <c r="N407" s="24">
        <v>403</v>
      </c>
      <c r="O407" s="29">
        <v>43096.561886574076</v>
      </c>
    </row>
    <row r="408" spans="2:15" x14ac:dyDescent="0.25">
      <c r="B408" s="24" t="s">
        <v>2049</v>
      </c>
      <c r="C408" s="23" t="s">
        <v>130</v>
      </c>
      <c r="D408" s="24" t="s">
        <v>1098</v>
      </c>
      <c r="E408" s="25">
        <v>6.6290000000000004E-5</v>
      </c>
      <c r="F408" s="26">
        <v>1.0472600000000001</v>
      </c>
      <c r="G408" s="27">
        <v>7533770</v>
      </c>
      <c r="H408" s="27">
        <v>9761238</v>
      </c>
      <c r="I408" s="28">
        <v>9320740</v>
      </c>
      <c r="J408" s="28">
        <v>9320740</v>
      </c>
      <c r="K408" s="34">
        <v>-1.71</v>
      </c>
      <c r="L408" s="34">
        <v>-4.6500000000000004</v>
      </c>
      <c r="M408" s="34">
        <v>138.57</v>
      </c>
      <c r="N408" s="24">
        <v>404</v>
      </c>
      <c r="O408" s="29">
        <v>43096.561851851853</v>
      </c>
    </row>
    <row r="409" spans="2:15" x14ac:dyDescent="0.25">
      <c r="B409" s="24" t="s">
        <v>2246</v>
      </c>
      <c r="C409" s="23" t="s">
        <v>321</v>
      </c>
      <c r="D409" s="24" t="s">
        <v>1289</v>
      </c>
      <c r="E409" s="25">
        <v>4.7320000000000001E-5</v>
      </c>
      <c r="F409" s="26">
        <v>0.74763999999999997</v>
      </c>
      <c r="G409" s="27">
        <v>41496.5</v>
      </c>
      <c r="H409" s="27">
        <v>9735995</v>
      </c>
      <c r="I409" s="28">
        <v>13022303</v>
      </c>
      <c r="J409" s="28">
        <v>13022303</v>
      </c>
      <c r="K409" s="34">
        <v>-0.41</v>
      </c>
      <c r="L409" s="34">
        <v>9.0399999999999991</v>
      </c>
      <c r="M409" s="34">
        <v>8.27</v>
      </c>
      <c r="N409" s="24">
        <v>405</v>
      </c>
      <c r="O409" s="29">
        <v>43096.561932870369</v>
      </c>
    </row>
    <row r="410" spans="2:15" x14ac:dyDescent="0.25">
      <c r="B410" s="24" t="s">
        <v>2251</v>
      </c>
      <c r="C410" s="23" t="s">
        <v>324</v>
      </c>
      <c r="D410" s="24" t="s">
        <v>1292</v>
      </c>
      <c r="E410" s="25">
        <v>1.347E-5</v>
      </c>
      <c r="F410" s="26">
        <v>0.21277299999999999</v>
      </c>
      <c r="G410" s="27">
        <v>755477</v>
      </c>
      <c r="H410" s="27">
        <v>9591761</v>
      </c>
      <c r="I410" s="28">
        <v>45079785</v>
      </c>
      <c r="J410" s="28">
        <v>70782220</v>
      </c>
      <c r="K410" s="34">
        <v>-2.29</v>
      </c>
      <c r="L410" s="34">
        <v>8.26</v>
      </c>
      <c r="M410" s="34">
        <v>84.36</v>
      </c>
      <c r="N410" s="24">
        <v>406</v>
      </c>
      <c r="O410" s="29">
        <v>43096.561840277776</v>
      </c>
    </row>
    <row r="411" spans="2:15" x14ac:dyDescent="0.25">
      <c r="B411" s="24" t="s">
        <v>3633</v>
      </c>
      <c r="C411" s="23" t="s">
        <v>3634</v>
      </c>
      <c r="D411" s="24" t="s">
        <v>3635</v>
      </c>
      <c r="E411" s="25">
        <v>2.6910000000000002E-5</v>
      </c>
      <c r="F411" s="26">
        <v>0.42510799999999999</v>
      </c>
      <c r="G411" s="27">
        <v>86064.7</v>
      </c>
      <c r="H411" s="27">
        <v>9477311</v>
      </c>
      <c r="I411" s="28">
        <v>22293890</v>
      </c>
      <c r="J411" s="28">
        <v>25264095</v>
      </c>
      <c r="K411" s="34">
        <v>0.36</v>
      </c>
      <c r="L411" s="34">
        <v>-8</v>
      </c>
      <c r="M411" s="34">
        <v>49.62</v>
      </c>
      <c r="N411" s="24">
        <v>407</v>
      </c>
      <c r="O411" s="29">
        <v>43096.562002314815</v>
      </c>
    </row>
    <row r="412" spans="2:15" x14ac:dyDescent="0.25">
      <c r="B412" s="24" t="s">
        <v>2206</v>
      </c>
      <c r="C412" s="23" t="s">
        <v>282</v>
      </c>
      <c r="D412" s="24" t="s">
        <v>1250</v>
      </c>
      <c r="E412" s="25">
        <v>3.2929999999999998E-5</v>
      </c>
      <c r="F412" s="26">
        <v>0.52030699999999996</v>
      </c>
      <c r="G412" s="27">
        <v>206195</v>
      </c>
      <c r="H412" s="27">
        <v>9439453</v>
      </c>
      <c r="I412" s="28">
        <v>18142083</v>
      </c>
      <c r="J412" s="28">
        <v>18142083</v>
      </c>
      <c r="K412" s="34">
        <v>-2.95</v>
      </c>
      <c r="L412" s="34">
        <v>13.21</v>
      </c>
      <c r="M412" s="34">
        <v>1.5</v>
      </c>
      <c r="N412" s="24">
        <v>408</v>
      </c>
      <c r="O412" s="29">
        <v>43096.561886574076</v>
      </c>
    </row>
    <row r="413" spans="2:15" x14ac:dyDescent="0.25">
      <c r="B413" s="24" t="s">
        <v>3188</v>
      </c>
      <c r="C413" s="23" t="s">
        <v>3189</v>
      </c>
      <c r="D413" s="24" t="s">
        <v>3190</v>
      </c>
      <c r="E413" s="25">
        <v>9.1800000000000002E-6</v>
      </c>
      <c r="F413" s="26">
        <v>0.145063</v>
      </c>
      <c r="G413" s="27">
        <v>577.11099999999999</v>
      </c>
      <c r="H413" s="27">
        <v>9356564</v>
      </c>
      <c r="I413" s="28">
        <v>64500000</v>
      </c>
      <c r="J413" s="28">
        <v>220000000</v>
      </c>
      <c r="K413" s="34">
        <v>0.19</v>
      </c>
      <c r="L413" s="34">
        <v>25.46</v>
      </c>
      <c r="M413" s="34">
        <v>119.98</v>
      </c>
      <c r="N413" s="24">
        <v>409</v>
      </c>
      <c r="O413" s="29">
        <v>43096.561979166669</v>
      </c>
    </row>
    <row r="414" spans="2:15" x14ac:dyDescent="0.25">
      <c r="B414" s="24" t="s">
        <v>2936</v>
      </c>
      <c r="C414" s="23" t="s">
        <v>2937</v>
      </c>
      <c r="D414" s="24" t="s">
        <v>2938</v>
      </c>
      <c r="E414" s="25">
        <v>1.2459999999999999E-5</v>
      </c>
      <c r="F414" s="26">
        <v>0.196853</v>
      </c>
      <c r="G414" s="27">
        <v>12409</v>
      </c>
      <c r="H414" s="27">
        <v>9345328</v>
      </c>
      <c r="I414" s="28">
        <v>47473636</v>
      </c>
      <c r="J414" s="28">
        <v>105012160</v>
      </c>
      <c r="K414" s="34">
        <v>-1.1200000000000001</v>
      </c>
      <c r="L414" s="34">
        <v>-17.899999999999999</v>
      </c>
      <c r="M414" s="34">
        <v>-30.33</v>
      </c>
      <c r="N414" s="24">
        <v>410</v>
      </c>
      <c r="O414" s="29">
        <v>43096.561979166669</v>
      </c>
    </row>
    <row r="415" spans="2:15" x14ac:dyDescent="0.25">
      <c r="B415" s="24" t="s">
        <v>2187</v>
      </c>
      <c r="C415" s="23" t="s">
        <v>262</v>
      </c>
      <c r="D415" s="24" t="s">
        <v>1232</v>
      </c>
      <c r="E415" s="25">
        <v>5.893E-5</v>
      </c>
      <c r="F415" s="26">
        <v>0.93102300000000004</v>
      </c>
      <c r="G415" s="27">
        <v>123276</v>
      </c>
      <c r="H415" s="27">
        <v>9284434</v>
      </c>
      <c r="I415" s="28">
        <v>9972293</v>
      </c>
      <c r="J415" s="28">
        <v>9972293</v>
      </c>
      <c r="K415" s="34">
        <v>2.4500000000000002</v>
      </c>
      <c r="L415" s="34">
        <v>7.21</v>
      </c>
      <c r="M415" s="34">
        <v>17.739999999999998</v>
      </c>
      <c r="N415" s="24">
        <v>411</v>
      </c>
      <c r="O415" s="29">
        <v>43096.561863425923</v>
      </c>
    </row>
    <row r="416" spans="2:15" x14ac:dyDescent="0.25">
      <c r="B416" s="24" t="s">
        <v>3356</v>
      </c>
      <c r="C416" s="23" t="s">
        <v>3357</v>
      </c>
      <c r="D416" s="24" t="s">
        <v>3358</v>
      </c>
      <c r="E416" s="25">
        <v>1.5776000000000001E-4</v>
      </c>
      <c r="F416" s="26">
        <v>2.4924400000000002</v>
      </c>
      <c r="G416" s="27">
        <v>130546</v>
      </c>
      <c r="H416" s="27">
        <v>9246141</v>
      </c>
      <c r="I416" s="28">
        <v>3709674</v>
      </c>
      <c r="J416" s="28">
        <v>5100033</v>
      </c>
      <c r="K416" s="34">
        <v>-1.03</v>
      </c>
      <c r="L416" s="34">
        <v>21.44</v>
      </c>
      <c r="M416" s="34">
        <v>108.58</v>
      </c>
      <c r="N416" s="24">
        <v>412</v>
      </c>
      <c r="O416" s="29">
        <v>43096.561990740738</v>
      </c>
    </row>
    <row r="417" spans="2:15" x14ac:dyDescent="0.25">
      <c r="B417" s="24" t="s">
        <v>3744</v>
      </c>
      <c r="C417" s="23" t="s">
        <v>3745</v>
      </c>
      <c r="D417" s="24" t="s">
        <v>3745</v>
      </c>
      <c r="E417" s="25">
        <v>3.7570000000000001E-5</v>
      </c>
      <c r="F417" s="26">
        <v>0.59359200000000001</v>
      </c>
      <c r="G417" s="27">
        <v>338505</v>
      </c>
      <c r="H417" s="27">
        <v>9237592</v>
      </c>
      <c r="I417" s="28">
        <v>15562191</v>
      </c>
      <c r="J417" s="28">
        <v>15562191</v>
      </c>
      <c r="K417" s="34">
        <v>1.55</v>
      </c>
      <c r="L417" s="34">
        <v>37.99</v>
      </c>
      <c r="M417" s="34">
        <v>45.23</v>
      </c>
      <c r="N417" s="24">
        <v>413</v>
      </c>
      <c r="O417" s="29">
        <v>43096.562002314815</v>
      </c>
    </row>
    <row r="418" spans="2:15" x14ac:dyDescent="0.25">
      <c r="B418" s="24" t="s">
        <v>2138</v>
      </c>
      <c r="C418" s="23" t="s">
        <v>221</v>
      </c>
      <c r="D418" s="24" t="s">
        <v>1189</v>
      </c>
      <c r="E418" s="25">
        <v>2.0825999999999999E-4</v>
      </c>
      <c r="F418" s="26">
        <v>3.2902499999999999</v>
      </c>
      <c r="G418" s="27">
        <v>42605.8</v>
      </c>
      <c r="H418" s="27">
        <v>9210977</v>
      </c>
      <c r="I418" s="28">
        <v>2799476</v>
      </c>
      <c r="J418" s="28">
        <v>2812073</v>
      </c>
      <c r="K418" s="34">
        <v>-1.06</v>
      </c>
      <c r="L418" s="34">
        <v>3.21</v>
      </c>
      <c r="M418" s="34">
        <v>2.86</v>
      </c>
      <c r="N418" s="24">
        <v>414</v>
      </c>
      <c r="O418" s="29">
        <v>43096.561967592592</v>
      </c>
    </row>
    <row r="419" spans="2:15" x14ac:dyDescent="0.25">
      <c r="B419" s="24" t="s">
        <v>3795</v>
      </c>
      <c r="C419" s="23" t="s">
        <v>3797</v>
      </c>
      <c r="D419" s="24" t="s">
        <v>3796</v>
      </c>
      <c r="E419" s="25">
        <v>3.1309999999999997E-5</v>
      </c>
      <c r="F419" s="26">
        <v>0.49459199999999998</v>
      </c>
      <c r="G419" s="27">
        <v>440348</v>
      </c>
      <c r="H419" s="27">
        <v>9190970</v>
      </c>
      <c r="I419" s="28">
        <v>18582933</v>
      </c>
      <c r="J419" s="28">
        <v>33787150</v>
      </c>
      <c r="K419" s="34">
        <v>-3.59</v>
      </c>
      <c r="L419" s="34">
        <v>28.95</v>
      </c>
      <c r="M419" s="34">
        <v>86.17</v>
      </c>
      <c r="N419" s="24">
        <v>415</v>
      </c>
      <c r="O419" s="29">
        <v>43096.562013888892</v>
      </c>
    </row>
    <row r="420" spans="2:15" x14ac:dyDescent="0.25">
      <c r="B420" s="24" t="s">
        <v>3827</v>
      </c>
      <c r="C420" s="23" t="s">
        <v>3828</v>
      </c>
      <c r="D420" s="24" t="s">
        <v>3829</v>
      </c>
      <c r="E420" s="25">
        <v>8.0800000000000006E-6</v>
      </c>
      <c r="F420" s="26">
        <v>0.12764900000000001</v>
      </c>
      <c r="G420" s="27">
        <v>134608</v>
      </c>
      <c r="H420" s="27">
        <v>9188701</v>
      </c>
      <c r="I420" s="28">
        <v>71984123</v>
      </c>
      <c r="J420" s="28">
        <v>189151329</v>
      </c>
      <c r="K420" s="34">
        <v>4.46</v>
      </c>
      <c r="L420" s="34">
        <v>30.57</v>
      </c>
      <c r="M420" s="34">
        <v>50.32</v>
      </c>
      <c r="N420" s="24">
        <v>416</v>
      </c>
      <c r="O420" s="29">
        <v>43096.562013888892</v>
      </c>
    </row>
    <row r="421" spans="2:15" x14ac:dyDescent="0.25">
      <c r="B421" s="24" t="s">
        <v>2118</v>
      </c>
      <c r="C421" s="23" t="s">
        <v>3173</v>
      </c>
      <c r="D421" s="24" t="s">
        <v>1228</v>
      </c>
      <c r="E421" s="25">
        <v>9.3400000000000004E-6</v>
      </c>
      <c r="F421" s="26">
        <v>0.147483</v>
      </c>
      <c r="G421" s="27">
        <v>9699.51</v>
      </c>
      <c r="H421" s="27">
        <v>9163294</v>
      </c>
      <c r="I421" s="28">
        <v>62131190</v>
      </c>
      <c r="J421" s="28">
        <v>77663987</v>
      </c>
      <c r="K421" s="34">
        <v>-1.59</v>
      </c>
      <c r="L421" s="34">
        <v>-2.0299999999999998</v>
      </c>
      <c r="M421" s="34">
        <v>-39.24</v>
      </c>
      <c r="N421" s="24">
        <v>417</v>
      </c>
      <c r="O421" s="29">
        <v>43096.561944444446</v>
      </c>
    </row>
    <row r="422" spans="2:15" x14ac:dyDescent="0.25">
      <c r="B422" s="24" t="s">
        <v>2399</v>
      </c>
      <c r="C422" s="23" t="s">
        <v>597</v>
      </c>
      <c r="D422" s="24" t="s">
        <v>1559</v>
      </c>
      <c r="E422" s="25">
        <v>6.7181999999999995E-4</v>
      </c>
      <c r="F422" s="26">
        <v>10.613899999999999</v>
      </c>
      <c r="G422" s="27">
        <v>457138</v>
      </c>
      <c r="H422" s="27">
        <v>9137145</v>
      </c>
      <c r="I422" s="28">
        <v>860866</v>
      </c>
      <c r="J422" s="28">
        <v>1029310</v>
      </c>
      <c r="K422" s="34">
        <v>-2.08</v>
      </c>
      <c r="L422" s="34">
        <v>-34.28</v>
      </c>
      <c r="M422" s="34">
        <v>144.29</v>
      </c>
      <c r="N422" s="24">
        <v>418</v>
      </c>
      <c r="O422" s="29">
        <v>43096.561921296299</v>
      </c>
    </row>
    <row r="423" spans="2:15" x14ac:dyDescent="0.25">
      <c r="B423" s="24" t="s">
        <v>2169</v>
      </c>
      <c r="C423" s="23" t="s">
        <v>255</v>
      </c>
      <c r="D423" s="24" t="s">
        <v>1224</v>
      </c>
      <c r="E423" s="25">
        <v>1.4200000000000001E-4</v>
      </c>
      <c r="F423" s="26">
        <v>2.24343</v>
      </c>
      <c r="G423" s="27">
        <v>448227</v>
      </c>
      <c r="H423" s="27">
        <v>9128959</v>
      </c>
      <c r="I423" s="28">
        <v>4069197</v>
      </c>
      <c r="J423" s="28">
        <v>4069197</v>
      </c>
      <c r="K423" s="34">
        <v>-0.43</v>
      </c>
      <c r="L423" s="34">
        <v>2.92</v>
      </c>
      <c r="M423" s="34">
        <v>3.91</v>
      </c>
      <c r="N423" s="24">
        <v>419</v>
      </c>
      <c r="O423" s="29">
        <v>43096.561851851853</v>
      </c>
    </row>
    <row r="424" spans="2:15" x14ac:dyDescent="0.25">
      <c r="B424" s="24" t="s">
        <v>2172</v>
      </c>
      <c r="C424" s="23" t="s">
        <v>236</v>
      </c>
      <c r="D424" s="24" t="s">
        <v>1204</v>
      </c>
      <c r="E424" s="25">
        <v>5.7790000000000001E-5</v>
      </c>
      <c r="F424" s="26">
        <v>0.91298699999999999</v>
      </c>
      <c r="G424" s="27">
        <v>5223.72</v>
      </c>
      <c r="H424" s="27">
        <v>8981083</v>
      </c>
      <c r="I424" s="28">
        <v>9837033</v>
      </c>
      <c r="J424" s="28">
        <v>15000000</v>
      </c>
      <c r="K424" s="34">
        <v>-1.31</v>
      </c>
      <c r="L424" s="34">
        <v>-1.1100000000000001</v>
      </c>
      <c r="M424" s="34">
        <v>-15.08</v>
      </c>
      <c r="N424" s="24">
        <v>420</v>
      </c>
      <c r="O424" s="29">
        <v>43096.561956018515</v>
      </c>
    </row>
    <row r="425" spans="2:15" x14ac:dyDescent="0.25">
      <c r="B425" s="24" t="s">
        <v>3913</v>
      </c>
      <c r="C425" s="23" t="s">
        <v>3914</v>
      </c>
      <c r="D425" s="24" t="s">
        <v>3915</v>
      </c>
      <c r="E425" s="25">
        <v>4.9070000000000003E-5</v>
      </c>
      <c r="F425" s="26">
        <v>0.77529099999999995</v>
      </c>
      <c r="G425" s="27">
        <v>40872.1</v>
      </c>
      <c r="H425" s="27">
        <v>8753269</v>
      </c>
      <c r="I425" s="28">
        <v>11290301</v>
      </c>
      <c r="J425" s="28">
        <v>21745688</v>
      </c>
      <c r="K425" s="34">
        <v>-1.23</v>
      </c>
      <c r="L425" s="34">
        <v>0.32</v>
      </c>
      <c r="M425" s="34">
        <v>-2.8</v>
      </c>
      <c r="N425" s="24">
        <v>421</v>
      </c>
      <c r="O425" s="29">
        <v>43096.562025462961</v>
      </c>
    </row>
    <row r="426" spans="2:15" x14ac:dyDescent="0.25">
      <c r="B426" s="24" t="s">
        <v>2189</v>
      </c>
      <c r="C426" s="23" t="s">
        <v>265</v>
      </c>
      <c r="D426" s="24" t="s">
        <v>1234</v>
      </c>
      <c r="E426" s="25">
        <v>8.7089999999999995E-5</v>
      </c>
      <c r="F426" s="26">
        <v>1.37588</v>
      </c>
      <c r="G426" s="27">
        <v>152759</v>
      </c>
      <c r="H426" s="27">
        <v>8624129</v>
      </c>
      <c r="I426" s="28">
        <v>6268082</v>
      </c>
      <c r="J426" s="28">
        <v>6268082</v>
      </c>
      <c r="K426" s="34">
        <v>-0.56999999999999995</v>
      </c>
      <c r="L426" s="34">
        <v>3.2</v>
      </c>
      <c r="M426" s="34">
        <v>13.62</v>
      </c>
      <c r="N426" s="24">
        <v>422</v>
      </c>
      <c r="O426" s="29">
        <v>43096.561886574076</v>
      </c>
    </row>
    <row r="427" spans="2:15" x14ac:dyDescent="0.25">
      <c r="B427" s="24" t="s">
        <v>3630</v>
      </c>
      <c r="C427" s="23" t="s">
        <v>3631</v>
      </c>
      <c r="D427" s="24" t="s">
        <v>3632</v>
      </c>
      <c r="E427" s="25">
        <v>6.6909999999999995E-5</v>
      </c>
      <c r="F427" s="26">
        <v>1.0570299999999999</v>
      </c>
      <c r="G427" s="27">
        <v>87185.5</v>
      </c>
      <c r="H427" s="27">
        <v>8555603</v>
      </c>
      <c r="I427" s="28">
        <v>8094002</v>
      </c>
      <c r="J427" s="28">
        <v>8094002</v>
      </c>
      <c r="K427" s="34">
        <v>1.77</v>
      </c>
      <c r="L427" s="34">
        <v>6.79</v>
      </c>
      <c r="M427" s="34">
        <v>21.3</v>
      </c>
      <c r="N427" s="24">
        <v>423</v>
      </c>
      <c r="O427" s="29">
        <v>43096.562002314815</v>
      </c>
    </row>
    <row r="428" spans="2:15" x14ac:dyDescent="0.25">
      <c r="B428" s="24" t="s">
        <v>2252</v>
      </c>
      <c r="C428" s="23" t="s">
        <v>325</v>
      </c>
      <c r="D428" s="24" t="s">
        <v>1293</v>
      </c>
      <c r="E428" s="25">
        <v>1.6820000000000002E-5</v>
      </c>
      <c r="F428" s="26">
        <v>0.26573600000000003</v>
      </c>
      <c r="G428" s="27">
        <v>199190</v>
      </c>
      <c r="H428" s="27">
        <v>8526563</v>
      </c>
      <c r="I428" s="28">
        <v>32086595</v>
      </c>
      <c r="J428" s="28">
        <v>32086595</v>
      </c>
      <c r="K428" s="34">
        <v>1.89</v>
      </c>
      <c r="L428" s="34">
        <v>10.25</v>
      </c>
      <c r="M428" s="34">
        <v>9.4</v>
      </c>
      <c r="N428" s="24">
        <v>424</v>
      </c>
      <c r="O428" s="29">
        <v>43096.561840277776</v>
      </c>
    </row>
    <row r="429" spans="2:15" x14ac:dyDescent="0.25">
      <c r="B429" s="24" t="s">
        <v>3039</v>
      </c>
      <c r="C429" s="23">
        <v>1337</v>
      </c>
      <c r="D429" s="24">
        <v>1337</v>
      </c>
      <c r="E429" s="25">
        <v>2E-8</v>
      </c>
      <c r="F429" s="26">
        <v>3.5187499999999997E-4</v>
      </c>
      <c r="G429" s="27">
        <v>219476</v>
      </c>
      <c r="H429" s="27">
        <v>8525150</v>
      </c>
      <c r="I429" s="28">
        <v>24227779504</v>
      </c>
      <c r="J429" s="28">
        <v>27030132619</v>
      </c>
      <c r="K429" s="34">
        <v>20.59</v>
      </c>
      <c r="L429" s="34">
        <v>61.04</v>
      </c>
      <c r="M429" s="34">
        <v>259.01</v>
      </c>
      <c r="N429" s="24">
        <v>425</v>
      </c>
      <c r="O429" s="29">
        <v>43096.561874999999</v>
      </c>
    </row>
    <row r="430" spans="2:15" x14ac:dyDescent="0.25">
      <c r="B430" s="24" t="s">
        <v>3420</v>
      </c>
      <c r="C430" s="23" t="s">
        <v>3421</v>
      </c>
      <c r="D430" s="24" t="s">
        <v>3422</v>
      </c>
      <c r="E430" s="25">
        <v>8.3599999999999996E-6</v>
      </c>
      <c r="F430" s="26">
        <v>0.13201299999999999</v>
      </c>
      <c r="G430" s="27">
        <v>22365.7</v>
      </c>
      <c r="H430" s="27">
        <v>8417334</v>
      </c>
      <c r="I430" s="28">
        <v>63761400</v>
      </c>
      <c r="J430" s="28">
        <v>963761390</v>
      </c>
      <c r="K430" s="34">
        <v>-14.53</v>
      </c>
      <c r="L430" s="34">
        <v>5.74</v>
      </c>
      <c r="M430" s="34">
        <v>-1.83</v>
      </c>
      <c r="N430" s="24">
        <v>426</v>
      </c>
      <c r="O430" s="29">
        <v>43096.561990740738</v>
      </c>
    </row>
    <row r="431" spans="2:15" x14ac:dyDescent="0.25">
      <c r="B431" s="24" t="s">
        <v>2342</v>
      </c>
      <c r="C431" s="23" t="s">
        <v>539</v>
      </c>
      <c r="D431" s="24" t="s">
        <v>2966</v>
      </c>
      <c r="E431" s="25">
        <v>3.1300000000000002E-5</v>
      </c>
      <c r="F431" s="26">
        <v>0.49450100000000002</v>
      </c>
      <c r="G431" s="27">
        <v>15040.8</v>
      </c>
      <c r="H431" s="27">
        <v>8264212</v>
      </c>
      <c r="I431" s="28">
        <v>16712225</v>
      </c>
      <c r="J431" s="28">
        <v>16712225</v>
      </c>
      <c r="K431" s="34">
        <v>1.06</v>
      </c>
      <c r="L431" s="34">
        <v>18.62</v>
      </c>
      <c r="M431" s="34">
        <v>13.64</v>
      </c>
      <c r="N431" s="24">
        <v>427</v>
      </c>
      <c r="O431" s="29">
        <v>43096.561898148146</v>
      </c>
    </row>
    <row r="432" spans="2:15" x14ac:dyDescent="0.25">
      <c r="B432" s="24" t="s">
        <v>3700</v>
      </c>
      <c r="C432" s="23" t="s">
        <v>3701</v>
      </c>
      <c r="D432" s="24" t="s">
        <v>3702</v>
      </c>
      <c r="E432" s="25">
        <v>1.5677000000000001E-4</v>
      </c>
      <c r="F432" s="26">
        <v>2.4767199999999998</v>
      </c>
      <c r="G432" s="27">
        <v>17724.900000000001</v>
      </c>
      <c r="H432" s="27">
        <v>8207437</v>
      </c>
      <c r="I432" s="28">
        <v>3313833</v>
      </c>
      <c r="J432" s="28">
        <v>6999999</v>
      </c>
      <c r="K432" s="34">
        <v>-7.01</v>
      </c>
      <c r="L432" s="34">
        <v>-37.93</v>
      </c>
      <c r="M432" s="34">
        <v>-36</v>
      </c>
      <c r="N432" s="24">
        <v>428</v>
      </c>
      <c r="O432" s="29">
        <v>43096.562002314815</v>
      </c>
    </row>
    <row r="433" spans="2:15" x14ac:dyDescent="0.25">
      <c r="B433" s="24" t="s">
        <v>3429</v>
      </c>
      <c r="C433" s="23" t="s">
        <v>3430</v>
      </c>
      <c r="D433" s="24" t="s">
        <v>3431</v>
      </c>
      <c r="E433" s="25">
        <v>7.839E-5</v>
      </c>
      <c r="F433" s="26">
        <v>1.23841</v>
      </c>
      <c r="G433" s="27">
        <v>278757</v>
      </c>
      <c r="H433" s="27">
        <v>8077608</v>
      </c>
      <c r="I433" s="28">
        <v>6522564</v>
      </c>
      <c r="J433" s="28">
        <v>6522564</v>
      </c>
      <c r="K433" s="34">
        <v>-5.68</v>
      </c>
      <c r="L433" s="34">
        <v>15.86</v>
      </c>
      <c r="M433" s="34">
        <v>28.84</v>
      </c>
      <c r="N433" s="24">
        <v>429</v>
      </c>
      <c r="O433" s="29">
        <v>43096.561990740738</v>
      </c>
    </row>
    <row r="434" spans="2:15" x14ac:dyDescent="0.25">
      <c r="B434" s="24" t="s">
        <v>2229</v>
      </c>
      <c r="C434" s="23" t="s">
        <v>311</v>
      </c>
      <c r="D434" s="24" t="s">
        <v>1279</v>
      </c>
      <c r="E434" s="25">
        <v>6.6000000000000003E-6</v>
      </c>
      <c r="F434" s="26">
        <v>0.104197</v>
      </c>
      <c r="G434" s="27">
        <v>530772</v>
      </c>
      <c r="H434" s="27">
        <v>8047257</v>
      </c>
      <c r="I434" s="28">
        <v>77231176</v>
      </c>
      <c r="J434" s="28">
        <v>91859176</v>
      </c>
      <c r="K434" s="34">
        <v>-2.2799999999999998</v>
      </c>
      <c r="L434" s="34">
        <v>13.34</v>
      </c>
      <c r="M434" s="34">
        <v>32.21</v>
      </c>
      <c r="N434" s="24">
        <v>430</v>
      </c>
      <c r="O434" s="29">
        <v>43096.561840277776</v>
      </c>
    </row>
    <row r="435" spans="2:15" x14ac:dyDescent="0.25">
      <c r="B435" s="24" t="s">
        <v>2302</v>
      </c>
      <c r="C435" s="23" t="s">
        <v>379</v>
      </c>
      <c r="D435" s="24" t="s">
        <v>1345</v>
      </c>
      <c r="E435" s="25">
        <v>2.2154E-4</v>
      </c>
      <c r="F435" s="30">
        <v>3.5000599999999999</v>
      </c>
      <c r="G435" s="27">
        <v>11162600</v>
      </c>
      <c r="H435" s="27">
        <v>7973662</v>
      </c>
      <c r="I435" s="28">
        <v>2278150</v>
      </c>
      <c r="J435" s="28">
        <v>2278150</v>
      </c>
      <c r="K435" s="34">
        <v>3.26</v>
      </c>
      <c r="L435" s="34">
        <v>12.04</v>
      </c>
      <c r="M435" s="34">
        <v>112.84</v>
      </c>
      <c r="N435" s="24">
        <v>431</v>
      </c>
      <c r="O435" s="29">
        <v>43096.561828703707</v>
      </c>
    </row>
    <row r="436" spans="2:15" x14ac:dyDescent="0.25">
      <c r="B436" s="24" t="s">
        <v>3969</v>
      </c>
      <c r="C436" s="23" t="s">
        <v>3970</v>
      </c>
      <c r="D436" s="24" t="s">
        <v>3971</v>
      </c>
      <c r="E436" s="25">
        <v>1.027E-5</v>
      </c>
      <c r="F436" s="26">
        <v>0.16220999999999999</v>
      </c>
      <c r="G436" s="27">
        <v>458082</v>
      </c>
      <c r="H436" s="27">
        <v>7900268</v>
      </c>
      <c r="I436" s="28">
        <v>48703950</v>
      </c>
      <c r="J436" s="28">
        <v>70673454</v>
      </c>
      <c r="K436" s="34">
        <v>-4.3</v>
      </c>
      <c r="L436" s="34">
        <v>7.74</v>
      </c>
      <c r="M436" s="34">
        <v>8.56</v>
      </c>
      <c r="N436" s="24">
        <v>432</v>
      </c>
      <c r="O436" s="29">
        <v>43096.562013888892</v>
      </c>
    </row>
    <row r="437" spans="2:15" x14ac:dyDescent="0.25">
      <c r="B437" s="24" t="s">
        <v>2183</v>
      </c>
      <c r="C437" s="23" t="s">
        <v>253</v>
      </c>
      <c r="D437" s="24" t="s">
        <v>1222</v>
      </c>
      <c r="E437" s="25">
        <v>1.4876000000000001E-4</v>
      </c>
      <c r="F437" s="26">
        <v>2.35025</v>
      </c>
      <c r="G437" s="27">
        <v>237535</v>
      </c>
      <c r="H437" s="27">
        <v>7891463</v>
      </c>
      <c r="I437" s="28">
        <v>3357712</v>
      </c>
      <c r="J437" s="28">
        <v>3357712</v>
      </c>
      <c r="K437" s="34">
        <v>-3.39</v>
      </c>
      <c r="L437" s="34">
        <v>-2.56</v>
      </c>
      <c r="M437" s="34">
        <v>29.46</v>
      </c>
      <c r="N437" s="24">
        <v>433</v>
      </c>
      <c r="O437" s="29">
        <v>43096.561863425923</v>
      </c>
    </row>
    <row r="438" spans="2:15" x14ac:dyDescent="0.25">
      <c r="B438" s="24" t="s">
        <v>2115</v>
      </c>
      <c r="C438" s="23" t="s">
        <v>195</v>
      </c>
      <c r="D438" s="24" t="s">
        <v>1164</v>
      </c>
      <c r="E438" s="25">
        <v>3.7E-7</v>
      </c>
      <c r="F438" s="26">
        <v>5.8599400000000001E-3</v>
      </c>
      <c r="G438" s="27">
        <v>10702.8</v>
      </c>
      <c r="H438" s="27">
        <v>7800492</v>
      </c>
      <c r="I438" s="28">
        <v>1331155614</v>
      </c>
      <c r="J438" s="28">
        <v>8885254986</v>
      </c>
      <c r="K438" s="34">
        <v>-1.0900000000000001</v>
      </c>
      <c r="L438" s="34">
        <v>-6.42</v>
      </c>
      <c r="M438" s="34">
        <v>-26.46</v>
      </c>
      <c r="N438" s="24">
        <v>434</v>
      </c>
      <c r="O438" s="29">
        <v>43096.561967592592</v>
      </c>
    </row>
    <row r="439" spans="2:15" x14ac:dyDescent="0.25">
      <c r="B439" s="24" t="s">
        <v>3746</v>
      </c>
      <c r="C439" s="23" t="s">
        <v>3747</v>
      </c>
      <c r="D439" s="24" t="s">
        <v>3748</v>
      </c>
      <c r="E439" s="25">
        <v>1.37714E-3</v>
      </c>
      <c r="F439" s="30">
        <v>21.757200000000001</v>
      </c>
      <c r="G439" s="27">
        <v>241323</v>
      </c>
      <c r="H439" s="27">
        <v>7652855</v>
      </c>
      <c r="I439" s="28">
        <v>351739</v>
      </c>
      <c r="J439" s="28">
        <v>1176726</v>
      </c>
      <c r="K439" s="34">
        <v>4.68</v>
      </c>
      <c r="L439" s="34">
        <v>-0.14000000000000001</v>
      </c>
      <c r="M439" s="34">
        <v>10.91</v>
      </c>
      <c r="N439" s="24">
        <v>435</v>
      </c>
      <c r="O439" s="29">
        <v>43096.562002314815</v>
      </c>
    </row>
    <row r="440" spans="2:15" x14ac:dyDescent="0.25">
      <c r="B440" s="24" t="s">
        <v>2269</v>
      </c>
      <c r="C440" s="23" t="s">
        <v>332</v>
      </c>
      <c r="D440" s="24" t="s">
        <v>1300</v>
      </c>
      <c r="E440" s="25">
        <v>8.2999999999999999E-7</v>
      </c>
      <c r="F440" s="26">
        <v>1.31279E-2</v>
      </c>
      <c r="G440" s="27">
        <v>3538.76</v>
      </c>
      <c r="H440" s="27">
        <v>7544390</v>
      </c>
      <c r="I440" s="28">
        <v>574683675</v>
      </c>
      <c r="J440" s="28">
        <v>574683675</v>
      </c>
      <c r="K440" s="34">
        <v>-3.91</v>
      </c>
      <c r="L440" s="34">
        <v>-0.5</v>
      </c>
      <c r="M440" s="34">
        <v>-0.37</v>
      </c>
      <c r="N440" s="24">
        <v>436</v>
      </c>
      <c r="O440" s="29">
        <v>43096.561828703707</v>
      </c>
    </row>
    <row r="441" spans="2:15" x14ac:dyDescent="0.25">
      <c r="B441" s="24" t="s">
        <v>2349</v>
      </c>
      <c r="C441" s="23" t="s">
        <v>411</v>
      </c>
      <c r="D441" s="24" t="s">
        <v>1374</v>
      </c>
      <c r="E441" s="25">
        <v>1.7540000000000001E-4</v>
      </c>
      <c r="F441" s="26">
        <v>2.7711299999999999</v>
      </c>
      <c r="G441" s="27">
        <v>337872</v>
      </c>
      <c r="H441" s="27">
        <v>7507698</v>
      </c>
      <c r="I441" s="28">
        <v>2709255</v>
      </c>
      <c r="J441" s="28">
        <v>11598144</v>
      </c>
      <c r="K441" s="34">
        <v>4.57</v>
      </c>
      <c r="L441" s="34">
        <v>40.409999999999997</v>
      </c>
      <c r="M441" s="34">
        <v>94.6</v>
      </c>
      <c r="N441" s="24">
        <v>437</v>
      </c>
      <c r="O441" s="29">
        <v>43096.561932870369</v>
      </c>
    </row>
    <row r="442" spans="2:15" x14ac:dyDescent="0.25">
      <c r="B442" s="24" t="s">
        <v>2201</v>
      </c>
      <c r="C442" s="23" t="s">
        <v>275</v>
      </c>
      <c r="D442" s="24" t="s">
        <v>1244</v>
      </c>
      <c r="E442" s="25">
        <v>3.2669999999999997E-5</v>
      </c>
      <c r="F442" s="26">
        <v>0.51613200000000004</v>
      </c>
      <c r="G442" s="27">
        <v>194414</v>
      </c>
      <c r="H442" s="27">
        <v>7392235</v>
      </c>
      <c r="I442" s="28">
        <v>14322373</v>
      </c>
      <c r="J442" s="28">
        <v>16352071</v>
      </c>
      <c r="K442" s="34">
        <v>0.49</v>
      </c>
      <c r="L442" s="34">
        <v>-2.02</v>
      </c>
      <c r="M442" s="34">
        <v>58.67</v>
      </c>
      <c r="N442" s="24">
        <v>438</v>
      </c>
      <c r="O442" s="29">
        <v>43096.561863425923</v>
      </c>
    </row>
    <row r="443" spans="2:15" x14ac:dyDescent="0.25">
      <c r="B443" s="24" t="s">
        <v>3529</v>
      </c>
      <c r="C443" s="23" t="s">
        <v>3670</v>
      </c>
      <c r="D443" s="24" t="s">
        <v>3164</v>
      </c>
      <c r="E443" s="25">
        <v>2.476E-5</v>
      </c>
      <c r="F443" s="26">
        <v>0.391148</v>
      </c>
      <c r="G443" s="27">
        <v>45168.5</v>
      </c>
      <c r="H443" s="27">
        <v>7391573</v>
      </c>
      <c r="I443" s="28">
        <v>18897126</v>
      </c>
      <c r="J443" s="28">
        <v>21000000</v>
      </c>
      <c r="K443" s="34">
        <v>1.17</v>
      </c>
      <c r="L443" s="34">
        <v>-1.26</v>
      </c>
      <c r="M443" s="34">
        <v>-23.66</v>
      </c>
      <c r="N443" s="24">
        <v>439</v>
      </c>
      <c r="O443" s="29">
        <v>43096.562002314815</v>
      </c>
    </row>
    <row r="444" spans="2:15" x14ac:dyDescent="0.25">
      <c r="B444" s="24" t="s">
        <v>2224</v>
      </c>
      <c r="C444" s="23" t="s">
        <v>304</v>
      </c>
      <c r="D444" s="24" t="s">
        <v>1272</v>
      </c>
      <c r="E444" s="25">
        <v>3.5120000000000003E-5</v>
      </c>
      <c r="F444" s="26">
        <v>0.55480399999999996</v>
      </c>
      <c r="G444" s="27">
        <v>195652</v>
      </c>
      <c r="H444" s="27">
        <v>7390711</v>
      </c>
      <c r="I444" s="28">
        <v>13321301</v>
      </c>
      <c r="J444" s="28">
        <v>13321301</v>
      </c>
      <c r="K444" s="34">
        <v>-2.57</v>
      </c>
      <c r="L444" s="34">
        <v>3.89</v>
      </c>
      <c r="M444" s="34">
        <v>14.52</v>
      </c>
      <c r="N444" s="24">
        <v>440</v>
      </c>
      <c r="O444" s="29">
        <v>43096.561874999999</v>
      </c>
    </row>
    <row r="445" spans="2:15" x14ac:dyDescent="0.25">
      <c r="B445" s="24" t="s">
        <v>3697</v>
      </c>
      <c r="C445" s="23" t="s">
        <v>3698</v>
      </c>
      <c r="D445" s="24" t="s">
        <v>3699</v>
      </c>
      <c r="E445" s="25">
        <v>1.48E-6</v>
      </c>
      <c r="F445" s="30">
        <v>2.33317E-2</v>
      </c>
      <c r="G445" s="27">
        <v>84184.5</v>
      </c>
      <c r="H445" s="27">
        <v>7232716</v>
      </c>
      <c r="I445" s="28">
        <v>309995222</v>
      </c>
      <c r="J445" s="28">
        <v>309995222</v>
      </c>
      <c r="K445" s="34">
        <v>-0.48</v>
      </c>
      <c r="L445" s="34">
        <v>29.97</v>
      </c>
      <c r="M445" s="34">
        <v>231.63</v>
      </c>
      <c r="N445" s="24">
        <v>441</v>
      </c>
      <c r="O445" s="29">
        <v>43096.562013888892</v>
      </c>
    </row>
    <row r="446" spans="2:15" x14ac:dyDescent="0.25">
      <c r="B446" s="24" t="s">
        <v>3158</v>
      </c>
      <c r="C446" s="23" t="s">
        <v>3159</v>
      </c>
      <c r="D446" s="24" t="s">
        <v>3160</v>
      </c>
      <c r="E446" s="25">
        <v>7.0999999999999998E-7</v>
      </c>
      <c r="F446" s="26">
        <v>1.1245700000000001E-2</v>
      </c>
      <c r="G446" s="27">
        <v>1157540</v>
      </c>
      <c r="H446" s="27">
        <v>7231120</v>
      </c>
      <c r="I446" s="28">
        <v>643012000</v>
      </c>
      <c r="J446" s="28">
        <v>825578000</v>
      </c>
      <c r="K446" s="34">
        <v>-6.09</v>
      </c>
      <c r="L446" s="34">
        <v>9.26</v>
      </c>
      <c r="M446" s="34">
        <v>-12.75</v>
      </c>
      <c r="N446" s="24">
        <v>442</v>
      </c>
      <c r="O446" s="29">
        <v>43096.561990740738</v>
      </c>
    </row>
    <row r="447" spans="2:15" x14ac:dyDescent="0.25">
      <c r="B447" s="24" t="s">
        <v>2147</v>
      </c>
      <c r="C447" s="23" t="s">
        <v>214</v>
      </c>
      <c r="D447" s="24" t="s">
        <v>1182</v>
      </c>
      <c r="E447" s="25">
        <v>0.45423200000000002</v>
      </c>
      <c r="F447" s="26">
        <v>7176.32</v>
      </c>
      <c r="G447" s="27">
        <v>1317710</v>
      </c>
      <c r="H447" s="27">
        <v>7176320</v>
      </c>
      <c r="I447" s="28">
        <v>1000</v>
      </c>
      <c r="J447" s="28">
        <v>1250</v>
      </c>
      <c r="K447" s="34">
        <v>-0.61</v>
      </c>
      <c r="L447" s="34">
        <v>-5.45</v>
      </c>
      <c r="M447" s="34">
        <v>-14.5</v>
      </c>
      <c r="N447" s="24">
        <v>443</v>
      </c>
      <c r="O447" s="29">
        <v>43096.561956018515</v>
      </c>
    </row>
    <row r="448" spans="2:15" x14ac:dyDescent="0.25">
      <c r="B448" s="24" t="s">
        <v>2244</v>
      </c>
      <c r="C448" s="23" t="s">
        <v>317</v>
      </c>
      <c r="D448" s="24" t="s">
        <v>1285</v>
      </c>
      <c r="E448" s="25">
        <v>1.9955999999999999E-4</v>
      </c>
      <c r="F448" s="26">
        <v>3.1527599999999998</v>
      </c>
      <c r="G448" s="27">
        <v>382712</v>
      </c>
      <c r="H448" s="27">
        <v>7070064</v>
      </c>
      <c r="I448" s="28">
        <v>2242500</v>
      </c>
      <c r="J448" s="28">
        <v>2242500</v>
      </c>
      <c r="K448" s="34">
        <v>4.03</v>
      </c>
      <c r="L448" s="34">
        <v>8.8800000000000008</v>
      </c>
      <c r="M448" s="34">
        <v>123.17</v>
      </c>
      <c r="N448" s="24">
        <v>444</v>
      </c>
      <c r="O448" s="29">
        <v>43096.561909722222</v>
      </c>
    </row>
    <row r="449" spans="2:15" x14ac:dyDescent="0.25">
      <c r="B449" s="24" t="s">
        <v>2379</v>
      </c>
      <c r="C449" s="23" t="s">
        <v>431</v>
      </c>
      <c r="D449" s="24" t="s">
        <v>1395</v>
      </c>
      <c r="E449" s="25">
        <v>4.0899999999999998E-6</v>
      </c>
      <c r="F449" s="30">
        <v>6.4687999999999996E-2</v>
      </c>
      <c r="G449" s="27">
        <v>35797.599999999999</v>
      </c>
      <c r="H449" s="27">
        <v>7062241</v>
      </c>
      <c r="I449" s="28">
        <v>109173900</v>
      </c>
      <c r="J449" s="28">
        <v>168683900</v>
      </c>
      <c r="K449" s="34">
        <v>0.65</v>
      </c>
      <c r="L449" s="34">
        <v>9.6300000000000008</v>
      </c>
      <c r="M449" s="34">
        <v>-19.989999999999998</v>
      </c>
      <c r="N449" s="24">
        <v>445</v>
      </c>
      <c r="O449" s="29">
        <v>43096.561874999999</v>
      </c>
    </row>
    <row r="450" spans="2:15" x14ac:dyDescent="0.25">
      <c r="B450" s="24" t="s">
        <v>1971</v>
      </c>
      <c r="C450" s="23" t="s">
        <v>55</v>
      </c>
      <c r="D450" s="24" t="s">
        <v>55</v>
      </c>
      <c r="E450" s="25">
        <v>4.2190000000000001E-5</v>
      </c>
      <c r="F450" s="26">
        <v>0.66655799999999998</v>
      </c>
      <c r="G450" s="27">
        <v>208061</v>
      </c>
      <c r="H450" s="27">
        <v>6992193</v>
      </c>
      <c r="I450" s="28">
        <v>10490000</v>
      </c>
      <c r="J450" s="28">
        <v>100000000</v>
      </c>
      <c r="K450" s="34">
        <v>-0.95</v>
      </c>
      <c r="L450" s="34">
        <v>2.33</v>
      </c>
      <c r="M450" s="34">
        <v>-28.46</v>
      </c>
      <c r="N450" s="24">
        <v>446</v>
      </c>
      <c r="O450" s="29">
        <v>43096.561932870369</v>
      </c>
    </row>
    <row r="451" spans="2:15" x14ac:dyDescent="0.25">
      <c r="B451" s="24" t="s">
        <v>3032</v>
      </c>
      <c r="C451" s="23" t="s">
        <v>3033</v>
      </c>
      <c r="D451" s="24" t="s">
        <v>3034</v>
      </c>
      <c r="E451" s="25">
        <v>9.4599999999999992E-6</v>
      </c>
      <c r="F451" s="26">
        <v>0.149532</v>
      </c>
      <c r="G451" s="27">
        <v>452406</v>
      </c>
      <c r="H451" s="27">
        <v>6954463</v>
      </c>
      <c r="I451" s="28">
        <v>46508192</v>
      </c>
      <c r="J451" s="28">
        <v>170622047</v>
      </c>
      <c r="K451" s="34">
        <v>0.57999999999999996</v>
      </c>
      <c r="L451" s="34">
        <v>7.06</v>
      </c>
      <c r="M451" s="34">
        <v>29.16</v>
      </c>
      <c r="N451" s="24">
        <v>447</v>
      </c>
      <c r="O451" s="29">
        <v>43096.561979166669</v>
      </c>
    </row>
    <row r="452" spans="2:15" x14ac:dyDescent="0.25">
      <c r="B452" s="24" t="s">
        <v>2242</v>
      </c>
      <c r="C452" s="23" t="s">
        <v>315</v>
      </c>
      <c r="D452" s="24" t="s">
        <v>1283</v>
      </c>
      <c r="E452" s="24">
        <v>4.0000000000000003E-5</v>
      </c>
      <c r="F452" s="24">
        <v>0.63195100000000004</v>
      </c>
      <c r="G452" s="24">
        <v>682221</v>
      </c>
      <c r="H452" s="24">
        <v>6835160</v>
      </c>
      <c r="I452" s="28">
        <v>10815966</v>
      </c>
      <c r="J452" s="28">
        <v>10815966</v>
      </c>
      <c r="K452" s="34">
        <v>-1.07</v>
      </c>
      <c r="L452" s="34">
        <v>6.19</v>
      </c>
      <c r="M452" s="34">
        <v>39.58</v>
      </c>
      <c r="N452" s="24">
        <v>448</v>
      </c>
      <c r="O452" s="29">
        <v>43096.561851851853</v>
      </c>
    </row>
    <row r="453" spans="2:15" x14ac:dyDescent="0.25">
      <c r="B453" s="24" t="s">
        <v>3082</v>
      </c>
      <c r="C453" s="23" t="s">
        <v>3083</v>
      </c>
      <c r="D453" s="24" t="s">
        <v>3083</v>
      </c>
      <c r="E453" s="25">
        <v>2.1319999999999999E-5</v>
      </c>
      <c r="F453" s="26">
        <v>0.33683000000000002</v>
      </c>
      <c r="G453" s="27">
        <v>7113.41</v>
      </c>
      <c r="H453" s="27">
        <v>6820007</v>
      </c>
      <c r="I453" s="28">
        <v>20247623</v>
      </c>
      <c r="J453" s="28">
        <v>20247623</v>
      </c>
      <c r="K453" s="34">
        <v>-1.1399999999999999</v>
      </c>
      <c r="L453" s="34">
        <v>-7.54</v>
      </c>
      <c r="M453" s="34">
        <v>-4.01</v>
      </c>
      <c r="N453" s="24">
        <v>449</v>
      </c>
      <c r="O453" s="29">
        <v>43096.561979166669</v>
      </c>
    </row>
    <row r="454" spans="2:15" x14ac:dyDescent="0.25">
      <c r="B454" s="24" t="s">
        <v>3846</v>
      </c>
      <c r="C454" s="23" t="s">
        <v>3847</v>
      </c>
      <c r="D454" s="24" t="s">
        <v>3848</v>
      </c>
      <c r="E454" s="25">
        <v>8.3850000000000005E-5</v>
      </c>
      <c r="F454" s="26">
        <v>1.32473</v>
      </c>
      <c r="G454" s="27">
        <v>92704.2</v>
      </c>
      <c r="H454" s="27">
        <v>6813095</v>
      </c>
      <c r="I454" s="28">
        <v>5143007</v>
      </c>
      <c r="J454" s="28">
        <v>6171607</v>
      </c>
      <c r="K454" s="34">
        <v>1.78</v>
      </c>
      <c r="L454" s="34">
        <v>-8.34</v>
      </c>
      <c r="M454" s="34">
        <v>-6.27</v>
      </c>
      <c r="N454" s="24">
        <v>450</v>
      </c>
      <c r="O454" s="29">
        <v>43096.562013888892</v>
      </c>
    </row>
    <row r="455" spans="2:15" x14ac:dyDescent="0.25">
      <c r="B455" s="24" t="s">
        <v>2117</v>
      </c>
      <c r="C455" s="23" t="s">
        <v>197</v>
      </c>
      <c r="D455" s="24" t="s">
        <v>1166</v>
      </c>
      <c r="E455" s="25">
        <v>3.2600000000000001E-6</v>
      </c>
      <c r="F455" s="26">
        <v>5.1524899999999998E-2</v>
      </c>
      <c r="G455" s="27">
        <v>27638.6</v>
      </c>
      <c r="H455" s="27">
        <v>6712386</v>
      </c>
      <c r="I455" s="28">
        <v>130274604</v>
      </c>
      <c r="J455" s="28">
        <v>130274604</v>
      </c>
      <c r="K455" s="34">
        <v>-4.7300000000000004</v>
      </c>
      <c r="L455" s="34">
        <v>26.4</v>
      </c>
      <c r="M455" s="34">
        <v>132.83000000000001</v>
      </c>
      <c r="N455" s="24">
        <v>451</v>
      </c>
      <c r="O455" s="29">
        <v>43096.561828703707</v>
      </c>
    </row>
    <row r="456" spans="2:15" x14ac:dyDescent="0.25">
      <c r="B456" s="24" t="s">
        <v>2243</v>
      </c>
      <c r="C456" s="23" t="s">
        <v>316</v>
      </c>
      <c r="D456" s="24" t="s">
        <v>1284</v>
      </c>
      <c r="E456" s="25">
        <v>8.8350000000000006E-5</v>
      </c>
      <c r="F456" s="26">
        <v>1.3958200000000001</v>
      </c>
      <c r="G456" s="27">
        <v>287366</v>
      </c>
      <c r="H456" s="27">
        <v>6649723</v>
      </c>
      <c r="I456" s="28">
        <v>4764026</v>
      </c>
      <c r="J456" s="28">
        <v>4764026</v>
      </c>
      <c r="K456" s="34">
        <v>-0.49</v>
      </c>
      <c r="L456" s="34">
        <v>12.29</v>
      </c>
      <c r="M456" s="34">
        <v>8.25</v>
      </c>
      <c r="N456" s="24">
        <v>452</v>
      </c>
      <c r="O456" s="29">
        <v>43096.561851851853</v>
      </c>
    </row>
    <row r="457" spans="2:15" x14ac:dyDescent="0.25">
      <c r="B457" s="24" t="s">
        <v>2132</v>
      </c>
      <c r="C457" s="23" t="s">
        <v>203</v>
      </c>
      <c r="D457" s="24" t="s">
        <v>1172</v>
      </c>
      <c r="E457" s="25">
        <v>1.3200000000000001E-6</v>
      </c>
      <c r="F457" s="26">
        <v>2.09032E-2</v>
      </c>
      <c r="G457" s="27">
        <v>6647.47</v>
      </c>
      <c r="H457" s="27">
        <v>6609412</v>
      </c>
      <c r="I457" s="28">
        <v>316191398</v>
      </c>
      <c r="J457" s="28">
        <v>316191398</v>
      </c>
      <c r="K457" s="34">
        <v>2.4700000000000002</v>
      </c>
      <c r="L457" s="34">
        <v>-4.1399999999999997</v>
      </c>
      <c r="M457" s="34">
        <v>2.98</v>
      </c>
      <c r="N457" s="24">
        <v>453</v>
      </c>
      <c r="O457" s="29">
        <v>43096.561898148146</v>
      </c>
    </row>
    <row r="458" spans="2:15" x14ac:dyDescent="0.25">
      <c r="B458" s="24" t="s">
        <v>3491</v>
      </c>
      <c r="C458" s="23" t="s">
        <v>3492</v>
      </c>
      <c r="D458" s="24" t="s">
        <v>3493</v>
      </c>
      <c r="E458" s="25">
        <v>1.4186E-4</v>
      </c>
      <c r="F458" s="26">
        <v>2.2412200000000002</v>
      </c>
      <c r="G458" s="27">
        <v>289732</v>
      </c>
      <c r="H458" s="27">
        <v>6579148</v>
      </c>
      <c r="I458" s="28">
        <v>2935521</v>
      </c>
      <c r="J458" s="28">
        <v>4044800</v>
      </c>
      <c r="K458" s="34">
        <v>13.95</v>
      </c>
      <c r="L458" s="34">
        <v>108.86</v>
      </c>
      <c r="M458" s="34">
        <v>227.13</v>
      </c>
      <c r="N458" s="24">
        <v>454</v>
      </c>
      <c r="O458" s="29">
        <v>43096.562002314815</v>
      </c>
    </row>
    <row r="459" spans="2:15" x14ac:dyDescent="0.25">
      <c r="B459" s="24" t="s">
        <v>2237</v>
      </c>
      <c r="C459" s="23" t="s">
        <v>310</v>
      </c>
      <c r="D459" s="24" t="s">
        <v>1278</v>
      </c>
      <c r="E459" s="25">
        <v>1.9890000000000001E-5</v>
      </c>
      <c r="F459" s="26">
        <v>0.31423800000000002</v>
      </c>
      <c r="G459" s="27">
        <v>112080</v>
      </c>
      <c r="H459" s="27">
        <v>6490225</v>
      </c>
      <c r="I459" s="28">
        <v>20653850</v>
      </c>
      <c r="J459" s="28">
        <v>20653850</v>
      </c>
      <c r="K459" s="34">
        <v>-1.24</v>
      </c>
      <c r="L459" s="34">
        <v>4.46</v>
      </c>
      <c r="M459" s="34">
        <v>22.83</v>
      </c>
      <c r="N459" s="24">
        <v>455</v>
      </c>
      <c r="O459" s="29">
        <v>43096.56181712963</v>
      </c>
    </row>
    <row r="460" spans="2:15" x14ac:dyDescent="0.25">
      <c r="B460" s="24" t="s">
        <v>2167</v>
      </c>
      <c r="C460" s="23" t="s">
        <v>244</v>
      </c>
      <c r="D460" s="24" t="s">
        <v>1212</v>
      </c>
      <c r="E460" s="25">
        <v>2.9770000000000001E-5</v>
      </c>
      <c r="F460" s="26">
        <v>0.47034700000000002</v>
      </c>
      <c r="G460" s="27">
        <v>9129.2000000000007</v>
      </c>
      <c r="H460" s="27">
        <v>6396902</v>
      </c>
      <c r="I460" s="28">
        <v>13600388</v>
      </c>
      <c r="J460" s="28">
        <v>13600388</v>
      </c>
      <c r="K460" s="34">
        <v>-1.7</v>
      </c>
      <c r="L460" s="34">
        <v>-10.61</v>
      </c>
      <c r="M460" s="34">
        <v>21.5</v>
      </c>
      <c r="N460" s="24">
        <v>456</v>
      </c>
      <c r="O460" s="29">
        <v>43096.561921296299</v>
      </c>
    </row>
    <row r="461" spans="2:15" x14ac:dyDescent="0.25">
      <c r="B461" s="24" t="s">
        <v>3917</v>
      </c>
      <c r="C461" s="23" t="s">
        <v>3918</v>
      </c>
      <c r="D461" s="24" t="s">
        <v>3919</v>
      </c>
      <c r="E461" s="25">
        <v>3.0183E-4</v>
      </c>
      <c r="F461" s="26">
        <v>4.7685899999999997</v>
      </c>
      <c r="G461" s="27">
        <v>412717</v>
      </c>
      <c r="H461" s="27">
        <v>6276892</v>
      </c>
      <c r="I461" s="28">
        <v>1316299</v>
      </c>
      <c r="J461" s="28">
        <v>1633845</v>
      </c>
      <c r="K461" s="34">
        <v>-6.85</v>
      </c>
      <c r="L461" s="34">
        <v>5.75</v>
      </c>
      <c r="M461" s="34">
        <v>27.49</v>
      </c>
      <c r="N461" s="24">
        <v>457</v>
      </c>
      <c r="O461" s="29">
        <v>43096.562025462961</v>
      </c>
    </row>
    <row r="462" spans="2:15" x14ac:dyDescent="0.25">
      <c r="B462" s="24" t="s">
        <v>2335</v>
      </c>
      <c r="C462" s="23" t="s">
        <v>4051</v>
      </c>
      <c r="D462" s="24" t="s">
        <v>1361</v>
      </c>
      <c r="E462" s="25">
        <v>7.8590000000000005E-5</v>
      </c>
      <c r="F462" s="26">
        <v>1.2416100000000001</v>
      </c>
      <c r="G462" s="27">
        <v>112882</v>
      </c>
      <c r="H462" s="27">
        <v>6237422</v>
      </c>
      <c r="I462" s="28">
        <v>5023656</v>
      </c>
      <c r="J462" s="28">
        <v>5023656</v>
      </c>
      <c r="K462" s="34">
        <v>-1.56</v>
      </c>
      <c r="L462" s="34">
        <v>4.32</v>
      </c>
      <c r="M462" s="34">
        <v>14.8</v>
      </c>
      <c r="N462" s="24">
        <v>458</v>
      </c>
      <c r="O462" s="29">
        <v>43096.561898148146</v>
      </c>
    </row>
    <row r="463" spans="2:15" x14ac:dyDescent="0.25">
      <c r="B463" s="24" t="s">
        <v>2247</v>
      </c>
      <c r="C463" s="23" t="s">
        <v>327</v>
      </c>
      <c r="D463" s="24" t="s">
        <v>1295</v>
      </c>
      <c r="E463" s="25">
        <v>2.4660000000000001E-5</v>
      </c>
      <c r="F463" s="26">
        <v>0.38966899999999999</v>
      </c>
      <c r="G463" s="27">
        <v>716894</v>
      </c>
      <c r="H463" s="27">
        <v>6231817</v>
      </c>
      <c r="I463" s="28">
        <v>15992591</v>
      </c>
      <c r="J463" s="28">
        <v>20618204</v>
      </c>
      <c r="K463" s="34">
        <v>4.6900000000000004</v>
      </c>
      <c r="L463" s="34">
        <v>21.01</v>
      </c>
      <c r="M463" s="34">
        <v>43.1</v>
      </c>
      <c r="N463" s="24">
        <v>459</v>
      </c>
      <c r="O463" s="29">
        <v>43096.561828703707</v>
      </c>
    </row>
    <row r="464" spans="2:15" x14ac:dyDescent="0.25">
      <c r="B464" s="24" t="s">
        <v>2377</v>
      </c>
      <c r="C464" s="23" t="s">
        <v>446</v>
      </c>
      <c r="D464" s="24" t="s">
        <v>1409</v>
      </c>
      <c r="E464" s="25">
        <v>7.6000000000000003E-7</v>
      </c>
      <c r="F464" s="26">
        <v>1.20071E-2</v>
      </c>
      <c r="G464" s="27">
        <v>5019.1099999999997</v>
      </c>
      <c r="H464" s="27">
        <v>6180508</v>
      </c>
      <c r="I464" s="28">
        <v>514737752</v>
      </c>
      <c r="J464" s="28">
        <v>904984320</v>
      </c>
      <c r="K464" s="34">
        <v>-10.5</v>
      </c>
      <c r="L464" s="34">
        <v>-12.03</v>
      </c>
      <c r="M464" s="34">
        <v>2.12</v>
      </c>
      <c r="N464" s="24">
        <v>460</v>
      </c>
      <c r="O464" s="29">
        <v>43096.561909722222</v>
      </c>
    </row>
    <row r="465" spans="2:15" x14ac:dyDescent="0.25">
      <c r="B465" s="24" t="s">
        <v>2255</v>
      </c>
      <c r="C465" s="23" t="s">
        <v>331</v>
      </c>
      <c r="D465" s="24" t="s">
        <v>1299</v>
      </c>
      <c r="E465" s="25">
        <v>5.024E-5</v>
      </c>
      <c r="F465" s="26">
        <v>0.793682</v>
      </c>
      <c r="G465" s="27">
        <v>441670</v>
      </c>
      <c r="H465" s="27">
        <v>6133993</v>
      </c>
      <c r="I465" s="28">
        <v>7728528</v>
      </c>
      <c r="J465" s="28">
        <v>7728528</v>
      </c>
      <c r="K465" s="34">
        <v>-1.67</v>
      </c>
      <c r="L465" s="34">
        <v>3.86</v>
      </c>
      <c r="M465" s="34">
        <v>48.2</v>
      </c>
      <c r="N465" s="24">
        <v>461</v>
      </c>
      <c r="O465" s="29">
        <v>43096.561840277776</v>
      </c>
    </row>
    <row r="466" spans="2:15" x14ac:dyDescent="0.25">
      <c r="B466" s="24" t="s">
        <v>2025</v>
      </c>
      <c r="C466" s="23" t="s">
        <v>104</v>
      </c>
      <c r="D466" s="24" t="s">
        <v>1072</v>
      </c>
      <c r="E466" s="25">
        <v>1.146E-5</v>
      </c>
      <c r="F466" s="26">
        <v>0.181115</v>
      </c>
      <c r="G466" s="27">
        <v>20233.8</v>
      </c>
      <c r="H466" s="27">
        <v>6047520</v>
      </c>
      <c r="I466" s="28">
        <v>33390496</v>
      </c>
      <c r="J466" s="28">
        <v>33390496</v>
      </c>
      <c r="K466" s="34">
        <v>-1.1399999999999999</v>
      </c>
      <c r="L466" s="34">
        <v>5.42</v>
      </c>
      <c r="M466" s="34">
        <v>-3.75</v>
      </c>
      <c r="N466" s="24">
        <v>462</v>
      </c>
      <c r="O466" s="29">
        <v>43096.561909722222</v>
      </c>
    </row>
    <row r="467" spans="2:15" x14ac:dyDescent="0.25">
      <c r="B467" s="24" t="s">
        <v>2438</v>
      </c>
      <c r="C467" s="23" t="s">
        <v>270</v>
      </c>
      <c r="D467" s="24" t="s">
        <v>1239</v>
      </c>
      <c r="E467" s="25">
        <v>3.2000000000000001E-7</v>
      </c>
      <c r="F467" s="26">
        <v>4.9991200000000001E-3</v>
      </c>
      <c r="G467" s="27">
        <v>1959.12</v>
      </c>
      <c r="H467" s="27">
        <v>6043581</v>
      </c>
      <c r="I467" s="28">
        <v>1208928934</v>
      </c>
      <c r="J467" s="28">
        <v>1208928934</v>
      </c>
      <c r="K467" s="34">
        <v>-1.18</v>
      </c>
      <c r="L467" s="34">
        <v>-5.35</v>
      </c>
      <c r="M467" s="34">
        <v>18.41</v>
      </c>
      <c r="N467" s="24">
        <v>463</v>
      </c>
      <c r="O467" s="29">
        <v>43096.561828703707</v>
      </c>
    </row>
    <row r="468" spans="2:15" x14ac:dyDescent="0.25">
      <c r="B468" s="24" t="s">
        <v>3118</v>
      </c>
      <c r="C468" s="23" t="s">
        <v>3119</v>
      </c>
      <c r="D468" s="24" t="s">
        <v>3120</v>
      </c>
      <c r="E468" s="25">
        <v>4.4499999999999997E-6</v>
      </c>
      <c r="F468" s="26">
        <v>7.0330799999999999E-2</v>
      </c>
      <c r="G468" s="27">
        <v>26554.1</v>
      </c>
      <c r="H468" s="27">
        <v>5924906</v>
      </c>
      <c r="I468" s="28">
        <v>84243400</v>
      </c>
      <c r="J468" s="28">
        <v>96243400</v>
      </c>
      <c r="K468" s="34">
        <v>-1.51</v>
      </c>
      <c r="L468" s="34">
        <v>-1.46</v>
      </c>
      <c r="M468" s="34">
        <v>-2.46</v>
      </c>
      <c r="N468" s="24">
        <v>464</v>
      </c>
      <c r="O468" s="29">
        <v>43096.561979166669</v>
      </c>
    </row>
    <row r="469" spans="2:15" x14ac:dyDescent="0.25">
      <c r="B469" s="24" t="s">
        <v>2261</v>
      </c>
      <c r="C469" s="23" t="s">
        <v>330</v>
      </c>
      <c r="D469" s="24" t="s">
        <v>1298</v>
      </c>
      <c r="E469" s="25">
        <v>3.3000000000000002E-7</v>
      </c>
      <c r="F469" s="26">
        <v>5.1808000000000002E-3</v>
      </c>
      <c r="G469" s="27">
        <v>47779.9</v>
      </c>
      <c r="H469" s="27">
        <v>5651495</v>
      </c>
      <c r="I469" s="28">
        <v>1090853804</v>
      </c>
      <c r="J469" s="28">
        <v>1090853804</v>
      </c>
      <c r="K469" s="34">
        <v>-7.76</v>
      </c>
      <c r="L469" s="34">
        <v>-14.08</v>
      </c>
      <c r="M469" s="34">
        <v>88.16</v>
      </c>
      <c r="N469" s="24">
        <v>465</v>
      </c>
      <c r="O469" s="29">
        <v>43096.561840277776</v>
      </c>
    </row>
    <row r="470" spans="2:15" x14ac:dyDescent="0.25">
      <c r="B470" s="24" t="s">
        <v>3621</v>
      </c>
      <c r="C470" s="23" t="s">
        <v>3622</v>
      </c>
      <c r="D470" s="24" t="s">
        <v>3623</v>
      </c>
      <c r="E470" s="25">
        <v>3.0200000000000002E-4</v>
      </c>
      <c r="F470" s="26">
        <v>4.7712500000000002</v>
      </c>
      <c r="G470" s="27">
        <v>163560</v>
      </c>
      <c r="H470" s="27">
        <v>5633964</v>
      </c>
      <c r="I470" s="28">
        <v>1180815</v>
      </c>
      <c r="J470" s="28">
        <v>1930815</v>
      </c>
      <c r="K470" s="34">
        <v>-3.33</v>
      </c>
      <c r="L470" s="34">
        <v>5.66</v>
      </c>
      <c r="M470" s="34">
        <v>2.62</v>
      </c>
      <c r="N470" s="24">
        <v>466</v>
      </c>
      <c r="O470" s="29">
        <v>43096.562002314815</v>
      </c>
    </row>
    <row r="471" spans="2:15" x14ac:dyDescent="0.25">
      <c r="B471" s="24" t="s">
        <v>2840</v>
      </c>
      <c r="C471" s="23" t="s">
        <v>915</v>
      </c>
      <c r="D471" s="24" t="s">
        <v>1862</v>
      </c>
      <c r="E471" s="25">
        <v>1.5741E-4</v>
      </c>
      <c r="F471" s="26">
        <v>2.4868899999999998</v>
      </c>
      <c r="G471" s="27">
        <v>234594</v>
      </c>
      <c r="H471" s="27">
        <v>5551613</v>
      </c>
      <c r="I471" s="28">
        <v>2232352</v>
      </c>
      <c r="J471" s="28">
        <v>17441012</v>
      </c>
      <c r="K471" s="34">
        <v>5.62</v>
      </c>
      <c r="L471" s="34">
        <v>270.3</v>
      </c>
      <c r="M471" s="34">
        <v>252.36</v>
      </c>
      <c r="N471" s="24">
        <v>467</v>
      </c>
      <c r="O471" s="29">
        <v>43096.561874999999</v>
      </c>
    </row>
    <row r="472" spans="2:15" x14ac:dyDescent="0.25">
      <c r="B472" s="24" t="s">
        <v>3435</v>
      </c>
      <c r="C472" s="23" t="s">
        <v>3436</v>
      </c>
      <c r="D472" s="24" t="s">
        <v>3437</v>
      </c>
      <c r="E472" s="25">
        <v>4.9237E-4</v>
      </c>
      <c r="F472" s="26">
        <v>7.7788399999999998</v>
      </c>
      <c r="G472" s="27">
        <v>521022</v>
      </c>
      <c r="H472" s="27">
        <v>5523451</v>
      </c>
      <c r="I472" s="28">
        <v>710061</v>
      </c>
      <c r="J472" s="28">
        <v>3710061</v>
      </c>
      <c r="K472" s="34">
        <v>-7.12</v>
      </c>
      <c r="L472" s="34">
        <v>6.77</v>
      </c>
      <c r="M472" s="34">
        <v>43.61</v>
      </c>
      <c r="N472" s="24">
        <v>468</v>
      </c>
      <c r="O472" s="29">
        <v>43096.561990740738</v>
      </c>
    </row>
    <row r="473" spans="2:15" x14ac:dyDescent="0.25">
      <c r="B473" s="24" t="s">
        <v>3843</v>
      </c>
      <c r="C473" s="23" t="s">
        <v>3844</v>
      </c>
      <c r="D473" s="24" t="s">
        <v>3845</v>
      </c>
      <c r="E473" s="25">
        <v>1.942E-5</v>
      </c>
      <c r="F473" s="26">
        <v>0.30685200000000001</v>
      </c>
      <c r="G473" s="27">
        <v>91521.600000000006</v>
      </c>
      <c r="H473" s="27">
        <v>5483984</v>
      </c>
      <c r="I473" s="28">
        <v>17871755</v>
      </c>
      <c r="J473" s="28">
        <v>19803895</v>
      </c>
      <c r="K473" s="34">
        <v>-7.29</v>
      </c>
      <c r="L473" s="34">
        <v>-0.45</v>
      </c>
      <c r="M473" s="34">
        <v>20.29</v>
      </c>
      <c r="N473" s="24">
        <v>469</v>
      </c>
      <c r="O473" s="29">
        <v>43096.562013888892</v>
      </c>
    </row>
    <row r="474" spans="2:15" x14ac:dyDescent="0.25">
      <c r="B474" s="24" t="s">
        <v>2238</v>
      </c>
      <c r="C474" s="23" t="s">
        <v>314</v>
      </c>
      <c r="D474" s="24" t="s">
        <v>1282</v>
      </c>
      <c r="E474" s="25">
        <v>3.0001000000000002E-4</v>
      </c>
      <c r="F474" s="26">
        <v>4.7398600000000002</v>
      </c>
      <c r="G474" s="27">
        <v>356411</v>
      </c>
      <c r="H474" s="27">
        <v>5370295</v>
      </c>
      <c r="I474" s="28">
        <v>1133007</v>
      </c>
      <c r="J474" s="28">
        <v>50000000</v>
      </c>
      <c r="K474" s="34">
        <v>-0.8</v>
      </c>
      <c r="L474" s="34">
        <v>9.66</v>
      </c>
      <c r="M474" s="34">
        <v>25.35</v>
      </c>
      <c r="N474" s="24">
        <v>470</v>
      </c>
      <c r="O474" s="29">
        <v>43096.561921296299</v>
      </c>
    </row>
    <row r="475" spans="2:15" x14ac:dyDescent="0.25">
      <c r="B475" s="24" t="s">
        <v>2338</v>
      </c>
      <c r="C475" s="23" t="s">
        <v>415</v>
      </c>
      <c r="D475" s="24" t="s">
        <v>1378</v>
      </c>
      <c r="E475" s="25">
        <v>1.6000000000000001E-4</v>
      </c>
      <c r="F475" s="26">
        <v>2.5278100000000001</v>
      </c>
      <c r="G475" s="27">
        <v>3138.17</v>
      </c>
      <c r="H475" s="27">
        <v>5334480</v>
      </c>
      <c r="I475" s="28">
        <v>2110317</v>
      </c>
      <c r="J475" s="28">
        <v>2110317</v>
      </c>
      <c r="K475" s="34">
        <v>-1.0900000000000001</v>
      </c>
      <c r="L475" s="34">
        <v>-11.53</v>
      </c>
      <c r="M475" s="34">
        <v>34.39</v>
      </c>
      <c r="N475" s="24">
        <v>471</v>
      </c>
      <c r="O475" s="29">
        <v>43096.56181712963</v>
      </c>
    </row>
    <row r="476" spans="2:15" x14ac:dyDescent="0.25">
      <c r="B476" s="24" t="s">
        <v>2197</v>
      </c>
      <c r="C476" s="23" t="s">
        <v>328</v>
      </c>
      <c r="D476" s="24" t="s">
        <v>1296</v>
      </c>
      <c r="E476" s="25">
        <v>3.3349999999999997E-5</v>
      </c>
      <c r="F476" s="26">
        <v>0.52690800000000004</v>
      </c>
      <c r="G476" s="27">
        <v>79723.100000000006</v>
      </c>
      <c r="H476" s="27">
        <v>5243835</v>
      </c>
      <c r="I476" s="28">
        <v>9952089</v>
      </c>
      <c r="J476" s="28">
        <v>9952089</v>
      </c>
      <c r="K476" s="34">
        <v>-1.41</v>
      </c>
      <c r="L476" s="34">
        <v>-15.8</v>
      </c>
      <c r="M476" s="34">
        <v>-6.28</v>
      </c>
      <c r="N476" s="24">
        <v>472</v>
      </c>
      <c r="O476" s="29">
        <v>43096.561944444446</v>
      </c>
    </row>
    <row r="477" spans="2:15" x14ac:dyDescent="0.25">
      <c r="B477" s="24" t="s">
        <v>3354</v>
      </c>
      <c r="C477" s="23" t="s">
        <v>3355</v>
      </c>
      <c r="D477" s="24" t="s">
        <v>3355</v>
      </c>
      <c r="E477" s="25">
        <v>4.9999999999999998E-8</v>
      </c>
      <c r="F477" s="26">
        <v>7.9159E-4</v>
      </c>
      <c r="G477" s="27">
        <v>122871</v>
      </c>
      <c r="H477" s="27">
        <v>5189521</v>
      </c>
      <c r="I477" s="28">
        <v>6555819578</v>
      </c>
      <c r="J477" s="28">
        <v>100000000000</v>
      </c>
      <c r="K477" s="34">
        <v>-0.23</v>
      </c>
      <c r="L477" s="34">
        <v>-10.17</v>
      </c>
      <c r="M477" s="34">
        <v>-10.57</v>
      </c>
      <c r="N477" s="24">
        <v>473</v>
      </c>
      <c r="O477" s="29">
        <v>43096.561990740738</v>
      </c>
    </row>
    <row r="478" spans="2:15" x14ac:dyDescent="0.25">
      <c r="B478" s="24" t="s">
        <v>2239</v>
      </c>
      <c r="C478" s="23" t="s">
        <v>312</v>
      </c>
      <c r="D478" s="24" t="s">
        <v>1280</v>
      </c>
      <c r="E478" s="25">
        <v>2.4199999999999999E-5</v>
      </c>
      <c r="F478" s="26">
        <v>0.382407</v>
      </c>
      <c r="G478" s="27">
        <v>550.30999999999995</v>
      </c>
      <c r="H478" s="27">
        <v>5134126</v>
      </c>
      <c r="I478" s="28">
        <v>13425817</v>
      </c>
      <c r="J478" s="28">
        <v>13425817</v>
      </c>
      <c r="K478" s="34">
        <v>-2.52</v>
      </c>
      <c r="L478" s="34">
        <v>-10.29</v>
      </c>
      <c r="M478" s="34">
        <v>2.2000000000000002</v>
      </c>
      <c r="N478" s="24">
        <v>474</v>
      </c>
      <c r="O478" s="29">
        <v>43096.561967592592</v>
      </c>
    </row>
    <row r="479" spans="2:15" x14ac:dyDescent="0.25">
      <c r="B479" s="24" t="s">
        <v>2753</v>
      </c>
      <c r="C479" s="23" t="s">
        <v>812</v>
      </c>
      <c r="D479" s="24" t="s">
        <v>1767</v>
      </c>
      <c r="E479" s="25">
        <v>8.0522999999999999E-4</v>
      </c>
      <c r="F479" s="26">
        <v>12.7217</v>
      </c>
      <c r="G479" s="27">
        <v>3203.92</v>
      </c>
      <c r="H479" s="27">
        <v>5054331</v>
      </c>
      <c r="I479" s="28">
        <v>397300</v>
      </c>
      <c r="J479" s="28">
        <v>5000000</v>
      </c>
      <c r="K479" s="34">
        <v>-1.6</v>
      </c>
      <c r="L479" s="34">
        <v>-9.3800000000000008</v>
      </c>
      <c r="M479" s="34">
        <v>-18.57</v>
      </c>
      <c r="N479" s="24">
        <v>475</v>
      </c>
      <c r="O479" s="29">
        <v>43096.561956018515</v>
      </c>
    </row>
    <row r="480" spans="2:15" x14ac:dyDescent="0.25">
      <c r="B480" s="24" t="s">
        <v>3178</v>
      </c>
      <c r="C480" s="23" t="s">
        <v>3106</v>
      </c>
      <c r="D480" s="24" t="s">
        <v>3028</v>
      </c>
      <c r="E480" s="25">
        <v>1.9029999999999999E-5</v>
      </c>
      <c r="F480" s="26">
        <v>0.300678</v>
      </c>
      <c r="G480" s="27">
        <v>14937.7</v>
      </c>
      <c r="H480" s="27">
        <v>5025538</v>
      </c>
      <c r="I480" s="28">
        <v>16714020</v>
      </c>
      <c r="J480" s="28">
        <v>16714020</v>
      </c>
      <c r="K480" s="34">
        <v>0.98</v>
      </c>
      <c r="L480" s="34">
        <v>6.96</v>
      </c>
      <c r="M480" s="34">
        <v>10.06</v>
      </c>
      <c r="N480" s="24">
        <v>476</v>
      </c>
      <c r="O480" s="29">
        <v>43096.561979166669</v>
      </c>
    </row>
    <row r="481" spans="2:15" x14ac:dyDescent="0.25">
      <c r="B481" s="24" t="s">
        <v>2328</v>
      </c>
      <c r="C481" s="23" t="s">
        <v>517</v>
      </c>
      <c r="D481" s="24" t="s">
        <v>1483</v>
      </c>
      <c r="E481" s="25">
        <v>8.9999999999999999E-8</v>
      </c>
      <c r="F481" s="26">
        <v>1.4218900000000001E-3</v>
      </c>
      <c r="G481" s="27">
        <v>14170.1</v>
      </c>
      <c r="H481" s="27">
        <v>5009160</v>
      </c>
      <c r="I481" s="28">
        <v>3522888762</v>
      </c>
      <c r="J481" s="28">
        <v>3522888762</v>
      </c>
      <c r="K481" s="34">
        <v>11.28</v>
      </c>
      <c r="L481" s="34">
        <v>18.48</v>
      </c>
      <c r="M481" s="34">
        <v>52.8</v>
      </c>
      <c r="N481" s="24">
        <v>477</v>
      </c>
      <c r="O481" s="29">
        <v>43096.561828703707</v>
      </c>
    </row>
    <row r="482" spans="2:15" x14ac:dyDescent="0.25">
      <c r="B482" s="24" t="s">
        <v>2974</v>
      </c>
      <c r="C482" s="23" t="s">
        <v>2975</v>
      </c>
      <c r="D482" s="24" t="s">
        <v>2976</v>
      </c>
      <c r="E482" s="25">
        <v>6.64E-6</v>
      </c>
      <c r="F482" s="26">
        <v>0.104958</v>
      </c>
      <c r="G482" s="27">
        <v>70917.5</v>
      </c>
      <c r="H482" s="27">
        <v>4880547</v>
      </c>
      <c r="I482" s="28">
        <v>46500000</v>
      </c>
      <c r="J482" s="28">
        <v>50000000</v>
      </c>
      <c r="K482" s="34">
        <v>-7.71</v>
      </c>
      <c r="L482" s="34">
        <v>-11.77</v>
      </c>
      <c r="M482" s="34">
        <v>-4.3899999999999997</v>
      </c>
      <c r="N482" s="24">
        <v>478</v>
      </c>
      <c r="O482" s="29">
        <v>43096.561979166669</v>
      </c>
    </row>
    <row r="483" spans="2:15" x14ac:dyDescent="0.25">
      <c r="B483" s="24" t="s">
        <v>3801</v>
      </c>
      <c r="C483" s="23" t="s">
        <v>3802</v>
      </c>
      <c r="D483" s="24" t="s">
        <v>3803</v>
      </c>
      <c r="E483" s="25">
        <v>4.3000000000000002E-5</v>
      </c>
      <c r="F483" s="26">
        <v>0.67934799999999995</v>
      </c>
      <c r="G483" s="27">
        <v>173833</v>
      </c>
      <c r="H483" s="27">
        <v>4873563</v>
      </c>
      <c r="I483" s="28">
        <v>7173883</v>
      </c>
      <c r="J483" s="28">
        <v>7423883</v>
      </c>
      <c r="K483" s="34">
        <v>10.33</v>
      </c>
      <c r="L483" s="34">
        <v>43.77</v>
      </c>
      <c r="M483" s="34">
        <v>79.48</v>
      </c>
      <c r="N483" s="24">
        <v>479</v>
      </c>
      <c r="O483" s="29">
        <v>43096.562013888892</v>
      </c>
    </row>
    <row r="484" spans="2:15" x14ac:dyDescent="0.25">
      <c r="B484" s="24" t="s">
        <v>3691</v>
      </c>
      <c r="C484" s="23" t="s">
        <v>3692</v>
      </c>
      <c r="D484" s="24" t="s">
        <v>3693</v>
      </c>
      <c r="E484" s="25">
        <v>2.5920000000000001E-4</v>
      </c>
      <c r="F484" s="26">
        <v>4.0950499999999996</v>
      </c>
      <c r="G484" s="27">
        <v>39125.300000000003</v>
      </c>
      <c r="H484" s="27">
        <v>4843084</v>
      </c>
      <c r="I484" s="28">
        <v>1182668</v>
      </c>
      <c r="J484" s="28">
        <v>1275455</v>
      </c>
      <c r="K484" s="34">
        <v>5.85</v>
      </c>
      <c r="L484" s="34">
        <v>112.95</v>
      </c>
      <c r="M484" s="34">
        <v>153.38999999999999</v>
      </c>
      <c r="N484" s="24">
        <v>480</v>
      </c>
      <c r="O484" s="29">
        <v>43096.562002314815</v>
      </c>
    </row>
    <row r="485" spans="2:15" x14ac:dyDescent="0.25">
      <c r="B485" s="24" t="s">
        <v>3124</v>
      </c>
      <c r="C485" s="23" t="s">
        <v>3125</v>
      </c>
      <c r="D485" s="24" t="s">
        <v>3126</v>
      </c>
      <c r="E485" s="25">
        <v>5.1059E-4</v>
      </c>
      <c r="F485" s="26">
        <v>8.0667299999999997</v>
      </c>
      <c r="G485" s="27">
        <v>579727</v>
      </c>
      <c r="H485" s="27">
        <v>4840038</v>
      </c>
      <c r="I485" s="28">
        <v>600000</v>
      </c>
      <c r="J485" s="28">
        <v>1000000</v>
      </c>
      <c r="K485" s="34">
        <v>-0.54</v>
      </c>
      <c r="L485" s="34">
        <v>-2.81</v>
      </c>
      <c r="M485" s="34">
        <v>3.63</v>
      </c>
      <c r="N485" s="24">
        <v>481</v>
      </c>
      <c r="O485" s="29">
        <v>43096.561990740738</v>
      </c>
    </row>
    <row r="486" spans="2:15" x14ac:dyDescent="0.25">
      <c r="B486" s="24" t="s">
        <v>3536</v>
      </c>
      <c r="C486" s="23" t="s">
        <v>3537</v>
      </c>
      <c r="D486" s="24" t="s">
        <v>3538</v>
      </c>
      <c r="E486" s="25">
        <v>1.7999999999999999E-6</v>
      </c>
      <c r="F486" s="26">
        <v>2.8508800000000001E-2</v>
      </c>
      <c r="G486" s="27">
        <v>23701.9</v>
      </c>
      <c r="H486" s="27">
        <v>4812560</v>
      </c>
      <c r="I486" s="28">
        <v>168809625</v>
      </c>
      <c r="J486" s="28">
        <v>1000000000</v>
      </c>
      <c r="K486" s="34">
        <v>-26.18</v>
      </c>
      <c r="L486" s="34">
        <v>-6.09</v>
      </c>
      <c r="M486" s="34">
        <v>-9.41</v>
      </c>
      <c r="N486" s="24">
        <v>482</v>
      </c>
      <c r="O486" s="29">
        <v>43096.562002314815</v>
      </c>
    </row>
    <row r="487" spans="2:15" x14ac:dyDescent="0.25">
      <c r="B487" s="24" t="s">
        <v>3807</v>
      </c>
      <c r="C487" s="23" t="s">
        <v>3808</v>
      </c>
      <c r="D487" s="24" t="s">
        <v>1211</v>
      </c>
      <c r="E487" s="25">
        <v>4.511E-5</v>
      </c>
      <c r="F487" s="26">
        <v>0.71262599999999998</v>
      </c>
      <c r="G487" s="27">
        <v>17613.099999999999</v>
      </c>
      <c r="H487" s="27">
        <v>4811143</v>
      </c>
      <c r="I487" s="28">
        <v>6751288</v>
      </c>
      <c r="J487" s="28">
        <v>7852650</v>
      </c>
      <c r="K487" s="34">
        <v>-1.1499999999999999</v>
      </c>
      <c r="L487" s="34">
        <v>-14.88</v>
      </c>
      <c r="M487" s="34">
        <v>3.37</v>
      </c>
      <c r="N487" s="24">
        <v>483</v>
      </c>
      <c r="O487" s="29">
        <v>43096.562013888892</v>
      </c>
    </row>
    <row r="488" spans="2:15" x14ac:dyDescent="0.25">
      <c r="B488" s="24" t="s">
        <v>3539</v>
      </c>
      <c r="C488" s="23" t="s">
        <v>3540</v>
      </c>
      <c r="D488" s="24" t="s">
        <v>3540</v>
      </c>
      <c r="E488" s="25">
        <v>3.3100000000000001E-6</v>
      </c>
      <c r="F488" s="26">
        <v>5.2365099999999998E-2</v>
      </c>
      <c r="G488" s="27">
        <v>409252</v>
      </c>
      <c r="H488" s="27">
        <v>4712859</v>
      </c>
      <c r="I488" s="28">
        <v>90000000</v>
      </c>
      <c r="J488" s="28">
        <v>100000000</v>
      </c>
      <c r="K488" s="34">
        <v>1.07</v>
      </c>
      <c r="L488" s="34">
        <v>85.06</v>
      </c>
      <c r="M488" s="34">
        <v>396.51</v>
      </c>
      <c r="N488" s="24">
        <v>484</v>
      </c>
      <c r="O488" s="29">
        <v>43096.562002314815</v>
      </c>
    </row>
    <row r="489" spans="2:15" x14ac:dyDescent="0.25">
      <c r="B489" s="24" t="s">
        <v>2972</v>
      </c>
      <c r="C489" s="23" t="s">
        <v>2973</v>
      </c>
      <c r="D489" s="24" t="s">
        <v>2973</v>
      </c>
      <c r="E489" s="25">
        <v>3.1865000000000002E-4</v>
      </c>
      <c r="F489" s="26">
        <v>5.0343299999999997</v>
      </c>
      <c r="G489" s="27">
        <v>77703.3</v>
      </c>
      <c r="H489" s="27">
        <v>4697428</v>
      </c>
      <c r="I489" s="28">
        <v>933079</v>
      </c>
      <c r="J489" s="28">
        <v>1753079</v>
      </c>
      <c r="K489" s="34">
        <v>-1.54</v>
      </c>
      <c r="L489" s="34">
        <v>8.1300000000000008</v>
      </c>
      <c r="M489" s="34">
        <v>6.8</v>
      </c>
      <c r="N489" s="24">
        <v>485</v>
      </c>
      <c r="O489" s="29">
        <v>43096.561979166669</v>
      </c>
    </row>
    <row r="490" spans="2:15" x14ac:dyDescent="0.25">
      <c r="B490" s="24" t="s">
        <v>2196</v>
      </c>
      <c r="C490" s="23" t="s">
        <v>274</v>
      </c>
      <c r="D490" s="24" t="s">
        <v>1243</v>
      </c>
      <c r="E490" s="25">
        <v>3E-9</v>
      </c>
      <c r="F490" s="26">
        <v>4.9952199999999999E-5</v>
      </c>
      <c r="G490" s="27">
        <v>3804270</v>
      </c>
      <c r="H490" s="27">
        <v>4605234</v>
      </c>
      <c r="I490" s="28">
        <v>92192822723</v>
      </c>
      <c r="J490" s="28">
        <v>92192822723</v>
      </c>
      <c r="K490" s="34">
        <v>1.96</v>
      </c>
      <c r="L490" s="34">
        <v>406.74</v>
      </c>
      <c r="M490" s="34">
        <v>485.81</v>
      </c>
      <c r="N490" s="24">
        <v>486</v>
      </c>
      <c r="O490" s="29">
        <v>43096.561956018515</v>
      </c>
    </row>
    <row r="491" spans="2:15" x14ac:dyDescent="0.25">
      <c r="B491" s="24" t="s">
        <v>2230</v>
      </c>
      <c r="C491" s="23" t="s">
        <v>306</v>
      </c>
      <c r="D491" s="24" t="s">
        <v>1274</v>
      </c>
      <c r="E491" s="25">
        <v>5.5519999999999997E-5</v>
      </c>
      <c r="F491" s="26">
        <v>0.87721300000000002</v>
      </c>
      <c r="G491" s="27">
        <v>2484.54</v>
      </c>
      <c r="H491" s="27">
        <v>4561523</v>
      </c>
      <c r="I491" s="28">
        <v>5200017</v>
      </c>
      <c r="J491" s="28">
        <v>5324244</v>
      </c>
      <c r="K491" s="34">
        <v>-21.9</v>
      </c>
      <c r="L491" s="34">
        <v>-5.21</v>
      </c>
      <c r="M491" s="34">
        <v>7.96</v>
      </c>
      <c r="N491" s="24">
        <v>487</v>
      </c>
      <c r="O491" s="29">
        <v>43096.561967592592</v>
      </c>
    </row>
    <row r="492" spans="2:15" x14ac:dyDescent="0.25">
      <c r="B492" s="24" t="s">
        <v>2344</v>
      </c>
      <c r="C492" s="23" t="s">
        <v>538</v>
      </c>
      <c r="D492" s="24" t="s">
        <v>1502</v>
      </c>
      <c r="E492" s="25">
        <v>6.0999999999999998E-7</v>
      </c>
      <c r="F492" s="26">
        <v>9.6615899999999994E-3</v>
      </c>
      <c r="G492" s="27">
        <v>121744</v>
      </c>
      <c r="H492" s="27">
        <v>4560171</v>
      </c>
      <c r="I492" s="28">
        <v>471989715</v>
      </c>
      <c r="J492" s="28">
        <v>471989715</v>
      </c>
      <c r="K492" s="34">
        <v>-3.64</v>
      </c>
      <c r="L492" s="34">
        <v>292.38</v>
      </c>
      <c r="M492" s="34">
        <v>390.61</v>
      </c>
      <c r="N492" s="24">
        <v>488</v>
      </c>
      <c r="O492" s="29">
        <v>43096.561944444446</v>
      </c>
    </row>
    <row r="493" spans="2:15" x14ac:dyDescent="0.25">
      <c r="B493" s="24" t="s">
        <v>2215</v>
      </c>
      <c r="C493" s="23" t="s">
        <v>290</v>
      </c>
      <c r="D493" s="24" t="s">
        <v>1258</v>
      </c>
      <c r="E493" s="25">
        <v>1.292E-5</v>
      </c>
      <c r="F493" s="26">
        <v>0.20419200000000001</v>
      </c>
      <c r="G493" s="27">
        <v>18820.599999999999</v>
      </c>
      <c r="H493" s="27">
        <v>4479645</v>
      </c>
      <c r="I493" s="28">
        <v>21938398</v>
      </c>
      <c r="J493" s="28">
        <v>21938398</v>
      </c>
      <c r="K493" s="34">
        <v>-1.0900000000000001</v>
      </c>
      <c r="L493" s="34">
        <v>-0.77</v>
      </c>
      <c r="M493" s="34">
        <v>-6.63</v>
      </c>
      <c r="N493" s="24">
        <v>489</v>
      </c>
      <c r="O493" s="29">
        <v>43096.561805555553</v>
      </c>
    </row>
    <row r="494" spans="2:15" x14ac:dyDescent="0.25">
      <c r="B494" s="24" t="s">
        <v>3207</v>
      </c>
      <c r="C494" s="23" t="s">
        <v>3208</v>
      </c>
      <c r="D494" s="24" t="s">
        <v>3208</v>
      </c>
      <c r="E494" s="25">
        <v>2.8189999999999999E-5</v>
      </c>
      <c r="F494" s="26">
        <v>0.445351</v>
      </c>
      <c r="G494" s="27">
        <v>13529.2</v>
      </c>
      <c r="H494" s="27">
        <v>4478368</v>
      </c>
      <c r="I494" s="28">
        <v>10055817</v>
      </c>
      <c r="J494" s="28">
        <v>19717288</v>
      </c>
      <c r="K494" s="34">
        <v>2.54</v>
      </c>
      <c r="L494" s="34">
        <v>18.62</v>
      </c>
      <c r="M494" s="34">
        <v>-4.55</v>
      </c>
      <c r="N494" s="24">
        <v>490</v>
      </c>
      <c r="O494" s="29">
        <v>43096.561990740738</v>
      </c>
    </row>
    <row r="495" spans="2:15" x14ac:dyDescent="0.25">
      <c r="B495" s="24" t="s">
        <v>2232</v>
      </c>
      <c r="C495" s="23" t="s">
        <v>309</v>
      </c>
      <c r="D495" s="24" t="s">
        <v>1277</v>
      </c>
      <c r="E495" s="25">
        <v>1.9285999999999999E-4</v>
      </c>
      <c r="F495" s="26">
        <v>3.0470199999999998</v>
      </c>
      <c r="G495" s="27">
        <v>8207.2999999999993</v>
      </c>
      <c r="H495" s="27">
        <v>4472974</v>
      </c>
      <c r="I495" s="28">
        <v>1467983</v>
      </c>
      <c r="J495" s="28">
        <v>1467983</v>
      </c>
      <c r="K495" s="34">
        <v>-0.83</v>
      </c>
      <c r="L495" s="34">
        <v>-14.17</v>
      </c>
      <c r="M495" s="34">
        <v>42.11</v>
      </c>
      <c r="N495" s="24">
        <v>491</v>
      </c>
      <c r="O495" s="29">
        <v>43096.561851851853</v>
      </c>
    </row>
    <row r="496" spans="2:15" x14ac:dyDescent="0.25">
      <c r="B496" s="24" t="s">
        <v>2171</v>
      </c>
      <c r="C496" s="23" t="s">
        <v>241</v>
      </c>
      <c r="D496" s="24" t="s">
        <v>1209</v>
      </c>
      <c r="E496" s="25">
        <v>1.08E-6</v>
      </c>
      <c r="F496" s="26">
        <v>1.7128299999999999E-2</v>
      </c>
      <c r="G496" s="27">
        <v>20406</v>
      </c>
      <c r="H496" s="27">
        <v>4341587</v>
      </c>
      <c r="I496" s="28">
        <v>253474476</v>
      </c>
      <c r="J496" s="28">
        <v>253474476</v>
      </c>
      <c r="K496" s="34">
        <v>-2.65</v>
      </c>
      <c r="L496" s="34">
        <v>10.65</v>
      </c>
      <c r="M496" s="34">
        <v>8.0399999999999991</v>
      </c>
      <c r="N496" s="24">
        <v>492</v>
      </c>
      <c r="O496" s="29">
        <v>43096.56181712963</v>
      </c>
    </row>
    <row r="497" spans="2:15" x14ac:dyDescent="0.25">
      <c r="B497" s="24" t="s">
        <v>2203</v>
      </c>
      <c r="C497" s="23" t="s">
        <v>267</v>
      </c>
      <c r="D497" s="24" t="s">
        <v>1236</v>
      </c>
      <c r="E497" s="25">
        <v>2.747E-5</v>
      </c>
      <c r="F497" s="26">
        <v>0.43403700000000001</v>
      </c>
      <c r="G497" s="27">
        <v>27197.3</v>
      </c>
      <c r="H497" s="27">
        <v>4318180</v>
      </c>
      <c r="I497" s="28">
        <v>9948875</v>
      </c>
      <c r="J497" s="28">
        <v>11048875</v>
      </c>
      <c r="K497" s="34">
        <v>-1.1399999999999999</v>
      </c>
      <c r="L497" s="34">
        <v>7.53</v>
      </c>
      <c r="M497" s="34">
        <v>18.190000000000001</v>
      </c>
      <c r="N497" s="24">
        <v>493</v>
      </c>
      <c r="O497" s="29">
        <v>43096.561944444446</v>
      </c>
    </row>
    <row r="498" spans="2:15" x14ac:dyDescent="0.25">
      <c r="B498" s="24" t="s">
        <v>2266</v>
      </c>
      <c r="C498" s="23" t="s">
        <v>343</v>
      </c>
      <c r="D498" s="24" t="s">
        <v>1311</v>
      </c>
      <c r="E498" s="25">
        <v>8.0000000000000005E-9</v>
      </c>
      <c r="F498" s="26">
        <v>1.3275900000000001E-4</v>
      </c>
      <c r="G498" s="27">
        <v>22444.6</v>
      </c>
      <c r="H498" s="27">
        <v>4316648</v>
      </c>
      <c r="I498" s="28">
        <v>32514916898</v>
      </c>
      <c r="J498" s="28">
        <v>32514916898</v>
      </c>
      <c r="K498" s="34">
        <v>-1.24</v>
      </c>
      <c r="L498" s="34">
        <v>38.53</v>
      </c>
      <c r="M498" s="34">
        <v>45.75</v>
      </c>
      <c r="N498" s="24">
        <v>494</v>
      </c>
      <c r="O498" s="29">
        <v>43096.561828703707</v>
      </c>
    </row>
    <row r="499" spans="2:15" x14ac:dyDescent="0.25">
      <c r="B499" s="24" t="s">
        <v>2370</v>
      </c>
      <c r="C499" s="23" t="s">
        <v>466</v>
      </c>
      <c r="D499" s="24" t="s">
        <v>1430</v>
      </c>
      <c r="E499" s="25">
        <v>1.189E-5</v>
      </c>
      <c r="F499" s="26">
        <v>0.187831</v>
      </c>
      <c r="G499" s="27">
        <v>67558.399999999994</v>
      </c>
      <c r="H499" s="27">
        <v>4253996</v>
      </c>
      <c r="I499" s="28">
        <v>22648000</v>
      </c>
      <c r="J499" s="28">
        <v>22648000</v>
      </c>
      <c r="K499" s="34">
        <v>2.5499999999999998</v>
      </c>
      <c r="L499" s="34">
        <v>3.74</v>
      </c>
      <c r="M499" s="34">
        <v>-2.57</v>
      </c>
      <c r="N499" s="24">
        <v>495</v>
      </c>
      <c r="O499" s="29">
        <v>43096.561956018515</v>
      </c>
    </row>
    <row r="500" spans="2:15" x14ac:dyDescent="0.25">
      <c r="B500" s="24" t="s">
        <v>2125</v>
      </c>
      <c r="C500" s="23" t="s">
        <v>198</v>
      </c>
      <c r="D500" s="24" t="s">
        <v>1167</v>
      </c>
      <c r="E500" s="25">
        <v>5.31E-6</v>
      </c>
      <c r="F500" s="26">
        <v>8.3845900000000001E-2</v>
      </c>
      <c r="G500" s="27">
        <v>110883</v>
      </c>
      <c r="H500" s="27">
        <v>4192295</v>
      </c>
      <c r="I500" s="28">
        <v>50000000</v>
      </c>
      <c r="J500" s="28">
        <v>50000000</v>
      </c>
      <c r="K500" s="34">
        <v>0.61</v>
      </c>
      <c r="L500" s="34">
        <v>58.74</v>
      </c>
      <c r="M500" s="34">
        <v>70.95</v>
      </c>
      <c r="N500" s="24">
        <v>496</v>
      </c>
      <c r="O500" s="29">
        <v>43096.561956018515</v>
      </c>
    </row>
    <row r="501" spans="2:15" x14ac:dyDescent="0.25">
      <c r="B501" s="24" t="s">
        <v>3221</v>
      </c>
      <c r="C501" s="23" t="s">
        <v>3222</v>
      </c>
      <c r="D501" s="24" t="s">
        <v>3223</v>
      </c>
      <c r="E501" s="25">
        <v>7.6769999999999999E-5</v>
      </c>
      <c r="F501" s="30">
        <v>1.2128699999999999</v>
      </c>
      <c r="G501" s="27">
        <v>153690</v>
      </c>
      <c r="H501" s="27">
        <v>4115388</v>
      </c>
      <c r="I501" s="28">
        <v>3393099</v>
      </c>
      <c r="J501" s="28">
        <v>6924060</v>
      </c>
      <c r="K501" s="34">
        <v>-2.77</v>
      </c>
      <c r="L501" s="34">
        <v>0.08</v>
      </c>
      <c r="M501" s="34">
        <v>-42.08</v>
      </c>
      <c r="N501" s="24">
        <v>497</v>
      </c>
      <c r="O501" s="29">
        <v>43096.561990740738</v>
      </c>
    </row>
    <row r="502" spans="2:15" x14ac:dyDescent="0.25">
      <c r="B502" s="24" t="s">
        <v>2256</v>
      </c>
      <c r="C502" s="23" t="s">
        <v>326</v>
      </c>
      <c r="D502" s="24" t="s">
        <v>1294</v>
      </c>
      <c r="E502" s="25">
        <v>9.5000000000000001E-7</v>
      </c>
      <c r="F502" s="26">
        <v>1.50288E-2</v>
      </c>
      <c r="G502" s="27">
        <v>185061</v>
      </c>
      <c r="H502" s="27">
        <v>4107743</v>
      </c>
      <c r="I502" s="28">
        <v>273324750</v>
      </c>
      <c r="J502" s="28">
        <v>538324750</v>
      </c>
      <c r="K502" s="34">
        <v>-2.0499999999999998</v>
      </c>
      <c r="L502" s="34">
        <v>3.51</v>
      </c>
      <c r="M502" s="34">
        <v>-5.92</v>
      </c>
      <c r="N502" s="24">
        <v>498</v>
      </c>
      <c r="O502" s="29">
        <v>43096.561863425923</v>
      </c>
    </row>
    <row r="503" spans="2:15" x14ac:dyDescent="0.25">
      <c r="B503" s="24" t="s">
        <v>2195</v>
      </c>
      <c r="C503" s="23" t="s">
        <v>271</v>
      </c>
      <c r="D503" s="24" t="s">
        <v>1240</v>
      </c>
      <c r="E503" s="25">
        <v>6.7999999999999995E-7</v>
      </c>
      <c r="F503" s="26">
        <v>1.0666200000000001E-2</v>
      </c>
      <c r="G503" s="27">
        <v>95306.5</v>
      </c>
      <c r="H503" s="27">
        <v>4042725</v>
      </c>
      <c r="I503" s="28">
        <v>379022095</v>
      </c>
      <c r="J503" s="28">
        <v>379022095</v>
      </c>
      <c r="K503" s="34">
        <v>-0.98</v>
      </c>
      <c r="L503" s="34">
        <v>-5.0599999999999996</v>
      </c>
      <c r="M503" s="34">
        <v>-19.059999999999999</v>
      </c>
      <c r="N503" s="24">
        <v>499</v>
      </c>
      <c r="O503" s="29">
        <v>43096.561840277776</v>
      </c>
    </row>
    <row r="504" spans="2:15" x14ac:dyDescent="0.25">
      <c r="B504" s="24" t="s">
        <v>2263</v>
      </c>
      <c r="C504" s="23" t="s">
        <v>345</v>
      </c>
      <c r="D504" s="24" t="s">
        <v>1313</v>
      </c>
      <c r="E504" s="25">
        <v>3.1E-7</v>
      </c>
      <c r="F504" s="26">
        <v>4.8186799999999997E-3</v>
      </c>
      <c r="G504" s="27">
        <v>5628.07</v>
      </c>
      <c r="H504" s="27">
        <v>4038088</v>
      </c>
      <c r="I504" s="28">
        <v>838007036</v>
      </c>
      <c r="J504" s="28">
        <v>838007036</v>
      </c>
      <c r="K504" s="34">
        <v>4.41</v>
      </c>
      <c r="L504" s="34">
        <v>4.46</v>
      </c>
      <c r="M504" s="34">
        <v>37.67</v>
      </c>
      <c r="N504" s="24">
        <v>500</v>
      </c>
      <c r="O504" s="29">
        <v>43096.561863425923</v>
      </c>
    </row>
    <row r="505" spans="2:15" x14ac:dyDescent="0.25">
      <c r="B505" s="24" t="s">
        <v>2278</v>
      </c>
      <c r="C505" s="23" t="s">
        <v>355</v>
      </c>
      <c r="D505" s="24" t="s">
        <v>1323</v>
      </c>
      <c r="E505" s="25">
        <v>1.2998999999999999E-4</v>
      </c>
      <c r="F505" s="26">
        <v>2.0536799999999999</v>
      </c>
      <c r="G505" s="27">
        <v>3438990</v>
      </c>
      <c r="H505" s="27">
        <v>3953762</v>
      </c>
      <c r="I505" s="28">
        <v>1925208</v>
      </c>
      <c r="J505" s="28">
        <v>1925208</v>
      </c>
      <c r="K505" s="34">
        <v>-3.96</v>
      </c>
      <c r="L505" s="34">
        <v>45.27</v>
      </c>
      <c r="M505" s="34">
        <v>114.56</v>
      </c>
      <c r="N505" s="24">
        <v>501</v>
      </c>
      <c r="O505" s="29">
        <v>43096.561851851853</v>
      </c>
    </row>
    <row r="506" spans="2:15" x14ac:dyDescent="0.25">
      <c r="B506" s="24" t="s">
        <v>3526</v>
      </c>
      <c r="C506" s="23" t="s">
        <v>3527</v>
      </c>
      <c r="D506" s="24" t="s">
        <v>3528</v>
      </c>
      <c r="E506" s="25">
        <v>3.7699999999999999E-6</v>
      </c>
      <c r="F506" s="26">
        <v>5.9623000000000002E-2</v>
      </c>
      <c r="G506" s="27">
        <v>39051.5</v>
      </c>
      <c r="H506" s="27">
        <v>3924871</v>
      </c>
      <c r="I506" s="28">
        <v>65828135</v>
      </c>
      <c r="J506" s="28">
        <v>220466789</v>
      </c>
      <c r="K506" s="34">
        <v>-19.420000000000002</v>
      </c>
      <c r="L506" s="34">
        <v>-15.74</v>
      </c>
      <c r="M506" s="34">
        <v>-9.14</v>
      </c>
      <c r="N506" s="24">
        <v>502</v>
      </c>
      <c r="O506" s="29">
        <v>43096.562002314815</v>
      </c>
    </row>
    <row r="507" spans="2:15" x14ac:dyDescent="0.25">
      <c r="B507" s="24" t="s">
        <v>2721</v>
      </c>
      <c r="C507" s="23" t="s">
        <v>787</v>
      </c>
      <c r="D507" s="24" t="s">
        <v>1742</v>
      </c>
      <c r="E507" s="25">
        <v>1.77E-6</v>
      </c>
      <c r="F507" s="26">
        <v>2.7982400000000001E-2</v>
      </c>
      <c r="G507" s="27">
        <v>9673.85</v>
      </c>
      <c r="H507" s="27">
        <v>3919790</v>
      </c>
      <c r="I507" s="28">
        <v>140080549</v>
      </c>
      <c r="J507" s="28">
        <v>249308531</v>
      </c>
      <c r="K507" s="34">
        <v>-9.2200000000000006</v>
      </c>
      <c r="L507" s="34">
        <v>-8.3000000000000007</v>
      </c>
      <c r="M507" s="34">
        <v>19.22</v>
      </c>
      <c r="N507" s="24">
        <v>503</v>
      </c>
      <c r="O507" s="29">
        <v>43096.561967592592</v>
      </c>
    </row>
    <row r="508" spans="2:15" x14ac:dyDescent="0.25">
      <c r="B508" s="24" t="s">
        <v>2970</v>
      </c>
      <c r="C508" s="23" t="s">
        <v>2971</v>
      </c>
      <c r="D508" s="24" t="s">
        <v>2971</v>
      </c>
      <c r="E508" s="25">
        <v>2.862E-5</v>
      </c>
      <c r="F508" s="26">
        <v>0.452102</v>
      </c>
      <c r="G508" s="27">
        <v>940.66200000000003</v>
      </c>
      <c r="H508" s="27">
        <v>3915545</v>
      </c>
      <c r="I508" s="28">
        <v>8660756</v>
      </c>
      <c r="J508" s="28">
        <v>24015497</v>
      </c>
      <c r="K508" s="34">
        <v>-0.19</v>
      </c>
      <c r="L508" s="34">
        <v>-7.07</v>
      </c>
      <c r="M508" s="34">
        <v>16.440000000000001</v>
      </c>
      <c r="N508" s="24">
        <v>504</v>
      </c>
      <c r="O508" s="29">
        <v>43096.561979166669</v>
      </c>
    </row>
    <row r="509" spans="2:15" x14ac:dyDescent="0.25">
      <c r="B509" s="24" t="s">
        <v>2290</v>
      </c>
      <c r="C509" s="23" t="s">
        <v>369</v>
      </c>
      <c r="D509" s="24" t="s">
        <v>1336</v>
      </c>
      <c r="E509" s="25">
        <v>2.0509999999999998E-5</v>
      </c>
      <c r="F509" s="26">
        <v>0.32403300000000002</v>
      </c>
      <c r="G509" s="27">
        <v>938617</v>
      </c>
      <c r="H509" s="27">
        <v>3888396</v>
      </c>
      <c r="I509" s="28">
        <v>12000000</v>
      </c>
      <c r="J509" s="28">
        <v>99990001</v>
      </c>
      <c r="K509" s="34">
        <v>17.809999999999999</v>
      </c>
      <c r="L509" s="34">
        <v>29.7</v>
      </c>
      <c r="M509" s="34">
        <v>49.69</v>
      </c>
      <c r="N509" s="24">
        <v>505</v>
      </c>
      <c r="O509" s="29">
        <v>43096.561956018515</v>
      </c>
    </row>
    <row r="510" spans="2:15" x14ac:dyDescent="0.25">
      <c r="B510" s="24" t="s">
        <v>2262</v>
      </c>
      <c r="C510" s="23" t="s">
        <v>336</v>
      </c>
      <c r="D510" s="24" t="s">
        <v>1304</v>
      </c>
      <c r="E510" s="25">
        <v>1.171E-5</v>
      </c>
      <c r="F510" s="26">
        <v>0.184945</v>
      </c>
      <c r="G510" s="27">
        <v>2397.1</v>
      </c>
      <c r="H510" s="27">
        <v>3883676</v>
      </c>
      <c r="I510" s="28">
        <v>20999088</v>
      </c>
      <c r="J510" s="28">
        <v>20999088</v>
      </c>
      <c r="K510" s="34">
        <v>-1.1100000000000001</v>
      </c>
      <c r="L510" s="34">
        <v>-15.54</v>
      </c>
      <c r="M510" s="34">
        <v>29.24</v>
      </c>
      <c r="N510" s="24">
        <v>506</v>
      </c>
      <c r="O510" s="29">
        <v>43096.561805555553</v>
      </c>
    </row>
    <row r="511" spans="2:15" x14ac:dyDescent="0.25">
      <c r="B511" s="24" t="s">
        <v>2199</v>
      </c>
      <c r="C511" s="23" t="s">
        <v>293</v>
      </c>
      <c r="D511" s="24" t="s">
        <v>1261</v>
      </c>
      <c r="E511" s="25">
        <v>1.1956E-4</v>
      </c>
      <c r="F511" s="26">
        <v>1.88887</v>
      </c>
      <c r="G511" s="27">
        <v>741472</v>
      </c>
      <c r="H511" s="27">
        <v>3777740</v>
      </c>
      <c r="I511" s="28">
        <v>2000000</v>
      </c>
      <c r="J511" s="28">
        <v>30000000</v>
      </c>
      <c r="K511" s="34">
        <v>-3.41</v>
      </c>
      <c r="L511" s="34">
        <v>4.37</v>
      </c>
      <c r="M511" s="34">
        <v>67.41</v>
      </c>
      <c r="N511" s="24">
        <v>507</v>
      </c>
      <c r="O511" s="29">
        <v>43096.561944444446</v>
      </c>
    </row>
    <row r="512" spans="2:15" x14ac:dyDescent="0.25">
      <c r="B512" s="24" t="s">
        <v>2956</v>
      </c>
      <c r="C512" s="23" t="s">
        <v>383</v>
      </c>
      <c r="D512" s="24" t="s">
        <v>2957</v>
      </c>
      <c r="E512" s="25">
        <v>2.4099999999999998E-6</v>
      </c>
      <c r="F512" s="26">
        <v>3.8121599999999999E-2</v>
      </c>
      <c r="G512" s="27">
        <v>44476.4</v>
      </c>
      <c r="H512" s="27">
        <v>3772676</v>
      </c>
      <c r="I512" s="28">
        <v>98964274</v>
      </c>
      <c r="J512" s="28">
        <v>130062813</v>
      </c>
      <c r="K512" s="34">
        <v>-6.47</v>
      </c>
      <c r="L512" s="34">
        <v>32.479999999999997</v>
      </c>
      <c r="M512" s="34">
        <v>151.44</v>
      </c>
      <c r="N512" s="24">
        <v>508</v>
      </c>
      <c r="O512" s="29">
        <v>43096.561979166669</v>
      </c>
    </row>
    <row r="513" spans="2:15" x14ac:dyDescent="0.25">
      <c r="B513" s="24" t="s">
        <v>2276</v>
      </c>
      <c r="C513" s="23" t="s">
        <v>347</v>
      </c>
      <c r="D513" s="24" t="s">
        <v>1315</v>
      </c>
      <c r="E513" s="25">
        <v>1.5099999999999999E-6</v>
      </c>
      <c r="F513" s="26">
        <v>2.3820500000000001E-2</v>
      </c>
      <c r="G513" s="27">
        <v>17255.7</v>
      </c>
      <c r="H513" s="27">
        <v>3737756</v>
      </c>
      <c r="I513" s="28">
        <v>156913424</v>
      </c>
      <c r="J513" s="28">
        <v>156913424</v>
      </c>
      <c r="K513" s="34">
        <v>-5.65</v>
      </c>
      <c r="L513" s="34">
        <v>-20.38</v>
      </c>
      <c r="M513" s="34">
        <v>59.39</v>
      </c>
      <c r="N513" s="24">
        <v>509</v>
      </c>
      <c r="O513" s="29">
        <v>43096.56181712963</v>
      </c>
    </row>
    <row r="514" spans="2:15" x14ac:dyDescent="0.25">
      <c r="B514" s="24" t="s">
        <v>2148</v>
      </c>
      <c r="C514" s="23" t="s">
        <v>223</v>
      </c>
      <c r="D514" s="24" t="s">
        <v>1191</v>
      </c>
      <c r="E514" s="25">
        <v>1.9199999999999998E-6</v>
      </c>
      <c r="F514" s="26">
        <v>3.0393E-2</v>
      </c>
      <c r="G514" s="27">
        <v>27419.8</v>
      </c>
      <c r="H514" s="27">
        <v>3574116</v>
      </c>
      <c r="I514" s="28">
        <v>117596699</v>
      </c>
      <c r="J514" s="28">
        <v>117596699</v>
      </c>
      <c r="K514" s="34">
        <v>5.58</v>
      </c>
      <c r="L514" s="34">
        <v>-7.19</v>
      </c>
      <c r="M514" s="34">
        <v>-23.83</v>
      </c>
      <c r="N514" s="24">
        <v>510</v>
      </c>
      <c r="O514" s="29">
        <v>43096.56181712963</v>
      </c>
    </row>
    <row r="515" spans="2:15" x14ac:dyDescent="0.25">
      <c r="B515" s="24" t="s">
        <v>2757</v>
      </c>
      <c r="C515" s="23" t="s">
        <v>3990</v>
      </c>
      <c r="D515" s="24" t="s">
        <v>1773</v>
      </c>
      <c r="E515" s="25">
        <v>8.072E-5</v>
      </c>
      <c r="F515" s="26">
        <v>1.2751999999999999</v>
      </c>
      <c r="G515" s="27">
        <v>69412.399999999994</v>
      </c>
      <c r="H515" s="27">
        <v>3537104</v>
      </c>
      <c r="I515" s="28">
        <v>2773764</v>
      </c>
      <c r="J515" s="28">
        <v>9773764</v>
      </c>
      <c r="K515" s="34">
        <v>3.72</v>
      </c>
      <c r="L515" s="34">
        <v>62.01</v>
      </c>
      <c r="M515" s="34">
        <v>74.02</v>
      </c>
      <c r="N515" s="24">
        <v>511</v>
      </c>
      <c r="O515" s="29">
        <v>43096.561979166669</v>
      </c>
    </row>
    <row r="516" spans="2:15" x14ac:dyDescent="0.25">
      <c r="B516" s="24" t="s">
        <v>3215</v>
      </c>
      <c r="C516" s="23" t="s">
        <v>3216</v>
      </c>
      <c r="D516" s="24" t="s">
        <v>3217</v>
      </c>
      <c r="E516" s="25">
        <v>1.6869999999999999E-5</v>
      </c>
      <c r="F516" s="26">
        <v>0.26647399999999999</v>
      </c>
      <c r="G516" s="27">
        <v>21497.3</v>
      </c>
      <c r="H516" s="27">
        <v>3490203</v>
      </c>
      <c r="I516" s="28">
        <v>13097723</v>
      </c>
      <c r="J516" s="28">
        <v>31801784</v>
      </c>
      <c r="K516" s="34">
        <v>-3.49</v>
      </c>
      <c r="L516" s="34">
        <v>51.51</v>
      </c>
      <c r="M516" s="34">
        <v>49.58</v>
      </c>
      <c r="N516" s="24">
        <v>512</v>
      </c>
      <c r="O516" s="29">
        <v>43096.561979166669</v>
      </c>
    </row>
    <row r="517" spans="2:15" x14ac:dyDescent="0.25">
      <c r="B517" s="24" t="s">
        <v>2124</v>
      </c>
      <c r="C517" s="23" t="s">
        <v>202</v>
      </c>
      <c r="D517" s="24" t="s">
        <v>1171</v>
      </c>
      <c r="E517" s="25">
        <v>4.9899999999999997E-6</v>
      </c>
      <c r="F517" s="26">
        <v>7.8763899999999998E-2</v>
      </c>
      <c r="G517" s="27">
        <v>7855.22</v>
      </c>
      <c r="H517" s="27">
        <v>3229651</v>
      </c>
      <c r="I517" s="28">
        <v>41004200</v>
      </c>
      <c r="J517" s="28">
        <v>400000000</v>
      </c>
      <c r="K517" s="34">
        <v>-8.48</v>
      </c>
      <c r="L517" s="34">
        <v>20.97</v>
      </c>
      <c r="M517" s="34">
        <v>-16.22</v>
      </c>
      <c r="N517" s="24">
        <v>513</v>
      </c>
      <c r="O517" s="29">
        <v>43096.561967592592</v>
      </c>
    </row>
    <row r="518" spans="2:15" x14ac:dyDescent="0.25">
      <c r="B518" s="24" t="s">
        <v>3516</v>
      </c>
      <c r="C518" s="23" t="s">
        <v>3517</v>
      </c>
      <c r="D518" s="24" t="s">
        <v>3518</v>
      </c>
      <c r="E518" s="25">
        <v>1.5279999999999999E-5</v>
      </c>
      <c r="F518" s="26">
        <v>0.24144399999999999</v>
      </c>
      <c r="G518" s="27">
        <v>13436.2</v>
      </c>
      <c r="H518" s="27">
        <v>3193103</v>
      </c>
      <c r="I518" s="28">
        <v>13225026</v>
      </c>
      <c r="J518" s="28">
        <v>54175041</v>
      </c>
      <c r="K518" s="34">
        <v>0.54</v>
      </c>
      <c r="L518" s="34">
        <v>16.34</v>
      </c>
      <c r="M518" s="34">
        <v>-9.14</v>
      </c>
      <c r="N518" s="24">
        <v>514</v>
      </c>
      <c r="O518" s="29">
        <v>43096.562002314815</v>
      </c>
    </row>
    <row r="519" spans="2:15" x14ac:dyDescent="0.25">
      <c r="B519" s="24" t="s">
        <v>2178</v>
      </c>
      <c r="C519" s="23" t="s">
        <v>252</v>
      </c>
      <c r="D519" s="24" t="s">
        <v>1221</v>
      </c>
      <c r="E519" s="25">
        <v>5.49E-6</v>
      </c>
      <c r="F519" s="26">
        <v>8.6706599999999995E-2</v>
      </c>
      <c r="G519" s="27">
        <v>26616</v>
      </c>
      <c r="H519" s="27">
        <v>3166093</v>
      </c>
      <c r="I519" s="28">
        <v>36515012</v>
      </c>
      <c r="J519" s="28">
        <v>36515012</v>
      </c>
      <c r="K519" s="34">
        <v>-5.27</v>
      </c>
      <c r="L519" s="34">
        <v>-9.64</v>
      </c>
      <c r="M519" s="34">
        <v>-15.93</v>
      </c>
      <c r="N519" s="24">
        <v>515</v>
      </c>
      <c r="O519" s="29">
        <v>43096.56181712963</v>
      </c>
    </row>
    <row r="520" spans="2:15" x14ac:dyDescent="0.25">
      <c r="B520" s="24" t="s">
        <v>2236</v>
      </c>
      <c r="C520" s="23" t="s">
        <v>298</v>
      </c>
      <c r="D520" s="24" t="s">
        <v>1266</v>
      </c>
      <c r="E520" s="25">
        <v>8.1200000000000002E-6</v>
      </c>
      <c r="F520" s="26">
        <v>0.12831600000000001</v>
      </c>
      <c r="G520" s="27">
        <v>81973.5</v>
      </c>
      <c r="H520" s="27">
        <v>3157442</v>
      </c>
      <c r="I520" s="28">
        <v>24606768</v>
      </c>
      <c r="J520" s="28">
        <v>24606768</v>
      </c>
      <c r="K520" s="34">
        <v>-1.73</v>
      </c>
      <c r="L520" s="34">
        <v>20.74</v>
      </c>
      <c r="M520" s="34">
        <v>99.33</v>
      </c>
      <c r="N520" s="24">
        <v>516</v>
      </c>
      <c r="O520" s="29">
        <v>43096.561909722222</v>
      </c>
    </row>
    <row r="521" spans="2:15" x14ac:dyDescent="0.25">
      <c r="B521" s="24" t="s">
        <v>2211</v>
      </c>
      <c r="C521" s="23" t="s">
        <v>292</v>
      </c>
      <c r="D521" s="24" t="s">
        <v>1260</v>
      </c>
      <c r="E521" s="25">
        <v>5.0000000000000001E-9</v>
      </c>
      <c r="F521" s="26">
        <v>8.2843599999999994E-5</v>
      </c>
      <c r="G521" s="27">
        <v>25163.200000000001</v>
      </c>
      <c r="H521" s="27">
        <v>3062824</v>
      </c>
      <c r="I521" s="28">
        <v>36971165030</v>
      </c>
      <c r="J521" s="28">
        <v>36971165030</v>
      </c>
      <c r="K521" s="34">
        <v>-2.27</v>
      </c>
      <c r="L521" s="34">
        <v>15.24</v>
      </c>
      <c r="M521" s="34">
        <v>-39.75</v>
      </c>
      <c r="N521" s="24">
        <v>517</v>
      </c>
      <c r="O521" s="29">
        <v>43096.561828703707</v>
      </c>
    </row>
    <row r="522" spans="2:15" x14ac:dyDescent="0.25">
      <c r="B522" s="24" t="s">
        <v>3642</v>
      </c>
      <c r="C522" s="23" t="s">
        <v>3643</v>
      </c>
      <c r="D522" s="24" t="s">
        <v>3643</v>
      </c>
      <c r="E522" s="25">
        <v>1.1999999999999999E-7</v>
      </c>
      <c r="F522" s="26">
        <v>1.90576E-3</v>
      </c>
      <c r="G522" s="27">
        <v>19374.400000000001</v>
      </c>
      <c r="H522" s="27">
        <v>3001079</v>
      </c>
      <c r="I522" s="28">
        <v>1574741156</v>
      </c>
      <c r="J522" s="28">
        <v>1693691126</v>
      </c>
      <c r="K522" s="34">
        <v>1.58</v>
      </c>
      <c r="L522" s="34">
        <v>-0.08</v>
      </c>
      <c r="M522" s="34">
        <v>17.170000000000002</v>
      </c>
      <c r="N522" s="24">
        <v>518</v>
      </c>
      <c r="O522" s="29">
        <v>43096.562002314815</v>
      </c>
    </row>
    <row r="523" spans="2:15" x14ac:dyDescent="0.25">
      <c r="B523" s="24" t="s">
        <v>3877</v>
      </c>
      <c r="C523" s="23" t="s">
        <v>3878</v>
      </c>
      <c r="D523" s="24" t="s">
        <v>3879</v>
      </c>
      <c r="E523" s="25">
        <v>2.21E-6</v>
      </c>
      <c r="F523" s="26">
        <v>3.48797E-2</v>
      </c>
      <c r="G523" s="27">
        <v>62714.1</v>
      </c>
      <c r="H523" s="27">
        <v>2999654</v>
      </c>
      <c r="I523" s="28">
        <v>86000000</v>
      </c>
      <c r="J523" s="28">
        <v>99999687</v>
      </c>
      <c r="K523" s="34">
        <v>-0.64</v>
      </c>
      <c r="L523" s="34">
        <v>49.09</v>
      </c>
      <c r="M523" s="34">
        <v>172.77</v>
      </c>
      <c r="N523" s="24">
        <v>519</v>
      </c>
      <c r="O523" s="29">
        <v>43096.562013888892</v>
      </c>
    </row>
    <row r="524" spans="2:15" x14ac:dyDescent="0.25">
      <c r="B524" s="24" t="s">
        <v>3519</v>
      </c>
      <c r="C524" s="23" t="s">
        <v>3520</v>
      </c>
      <c r="D524" s="24" t="s">
        <v>3521</v>
      </c>
      <c r="E524" s="25">
        <v>2.7889999999999999E-5</v>
      </c>
      <c r="F524" s="26">
        <v>0.44059999999999999</v>
      </c>
      <c r="G524" s="27">
        <v>19396.099999999999</v>
      </c>
      <c r="H524" s="27">
        <v>2965911</v>
      </c>
      <c r="I524" s="28">
        <v>6731528</v>
      </c>
      <c r="J524" s="28">
        <v>10096722</v>
      </c>
      <c r="K524" s="34">
        <v>0.64</v>
      </c>
      <c r="L524" s="34">
        <v>1.34</v>
      </c>
      <c r="M524" s="34">
        <v>-16.23</v>
      </c>
      <c r="N524" s="24">
        <v>520</v>
      </c>
      <c r="O524" s="29">
        <v>43096.562002314815</v>
      </c>
    </row>
    <row r="525" spans="2:15" x14ac:dyDescent="0.25">
      <c r="B525" s="24" t="s">
        <v>2158</v>
      </c>
      <c r="C525" s="23" t="s">
        <v>227</v>
      </c>
      <c r="D525" s="24" t="s">
        <v>1195</v>
      </c>
      <c r="E525" s="25">
        <v>2.6E-7</v>
      </c>
      <c r="F525" s="26">
        <v>4.1022899999999998E-3</v>
      </c>
      <c r="G525" s="27">
        <v>8279.31</v>
      </c>
      <c r="H525" s="27">
        <v>2936699</v>
      </c>
      <c r="I525" s="28">
        <v>715868299</v>
      </c>
      <c r="J525" s="28">
        <v>715868299</v>
      </c>
      <c r="K525" s="34">
        <v>2.78</v>
      </c>
      <c r="L525" s="34">
        <v>2.09</v>
      </c>
      <c r="M525" s="34">
        <v>-19.28</v>
      </c>
      <c r="N525" s="24">
        <v>521</v>
      </c>
      <c r="O525" s="29">
        <v>43096.561909722222</v>
      </c>
    </row>
    <row r="526" spans="2:15" x14ac:dyDescent="0.25">
      <c r="B526" s="24" t="s">
        <v>2289</v>
      </c>
      <c r="C526" s="23" t="s">
        <v>364</v>
      </c>
      <c r="D526" s="24" t="s">
        <v>1332</v>
      </c>
      <c r="E526" s="25">
        <v>1.1081E-4</v>
      </c>
      <c r="F526" s="26">
        <v>1.75061</v>
      </c>
      <c r="G526" s="27">
        <v>172184</v>
      </c>
      <c r="H526" s="27">
        <v>2929442</v>
      </c>
      <c r="I526" s="28">
        <v>1673383</v>
      </c>
      <c r="J526" s="28">
        <v>1673383</v>
      </c>
      <c r="K526" s="34">
        <v>-1.1000000000000001</v>
      </c>
      <c r="L526" s="34">
        <v>10.18</v>
      </c>
      <c r="M526" s="34">
        <v>77.52</v>
      </c>
      <c r="N526" s="24">
        <v>522</v>
      </c>
      <c r="O526" s="29">
        <v>43096.561874999999</v>
      </c>
    </row>
    <row r="527" spans="2:15" x14ac:dyDescent="0.25">
      <c r="B527" s="24" t="s">
        <v>2264</v>
      </c>
      <c r="C527" s="23" t="s">
        <v>329</v>
      </c>
      <c r="D527" s="24" t="s">
        <v>1297</v>
      </c>
      <c r="E527" s="25">
        <v>7.8599999999999993E-6</v>
      </c>
      <c r="F527" s="26">
        <v>0.124209</v>
      </c>
      <c r="G527" s="27">
        <v>1035.53</v>
      </c>
      <c r="H527" s="27">
        <v>2915461</v>
      </c>
      <c r="I527" s="28">
        <v>23472224</v>
      </c>
      <c r="J527" s="28">
        <v>100000000</v>
      </c>
      <c r="K527" s="34">
        <v>-0.2</v>
      </c>
      <c r="L527" s="34">
        <v>65.98</v>
      </c>
      <c r="M527" s="34">
        <v>0.09</v>
      </c>
      <c r="N527" s="24">
        <v>523</v>
      </c>
      <c r="O527" s="29">
        <v>43096.561944444446</v>
      </c>
    </row>
    <row r="528" spans="2:15" x14ac:dyDescent="0.25">
      <c r="B528" s="24" t="s">
        <v>2287</v>
      </c>
      <c r="C528" s="23" t="s">
        <v>362</v>
      </c>
      <c r="D528" s="24" t="s">
        <v>1330</v>
      </c>
      <c r="E528" s="25">
        <v>9.1139999999999998E-5</v>
      </c>
      <c r="F528" s="26">
        <v>1.43994</v>
      </c>
      <c r="G528" s="27">
        <v>18710000</v>
      </c>
      <c r="H528" s="27">
        <v>2865545</v>
      </c>
      <c r="I528" s="28">
        <v>1990045</v>
      </c>
      <c r="J528" s="28">
        <v>200995023</v>
      </c>
      <c r="K528" s="34">
        <v>0.77</v>
      </c>
      <c r="L528" s="34">
        <v>-5.95</v>
      </c>
      <c r="M528" s="34">
        <v>151.53</v>
      </c>
      <c r="N528" s="24">
        <v>524</v>
      </c>
      <c r="O528" s="29">
        <v>43096.561874999999</v>
      </c>
    </row>
    <row r="529" spans="2:15" x14ac:dyDescent="0.25">
      <c r="B529" s="24" t="s">
        <v>2233</v>
      </c>
      <c r="C529" s="23" t="s">
        <v>334</v>
      </c>
      <c r="D529" s="24" t="s">
        <v>1302</v>
      </c>
      <c r="E529" s="25">
        <v>2.1316999999999999E-4</v>
      </c>
      <c r="F529" s="26">
        <v>3.36788</v>
      </c>
      <c r="G529" s="27">
        <v>4460.2700000000004</v>
      </c>
      <c r="H529" s="27">
        <v>2862698</v>
      </c>
      <c r="I529" s="28">
        <v>850000</v>
      </c>
      <c r="J529" s="28">
        <v>12500000</v>
      </c>
      <c r="K529" s="34">
        <v>-0.64</v>
      </c>
      <c r="L529" s="34">
        <v>2.5099999999999998</v>
      </c>
      <c r="M529" s="34">
        <v>-5.97</v>
      </c>
      <c r="N529" s="24">
        <v>525</v>
      </c>
      <c r="O529" s="29">
        <v>43096.561967592592</v>
      </c>
    </row>
    <row r="530" spans="2:15" x14ac:dyDescent="0.25">
      <c r="B530" s="24" t="s">
        <v>2280</v>
      </c>
      <c r="C530" s="23" t="s">
        <v>361</v>
      </c>
      <c r="D530" s="24" t="s">
        <v>1329</v>
      </c>
      <c r="E530" s="25">
        <v>2.9E-5</v>
      </c>
      <c r="F530" s="26">
        <v>0.45816499999999999</v>
      </c>
      <c r="G530" s="27">
        <v>957.93899999999996</v>
      </c>
      <c r="H530" s="27">
        <v>2836123</v>
      </c>
      <c r="I530" s="28">
        <v>6190179</v>
      </c>
      <c r="J530" s="28">
        <v>6190179</v>
      </c>
      <c r="K530" s="34">
        <v>-7.51</v>
      </c>
      <c r="L530" s="34">
        <v>-0.56000000000000005</v>
      </c>
      <c r="M530" s="34">
        <v>-5.12</v>
      </c>
      <c r="N530" s="24">
        <v>526</v>
      </c>
      <c r="O530" s="29">
        <v>43096.561840277776</v>
      </c>
    </row>
    <row r="531" spans="2:15" x14ac:dyDescent="0.25">
      <c r="B531" s="24" t="s">
        <v>3866</v>
      </c>
      <c r="C531" s="23" t="s">
        <v>3867</v>
      </c>
      <c r="D531" s="24" t="s">
        <v>3868</v>
      </c>
      <c r="E531" s="25">
        <v>1.4239999999999999E-5</v>
      </c>
      <c r="F531" s="26">
        <v>0.22503999999999999</v>
      </c>
      <c r="G531" s="27">
        <v>7507.33</v>
      </c>
      <c r="H531" s="27">
        <v>2835761</v>
      </c>
      <c r="I531" s="28">
        <v>12601140</v>
      </c>
      <c r="J531" s="28">
        <v>300000000</v>
      </c>
      <c r="K531" s="34">
        <v>-0.64</v>
      </c>
      <c r="L531" s="34">
        <v>-43.9</v>
      </c>
      <c r="M531" s="34">
        <v>-14.78</v>
      </c>
      <c r="N531" s="24">
        <v>527</v>
      </c>
      <c r="O531" s="29">
        <v>43096.562013888892</v>
      </c>
    </row>
    <row r="532" spans="2:15" x14ac:dyDescent="0.25">
      <c r="B532" s="24" t="s">
        <v>3768</v>
      </c>
      <c r="C532" s="23" t="s">
        <v>3769</v>
      </c>
      <c r="D532" s="24" t="s">
        <v>3770</v>
      </c>
      <c r="E532" s="25">
        <v>1.135E-5</v>
      </c>
      <c r="F532" s="26">
        <v>0.179282</v>
      </c>
      <c r="G532" s="27">
        <v>440777</v>
      </c>
      <c r="H532" s="27">
        <v>2823094</v>
      </c>
      <c r="I532" s="28">
        <v>15746668</v>
      </c>
      <c r="J532" s="28">
        <v>22940540</v>
      </c>
      <c r="K532" s="34">
        <v>3.87</v>
      </c>
      <c r="L532" s="34">
        <v>-1.91</v>
      </c>
      <c r="M532" s="34">
        <v>226.88</v>
      </c>
      <c r="N532" s="24">
        <v>528</v>
      </c>
      <c r="O532" s="29">
        <v>43096.562013888892</v>
      </c>
    </row>
    <row r="533" spans="2:15" x14ac:dyDescent="0.25">
      <c r="B533" s="24" t="s">
        <v>2223</v>
      </c>
      <c r="C533" s="23" t="s">
        <v>301</v>
      </c>
      <c r="D533" s="24" t="s">
        <v>1270</v>
      </c>
      <c r="E533" s="25">
        <v>2.9999999999999997E-8</v>
      </c>
      <c r="F533" s="26">
        <v>4.69584E-4</v>
      </c>
      <c r="G533" s="27">
        <v>162792</v>
      </c>
      <c r="H533" s="27">
        <v>2819115</v>
      </c>
      <c r="I533" s="28">
        <v>6003429666</v>
      </c>
      <c r="J533" s="28">
        <v>6003429666</v>
      </c>
      <c r="K533" s="34">
        <v>-14.44</v>
      </c>
      <c r="L533" s="34">
        <v>7.37</v>
      </c>
      <c r="M533" s="34">
        <v>91.08</v>
      </c>
      <c r="N533" s="24">
        <v>529</v>
      </c>
      <c r="O533" s="29">
        <v>43096.561956018515</v>
      </c>
    </row>
    <row r="534" spans="2:15" x14ac:dyDescent="0.25">
      <c r="B534" s="24" t="s">
        <v>3247</v>
      </c>
      <c r="C534" s="23" t="s">
        <v>3248</v>
      </c>
      <c r="D534" s="24" t="s">
        <v>3249</v>
      </c>
      <c r="E534" s="25">
        <v>2.2999999999999999E-7</v>
      </c>
      <c r="F534" s="26">
        <v>3.5961500000000002E-3</v>
      </c>
      <c r="G534" s="27">
        <v>43984</v>
      </c>
      <c r="H534" s="27">
        <v>2797490</v>
      </c>
      <c r="I534" s="28">
        <v>777912600</v>
      </c>
      <c r="J534" s="28">
        <v>777912600</v>
      </c>
      <c r="K534" s="34">
        <v>-3.23</v>
      </c>
      <c r="L534" s="34">
        <v>0.04</v>
      </c>
      <c r="M534" s="34">
        <v>-8.18</v>
      </c>
      <c r="N534" s="24">
        <v>530</v>
      </c>
      <c r="O534" s="29">
        <v>43096.561990740738</v>
      </c>
    </row>
    <row r="535" spans="2:15" x14ac:dyDescent="0.25">
      <c r="B535" s="24" t="s">
        <v>2271</v>
      </c>
      <c r="C535" s="23" t="s">
        <v>344</v>
      </c>
      <c r="D535" s="24" t="s">
        <v>1312</v>
      </c>
      <c r="E535" s="25">
        <v>1E-8</v>
      </c>
      <c r="F535" s="26">
        <v>1.8545700000000001E-4</v>
      </c>
      <c r="G535" s="27">
        <v>89616.1</v>
      </c>
      <c r="H535" s="27">
        <v>2765409</v>
      </c>
      <c r="I535" s="28">
        <v>14911321516</v>
      </c>
      <c r="J535" s="28">
        <v>14911321516</v>
      </c>
      <c r="K535" s="34">
        <v>-11.91</v>
      </c>
      <c r="L535" s="34">
        <v>14.18</v>
      </c>
      <c r="M535" s="34">
        <v>111.13</v>
      </c>
      <c r="N535" s="24">
        <v>531</v>
      </c>
      <c r="O535" s="29">
        <v>43096.561863425923</v>
      </c>
    </row>
    <row r="536" spans="2:15" x14ac:dyDescent="0.25">
      <c r="B536" s="24" t="s">
        <v>2162</v>
      </c>
      <c r="C536" s="23" t="s">
        <v>249</v>
      </c>
      <c r="D536" s="24" t="s">
        <v>1218</v>
      </c>
      <c r="E536" s="25">
        <v>2.3599999999999999E-6</v>
      </c>
      <c r="F536" s="26">
        <v>3.73584E-2</v>
      </c>
      <c r="G536" s="27">
        <v>7212.76</v>
      </c>
      <c r="H536" s="27">
        <v>2759959</v>
      </c>
      <c r="I536" s="28">
        <v>73877869</v>
      </c>
      <c r="J536" s="28">
        <v>78877869</v>
      </c>
      <c r="K536" s="34">
        <v>-1.37</v>
      </c>
      <c r="L536" s="34">
        <v>15.83</v>
      </c>
      <c r="M536" s="34">
        <v>-32.9</v>
      </c>
      <c r="N536" s="24">
        <v>532</v>
      </c>
      <c r="O536" s="29">
        <v>43096.561921296299</v>
      </c>
    </row>
    <row r="537" spans="2:15" x14ac:dyDescent="0.25">
      <c r="B537" s="24" t="s">
        <v>2222</v>
      </c>
      <c r="C537" s="23" t="s">
        <v>300</v>
      </c>
      <c r="D537" s="24" t="s">
        <v>1268</v>
      </c>
      <c r="E537" s="25">
        <v>1.42292E-3</v>
      </c>
      <c r="F537" s="26">
        <v>22.480399999999999</v>
      </c>
      <c r="G537" s="27">
        <v>2020.87</v>
      </c>
      <c r="H537" s="27">
        <v>2746549</v>
      </c>
      <c r="I537" s="28">
        <v>122175</v>
      </c>
      <c r="J537" s="28">
        <v>134063</v>
      </c>
      <c r="K537" s="34">
        <v>-1.1299999999999999</v>
      </c>
      <c r="L537" s="34">
        <v>21.18</v>
      </c>
      <c r="M537" s="34">
        <v>12.48</v>
      </c>
      <c r="N537" s="24">
        <v>533</v>
      </c>
      <c r="O537" s="29">
        <v>43096.561932870369</v>
      </c>
    </row>
    <row r="538" spans="2:15" x14ac:dyDescent="0.25">
      <c r="B538" s="24" t="s">
        <v>3121</v>
      </c>
      <c r="C538" s="23" t="s">
        <v>3122</v>
      </c>
      <c r="D538" s="24" t="s">
        <v>3123</v>
      </c>
      <c r="E538" s="25">
        <v>2.3978000000000001E-4</v>
      </c>
      <c r="F538" s="26">
        <v>3.78817</v>
      </c>
      <c r="G538" s="27">
        <v>4048.47</v>
      </c>
      <c r="H538" s="27">
        <v>2738601</v>
      </c>
      <c r="I538" s="28">
        <v>722935</v>
      </c>
      <c r="J538" s="28">
        <v>722935</v>
      </c>
      <c r="K538" s="34">
        <v>-0.64</v>
      </c>
      <c r="L538" s="34">
        <v>-10.54</v>
      </c>
      <c r="M538" s="34">
        <v>-31.06</v>
      </c>
      <c r="N538" s="24">
        <v>534</v>
      </c>
      <c r="O538" s="29">
        <v>43096.561979166669</v>
      </c>
    </row>
    <row r="539" spans="2:15" x14ac:dyDescent="0.25">
      <c r="B539" s="24" t="s">
        <v>2343</v>
      </c>
      <c r="C539" s="23" t="s">
        <v>413</v>
      </c>
      <c r="D539" s="24" t="s">
        <v>1376</v>
      </c>
      <c r="E539" s="25">
        <v>8.687E-5</v>
      </c>
      <c r="F539" s="26">
        <v>1.3725000000000001</v>
      </c>
      <c r="G539" s="27">
        <v>61841.9</v>
      </c>
      <c r="H539" s="27">
        <v>2733581</v>
      </c>
      <c r="I539" s="28">
        <v>1991680</v>
      </c>
      <c r="J539" s="28">
        <v>1991680</v>
      </c>
      <c r="K539" s="34">
        <v>5.35</v>
      </c>
      <c r="L539" s="34">
        <v>60.17</v>
      </c>
      <c r="M539" s="34">
        <v>147.81</v>
      </c>
      <c r="N539" s="24">
        <v>535</v>
      </c>
      <c r="O539" s="29">
        <v>43096.561921296299</v>
      </c>
    </row>
    <row r="540" spans="2:15" x14ac:dyDescent="0.25">
      <c r="B540" s="24" t="s">
        <v>3426</v>
      </c>
      <c r="C540" s="23" t="s">
        <v>3427</v>
      </c>
      <c r="D540" s="24" t="s">
        <v>3428</v>
      </c>
      <c r="E540" s="25">
        <v>8.0110000000000004E-5</v>
      </c>
      <c r="F540" s="26">
        <v>1.2655700000000001</v>
      </c>
      <c r="G540" s="27">
        <v>71558.5</v>
      </c>
      <c r="H540" s="27">
        <v>2720581</v>
      </c>
      <c r="I540" s="28">
        <v>2149688</v>
      </c>
      <c r="J540" s="28">
        <v>2149688</v>
      </c>
      <c r="K540" s="34">
        <v>0.78</v>
      </c>
      <c r="L540" s="34">
        <v>92.65</v>
      </c>
      <c r="M540" s="34">
        <v>117.82</v>
      </c>
      <c r="N540" s="24">
        <v>536</v>
      </c>
      <c r="O540" s="29">
        <v>43096.561990740738</v>
      </c>
    </row>
    <row r="541" spans="2:15" x14ac:dyDescent="0.25">
      <c r="B541" s="24" t="s">
        <v>2301</v>
      </c>
      <c r="C541" s="23" t="s">
        <v>373</v>
      </c>
      <c r="D541" s="24" t="s">
        <v>1340</v>
      </c>
      <c r="E541" s="25">
        <v>1.235E-5</v>
      </c>
      <c r="F541" s="26">
        <v>0.195079</v>
      </c>
      <c r="G541" s="27">
        <v>160988</v>
      </c>
      <c r="H541" s="27">
        <v>2717041</v>
      </c>
      <c r="I541" s="28">
        <v>13927900</v>
      </c>
      <c r="J541" s="28">
        <v>14927900</v>
      </c>
      <c r="K541" s="34">
        <v>-6.83</v>
      </c>
      <c r="L541" s="34">
        <v>2.75</v>
      </c>
      <c r="M541" s="34">
        <v>-9.7799999999999994</v>
      </c>
      <c r="N541" s="24">
        <v>537</v>
      </c>
      <c r="O541" s="29">
        <v>43096.561944444446</v>
      </c>
    </row>
    <row r="542" spans="2:15" x14ac:dyDescent="0.25">
      <c r="B542" s="24" t="s">
        <v>3657</v>
      </c>
      <c r="C542" s="23" t="s">
        <v>3658</v>
      </c>
      <c r="D542" s="24" t="s">
        <v>3659</v>
      </c>
      <c r="E542" s="25">
        <v>1.9599999999999999E-6</v>
      </c>
      <c r="F542" s="26">
        <v>3.0897000000000001E-2</v>
      </c>
      <c r="G542" s="27">
        <v>43396</v>
      </c>
      <c r="H542" s="27">
        <v>2701335</v>
      </c>
      <c r="I542" s="28">
        <v>87430319</v>
      </c>
      <c r="J542" s="28">
        <v>126961432</v>
      </c>
      <c r="K542" s="34">
        <v>-1.82</v>
      </c>
      <c r="L542" s="34">
        <v>1.79</v>
      </c>
      <c r="M542" s="34">
        <v>157.72999999999999</v>
      </c>
      <c r="N542" s="24">
        <v>538</v>
      </c>
      <c r="O542" s="29">
        <v>43096.562002314815</v>
      </c>
    </row>
    <row r="543" spans="2:15" x14ac:dyDescent="0.25">
      <c r="B543" s="24" t="s">
        <v>2282</v>
      </c>
      <c r="C543" s="23" t="s">
        <v>360</v>
      </c>
      <c r="D543" s="24" t="s">
        <v>1328</v>
      </c>
      <c r="E543" s="25">
        <v>2.1270000000000001E-5</v>
      </c>
      <c r="F543" s="26">
        <v>0.33604000000000001</v>
      </c>
      <c r="G543" s="27">
        <v>13777.1</v>
      </c>
      <c r="H543" s="27">
        <v>2700146</v>
      </c>
      <c r="I543" s="28">
        <v>8035193</v>
      </c>
      <c r="J543" s="28">
        <v>8035193</v>
      </c>
      <c r="K543" s="34">
        <v>-1.1399999999999999</v>
      </c>
      <c r="L543" s="34">
        <v>7.29</v>
      </c>
      <c r="M543" s="34">
        <v>40.72</v>
      </c>
      <c r="N543" s="24">
        <v>539</v>
      </c>
      <c r="O543" s="29">
        <v>43096.561874999999</v>
      </c>
    </row>
    <row r="544" spans="2:15" x14ac:dyDescent="0.25">
      <c r="B544" s="24" t="s">
        <v>2317</v>
      </c>
      <c r="C544" s="23" t="s">
        <v>372</v>
      </c>
      <c r="D544" s="24" t="s">
        <v>1339</v>
      </c>
      <c r="E544" s="25">
        <v>1.77E-6</v>
      </c>
      <c r="F544" s="26">
        <v>2.7982E-2</v>
      </c>
      <c r="G544" s="27">
        <v>15971.2</v>
      </c>
      <c r="H544" s="27">
        <v>2693504</v>
      </c>
      <c r="I544" s="28">
        <v>96258439</v>
      </c>
      <c r="J544" s="28">
        <v>15003443234</v>
      </c>
      <c r="K544" s="34">
        <v>-1.22</v>
      </c>
      <c r="L544" s="34">
        <v>11.27</v>
      </c>
      <c r="M544" s="34">
        <v>41.12</v>
      </c>
      <c r="N544" s="24">
        <v>540</v>
      </c>
      <c r="O544" s="29">
        <v>43096.561932870369</v>
      </c>
    </row>
    <row r="545" spans="2:15" x14ac:dyDescent="0.25">
      <c r="B545" s="24" t="s">
        <v>3941</v>
      </c>
      <c r="C545" s="23" t="s">
        <v>3942</v>
      </c>
      <c r="D545" s="24" t="s">
        <v>3943</v>
      </c>
      <c r="E545" s="25">
        <v>3.88E-4</v>
      </c>
      <c r="F545" s="26">
        <v>6.1299200000000003</v>
      </c>
      <c r="G545" s="27">
        <v>199987</v>
      </c>
      <c r="H545" s="27">
        <v>2675623</v>
      </c>
      <c r="I545" s="28">
        <v>436486</v>
      </c>
      <c r="J545" s="28">
        <v>786486</v>
      </c>
      <c r="K545" s="34">
        <v>-1.1399999999999999</v>
      </c>
      <c r="L545" s="34">
        <v>-6.76</v>
      </c>
      <c r="M545" s="34">
        <v>25.72</v>
      </c>
      <c r="N545" s="24">
        <v>541</v>
      </c>
      <c r="O545" s="29">
        <v>43096.562013888892</v>
      </c>
    </row>
    <row r="546" spans="2:15" x14ac:dyDescent="0.25">
      <c r="B546" s="24" t="s">
        <v>3384</v>
      </c>
      <c r="C546" s="23" t="s">
        <v>3385</v>
      </c>
      <c r="D546" s="24" t="s">
        <v>3447</v>
      </c>
      <c r="E546" s="25">
        <v>9.2499999999999995E-6</v>
      </c>
      <c r="F546" s="26">
        <v>0.14615</v>
      </c>
      <c r="G546" s="27">
        <v>46038.2</v>
      </c>
      <c r="H546" s="27">
        <v>2648958</v>
      </c>
      <c r="I546" s="28">
        <v>18124926</v>
      </c>
      <c r="J546" s="28">
        <v>21000000</v>
      </c>
      <c r="K546" s="34">
        <v>-3.97</v>
      </c>
      <c r="L546" s="34">
        <v>-13.4</v>
      </c>
      <c r="M546" s="34">
        <v>4.0199999999999996</v>
      </c>
      <c r="N546" s="24">
        <v>542</v>
      </c>
      <c r="O546" s="29">
        <v>43096.561990740738</v>
      </c>
    </row>
    <row r="547" spans="2:15" x14ac:dyDescent="0.25">
      <c r="B547" s="24" t="s">
        <v>3991</v>
      </c>
      <c r="C547" s="23" t="s">
        <v>3681</v>
      </c>
      <c r="D547" s="24" t="s">
        <v>3680</v>
      </c>
      <c r="E547" s="25">
        <v>4.8411999999999999E-4</v>
      </c>
      <c r="F547" s="26">
        <v>7.6485700000000003</v>
      </c>
      <c r="G547" s="27">
        <v>207314</v>
      </c>
      <c r="H547" s="27">
        <v>2583631</v>
      </c>
      <c r="I547" s="28">
        <v>337793</v>
      </c>
      <c r="J547" s="28">
        <v>7000000</v>
      </c>
      <c r="K547" s="34">
        <v>5.12</v>
      </c>
      <c r="L547" s="34">
        <v>-4.0599999999999996</v>
      </c>
      <c r="M547" s="34">
        <v>351.44</v>
      </c>
      <c r="N547" s="24">
        <v>543</v>
      </c>
      <c r="O547" s="29">
        <v>43096.562002314815</v>
      </c>
    </row>
    <row r="548" spans="2:15" x14ac:dyDescent="0.25">
      <c r="B548" s="24" t="s">
        <v>2061</v>
      </c>
      <c r="C548" s="23" t="s">
        <v>156</v>
      </c>
      <c r="D548" s="24" t="s">
        <v>1126</v>
      </c>
      <c r="E548" s="25">
        <v>1E-10</v>
      </c>
      <c r="F548" s="26">
        <v>1.5688999999999999E-6</v>
      </c>
      <c r="G548" s="27">
        <v>9863.59</v>
      </c>
      <c r="H548" s="27">
        <v>2563741</v>
      </c>
      <c r="I548" s="28">
        <v>1634111437287</v>
      </c>
      <c r="J548" s="28">
        <v>1634111437287</v>
      </c>
      <c r="K548" s="34">
        <v>-6.13</v>
      </c>
      <c r="L548" s="34">
        <v>-1.21</v>
      </c>
      <c r="M548" s="34">
        <v>21.25</v>
      </c>
      <c r="N548" s="24">
        <v>544</v>
      </c>
      <c r="O548" s="29">
        <v>43096.561863425923</v>
      </c>
    </row>
    <row r="549" spans="2:15" x14ac:dyDescent="0.25">
      <c r="B549" s="24" t="s">
        <v>2295</v>
      </c>
      <c r="C549" s="23" t="s">
        <v>377</v>
      </c>
      <c r="D549" s="24" t="s">
        <v>1344</v>
      </c>
      <c r="E549" s="25">
        <v>1.683E-5</v>
      </c>
      <c r="F549" s="26">
        <v>0.265824</v>
      </c>
      <c r="G549" s="27">
        <v>7227</v>
      </c>
      <c r="H549" s="27">
        <v>2559452</v>
      </c>
      <c r="I549" s="28">
        <v>9628370</v>
      </c>
      <c r="J549" s="28">
        <v>9633136</v>
      </c>
      <c r="K549" s="34">
        <v>-1.81</v>
      </c>
      <c r="L549" s="34">
        <v>-4.3099999999999996</v>
      </c>
      <c r="M549" s="34">
        <v>-1.59</v>
      </c>
      <c r="N549" s="24">
        <v>545</v>
      </c>
      <c r="O549" s="29">
        <v>43096.561932870369</v>
      </c>
    </row>
    <row r="550" spans="2:15" x14ac:dyDescent="0.25">
      <c r="B550" s="24" t="s">
        <v>2291</v>
      </c>
      <c r="C550" s="23" t="s">
        <v>353</v>
      </c>
      <c r="D550" s="24" t="s">
        <v>1321</v>
      </c>
      <c r="E550" s="25">
        <v>1.5883999999999999E-4</v>
      </c>
      <c r="F550" s="26">
        <v>2.5095499999999999</v>
      </c>
      <c r="G550" s="27">
        <v>1299</v>
      </c>
      <c r="H550" s="27">
        <v>2526178</v>
      </c>
      <c r="I550" s="28">
        <v>1006626</v>
      </c>
      <c r="J550" s="28">
        <v>1006626</v>
      </c>
      <c r="K550" s="34">
        <v>-2.65</v>
      </c>
      <c r="L550" s="34">
        <v>13.62</v>
      </c>
      <c r="M550" s="34">
        <v>12.52</v>
      </c>
      <c r="N550" s="24">
        <v>546</v>
      </c>
      <c r="O550" s="29">
        <v>43096.56181712963</v>
      </c>
    </row>
    <row r="551" spans="2:15" x14ac:dyDescent="0.25">
      <c r="B551" s="24" t="s">
        <v>3783</v>
      </c>
      <c r="C551" s="23" t="s">
        <v>3784</v>
      </c>
      <c r="D551" s="24" t="s">
        <v>3785</v>
      </c>
      <c r="E551" s="25">
        <v>1.1381E-4</v>
      </c>
      <c r="F551" s="26">
        <v>1.79803</v>
      </c>
      <c r="G551" s="27">
        <v>5232.13</v>
      </c>
      <c r="H551" s="27">
        <v>2521991</v>
      </c>
      <c r="I551" s="28">
        <v>1402641</v>
      </c>
      <c r="J551" s="28">
        <v>16718085</v>
      </c>
      <c r="K551" s="34">
        <v>-1.27</v>
      </c>
      <c r="L551" s="34">
        <v>-9.1999999999999993</v>
      </c>
      <c r="M551" s="34">
        <v>15.88</v>
      </c>
      <c r="N551" s="24">
        <v>547</v>
      </c>
      <c r="O551" s="29">
        <v>43096.562013888892</v>
      </c>
    </row>
    <row r="552" spans="2:15" x14ac:dyDescent="0.25">
      <c r="B552" s="24" t="s">
        <v>3203</v>
      </c>
      <c r="C552" s="23" t="s">
        <v>3204</v>
      </c>
      <c r="D552" s="24" t="s">
        <v>3205</v>
      </c>
      <c r="E552" s="25">
        <v>2.61E-6</v>
      </c>
      <c r="F552" s="26">
        <v>4.1302999999999999E-2</v>
      </c>
      <c r="G552" s="27">
        <v>8909.83</v>
      </c>
      <c r="H552" s="27">
        <v>2483288</v>
      </c>
      <c r="I552" s="28">
        <v>60123682</v>
      </c>
      <c r="J552" s="28">
        <v>80000000</v>
      </c>
      <c r="K552" s="34">
        <v>-1.18</v>
      </c>
      <c r="L552" s="34">
        <v>-10.43</v>
      </c>
      <c r="M552" s="34">
        <v>7.62</v>
      </c>
      <c r="N552" s="24">
        <v>548</v>
      </c>
      <c r="O552" s="29">
        <v>43096.561979166669</v>
      </c>
    </row>
    <row r="553" spans="2:15" x14ac:dyDescent="0.25">
      <c r="B553" s="24" t="s">
        <v>2986</v>
      </c>
      <c r="C553" s="23" t="s">
        <v>2987</v>
      </c>
      <c r="D553" s="24" t="s">
        <v>2988</v>
      </c>
      <c r="E553" s="25">
        <v>2E-8</v>
      </c>
      <c r="F553" s="26">
        <v>3.5503500000000002E-4</v>
      </c>
      <c r="G553" s="27">
        <v>55978.5</v>
      </c>
      <c r="H553" s="27">
        <v>2476610</v>
      </c>
      <c r="I553" s="28">
        <v>6975679269</v>
      </c>
      <c r="J553" s="28">
        <v>6975679269</v>
      </c>
      <c r="K553" s="34">
        <v>-2.69</v>
      </c>
      <c r="L553" s="34">
        <v>-1.53</v>
      </c>
      <c r="M553" s="34">
        <v>46.23</v>
      </c>
      <c r="N553" s="24">
        <v>549</v>
      </c>
      <c r="O553" s="29">
        <v>43096.561979166669</v>
      </c>
    </row>
    <row r="554" spans="2:15" x14ac:dyDescent="0.25">
      <c r="B554" s="24" t="s">
        <v>2466</v>
      </c>
      <c r="C554" s="23" t="s">
        <v>534</v>
      </c>
      <c r="D554" s="24" t="s">
        <v>1498</v>
      </c>
      <c r="E554" s="25">
        <v>7.3200000000000002E-6</v>
      </c>
      <c r="F554" s="26">
        <v>0.115621</v>
      </c>
      <c r="G554" s="27">
        <v>10030.6</v>
      </c>
      <c r="H554" s="27">
        <v>2459038</v>
      </c>
      <c r="I554" s="28">
        <v>21268092</v>
      </c>
      <c r="J554" s="28">
        <v>21268092</v>
      </c>
      <c r="K554" s="34">
        <v>-1.83</v>
      </c>
      <c r="L554" s="34">
        <v>1.19</v>
      </c>
      <c r="M554" s="34">
        <v>-4.3099999999999996</v>
      </c>
      <c r="N554" s="24">
        <v>550</v>
      </c>
      <c r="O554" s="29">
        <v>43096.561840277776</v>
      </c>
    </row>
    <row r="555" spans="2:15" x14ac:dyDescent="0.25">
      <c r="B555" s="24" t="s">
        <v>2450</v>
      </c>
      <c r="C555" s="23" t="s">
        <v>504</v>
      </c>
      <c r="D555" s="24" t="s">
        <v>1469</v>
      </c>
      <c r="E555" s="25">
        <v>1E-8</v>
      </c>
      <c r="F555" s="26">
        <v>1.5798799999999999E-4</v>
      </c>
      <c r="G555" s="27">
        <v>1333.6</v>
      </c>
      <c r="H555" s="27">
        <v>2431753</v>
      </c>
      <c r="I555" s="28">
        <v>15392011739</v>
      </c>
      <c r="J555" s="28">
        <v>15392011739</v>
      </c>
      <c r="K555" s="34">
        <v>-1.0900000000000001</v>
      </c>
      <c r="L555" s="34">
        <v>2.87</v>
      </c>
      <c r="M555" s="34">
        <v>30.03</v>
      </c>
      <c r="N555" s="24">
        <v>551</v>
      </c>
      <c r="O555" s="29">
        <v>43096.561840277776</v>
      </c>
    </row>
    <row r="556" spans="2:15" x14ac:dyDescent="0.25">
      <c r="B556" s="24" t="s">
        <v>2698</v>
      </c>
      <c r="C556" s="23" t="s">
        <v>768</v>
      </c>
      <c r="D556" s="24" t="s">
        <v>1722</v>
      </c>
      <c r="E556" s="25">
        <v>1E-8</v>
      </c>
      <c r="F556" s="26">
        <v>1.5798799999999999E-4</v>
      </c>
      <c r="G556" s="27">
        <v>2735.73</v>
      </c>
      <c r="H556" s="27">
        <v>2420469</v>
      </c>
      <c r="I556" s="28">
        <v>15320585365</v>
      </c>
      <c r="J556" s="28">
        <v>15320585365</v>
      </c>
      <c r="K556" s="34">
        <v>-1.0900000000000001</v>
      </c>
      <c r="L556" s="34">
        <v>2.87</v>
      </c>
      <c r="M556" s="34">
        <v>7394.16</v>
      </c>
      <c r="N556" s="24">
        <v>552</v>
      </c>
      <c r="O556" s="29">
        <v>43096.561886574076</v>
      </c>
    </row>
    <row r="557" spans="2:15" x14ac:dyDescent="0.25">
      <c r="B557" s="24" t="s">
        <v>3603</v>
      </c>
      <c r="C557" s="23" t="s">
        <v>3604</v>
      </c>
      <c r="D557" s="24" t="s">
        <v>3605</v>
      </c>
      <c r="E557" s="25">
        <v>2.52E-6</v>
      </c>
      <c r="F557" s="26">
        <v>3.9813099999999997E-2</v>
      </c>
      <c r="G557" s="27">
        <v>4115.51</v>
      </c>
      <c r="H557" s="27">
        <v>2412467</v>
      </c>
      <c r="I557" s="28">
        <v>60594811</v>
      </c>
      <c r="J557" s="28">
        <v>80506222</v>
      </c>
      <c r="K557" s="34">
        <v>-0.76</v>
      </c>
      <c r="L557" s="34">
        <v>10.53</v>
      </c>
      <c r="M557" s="34">
        <v>-39.369999999999997</v>
      </c>
      <c r="N557" s="24">
        <v>553</v>
      </c>
      <c r="O557" s="29">
        <v>43096.562002314815</v>
      </c>
    </row>
    <row r="558" spans="2:15" x14ac:dyDescent="0.25">
      <c r="B558" s="24" t="s">
        <v>2235</v>
      </c>
      <c r="C558" s="23" t="s">
        <v>319</v>
      </c>
      <c r="D558" s="24" t="s">
        <v>1287</v>
      </c>
      <c r="E558" s="25">
        <v>2.9900000000000002E-6</v>
      </c>
      <c r="F558" s="26">
        <v>4.7248199999999997E-2</v>
      </c>
      <c r="G558" s="27">
        <v>9723.75</v>
      </c>
      <c r="H558" s="27">
        <v>2403933</v>
      </c>
      <c r="I558" s="28">
        <v>50878820</v>
      </c>
      <c r="J558" s="28">
        <v>62878820</v>
      </c>
      <c r="K558" s="34">
        <v>-7.53</v>
      </c>
      <c r="L558" s="34">
        <v>7.73</v>
      </c>
      <c r="M558" s="34">
        <v>-7.35</v>
      </c>
      <c r="N558" s="24">
        <v>554</v>
      </c>
      <c r="O558" s="29">
        <v>43096.561921296299</v>
      </c>
    </row>
    <row r="559" spans="2:15" x14ac:dyDescent="0.25">
      <c r="B559" s="24" t="s">
        <v>408</v>
      </c>
      <c r="C559" s="23" t="s">
        <v>408</v>
      </c>
      <c r="D559" s="24">
        <v>42</v>
      </c>
      <c r="E559" s="25">
        <v>3.5948799999999999</v>
      </c>
      <c r="F559" s="26">
        <v>56794.7</v>
      </c>
      <c r="G559" s="27">
        <v>5168.12</v>
      </c>
      <c r="H559" s="27">
        <v>2385376</v>
      </c>
      <c r="I559" s="28">
        <v>42</v>
      </c>
      <c r="J559" s="28">
        <v>42</v>
      </c>
      <c r="K559" s="34">
        <v>-1.1599999999999999</v>
      </c>
      <c r="L559" s="34">
        <v>1.87</v>
      </c>
      <c r="M559" s="34">
        <v>0.57999999999999996</v>
      </c>
      <c r="N559" s="24">
        <v>555</v>
      </c>
      <c r="O559" s="29">
        <v>43096.56181712963</v>
      </c>
    </row>
    <row r="560" spans="2:15" x14ac:dyDescent="0.25">
      <c r="B560" s="24" t="s">
        <v>3442</v>
      </c>
      <c r="C560" s="23" t="s">
        <v>3443</v>
      </c>
      <c r="D560" s="24" t="s">
        <v>3444</v>
      </c>
      <c r="E560" s="25">
        <v>4.5469999999999997E-5</v>
      </c>
      <c r="F560" s="26">
        <v>0.71833999999999998</v>
      </c>
      <c r="G560" s="27">
        <v>50024.9</v>
      </c>
      <c r="H560" s="27">
        <v>2381103</v>
      </c>
      <c r="I560" s="28">
        <v>3314730</v>
      </c>
      <c r="J560" s="28">
        <v>3314730</v>
      </c>
      <c r="K560" s="34">
        <v>2.5</v>
      </c>
      <c r="L560" s="34">
        <v>1.29</v>
      </c>
      <c r="M560" s="34">
        <v>-11.2</v>
      </c>
      <c r="N560" s="24">
        <v>556</v>
      </c>
      <c r="O560" s="29">
        <v>43096.562002314815</v>
      </c>
    </row>
    <row r="561" spans="2:15" x14ac:dyDescent="0.25">
      <c r="B561" s="24" t="s">
        <v>2297</v>
      </c>
      <c r="C561" s="23" t="s">
        <v>505</v>
      </c>
      <c r="D561" s="24" t="s">
        <v>1470</v>
      </c>
      <c r="E561" s="25">
        <v>4.0000000000000001E-8</v>
      </c>
      <c r="F561" s="26">
        <v>6.5043100000000003E-4</v>
      </c>
      <c r="G561" s="27">
        <v>3445.66</v>
      </c>
      <c r="H561" s="27">
        <v>2376998</v>
      </c>
      <c r="I561" s="28">
        <v>3654496641</v>
      </c>
      <c r="J561" s="28">
        <v>3654496641</v>
      </c>
      <c r="K561" s="34">
        <v>23.46</v>
      </c>
      <c r="L561" s="34">
        <v>11.32</v>
      </c>
      <c r="M561" s="34">
        <v>36.770000000000003</v>
      </c>
      <c r="N561" s="24">
        <v>557</v>
      </c>
      <c r="O561" s="29">
        <v>43096.561840277776</v>
      </c>
    </row>
    <row r="562" spans="2:15" x14ac:dyDescent="0.25">
      <c r="B562" s="24" t="s">
        <v>2202</v>
      </c>
      <c r="C562" s="23" t="s">
        <v>281</v>
      </c>
      <c r="D562" s="24" t="s">
        <v>1249</v>
      </c>
      <c r="E562" s="25">
        <v>1.4999999999999999E-7</v>
      </c>
      <c r="F562" s="26">
        <v>2.3690999999999999E-3</v>
      </c>
      <c r="G562" s="27">
        <v>7959.96</v>
      </c>
      <c r="H562" s="27">
        <v>2371026</v>
      </c>
      <c r="I562" s="28">
        <v>1000812836</v>
      </c>
      <c r="J562" s="28">
        <v>1000812836</v>
      </c>
      <c r="K562" s="34">
        <v>-1.1399999999999999</v>
      </c>
      <c r="L562" s="34">
        <v>-4.88</v>
      </c>
      <c r="M562" s="34">
        <v>-19.73</v>
      </c>
      <c r="N562" s="24">
        <v>558</v>
      </c>
      <c r="O562" s="29">
        <v>43096.561932870369</v>
      </c>
    </row>
    <row r="563" spans="2:15" x14ac:dyDescent="0.25">
      <c r="B563" s="24" t="s">
        <v>2191</v>
      </c>
      <c r="C563" s="23" t="s">
        <v>260</v>
      </c>
      <c r="D563" s="24" t="s">
        <v>1230</v>
      </c>
      <c r="E563" s="25">
        <v>1.59E-6</v>
      </c>
      <c r="F563" s="26">
        <v>2.5197199999999999E-2</v>
      </c>
      <c r="G563" s="27">
        <v>13331.4</v>
      </c>
      <c r="H563" s="27">
        <v>2362538</v>
      </c>
      <c r="I563" s="28">
        <v>93761934</v>
      </c>
      <c r="J563" s="28">
        <v>93761934</v>
      </c>
      <c r="K563" s="34">
        <v>-6.16</v>
      </c>
      <c r="L563" s="34">
        <v>-13.2</v>
      </c>
      <c r="M563" s="34">
        <v>57.06</v>
      </c>
      <c r="N563" s="24">
        <v>559</v>
      </c>
      <c r="O563" s="29">
        <v>43096.561932870369</v>
      </c>
    </row>
    <row r="564" spans="2:15" x14ac:dyDescent="0.25">
      <c r="B564" s="24" t="s">
        <v>2928</v>
      </c>
      <c r="C564" s="23" t="s">
        <v>2929</v>
      </c>
      <c r="D564" s="24" t="s">
        <v>2930</v>
      </c>
      <c r="E564" s="25">
        <v>3.2830000000000002E-5</v>
      </c>
      <c r="F564" s="26">
        <v>0.51875199999999999</v>
      </c>
      <c r="G564" s="27">
        <v>12724.1</v>
      </c>
      <c r="H564" s="27">
        <v>2334384</v>
      </c>
      <c r="I564" s="28">
        <v>4500000</v>
      </c>
      <c r="J564" s="28">
        <v>20000000</v>
      </c>
      <c r="K564" s="34">
        <v>5.26</v>
      </c>
      <c r="L564" s="34">
        <v>27.76</v>
      </c>
      <c r="M564" s="34">
        <v>77.739999999999995</v>
      </c>
      <c r="N564" s="24">
        <v>560</v>
      </c>
      <c r="O564" s="29">
        <v>43096.561979166669</v>
      </c>
    </row>
    <row r="565" spans="2:15" x14ac:dyDescent="0.25">
      <c r="B565" s="24" t="s">
        <v>2329</v>
      </c>
      <c r="C565" s="23" t="s">
        <v>395</v>
      </c>
      <c r="D565" s="24" t="s">
        <v>1358</v>
      </c>
      <c r="E565" s="25">
        <v>7.0649999999999996E-5</v>
      </c>
      <c r="F565" s="26">
        <v>1.11626</v>
      </c>
      <c r="G565" s="27">
        <v>20846.900000000001</v>
      </c>
      <c r="H565" s="27">
        <v>2298353</v>
      </c>
      <c r="I565" s="28">
        <v>2058976</v>
      </c>
      <c r="J565" s="28">
        <v>2058976</v>
      </c>
      <c r="K565" s="34">
        <v>3.54</v>
      </c>
      <c r="L565" s="34">
        <v>-4.59</v>
      </c>
      <c r="M565" s="34">
        <v>52.94</v>
      </c>
      <c r="N565" s="24">
        <v>561</v>
      </c>
      <c r="O565" s="29">
        <v>43096.561956018515</v>
      </c>
    </row>
    <row r="566" spans="2:15" x14ac:dyDescent="0.25">
      <c r="B566" s="24" t="s">
        <v>2249</v>
      </c>
      <c r="C566" s="23" t="s">
        <v>322</v>
      </c>
      <c r="D566" s="24" t="s">
        <v>1290</v>
      </c>
      <c r="E566" s="25">
        <v>6E-9</v>
      </c>
      <c r="F566" s="26">
        <v>8.7309600000000002E-5</v>
      </c>
      <c r="G566" s="27">
        <v>6898.1</v>
      </c>
      <c r="H566" s="27">
        <v>2266579</v>
      </c>
      <c r="I566" s="28">
        <v>25960250000</v>
      </c>
      <c r="J566" s="28">
        <v>25960250000</v>
      </c>
      <c r="K566" s="34">
        <v>-1.25</v>
      </c>
      <c r="L566" s="34">
        <v>11.58</v>
      </c>
      <c r="M566" s="34">
        <v>46.98</v>
      </c>
      <c r="N566" s="24">
        <v>562</v>
      </c>
      <c r="O566" s="29">
        <v>43096.561863425923</v>
      </c>
    </row>
    <row r="567" spans="2:15" x14ac:dyDescent="0.25">
      <c r="B567" s="24" t="s">
        <v>2366</v>
      </c>
      <c r="C567" s="23" t="s">
        <v>429</v>
      </c>
      <c r="D567" s="24" t="s">
        <v>1393</v>
      </c>
      <c r="E567" s="25">
        <v>9.38E-6</v>
      </c>
      <c r="F567" s="26">
        <v>0.14812600000000001</v>
      </c>
      <c r="G567" s="27">
        <v>19388</v>
      </c>
      <c r="H567" s="27">
        <v>2266096</v>
      </c>
      <c r="I567" s="28">
        <v>15298436</v>
      </c>
      <c r="J567" s="28">
        <v>15298436</v>
      </c>
      <c r="K567" s="34">
        <v>-1.17</v>
      </c>
      <c r="L567" s="34">
        <v>-5.47</v>
      </c>
      <c r="M567" s="34">
        <v>-24.23</v>
      </c>
      <c r="N567" s="24">
        <v>563</v>
      </c>
      <c r="O567" s="29">
        <v>43096.561886574076</v>
      </c>
    </row>
    <row r="568" spans="2:15" x14ac:dyDescent="0.25">
      <c r="B568" s="24" t="s">
        <v>2304</v>
      </c>
      <c r="C568" s="23" t="s">
        <v>375</v>
      </c>
      <c r="D568" s="24" t="s">
        <v>1342</v>
      </c>
      <c r="E568" s="25">
        <v>5.9999999999999995E-8</v>
      </c>
      <c r="F568" s="26">
        <v>9.53388E-4</v>
      </c>
      <c r="G568" s="27">
        <v>14997.7</v>
      </c>
      <c r="H568" s="27">
        <v>2209997</v>
      </c>
      <c r="I568" s="28">
        <v>2318046237</v>
      </c>
      <c r="J568" s="28">
        <v>2318046237</v>
      </c>
      <c r="K568" s="34">
        <v>-14.32</v>
      </c>
      <c r="L568" s="34">
        <v>7.46</v>
      </c>
      <c r="M568" s="34">
        <v>63.84</v>
      </c>
      <c r="N568" s="24">
        <v>564</v>
      </c>
      <c r="O568" s="29">
        <v>43096.56181712963</v>
      </c>
    </row>
    <row r="569" spans="2:15" x14ac:dyDescent="0.25">
      <c r="B569" s="24" t="s">
        <v>3094</v>
      </c>
      <c r="C569" s="23" t="s">
        <v>3095</v>
      </c>
      <c r="D569" s="24" t="s">
        <v>3096</v>
      </c>
      <c r="E569" s="25">
        <v>2.9940000000000001E-5</v>
      </c>
      <c r="F569" s="26">
        <v>0.47301599999999999</v>
      </c>
      <c r="G569" s="27">
        <v>6203.58</v>
      </c>
      <c r="H569" s="27">
        <v>2157579</v>
      </c>
      <c r="I569" s="28">
        <v>4561324</v>
      </c>
      <c r="J569" s="28">
        <v>4561324</v>
      </c>
      <c r="K569" s="34">
        <v>-1.0900000000000001</v>
      </c>
      <c r="L569" s="34">
        <v>4.59</v>
      </c>
      <c r="M569" s="34">
        <v>-2.71</v>
      </c>
      <c r="N569" s="24">
        <v>565</v>
      </c>
      <c r="O569" s="29">
        <v>43096.561874999999</v>
      </c>
    </row>
    <row r="570" spans="2:15" x14ac:dyDescent="0.25">
      <c r="B570" s="24" t="s">
        <v>2319</v>
      </c>
      <c r="C570" s="23" t="s">
        <v>384</v>
      </c>
      <c r="D570" s="24" t="s">
        <v>1349</v>
      </c>
      <c r="E570" s="25">
        <v>1.1000000000000001E-7</v>
      </c>
      <c r="F570" s="26">
        <v>1.73332E-3</v>
      </c>
      <c r="G570" s="27">
        <v>28926.6</v>
      </c>
      <c r="H570" s="27">
        <v>2146532</v>
      </c>
      <c r="I570" s="28">
        <v>1238393324</v>
      </c>
      <c r="J570" s="28">
        <v>1238393324</v>
      </c>
      <c r="K570" s="34">
        <v>1.99</v>
      </c>
      <c r="L570" s="34">
        <v>-7.16</v>
      </c>
      <c r="M570" s="34">
        <v>87.23</v>
      </c>
      <c r="N570" s="24">
        <v>566</v>
      </c>
      <c r="O570" s="29">
        <v>43096.561863425923</v>
      </c>
    </row>
    <row r="571" spans="2:15" x14ac:dyDescent="0.25">
      <c r="B571" s="24" t="s">
        <v>2284</v>
      </c>
      <c r="C571" s="23" t="s">
        <v>359</v>
      </c>
      <c r="D571" s="24" t="s">
        <v>1327</v>
      </c>
      <c r="E571" s="25">
        <v>2.8399999999999999E-6</v>
      </c>
      <c r="F571" s="26">
        <v>4.4938100000000002E-2</v>
      </c>
      <c r="G571" s="27">
        <v>7949.11</v>
      </c>
      <c r="H571" s="27">
        <v>2102468</v>
      </c>
      <c r="I571" s="28">
        <v>46785866</v>
      </c>
      <c r="J571" s="28">
        <v>46785866</v>
      </c>
      <c r="K571" s="34">
        <v>-1.59</v>
      </c>
      <c r="L571" s="34">
        <v>0.43</v>
      </c>
      <c r="M571" s="34">
        <v>-5.12</v>
      </c>
      <c r="N571" s="24">
        <v>567</v>
      </c>
      <c r="O571" s="29">
        <v>43096.561863425923</v>
      </c>
    </row>
    <row r="572" spans="2:15" x14ac:dyDescent="0.25">
      <c r="B572" s="24" t="s">
        <v>2314</v>
      </c>
      <c r="C572" s="23" t="s">
        <v>349</v>
      </c>
      <c r="D572" s="24" t="s">
        <v>1317</v>
      </c>
      <c r="E572" s="25">
        <v>8.9999999999999999E-10</v>
      </c>
      <c r="F572" s="26">
        <v>1.40571E-5</v>
      </c>
      <c r="G572" s="27">
        <v>6589.74</v>
      </c>
      <c r="H572" s="27">
        <v>2094103</v>
      </c>
      <c r="I572" s="28">
        <v>148971185000</v>
      </c>
      <c r="J572" s="28">
        <v>148971185000</v>
      </c>
      <c r="K572" s="34">
        <v>2.42</v>
      </c>
      <c r="L572" s="34">
        <v>11.63</v>
      </c>
      <c r="M572" s="34">
        <v>-17.329999999999998</v>
      </c>
      <c r="N572" s="24">
        <v>568</v>
      </c>
      <c r="O572" s="29">
        <v>43096.561851851853</v>
      </c>
    </row>
    <row r="573" spans="2:15" x14ac:dyDescent="0.25">
      <c r="B573" s="24" t="s">
        <v>3718</v>
      </c>
      <c r="C573" s="23" t="s">
        <v>3315</v>
      </c>
      <c r="D573" s="24" t="s">
        <v>3315</v>
      </c>
      <c r="E573" s="25">
        <v>1.4999999999999999E-7</v>
      </c>
      <c r="F573" s="26">
        <v>2.3878699999999998E-3</v>
      </c>
      <c r="G573" s="27">
        <v>29913.4</v>
      </c>
      <c r="H573" s="27">
        <v>2057230</v>
      </c>
      <c r="I573" s="28">
        <v>861533394</v>
      </c>
      <c r="J573" s="28">
        <v>1114948739</v>
      </c>
      <c r="K573" s="34">
        <v>-14.72</v>
      </c>
      <c r="L573" s="34">
        <v>-13.09</v>
      </c>
      <c r="M573" s="34">
        <v>108.18</v>
      </c>
      <c r="N573" s="24">
        <v>569</v>
      </c>
      <c r="O573" s="29">
        <v>43096.561990740738</v>
      </c>
    </row>
    <row r="574" spans="2:15" x14ac:dyDescent="0.25">
      <c r="B574" s="24" t="s">
        <v>2503</v>
      </c>
      <c r="C574" s="23" t="s">
        <v>569</v>
      </c>
      <c r="D574" s="24" t="s">
        <v>1533</v>
      </c>
      <c r="E574" s="25">
        <v>5.0000000000000004E-6</v>
      </c>
      <c r="F574" s="26">
        <v>7.8993900000000006E-2</v>
      </c>
      <c r="G574" s="27">
        <v>3699.06</v>
      </c>
      <c r="H574" s="27">
        <v>2041202</v>
      </c>
      <c r="I574" s="28">
        <v>25839999</v>
      </c>
      <c r="J574" s="28">
        <v>25839999</v>
      </c>
      <c r="K574" s="34">
        <v>-1.0900000000000001</v>
      </c>
      <c r="L574" s="34">
        <v>7.32</v>
      </c>
      <c r="M574" s="34">
        <v>-14.3</v>
      </c>
      <c r="N574" s="24">
        <v>570</v>
      </c>
      <c r="O574" s="29">
        <v>43096.561898148146</v>
      </c>
    </row>
    <row r="575" spans="2:15" x14ac:dyDescent="0.25">
      <c r="B575" s="24" t="s">
        <v>2557</v>
      </c>
      <c r="C575" s="23" t="s">
        <v>651</v>
      </c>
      <c r="D575" s="24" t="s">
        <v>1611</v>
      </c>
      <c r="E575" s="25">
        <v>6E-9</v>
      </c>
      <c r="F575" s="26">
        <v>9.6464099999999997E-5</v>
      </c>
      <c r="G575" s="27">
        <v>63964.5</v>
      </c>
      <c r="H575" s="27">
        <v>2007933</v>
      </c>
      <c r="I575" s="28">
        <v>20815335222</v>
      </c>
      <c r="J575" s="28">
        <v>20815335222</v>
      </c>
      <c r="K575" s="34">
        <v>-1.56</v>
      </c>
      <c r="L575" s="34">
        <v>-19.350000000000001</v>
      </c>
      <c r="M575" s="34">
        <v>300.87</v>
      </c>
      <c r="N575" s="24">
        <v>571</v>
      </c>
      <c r="O575" s="29">
        <v>43096.561828703707</v>
      </c>
    </row>
    <row r="576" spans="2:15" x14ac:dyDescent="0.25">
      <c r="B576" s="24" t="s">
        <v>2469</v>
      </c>
      <c r="C576" s="23" t="s">
        <v>531</v>
      </c>
      <c r="D576" s="24" t="s">
        <v>1495</v>
      </c>
      <c r="E576" s="25">
        <v>2.5900000000000002E-6</v>
      </c>
      <c r="F576" s="26">
        <v>4.0973200000000001E-2</v>
      </c>
      <c r="G576" s="27">
        <v>22168.3</v>
      </c>
      <c r="H576" s="27">
        <v>1954411</v>
      </c>
      <c r="I576" s="28">
        <v>47699746</v>
      </c>
      <c r="J576" s="28">
        <v>47699746</v>
      </c>
      <c r="K576" s="34">
        <v>-1.0900000000000001</v>
      </c>
      <c r="L576" s="34">
        <v>-16.09</v>
      </c>
      <c r="M576" s="34">
        <v>-12.26</v>
      </c>
      <c r="N576" s="24">
        <v>572</v>
      </c>
      <c r="O576" s="29">
        <v>43096.561840277776</v>
      </c>
    </row>
    <row r="577" spans="2:15" x14ac:dyDescent="0.25">
      <c r="B577" s="24" t="s">
        <v>2468</v>
      </c>
      <c r="C577" s="23" t="s">
        <v>414</v>
      </c>
      <c r="D577" s="24" t="s">
        <v>1377</v>
      </c>
      <c r="E577" s="25">
        <v>8.9999999999999999E-8</v>
      </c>
      <c r="F577" s="26">
        <v>1.4318600000000001E-3</v>
      </c>
      <c r="G577" s="27">
        <v>6164.98</v>
      </c>
      <c r="H577" s="27">
        <v>1932400</v>
      </c>
      <c r="I577" s="28">
        <v>1349573390</v>
      </c>
      <c r="J577" s="28">
        <v>1349573390</v>
      </c>
      <c r="K577" s="34">
        <v>8.83</v>
      </c>
      <c r="L577" s="34">
        <v>-10.1</v>
      </c>
      <c r="M577" s="34">
        <v>67.91</v>
      </c>
      <c r="N577" s="24">
        <v>573</v>
      </c>
      <c r="O577" s="29">
        <v>43096.561828703707</v>
      </c>
    </row>
    <row r="578" spans="2:15" x14ac:dyDescent="0.25">
      <c r="B578" s="24" t="s">
        <v>3322</v>
      </c>
      <c r="C578" s="23" t="s">
        <v>3323</v>
      </c>
      <c r="D578" s="24" t="s">
        <v>3324</v>
      </c>
      <c r="E578" s="25">
        <v>2.313E-5</v>
      </c>
      <c r="F578" s="26">
        <v>0.36549500000000001</v>
      </c>
      <c r="G578" s="27">
        <v>10140.299999999999</v>
      </c>
      <c r="H578" s="27">
        <v>1928925</v>
      </c>
      <c r="I578" s="28">
        <v>5277568</v>
      </c>
      <c r="J578" s="28">
        <v>70000000</v>
      </c>
      <c r="K578" s="34">
        <v>1.89</v>
      </c>
      <c r="L578" s="34">
        <v>-0.34</v>
      </c>
      <c r="M578" s="34">
        <v>-23.93</v>
      </c>
      <c r="N578" s="24">
        <v>574</v>
      </c>
      <c r="O578" s="29">
        <v>43096.561990740738</v>
      </c>
    </row>
    <row r="579" spans="2:15" x14ac:dyDescent="0.25">
      <c r="B579" s="24" t="s">
        <v>2339</v>
      </c>
      <c r="C579" s="23" t="s">
        <v>400</v>
      </c>
      <c r="D579" s="24" t="s">
        <v>1364</v>
      </c>
      <c r="E579" s="25">
        <v>1.163E-5</v>
      </c>
      <c r="F579" s="26">
        <v>0.183699</v>
      </c>
      <c r="G579" s="27">
        <v>4583.9799999999996</v>
      </c>
      <c r="H579" s="27">
        <v>1922644</v>
      </c>
      <c r="I579" s="28">
        <v>10466276</v>
      </c>
      <c r="J579" s="28">
        <v>11466276</v>
      </c>
      <c r="K579" s="34">
        <v>0.8</v>
      </c>
      <c r="L579" s="34">
        <v>39.85</v>
      </c>
      <c r="M579" s="34">
        <v>20.96</v>
      </c>
      <c r="N579" s="24">
        <v>575</v>
      </c>
      <c r="O579" s="29">
        <v>43096.561956018515</v>
      </c>
    </row>
    <row r="580" spans="2:15" x14ac:dyDescent="0.25">
      <c r="B580" s="24" t="s">
        <v>2308</v>
      </c>
      <c r="C580" s="23" t="s">
        <v>515</v>
      </c>
      <c r="D580" s="24" t="s">
        <v>1480</v>
      </c>
      <c r="E580" s="25">
        <v>1.2300000000000001E-6</v>
      </c>
      <c r="F580" s="30">
        <v>1.93984E-2</v>
      </c>
      <c r="G580" s="27">
        <v>13493.8</v>
      </c>
      <c r="H580" s="27">
        <v>1889706</v>
      </c>
      <c r="I580" s="28">
        <v>97415544</v>
      </c>
      <c r="J580" s="28">
        <v>97415544</v>
      </c>
      <c r="K580" s="34">
        <v>-0.99</v>
      </c>
      <c r="L580" s="34">
        <v>26.78</v>
      </c>
      <c r="M580" s="34">
        <v>2.65</v>
      </c>
      <c r="N580" s="24">
        <v>576</v>
      </c>
      <c r="O580" s="29">
        <v>43096.561828703707</v>
      </c>
    </row>
    <row r="581" spans="2:15" x14ac:dyDescent="0.25">
      <c r="B581" s="24" t="s">
        <v>2210</v>
      </c>
      <c r="C581" s="23" t="s">
        <v>288</v>
      </c>
      <c r="D581" s="24" t="s">
        <v>1256</v>
      </c>
      <c r="E581" s="25">
        <v>2.393E-5</v>
      </c>
      <c r="F581" s="26">
        <v>0.37811</v>
      </c>
      <c r="G581" s="27">
        <v>12622.1</v>
      </c>
      <c r="H581" s="27">
        <v>1886049</v>
      </c>
      <c r="I581" s="28">
        <v>4988097</v>
      </c>
      <c r="J581" s="28">
        <v>4988097</v>
      </c>
      <c r="K581" s="34">
        <v>-1.01</v>
      </c>
      <c r="L581" s="34">
        <v>12.94</v>
      </c>
      <c r="M581" s="34">
        <v>-10</v>
      </c>
      <c r="N581" s="24">
        <v>577</v>
      </c>
      <c r="O581" s="29">
        <v>43096.561863425923</v>
      </c>
    </row>
    <row r="582" spans="2:15" x14ac:dyDescent="0.25">
      <c r="B582" s="24" t="s">
        <v>2200</v>
      </c>
      <c r="C582" s="23" t="s">
        <v>273</v>
      </c>
      <c r="D582" s="24" t="s">
        <v>1242</v>
      </c>
      <c r="E582" s="25">
        <v>7.0999999999999998E-7</v>
      </c>
      <c r="F582" s="26">
        <v>1.1140799999999999E-2</v>
      </c>
      <c r="G582" s="27">
        <v>11603.3</v>
      </c>
      <c r="H582" s="27">
        <v>1864045</v>
      </c>
      <c r="I582" s="28">
        <v>167317021</v>
      </c>
      <c r="J582" s="28">
        <v>167317021</v>
      </c>
      <c r="K582" s="34">
        <v>6.51</v>
      </c>
      <c r="L582" s="34">
        <v>2.81</v>
      </c>
      <c r="M582" s="34">
        <v>1.03</v>
      </c>
      <c r="N582" s="24">
        <v>578</v>
      </c>
      <c r="O582" s="29">
        <v>43096.56181712963</v>
      </c>
    </row>
    <row r="583" spans="2:15" x14ac:dyDescent="0.25">
      <c r="B583" s="24" t="s">
        <v>2463</v>
      </c>
      <c r="C583" s="23" t="s">
        <v>405</v>
      </c>
      <c r="D583" s="24" t="s">
        <v>1369</v>
      </c>
      <c r="E583" s="25">
        <v>7.1999999999999999E-7</v>
      </c>
      <c r="F583" s="26">
        <v>1.1375100000000001E-2</v>
      </c>
      <c r="G583" s="27">
        <v>23505.4</v>
      </c>
      <c r="H583" s="27">
        <v>1857085</v>
      </c>
      <c r="I583" s="28">
        <v>163258765</v>
      </c>
      <c r="J583" s="28">
        <v>250000000</v>
      </c>
      <c r="K583" s="34">
        <v>-17.190000000000001</v>
      </c>
      <c r="L583" s="34">
        <v>89.92</v>
      </c>
      <c r="M583" s="34">
        <v>372.05</v>
      </c>
      <c r="N583" s="24">
        <v>579</v>
      </c>
      <c r="O583" s="29">
        <v>43096.561874999999</v>
      </c>
    </row>
    <row r="584" spans="2:15" x14ac:dyDescent="0.25">
      <c r="B584" s="24" t="s">
        <v>2423</v>
      </c>
      <c r="C584" s="23" t="s">
        <v>480</v>
      </c>
      <c r="D584" s="24" t="s">
        <v>1446</v>
      </c>
      <c r="E584" s="25">
        <v>4.2400000000000001E-6</v>
      </c>
      <c r="F584" s="26">
        <v>6.6998000000000002E-2</v>
      </c>
      <c r="G584" s="27">
        <v>11464</v>
      </c>
      <c r="H584" s="27">
        <v>1837944</v>
      </c>
      <c r="I584" s="28">
        <v>27432814</v>
      </c>
      <c r="J584" s="28">
        <v>103181030</v>
      </c>
      <c r="K584" s="34">
        <v>4.05</v>
      </c>
      <c r="L584" s="34">
        <v>-10.83</v>
      </c>
      <c r="M584" s="34">
        <v>-45.17</v>
      </c>
      <c r="N584" s="24">
        <v>580</v>
      </c>
      <c r="O584" s="29">
        <v>43096.561956018515</v>
      </c>
    </row>
    <row r="585" spans="2:15" x14ac:dyDescent="0.25">
      <c r="B585" s="24" t="s">
        <v>2316</v>
      </c>
      <c r="C585" s="23" t="s">
        <v>378</v>
      </c>
      <c r="D585" s="24" t="s">
        <v>1143</v>
      </c>
      <c r="E585" s="25">
        <v>1.4000000000000001E-7</v>
      </c>
      <c r="F585" s="26">
        <v>2.21294E-3</v>
      </c>
      <c r="G585" s="27">
        <v>32099.200000000001</v>
      </c>
      <c r="H585" s="27">
        <v>1741864</v>
      </c>
      <c r="I585" s="28">
        <v>787126712</v>
      </c>
      <c r="J585" s="28">
        <v>787126712</v>
      </c>
      <c r="K585" s="34">
        <v>3.12</v>
      </c>
      <c r="L585" s="34">
        <v>17.649999999999999</v>
      </c>
      <c r="M585" s="34">
        <v>48.23</v>
      </c>
      <c r="N585" s="24">
        <v>581</v>
      </c>
      <c r="O585" s="29">
        <v>43096.56181712963</v>
      </c>
    </row>
    <row r="586" spans="2:15" x14ac:dyDescent="0.25">
      <c r="B586" s="24" t="s">
        <v>2321</v>
      </c>
      <c r="C586" s="23" t="s">
        <v>392</v>
      </c>
      <c r="D586" s="24" t="s">
        <v>2993</v>
      </c>
      <c r="E586" s="25">
        <v>6.1500000000000004E-6</v>
      </c>
      <c r="F586" s="26">
        <v>9.71273E-2</v>
      </c>
      <c r="G586" s="27">
        <v>37447.1</v>
      </c>
      <c r="H586" s="27">
        <v>1721958</v>
      </c>
      <c r="I586" s="28">
        <v>17728874</v>
      </c>
      <c r="J586" s="28">
        <v>25228875</v>
      </c>
      <c r="K586" s="34">
        <v>-4.7300000000000004</v>
      </c>
      <c r="L586" s="34">
        <v>10.85</v>
      </c>
      <c r="M586" s="34">
        <v>101.62</v>
      </c>
      <c r="N586" s="24">
        <v>582</v>
      </c>
      <c r="O586" s="29">
        <v>43096.561851851853</v>
      </c>
    </row>
    <row r="587" spans="2:15" x14ac:dyDescent="0.25">
      <c r="B587" s="24" t="s">
        <v>2311</v>
      </c>
      <c r="C587" s="23" t="s">
        <v>382</v>
      </c>
      <c r="D587" s="24" t="s">
        <v>1348</v>
      </c>
      <c r="E587" s="25">
        <v>8.0000000000000002E-8</v>
      </c>
      <c r="F587" s="26">
        <v>1.1923700000000001E-3</v>
      </c>
      <c r="G587" s="27">
        <v>3563.11</v>
      </c>
      <c r="H587" s="27">
        <v>1694189</v>
      </c>
      <c r="I587" s="28">
        <v>1420858063</v>
      </c>
      <c r="J587" s="28">
        <v>1420858063</v>
      </c>
      <c r="K587" s="34">
        <v>0.43</v>
      </c>
      <c r="L587" s="34">
        <v>5.12</v>
      </c>
      <c r="M587" s="34">
        <v>59.05</v>
      </c>
      <c r="N587" s="24">
        <v>583</v>
      </c>
      <c r="O587" s="29">
        <v>43096.561956018515</v>
      </c>
    </row>
    <row r="588" spans="2:15" x14ac:dyDescent="0.25">
      <c r="B588" s="24" t="s">
        <v>2241</v>
      </c>
      <c r="C588" s="23" t="s">
        <v>307</v>
      </c>
      <c r="D588" s="24" t="s">
        <v>1275</v>
      </c>
      <c r="E588" s="25">
        <v>5.7400000000000001E-6</v>
      </c>
      <c r="F588" s="26">
        <v>9.0677800000000003E-2</v>
      </c>
      <c r="G588" s="27">
        <v>7732.65</v>
      </c>
      <c r="H588" s="27">
        <v>1666737</v>
      </c>
      <c r="I588" s="28">
        <v>18380871</v>
      </c>
      <c r="J588" s="28">
        <v>18630871</v>
      </c>
      <c r="K588" s="34">
        <v>23.1</v>
      </c>
      <c r="L588" s="34">
        <v>32.51</v>
      </c>
      <c r="M588" s="34">
        <v>63.95</v>
      </c>
      <c r="N588" s="24">
        <v>584</v>
      </c>
      <c r="O588" s="29">
        <v>43096.561932870369</v>
      </c>
    </row>
    <row r="589" spans="2:15" x14ac:dyDescent="0.25">
      <c r="B589" s="24" t="s">
        <v>2300</v>
      </c>
      <c r="C589" s="23" t="s">
        <v>376</v>
      </c>
      <c r="D589" s="24" t="s">
        <v>1343</v>
      </c>
      <c r="E589" s="25">
        <v>5.8599999999999998E-6</v>
      </c>
      <c r="F589" s="26">
        <v>9.25734E-2</v>
      </c>
      <c r="G589" s="27">
        <v>21918.799999999999</v>
      </c>
      <c r="H589" s="27">
        <v>1648080</v>
      </c>
      <c r="I589" s="28">
        <v>17802958</v>
      </c>
      <c r="J589" s="28">
        <v>17802958</v>
      </c>
      <c r="K589" s="34">
        <v>-7.82</v>
      </c>
      <c r="L589" s="34">
        <v>-1.33</v>
      </c>
      <c r="M589" s="34">
        <v>-21.36</v>
      </c>
      <c r="N589" s="24">
        <v>585</v>
      </c>
      <c r="O589" s="29">
        <v>43096.561944444446</v>
      </c>
    </row>
    <row r="590" spans="2:15" x14ac:dyDescent="0.25">
      <c r="B590" s="24" t="s">
        <v>2298</v>
      </c>
      <c r="C590" s="23" t="s">
        <v>366</v>
      </c>
      <c r="D590" s="24" t="s">
        <v>1334</v>
      </c>
      <c r="E590" s="25">
        <v>6.1999999999999999E-6</v>
      </c>
      <c r="F590" s="26">
        <v>9.7894999999999996E-2</v>
      </c>
      <c r="G590" s="27">
        <v>2733.98</v>
      </c>
      <c r="H590" s="27">
        <v>1646862</v>
      </c>
      <c r="I590" s="28">
        <v>16822736</v>
      </c>
      <c r="J590" s="28">
        <v>40000000</v>
      </c>
      <c r="K590" s="34">
        <v>-1.58</v>
      </c>
      <c r="L590" s="34"/>
      <c r="M590" s="34">
        <v>28.2</v>
      </c>
      <c r="N590" s="24">
        <v>586</v>
      </c>
      <c r="O590" s="29">
        <v>43096.561967592592</v>
      </c>
    </row>
    <row r="591" spans="2:15" x14ac:dyDescent="0.25">
      <c r="B591" s="24" t="s">
        <v>2405</v>
      </c>
      <c r="C591" s="23" t="s">
        <v>463</v>
      </c>
      <c r="D591" s="24" t="s">
        <v>1427</v>
      </c>
      <c r="E591" s="25">
        <v>3.3999999999999997E-7</v>
      </c>
      <c r="F591" s="26">
        <v>5.3391100000000002E-3</v>
      </c>
      <c r="G591" s="27">
        <v>36578.5</v>
      </c>
      <c r="H591" s="27">
        <v>1642710</v>
      </c>
      <c r="I591" s="28">
        <v>307674944</v>
      </c>
      <c r="J591" s="28">
        <v>307674944</v>
      </c>
      <c r="K591" s="34">
        <v>-0.92</v>
      </c>
      <c r="L591" s="34">
        <v>-0.94</v>
      </c>
      <c r="M591" s="34">
        <v>-25.42</v>
      </c>
      <c r="N591" s="24">
        <v>587</v>
      </c>
      <c r="O591" s="29">
        <v>43096.561967592592</v>
      </c>
    </row>
    <row r="592" spans="2:15" x14ac:dyDescent="0.25">
      <c r="B592" s="24" t="s">
        <v>3906</v>
      </c>
      <c r="C592" s="23" t="s">
        <v>3907</v>
      </c>
      <c r="D592" s="24" t="s">
        <v>3908</v>
      </c>
      <c r="E592" s="25">
        <v>1.7499999999999998E-5</v>
      </c>
      <c r="F592" s="30">
        <v>0.27647899999999997</v>
      </c>
      <c r="G592" s="27">
        <v>14287</v>
      </c>
      <c r="H592" s="27">
        <v>1635662</v>
      </c>
      <c r="I592" s="28">
        <v>5916045</v>
      </c>
      <c r="J592" s="28">
        <v>18364466</v>
      </c>
      <c r="K592" s="34">
        <v>1.71</v>
      </c>
      <c r="L592" s="34">
        <v>5.87</v>
      </c>
      <c r="M592" s="34">
        <v>8.1300000000000008</v>
      </c>
      <c r="N592" s="24">
        <v>588</v>
      </c>
      <c r="O592" s="29">
        <v>43096.562025462961</v>
      </c>
    </row>
    <row r="593" spans="2:15" x14ac:dyDescent="0.25">
      <c r="B593" s="24" t="s">
        <v>2285</v>
      </c>
      <c r="C593" s="23" t="s">
        <v>363</v>
      </c>
      <c r="D593" s="24" t="s">
        <v>1331</v>
      </c>
      <c r="E593" s="25">
        <v>1.027E-5</v>
      </c>
      <c r="F593" s="26">
        <v>0.16220599999999999</v>
      </c>
      <c r="G593" s="27">
        <v>88806.1</v>
      </c>
      <c r="H593" s="27">
        <v>1622060</v>
      </c>
      <c r="I593" s="28">
        <v>10000000</v>
      </c>
      <c r="J593" s="28">
        <v>10000000</v>
      </c>
      <c r="K593" s="34">
        <v>1.38</v>
      </c>
      <c r="L593" s="34">
        <v>-6.23</v>
      </c>
      <c r="M593" s="34">
        <v>-12.21</v>
      </c>
      <c r="N593" s="24">
        <v>589</v>
      </c>
      <c r="O593" s="29">
        <v>43096.561944444446</v>
      </c>
    </row>
    <row r="594" spans="2:15" x14ac:dyDescent="0.25">
      <c r="B594" s="24" t="s">
        <v>3682</v>
      </c>
      <c r="C594" s="23" t="s">
        <v>3714</v>
      </c>
      <c r="D594" s="24" t="s">
        <v>3683</v>
      </c>
      <c r="E594" s="25">
        <v>2.1399999999999998E-6</v>
      </c>
      <c r="F594" s="30">
        <v>3.3828700000000003E-2</v>
      </c>
      <c r="G594" s="27">
        <v>22468.400000000001</v>
      </c>
      <c r="H594" s="27">
        <v>1618500</v>
      </c>
      <c r="I594" s="28">
        <v>47843991</v>
      </c>
      <c r="J594" s="28">
        <v>200000000</v>
      </c>
      <c r="K594" s="34">
        <v>6.55</v>
      </c>
      <c r="L594" s="34">
        <v>-12.68</v>
      </c>
      <c r="M594" s="34">
        <v>-3.16</v>
      </c>
      <c r="N594" s="24">
        <v>590</v>
      </c>
      <c r="O594" s="29">
        <v>43096.562002314815</v>
      </c>
    </row>
    <row r="595" spans="2:15" x14ac:dyDescent="0.25">
      <c r="B595" s="24" t="s">
        <v>2273</v>
      </c>
      <c r="C595" s="23" t="s">
        <v>354</v>
      </c>
      <c r="D595" s="24" t="s">
        <v>1322</v>
      </c>
      <c r="E595" s="25">
        <v>3.0400000000000001E-6</v>
      </c>
      <c r="F595" s="26">
        <v>4.80364E-2</v>
      </c>
      <c r="G595" s="27">
        <v>8213.83</v>
      </c>
      <c r="H595" s="27">
        <v>1602306</v>
      </c>
      <c r="I595" s="28">
        <v>33356077</v>
      </c>
      <c r="J595" s="28">
        <v>33356077</v>
      </c>
      <c r="K595" s="34">
        <v>-5.72</v>
      </c>
      <c r="L595" s="34">
        <v>16.399999999999999</v>
      </c>
      <c r="M595" s="34">
        <v>17.02</v>
      </c>
      <c r="N595" s="24">
        <v>591</v>
      </c>
      <c r="O595" s="29">
        <v>43096.561921296299</v>
      </c>
    </row>
    <row r="596" spans="2:15" x14ac:dyDescent="0.25">
      <c r="B596" s="24" t="s">
        <v>2770</v>
      </c>
      <c r="C596" s="23" t="s">
        <v>842</v>
      </c>
      <c r="D596" s="24" t="s">
        <v>1792</v>
      </c>
      <c r="E596" s="25">
        <v>5.1069999999999997E-5</v>
      </c>
      <c r="F596" s="26">
        <v>0.80677200000000004</v>
      </c>
      <c r="G596" s="27">
        <v>1065.5999999999999</v>
      </c>
      <c r="H596" s="27">
        <v>1596782</v>
      </c>
      <c r="I596" s="28">
        <v>1979224</v>
      </c>
      <c r="J596" s="28">
        <v>84000000</v>
      </c>
      <c r="K596" s="34">
        <v>-0.9</v>
      </c>
      <c r="L596" s="34">
        <v>60.82</v>
      </c>
      <c r="M596" s="34">
        <v>57.21</v>
      </c>
      <c r="N596" s="24">
        <v>592</v>
      </c>
      <c r="O596" s="29">
        <v>43096.561956018515</v>
      </c>
    </row>
    <row r="597" spans="2:15" x14ac:dyDescent="0.25">
      <c r="B597" s="24" t="s">
        <v>3278</v>
      </c>
      <c r="C597" s="23" t="s">
        <v>3279</v>
      </c>
      <c r="D597" s="24" t="s">
        <v>3280</v>
      </c>
      <c r="E597" s="25">
        <v>3.7320000000000002E-5</v>
      </c>
      <c r="F597" s="26">
        <v>0.58957700000000002</v>
      </c>
      <c r="G597" s="27">
        <v>10271.4</v>
      </c>
      <c r="H597" s="27">
        <v>1591858</v>
      </c>
      <c r="I597" s="28">
        <v>2700000</v>
      </c>
      <c r="J597" s="28">
        <v>15000000</v>
      </c>
      <c r="K597" s="34">
        <v>-1.17</v>
      </c>
      <c r="L597" s="34">
        <v>-4.05</v>
      </c>
      <c r="M597" s="34">
        <v>-16.91</v>
      </c>
      <c r="N597" s="24">
        <v>593</v>
      </c>
      <c r="O597" s="29">
        <v>43096.561990740738</v>
      </c>
    </row>
    <row r="598" spans="2:15" x14ac:dyDescent="0.25">
      <c r="B598" s="24" t="s">
        <v>2448</v>
      </c>
      <c r="C598" s="23" t="s">
        <v>510</v>
      </c>
      <c r="D598" s="24" t="s">
        <v>1475</v>
      </c>
      <c r="E598" s="25">
        <v>1.4919999999999999E-5</v>
      </c>
      <c r="F598" s="26">
        <v>0.235791</v>
      </c>
      <c r="G598" s="27">
        <v>713.32299999999998</v>
      </c>
      <c r="H598" s="27">
        <v>1578652</v>
      </c>
      <c r="I598" s="28">
        <v>6695133</v>
      </c>
      <c r="J598" s="28">
        <v>6695133</v>
      </c>
      <c r="K598" s="34">
        <v>30.61</v>
      </c>
      <c r="L598" s="34">
        <v>-23.53</v>
      </c>
      <c r="M598" s="34">
        <v>-1.02</v>
      </c>
      <c r="N598" s="24">
        <v>594</v>
      </c>
      <c r="O598" s="29">
        <v>43096.561840277776</v>
      </c>
    </row>
    <row r="599" spans="2:15" x14ac:dyDescent="0.25">
      <c r="B599" s="24" t="s">
        <v>3650</v>
      </c>
      <c r="C599" s="23" t="s">
        <v>3651</v>
      </c>
      <c r="D599" s="24" t="s">
        <v>3652</v>
      </c>
      <c r="E599" s="25">
        <v>1.203E-5</v>
      </c>
      <c r="F599" s="26">
        <v>0.189995</v>
      </c>
      <c r="G599" s="27">
        <v>26876.1</v>
      </c>
      <c r="H599" s="27">
        <v>1570344</v>
      </c>
      <c r="I599" s="28">
        <v>8265187</v>
      </c>
      <c r="J599" s="28">
        <v>9265207</v>
      </c>
      <c r="K599" s="34">
        <v>-4.17</v>
      </c>
      <c r="L599" s="34">
        <v>-16.62</v>
      </c>
      <c r="M599" s="34">
        <v>-68.69</v>
      </c>
      <c r="N599" s="24">
        <v>595</v>
      </c>
      <c r="O599" s="29">
        <v>43096.562002314815</v>
      </c>
    </row>
    <row r="600" spans="2:15" x14ac:dyDescent="0.25">
      <c r="B600" s="24" t="s">
        <v>3275</v>
      </c>
      <c r="C600" s="23" t="s">
        <v>3276</v>
      </c>
      <c r="D600" s="24" t="s">
        <v>3277</v>
      </c>
      <c r="E600" s="25">
        <v>1.19E-6</v>
      </c>
      <c r="F600" s="26">
        <v>1.8793299999999999E-2</v>
      </c>
      <c r="G600" s="27">
        <v>7395.69</v>
      </c>
      <c r="H600" s="27">
        <v>1503464</v>
      </c>
      <c r="I600" s="28">
        <v>80000000</v>
      </c>
      <c r="J600" s="28">
        <v>100000000</v>
      </c>
      <c r="K600" s="34">
        <v>-0.38</v>
      </c>
      <c r="L600" s="34">
        <v>-13.56</v>
      </c>
      <c r="M600" s="34">
        <v>27.77</v>
      </c>
      <c r="N600" s="24">
        <v>596</v>
      </c>
      <c r="O600" s="29">
        <v>43096.561990740738</v>
      </c>
    </row>
    <row r="601" spans="2:15" x14ac:dyDescent="0.25">
      <c r="B601" s="24" t="s">
        <v>2293</v>
      </c>
      <c r="C601" s="23" t="s">
        <v>365</v>
      </c>
      <c r="D601" s="24" t="s">
        <v>1333</v>
      </c>
      <c r="E601" s="25">
        <v>2.0950000000000001E-5</v>
      </c>
      <c r="F601" s="26">
        <v>0.33092199999999999</v>
      </c>
      <c r="G601" s="27">
        <v>5485.96</v>
      </c>
      <c r="H601" s="27">
        <v>1484198</v>
      </c>
      <c r="I601" s="28">
        <v>4485040</v>
      </c>
      <c r="J601" s="28">
        <v>4485040</v>
      </c>
      <c r="K601" s="34">
        <v>-1.04</v>
      </c>
      <c r="L601" s="34">
        <v>19.8</v>
      </c>
      <c r="M601" s="34">
        <v>18.95</v>
      </c>
      <c r="N601" s="24">
        <v>597</v>
      </c>
      <c r="O601" s="29">
        <v>43096.561932870369</v>
      </c>
    </row>
    <row r="602" spans="2:15" x14ac:dyDescent="0.25">
      <c r="B602" s="24" t="s">
        <v>3674</v>
      </c>
      <c r="C602" s="23" t="s">
        <v>3675</v>
      </c>
      <c r="D602" s="24" t="s">
        <v>3676</v>
      </c>
      <c r="E602" s="25">
        <v>6.4999999999999996E-6</v>
      </c>
      <c r="F602" s="26">
        <v>0.102757</v>
      </c>
      <c r="G602" s="27">
        <v>16695.7</v>
      </c>
      <c r="H602" s="27">
        <v>1479701</v>
      </c>
      <c r="I602" s="28">
        <v>14400000</v>
      </c>
      <c r="J602" s="28">
        <v>24000000</v>
      </c>
      <c r="K602" s="34">
        <v>-5.25</v>
      </c>
      <c r="L602" s="34">
        <v>10.66</v>
      </c>
      <c r="M602" s="34">
        <v>42.63</v>
      </c>
      <c r="N602" s="24">
        <v>598</v>
      </c>
      <c r="O602" s="29">
        <v>43096.562002314815</v>
      </c>
    </row>
    <row r="603" spans="2:15" x14ac:dyDescent="0.25">
      <c r="B603" s="24" t="s">
        <v>2361</v>
      </c>
      <c r="C603" s="23" t="s">
        <v>562</v>
      </c>
      <c r="D603" s="24" t="s">
        <v>1526</v>
      </c>
      <c r="E603" s="25">
        <v>5.5999999999999997E-6</v>
      </c>
      <c r="F603" s="26">
        <v>8.8440299999999999E-2</v>
      </c>
      <c r="G603" s="27">
        <v>19430.599999999999</v>
      </c>
      <c r="H603" s="27">
        <v>1462314</v>
      </c>
      <c r="I603" s="28">
        <v>16534475</v>
      </c>
      <c r="J603" s="28">
        <v>16534475</v>
      </c>
      <c r="K603" s="34">
        <v>-9.32</v>
      </c>
      <c r="L603" s="34">
        <v>-19.760000000000002</v>
      </c>
      <c r="M603" s="34">
        <v>1.08</v>
      </c>
      <c r="N603" s="24">
        <v>599</v>
      </c>
      <c r="O603" s="29">
        <v>43096.561828703707</v>
      </c>
    </row>
    <row r="604" spans="2:15" x14ac:dyDescent="0.25">
      <c r="B604" s="24" t="s">
        <v>2234</v>
      </c>
      <c r="C604" s="23" t="s">
        <v>308</v>
      </c>
      <c r="D604" s="24" t="s">
        <v>1276</v>
      </c>
      <c r="E604" s="25">
        <v>2.1100000000000001E-6</v>
      </c>
      <c r="F604" s="26">
        <v>3.3390299999999998E-2</v>
      </c>
      <c r="G604" s="27">
        <v>5017.3599999999997</v>
      </c>
      <c r="H604" s="27">
        <v>1450330</v>
      </c>
      <c r="I604" s="28">
        <v>43435656</v>
      </c>
      <c r="J604" s="28">
        <v>43435656</v>
      </c>
      <c r="K604" s="34">
        <v>-1.1299999999999999</v>
      </c>
      <c r="L604" s="34">
        <v>-3.53</v>
      </c>
      <c r="M604" s="34">
        <v>-1.78</v>
      </c>
      <c r="N604" s="24">
        <v>600</v>
      </c>
      <c r="O604" s="29">
        <v>43096.561874999999</v>
      </c>
    </row>
    <row r="605" spans="2:15" x14ac:dyDescent="0.25">
      <c r="B605" s="24" t="s">
        <v>2357</v>
      </c>
      <c r="C605" s="23" t="s">
        <v>420</v>
      </c>
      <c r="D605" s="24" t="s">
        <v>1384</v>
      </c>
      <c r="E605" s="25">
        <v>2.8999999999999998E-7</v>
      </c>
      <c r="F605" s="26">
        <v>4.5520700000000001E-3</v>
      </c>
      <c r="G605" s="27">
        <v>76136.800000000003</v>
      </c>
      <c r="H605" s="27">
        <v>1404248</v>
      </c>
      <c r="I605" s="28">
        <v>308485546</v>
      </c>
      <c r="J605" s="28">
        <v>508485546</v>
      </c>
      <c r="K605" s="34">
        <v>-3.38</v>
      </c>
      <c r="L605" s="34">
        <v>23.59</v>
      </c>
      <c r="M605" s="34">
        <v>402.97</v>
      </c>
      <c r="N605" s="24">
        <v>601</v>
      </c>
      <c r="O605" s="29">
        <v>43096.561956018515</v>
      </c>
    </row>
    <row r="606" spans="2:15" x14ac:dyDescent="0.25">
      <c r="B606" s="24" t="s">
        <v>2179</v>
      </c>
      <c r="C606" s="23" t="s">
        <v>242</v>
      </c>
      <c r="D606" s="24" t="s">
        <v>1210</v>
      </c>
      <c r="E606" s="25">
        <v>8.1999999999999998E-7</v>
      </c>
      <c r="F606" s="30">
        <v>1.2922899999999999E-2</v>
      </c>
      <c r="G606" s="27">
        <v>12398.1</v>
      </c>
      <c r="H606" s="27">
        <v>1395321</v>
      </c>
      <c r="I606" s="28">
        <v>107972766</v>
      </c>
      <c r="J606" s="28">
        <v>107972766</v>
      </c>
      <c r="K606" s="34">
        <v>3.46</v>
      </c>
      <c r="L606" s="34">
        <v>-2.09</v>
      </c>
      <c r="M606" s="34">
        <v>20.45</v>
      </c>
      <c r="N606" s="24">
        <v>602</v>
      </c>
      <c r="O606" s="29">
        <v>43096.561956018515</v>
      </c>
    </row>
    <row r="607" spans="2:15" x14ac:dyDescent="0.25">
      <c r="B607" s="24" t="s">
        <v>2265</v>
      </c>
      <c r="C607" s="23" t="s">
        <v>339</v>
      </c>
      <c r="D607" s="24" t="s">
        <v>1307</v>
      </c>
      <c r="E607" s="25">
        <v>6.8600000000000004E-6</v>
      </c>
      <c r="F607" s="26">
        <v>0.108334</v>
      </c>
      <c r="G607" s="27">
        <v>3774.44</v>
      </c>
      <c r="H607" s="27">
        <v>1395198</v>
      </c>
      <c r="I607" s="28">
        <v>12878667</v>
      </c>
      <c r="J607" s="28">
        <v>1812878667</v>
      </c>
      <c r="K607" s="34">
        <v>0.4</v>
      </c>
      <c r="L607" s="34">
        <v>2.61</v>
      </c>
      <c r="M607" s="34">
        <v>177.32</v>
      </c>
      <c r="N607" s="24">
        <v>603</v>
      </c>
      <c r="O607" s="29">
        <v>43096.561956018515</v>
      </c>
    </row>
    <row r="608" spans="2:15" x14ac:dyDescent="0.25">
      <c r="B608" s="24" t="s">
        <v>2452</v>
      </c>
      <c r="C608" s="23" t="s">
        <v>528</v>
      </c>
      <c r="D608" s="24" t="s">
        <v>1492</v>
      </c>
      <c r="E608" s="25">
        <v>3.5599999999999998E-6</v>
      </c>
      <c r="F608" s="26">
        <v>5.6227100000000002E-2</v>
      </c>
      <c r="G608" s="27">
        <v>627.57000000000005</v>
      </c>
      <c r="H608" s="27">
        <v>1388823</v>
      </c>
      <c r="I608" s="28">
        <v>24700248</v>
      </c>
      <c r="J608" s="28">
        <v>24700248</v>
      </c>
      <c r="K608" s="34">
        <v>0.62</v>
      </c>
      <c r="L608" s="34">
        <v>4.8899999999999997</v>
      </c>
      <c r="M608" s="34">
        <v>-25.28</v>
      </c>
      <c r="N608" s="24">
        <v>604</v>
      </c>
      <c r="O608" s="29">
        <v>43096.561851851853</v>
      </c>
    </row>
    <row r="609" spans="2:15" x14ac:dyDescent="0.25">
      <c r="B609" s="24" t="s">
        <v>2250</v>
      </c>
      <c r="C609" s="23" t="s">
        <v>313</v>
      </c>
      <c r="D609" s="24" t="s">
        <v>1281</v>
      </c>
      <c r="E609" s="25">
        <v>9.7999999999999993E-7</v>
      </c>
      <c r="F609" s="26">
        <v>1.54466E-2</v>
      </c>
      <c r="G609" s="27">
        <v>33918</v>
      </c>
      <c r="H609" s="27">
        <v>1362135</v>
      </c>
      <c r="I609" s="28">
        <v>88183483</v>
      </c>
      <c r="J609" s="28">
        <v>488183483</v>
      </c>
      <c r="K609" s="34">
        <v>-9.73</v>
      </c>
      <c r="L609" s="34">
        <v>-14.23</v>
      </c>
      <c r="M609" s="34">
        <v>10.89</v>
      </c>
      <c r="N609" s="24">
        <v>605</v>
      </c>
      <c r="O609" s="29">
        <v>43096.561956018515</v>
      </c>
    </row>
    <row r="610" spans="2:15" x14ac:dyDescent="0.25">
      <c r="B610" s="24" t="s">
        <v>3466</v>
      </c>
      <c r="C610" s="23" t="s">
        <v>3467</v>
      </c>
      <c r="D610" s="24" t="s">
        <v>3468</v>
      </c>
      <c r="E610" s="25">
        <v>1.01E-5</v>
      </c>
      <c r="F610" s="26">
        <v>0.15956799999999999</v>
      </c>
      <c r="G610" s="27">
        <v>37201.9</v>
      </c>
      <c r="H610" s="27">
        <v>1356328</v>
      </c>
      <c r="I610" s="28">
        <v>8500001</v>
      </c>
      <c r="J610" s="28">
        <v>8500001</v>
      </c>
      <c r="K610" s="34">
        <v>23.02</v>
      </c>
      <c r="L610" s="34">
        <v>-26.92</v>
      </c>
      <c r="M610" s="34">
        <v>96.39</v>
      </c>
      <c r="N610" s="24">
        <v>606</v>
      </c>
      <c r="O610" s="29">
        <v>43096.561944444446</v>
      </c>
    </row>
    <row r="611" spans="2:15" x14ac:dyDescent="0.25">
      <c r="B611" s="24" t="s">
        <v>2537</v>
      </c>
      <c r="C611" s="23" t="s">
        <v>469</v>
      </c>
      <c r="D611" s="24" t="s">
        <v>1433</v>
      </c>
      <c r="E611" s="25">
        <v>2.9900000000000002E-6</v>
      </c>
      <c r="F611" s="26">
        <v>4.7284199999999998E-2</v>
      </c>
      <c r="G611" s="27">
        <v>186574</v>
      </c>
      <c r="H611" s="27">
        <v>1337153</v>
      </c>
      <c r="I611" s="28">
        <v>28279074</v>
      </c>
      <c r="J611" s="28">
        <v>28279074</v>
      </c>
      <c r="K611" s="34">
        <v>12.53</v>
      </c>
      <c r="L611" s="34">
        <v>440.79</v>
      </c>
      <c r="M611" s="34">
        <v>664.57</v>
      </c>
      <c r="N611" s="24">
        <v>607</v>
      </c>
      <c r="O611" s="29">
        <v>43096.561828703707</v>
      </c>
    </row>
    <row r="612" spans="2:15" x14ac:dyDescent="0.25">
      <c r="B612" s="24" t="s">
        <v>2306</v>
      </c>
      <c r="C612" s="23" t="s">
        <v>511</v>
      </c>
      <c r="D612" s="24" t="s">
        <v>1476</v>
      </c>
      <c r="E612" s="25">
        <v>2.6930000000000001E-5</v>
      </c>
      <c r="F612" s="26">
        <v>0.42549100000000001</v>
      </c>
      <c r="G612" s="27">
        <v>2602.86</v>
      </c>
      <c r="H612" s="27">
        <v>1322175</v>
      </c>
      <c r="I612" s="28">
        <v>3107410</v>
      </c>
      <c r="J612" s="28">
        <v>3107410</v>
      </c>
      <c r="K612" s="34">
        <v>-1.0900000000000001</v>
      </c>
      <c r="L612" s="34">
        <v>-3.05</v>
      </c>
      <c r="M612" s="34">
        <v>-29.22</v>
      </c>
      <c r="N612" s="24">
        <v>608</v>
      </c>
      <c r="O612" s="29">
        <v>43096.56181712963</v>
      </c>
    </row>
    <row r="613" spans="2:15" x14ac:dyDescent="0.25">
      <c r="B613" s="24" t="s">
        <v>2915</v>
      </c>
      <c r="C613" s="23" t="s">
        <v>2916</v>
      </c>
      <c r="D613" s="24" t="s">
        <v>2917</v>
      </c>
      <c r="E613" s="25">
        <v>9.0840000000000004E-5</v>
      </c>
      <c r="F613" s="26">
        <v>1.43513</v>
      </c>
      <c r="G613" s="27">
        <v>148878</v>
      </c>
      <c r="H613" s="27">
        <v>1291617</v>
      </c>
      <c r="I613" s="28">
        <v>900000</v>
      </c>
      <c r="J613" s="28">
        <v>10800000</v>
      </c>
      <c r="K613" s="34">
        <v>-2.8</v>
      </c>
      <c r="L613" s="34">
        <v>-17.940000000000001</v>
      </c>
      <c r="M613" s="34">
        <v>-35.47</v>
      </c>
      <c r="N613" s="24">
        <v>609</v>
      </c>
      <c r="O613" s="29">
        <v>43096.561967592592</v>
      </c>
    </row>
    <row r="614" spans="2:15" x14ac:dyDescent="0.25">
      <c r="B614" s="24" t="s">
        <v>2728</v>
      </c>
      <c r="C614" s="23" t="s">
        <v>799</v>
      </c>
      <c r="D614" s="24" t="s">
        <v>1755</v>
      </c>
      <c r="E614" s="25">
        <v>6.9670000000000002E-5</v>
      </c>
      <c r="F614" s="26">
        <v>1.1007400000000001</v>
      </c>
      <c r="G614" s="27">
        <v>3243.61</v>
      </c>
      <c r="H614" s="27">
        <v>1290710</v>
      </c>
      <c r="I614" s="28">
        <v>1172584</v>
      </c>
      <c r="J614" s="28">
        <v>1172584</v>
      </c>
      <c r="K614" s="34">
        <v>-1.1399999999999999</v>
      </c>
      <c r="L614" s="34">
        <v>-8.56</v>
      </c>
      <c r="M614" s="34">
        <v>-15.6</v>
      </c>
      <c r="N614" s="24">
        <v>610</v>
      </c>
      <c r="O614" s="29">
        <v>43096.561967592592</v>
      </c>
    </row>
    <row r="615" spans="2:15" x14ac:dyDescent="0.25">
      <c r="B615" s="24" t="s">
        <v>3660</v>
      </c>
      <c r="C615" s="23" t="s">
        <v>3661</v>
      </c>
      <c r="D615" s="24" t="s">
        <v>3662</v>
      </c>
      <c r="E615" s="25">
        <v>1.046E-5</v>
      </c>
      <c r="F615" s="30">
        <v>0.16525400000000001</v>
      </c>
      <c r="G615" s="27">
        <v>4288.51</v>
      </c>
      <c r="H615" s="27">
        <v>1262028</v>
      </c>
      <c r="I615" s="28">
        <v>7636898</v>
      </c>
      <c r="J615" s="28">
        <v>15375000</v>
      </c>
      <c r="K615" s="34">
        <v>-0.64</v>
      </c>
      <c r="L615" s="34">
        <v>39.03</v>
      </c>
      <c r="M615" s="34">
        <v>5.28</v>
      </c>
      <c r="N615" s="24">
        <v>611</v>
      </c>
      <c r="O615" s="29">
        <v>43096.562002314815</v>
      </c>
    </row>
    <row r="616" spans="2:15" x14ac:dyDescent="0.25">
      <c r="B616" s="24" t="s">
        <v>2315</v>
      </c>
      <c r="C616" s="23" t="s">
        <v>386</v>
      </c>
      <c r="D616" s="24" t="s">
        <v>1351</v>
      </c>
      <c r="E616" s="25">
        <v>1.0699999999999999E-6</v>
      </c>
      <c r="F616" s="26">
        <v>1.6971900000000002E-2</v>
      </c>
      <c r="G616" s="27">
        <v>1840.4</v>
      </c>
      <c r="H616" s="27">
        <v>1250719</v>
      </c>
      <c r="I616" s="28">
        <v>73693538</v>
      </c>
      <c r="J616" s="28">
        <v>73693538</v>
      </c>
      <c r="K616" s="34">
        <v>-3.7</v>
      </c>
      <c r="L616" s="34">
        <v>20.39</v>
      </c>
      <c r="M616" s="34">
        <v>52.99</v>
      </c>
      <c r="N616" s="24">
        <v>612</v>
      </c>
      <c r="O616" s="29">
        <v>43096.56181712963</v>
      </c>
    </row>
    <row r="617" spans="2:15" x14ac:dyDescent="0.25">
      <c r="B617" s="24" t="s">
        <v>2347</v>
      </c>
      <c r="C617" s="23" t="s">
        <v>419</v>
      </c>
      <c r="D617" s="24" t="s">
        <v>1383</v>
      </c>
      <c r="E617" s="25">
        <v>2.3700000000000002E-6</v>
      </c>
      <c r="F617" s="26">
        <v>3.7456799999999998E-2</v>
      </c>
      <c r="G617" s="27">
        <v>5575.31</v>
      </c>
      <c r="H617" s="27">
        <v>1234991</v>
      </c>
      <c r="I617" s="28">
        <v>32971088</v>
      </c>
      <c r="J617" s="28">
        <v>39953064</v>
      </c>
      <c r="K617" s="34">
        <v>-1.59</v>
      </c>
      <c r="L617" s="34">
        <v>9.58</v>
      </c>
      <c r="M617" s="34">
        <v>-20.010000000000002</v>
      </c>
      <c r="N617" s="24">
        <v>613</v>
      </c>
      <c r="O617" s="29">
        <v>43096.56181712963</v>
      </c>
    </row>
    <row r="618" spans="2:15" x14ac:dyDescent="0.25">
      <c r="B618" s="24" t="s">
        <v>2367</v>
      </c>
      <c r="C618" s="23" t="s">
        <v>441</v>
      </c>
      <c r="D618" s="24" t="s">
        <v>1404</v>
      </c>
      <c r="E618" s="25">
        <v>4.0999999999999999E-7</v>
      </c>
      <c r="F618" s="26">
        <v>6.5085100000000003E-3</v>
      </c>
      <c r="G618" s="27">
        <v>25899.9</v>
      </c>
      <c r="H618" s="27">
        <v>1234860</v>
      </c>
      <c r="I618" s="28">
        <v>189729990</v>
      </c>
      <c r="J618" s="28">
        <v>10000244678</v>
      </c>
      <c r="K618" s="34">
        <v>-1.08</v>
      </c>
      <c r="L618" s="34">
        <v>2.27</v>
      </c>
      <c r="M618" s="34">
        <v>0.45</v>
      </c>
      <c r="N618" s="24">
        <v>614</v>
      </c>
      <c r="O618" s="29">
        <v>43096.561886574076</v>
      </c>
    </row>
    <row r="619" spans="2:15" x14ac:dyDescent="0.25">
      <c r="B619" s="24" t="s">
        <v>2332</v>
      </c>
      <c r="C619" s="23" t="s">
        <v>532</v>
      </c>
      <c r="D619" s="24" t="s">
        <v>1496</v>
      </c>
      <c r="E619" s="25">
        <v>2.1902200000000001E-3</v>
      </c>
      <c r="F619" s="26">
        <v>34.602800000000002</v>
      </c>
      <c r="G619" s="27">
        <v>2131.23</v>
      </c>
      <c r="H619" s="27">
        <v>1229826</v>
      </c>
      <c r="I619" s="28">
        <v>35541</v>
      </c>
      <c r="J619" s="28">
        <v>35541</v>
      </c>
      <c r="K619" s="34">
        <v>-1.0900000000000001</v>
      </c>
      <c r="L619" s="34">
        <v>1.75</v>
      </c>
      <c r="M619" s="34">
        <v>-14.2</v>
      </c>
      <c r="N619" s="24">
        <v>615</v>
      </c>
      <c r="O619" s="29">
        <v>43096.56181712963</v>
      </c>
    </row>
    <row r="620" spans="2:15" x14ac:dyDescent="0.25">
      <c r="B620" s="24" t="s">
        <v>3523</v>
      </c>
      <c r="C620" s="23" t="s">
        <v>3524</v>
      </c>
      <c r="D620" s="24" t="s">
        <v>3525</v>
      </c>
      <c r="E620" s="25">
        <v>7.6810000000000005E-5</v>
      </c>
      <c r="F620" s="26">
        <v>1.21343</v>
      </c>
      <c r="G620" s="27">
        <v>148247</v>
      </c>
      <c r="H620" s="27">
        <v>1228764</v>
      </c>
      <c r="I620" s="28">
        <v>1012637</v>
      </c>
      <c r="J620" s="28">
        <v>1772559</v>
      </c>
      <c r="K620" s="34">
        <v>-3.09</v>
      </c>
      <c r="L620" s="34">
        <v>33.31</v>
      </c>
      <c r="M620" s="34">
        <v>226.09</v>
      </c>
      <c r="N620" s="24">
        <v>616</v>
      </c>
      <c r="O620" s="29">
        <v>43096.562002314815</v>
      </c>
    </row>
    <row r="621" spans="2:15" x14ac:dyDescent="0.25">
      <c r="B621" s="24" t="s">
        <v>2480</v>
      </c>
      <c r="C621" s="23" t="s">
        <v>548</v>
      </c>
      <c r="D621" s="24" t="s">
        <v>1512</v>
      </c>
      <c r="E621" s="25">
        <v>1.5600000000000001E-6</v>
      </c>
      <c r="F621" s="26">
        <v>2.4575699999999999E-2</v>
      </c>
      <c r="G621" s="27">
        <v>5885.68</v>
      </c>
      <c r="H621" s="27">
        <v>1226283</v>
      </c>
      <c r="I621" s="28">
        <v>49898202</v>
      </c>
      <c r="J621" s="28">
        <v>49898202</v>
      </c>
      <c r="K621" s="34">
        <v>-3.69</v>
      </c>
      <c r="L621" s="34">
        <v>18.100000000000001</v>
      </c>
      <c r="M621" s="34">
        <v>71.28</v>
      </c>
      <c r="N621" s="24">
        <v>617</v>
      </c>
      <c r="O621" s="29">
        <v>43096.561840277776</v>
      </c>
    </row>
    <row r="622" spans="2:15" x14ac:dyDescent="0.25">
      <c r="B622" s="24" t="s">
        <v>2384</v>
      </c>
      <c r="C622" s="23" t="s">
        <v>451</v>
      </c>
      <c r="D622" s="24" t="s">
        <v>1414</v>
      </c>
      <c r="E622" s="25">
        <v>2.79E-6</v>
      </c>
      <c r="F622" s="26">
        <v>4.4107500000000001E-2</v>
      </c>
      <c r="G622" s="27">
        <v>18603.5</v>
      </c>
      <c r="H622" s="27">
        <v>1218029</v>
      </c>
      <c r="I622" s="28">
        <v>27615018</v>
      </c>
      <c r="J622" s="28">
        <v>27615018</v>
      </c>
      <c r="K622" s="34">
        <v>-1.23</v>
      </c>
      <c r="L622" s="34">
        <v>-9.9700000000000006</v>
      </c>
      <c r="M622" s="34">
        <v>103.86</v>
      </c>
      <c r="N622" s="24">
        <v>618</v>
      </c>
      <c r="O622" s="29">
        <v>43096.56181712963</v>
      </c>
    </row>
    <row r="623" spans="2:15" x14ac:dyDescent="0.25">
      <c r="B623" s="24" t="s">
        <v>2481</v>
      </c>
      <c r="C623" s="23" t="s">
        <v>428</v>
      </c>
      <c r="D623" s="24" t="s">
        <v>1392</v>
      </c>
      <c r="E623" s="25">
        <v>2.3999999999999998E-7</v>
      </c>
      <c r="F623" s="26">
        <v>3.77064E-3</v>
      </c>
      <c r="G623" s="27">
        <v>2015.6</v>
      </c>
      <c r="H623" s="27">
        <v>1214955</v>
      </c>
      <c r="I623" s="28">
        <v>322214524</v>
      </c>
      <c r="J623" s="28">
        <v>322214524</v>
      </c>
      <c r="K623" s="34">
        <v>3.2</v>
      </c>
      <c r="L623" s="34">
        <v>23.45</v>
      </c>
      <c r="M623" s="34">
        <v>77.95</v>
      </c>
      <c r="N623" s="24">
        <v>619</v>
      </c>
      <c r="O623" s="29">
        <v>43096.561828703707</v>
      </c>
    </row>
    <row r="624" spans="2:15" x14ac:dyDescent="0.25">
      <c r="B624" s="24" t="s">
        <v>2176</v>
      </c>
      <c r="C624" s="23" t="s">
        <v>240</v>
      </c>
      <c r="D624" s="24" t="s">
        <v>1208</v>
      </c>
      <c r="E624" s="25">
        <v>1.4999999999999999E-7</v>
      </c>
      <c r="F624" s="26">
        <v>2.3913900000000002E-3</v>
      </c>
      <c r="G624" s="27">
        <v>8315.59</v>
      </c>
      <c r="H624" s="27">
        <v>1197306</v>
      </c>
      <c r="I624" s="28">
        <v>500673850</v>
      </c>
      <c r="J624" s="28">
        <v>525673850</v>
      </c>
      <c r="K624" s="34">
        <v>-9.7799999999999994</v>
      </c>
      <c r="L624" s="34">
        <v>25.49</v>
      </c>
      <c r="M624" s="34">
        <v>106.6</v>
      </c>
      <c r="N624" s="24">
        <v>620</v>
      </c>
      <c r="O624" s="29">
        <v>43096.561956018515</v>
      </c>
    </row>
    <row r="625" spans="2:15" x14ac:dyDescent="0.25">
      <c r="B625" s="24" t="s">
        <v>2542</v>
      </c>
      <c r="C625" s="23" t="s">
        <v>613</v>
      </c>
      <c r="D625" s="24" t="s">
        <v>1574</v>
      </c>
      <c r="E625" s="25">
        <v>1.02E-6</v>
      </c>
      <c r="F625" s="26">
        <v>1.6115899999999999E-2</v>
      </c>
      <c r="G625" s="27">
        <v>65283.7</v>
      </c>
      <c r="H625" s="27">
        <v>1194315</v>
      </c>
      <c r="I625" s="28">
        <v>74107896</v>
      </c>
      <c r="J625" s="28">
        <v>74107896</v>
      </c>
      <c r="K625" s="34">
        <v>-3.19</v>
      </c>
      <c r="L625" s="34">
        <v>-24.93</v>
      </c>
      <c r="M625" s="34">
        <v>141.80000000000001</v>
      </c>
      <c r="N625" s="24">
        <v>621</v>
      </c>
      <c r="O625" s="29">
        <v>43096.56181712963</v>
      </c>
    </row>
    <row r="626" spans="2:15" x14ac:dyDescent="0.25">
      <c r="B626" s="24" t="s">
        <v>2475</v>
      </c>
      <c r="C626" s="23" t="s">
        <v>545</v>
      </c>
      <c r="D626" s="24" t="s">
        <v>1509</v>
      </c>
      <c r="E626" s="25">
        <v>7.1999999999999999E-7</v>
      </c>
      <c r="F626" s="26">
        <v>1.1375100000000001E-2</v>
      </c>
      <c r="G626" s="27">
        <v>8441.85</v>
      </c>
      <c r="H626" s="27">
        <v>1156259</v>
      </c>
      <c r="I626" s="28">
        <v>101648239</v>
      </c>
      <c r="J626" s="28">
        <v>101648239</v>
      </c>
      <c r="K626" s="34">
        <v>-1.1399999999999999</v>
      </c>
      <c r="L626" s="34">
        <v>40.04</v>
      </c>
      <c r="M626" s="34">
        <v>62.49</v>
      </c>
      <c r="N626" s="24">
        <v>622</v>
      </c>
      <c r="O626" s="29">
        <v>43096.561828703707</v>
      </c>
    </row>
    <row r="627" spans="2:15" x14ac:dyDescent="0.25">
      <c r="B627" s="24" t="s">
        <v>2443</v>
      </c>
      <c r="C627" s="23" t="s">
        <v>348</v>
      </c>
      <c r="D627" s="24" t="s">
        <v>1316</v>
      </c>
      <c r="E627" s="25">
        <v>6E-9</v>
      </c>
      <c r="F627" s="26">
        <v>9.4815599999999994E-5</v>
      </c>
      <c r="G627" s="27">
        <v>3807.02</v>
      </c>
      <c r="H627" s="27">
        <v>1112651</v>
      </c>
      <c r="I627" s="28">
        <v>11734891888</v>
      </c>
      <c r="J627" s="28">
        <v>11736891888</v>
      </c>
      <c r="K627" s="34">
        <v>-0.45</v>
      </c>
      <c r="L627" s="34">
        <v>-0.55000000000000004</v>
      </c>
      <c r="M627" s="34">
        <v>-13.43</v>
      </c>
      <c r="N627" s="24">
        <v>623</v>
      </c>
      <c r="O627" s="29">
        <v>43096.561851851853</v>
      </c>
    </row>
    <row r="628" spans="2:15" x14ac:dyDescent="0.25">
      <c r="B628" s="24" t="s">
        <v>2689</v>
      </c>
      <c r="C628" s="23" t="s">
        <v>766</v>
      </c>
      <c r="D628" s="24" t="s">
        <v>2939</v>
      </c>
      <c r="E628" s="25">
        <v>5.0340000000000003E-5</v>
      </c>
      <c r="F628" s="26">
        <v>0.79524600000000001</v>
      </c>
      <c r="G628" s="27">
        <v>919.98299999999995</v>
      </c>
      <c r="H628" s="27">
        <v>1106667</v>
      </c>
      <c r="I628" s="28">
        <v>1391604</v>
      </c>
      <c r="J628" s="28">
        <v>1634691</v>
      </c>
      <c r="K628" s="34">
        <v>-7.98</v>
      </c>
      <c r="L628" s="34">
        <v>-54.43</v>
      </c>
      <c r="M628" s="34">
        <v>-35.22</v>
      </c>
      <c r="N628" s="24">
        <v>624</v>
      </c>
      <c r="O628" s="29">
        <v>43096.561932870369</v>
      </c>
    </row>
    <row r="629" spans="2:15" x14ac:dyDescent="0.25">
      <c r="B629" s="24" t="s">
        <v>2345</v>
      </c>
      <c r="C629" s="23" t="s">
        <v>512</v>
      </c>
      <c r="D629" s="24" t="s">
        <v>1477</v>
      </c>
      <c r="E629" s="25">
        <v>6.7000000000000002E-6</v>
      </c>
      <c r="F629" s="26">
        <v>0.105848</v>
      </c>
      <c r="G629" s="27">
        <v>14922.6</v>
      </c>
      <c r="H629" s="27">
        <v>1081472</v>
      </c>
      <c r="I629" s="28">
        <v>10217222</v>
      </c>
      <c r="J629" s="28">
        <v>10217945</v>
      </c>
      <c r="K629" s="34">
        <v>-0.49</v>
      </c>
      <c r="L629" s="34">
        <v>7.68</v>
      </c>
      <c r="M629" s="34">
        <v>11.41</v>
      </c>
      <c r="N629" s="24">
        <v>625</v>
      </c>
      <c r="O629" s="29">
        <v>43096.561944444446</v>
      </c>
    </row>
    <row r="630" spans="2:15" x14ac:dyDescent="0.25">
      <c r="B630" s="24" t="s">
        <v>2351</v>
      </c>
      <c r="C630" s="23" t="s">
        <v>409</v>
      </c>
      <c r="D630" s="24" t="s">
        <v>1372</v>
      </c>
      <c r="E630" s="25">
        <v>3.3100000000000001E-6</v>
      </c>
      <c r="F630" s="26">
        <v>5.2352799999999998E-2</v>
      </c>
      <c r="G630" s="27">
        <v>20610.7</v>
      </c>
      <c r="H630" s="27">
        <v>1062257</v>
      </c>
      <c r="I630" s="28">
        <v>20290350</v>
      </c>
      <c r="J630" s="28">
        <v>20290350</v>
      </c>
      <c r="K630" s="34">
        <v>3.17</v>
      </c>
      <c r="L630" s="34">
        <v>16.11</v>
      </c>
      <c r="M630" s="34">
        <v>19.38</v>
      </c>
      <c r="N630" s="24">
        <v>626</v>
      </c>
      <c r="O630" s="29">
        <v>43096.561851851853</v>
      </c>
    </row>
    <row r="631" spans="2:15" x14ac:dyDescent="0.25">
      <c r="B631" s="24" t="s">
        <v>2499</v>
      </c>
      <c r="C631" s="23" t="s">
        <v>559</v>
      </c>
      <c r="D631" s="24" t="s">
        <v>1523</v>
      </c>
      <c r="E631" s="25">
        <v>1.0000000000000001E-9</v>
      </c>
      <c r="F631" s="26">
        <v>2.2853E-5</v>
      </c>
      <c r="G631" s="27">
        <v>7141.8</v>
      </c>
      <c r="H631" s="27">
        <v>1061665</v>
      </c>
      <c r="I631" s="28">
        <v>46456257499</v>
      </c>
      <c r="J631" s="28">
        <v>46456257499</v>
      </c>
      <c r="K631" s="34">
        <v>-4.87</v>
      </c>
      <c r="L631" s="34">
        <v>59.88</v>
      </c>
      <c r="M631" s="34">
        <v>49.95</v>
      </c>
      <c r="N631" s="24">
        <v>627</v>
      </c>
      <c r="O631" s="29">
        <v>43096.561863425923</v>
      </c>
    </row>
    <row r="632" spans="2:15" x14ac:dyDescent="0.25">
      <c r="B632" s="24" t="s">
        <v>2471</v>
      </c>
      <c r="C632" s="23" t="s">
        <v>522</v>
      </c>
      <c r="D632" s="24" t="s">
        <v>522</v>
      </c>
      <c r="E632" s="25">
        <v>2.74E-6</v>
      </c>
      <c r="F632" s="26">
        <v>4.3261899999999999E-2</v>
      </c>
      <c r="G632" s="27">
        <v>969.351</v>
      </c>
      <c r="H632" s="27">
        <v>1042672</v>
      </c>
      <c r="I632" s="28">
        <v>24101381</v>
      </c>
      <c r="J632" s="28">
        <v>24101381</v>
      </c>
      <c r="K632" s="34">
        <v>-11.86</v>
      </c>
      <c r="L632" s="34">
        <v>33.92</v>
      </c>
      <c r="M632" s="34">
        <v>49.93</v>
      </c>
      <c r="N632" s="24">
        <v>628</v>
      </c>
      <c r="O632" s="29">
        <v>43096.561851851853</v>
      </c>
    </row>
    <row r="633" spans="2:15" x14ac:dyDescent="0.25">
      <c r="B633" s="24" t="s">
        <v>2160</v>
      </c>
      <c r="C633" s="23" t="s">
        <v>209</v>
      </c>
      <c r="D633" s="24" t="s">
        <v>1178</v>
      </c>
      <c r="E633" s="25">
        <v>1.8510000000000001E-5</v>
      </c>
      <c r="F633" s="26">
        <v>0.29246800000000001</v>
      </c>
      <c r="G633" s="27">
        <v>41629</v>
      </c>
      <c r="H633" s="27">
        <v>1041803</v>
      </c>
      <c r="I633" s="28">
        <v>3562111</v>
      </c>
      <c r="J633" s="28">
        <v>70000000</v>
      </c>
      <c r="K633" s="34">
        <v>-1.1200000000000001</v>
      </c>
      <c r="L633" s="34">
        <v>1.85</v>
      </c>
      <c r="M633" s="34">
        <v>-11.16</v>
      </c>
      <c r="N633" s="24">
        <v>629</v>
      </c>
      <c r="O633" s="29">
        <v>43096.561909722222</v>
      </c>
    </row>
    <row r="634" spans="2:15" x14ac:dyDescent="0.25">
      <c r="B634" s="24" t="s">
        <v>2340</v>
      </c>
      <c r="C634" s="23" t="s">
        <v>407</v>
      </c>
      <c r="D634" s="24" t="s">
        <v>1371</v>
      </c>
      <c r="E634" s="25">
        <v>4.4700000000000002E-5</v>
      </c>
      <c r="F634" s="26">
        <v>0.70616599999999996</v>
      </c>
      <c r="G634" s="27">
        <v>1163.49</v>
      </c>
      <c r="H634" s="27">
        <v>1036539</v>
      </c>
      <c r="I634" s="28">
        <v>1467841</v>
      </c>
      <c r="J634" s="28">
        <v>1467841</v>
      </c>
      <c r="K634" s="34">
        <v>-1.0900000000000001</v>
      </c>
      <c r="L634" s="34">
        <v>48.03</v>
      </c>
      <c r="M634" s="34">
        <v>68.88</v>
      </c>
      <c r="N634" s="24">
        <v>630</v>
      </c>
      <c r="O634" s="29">
        <v>43096.561851851853</v>
      </c>
    </row>
    <row r="635" spans="2:15" x14ac:dyDescent="0.25">
      <c r="B635" s="24" t="s">
        <v>3084</v>
      </c>
      <c r="C635" s="23" t="s">
        <v>3365</v>
      </c>
      <c r="D635" s="24" t="s">
        <v>3085</v>
      </c>
      <c r="E635" s="25">
        <v>5.2299999999999999E-6</v>
      </c>
      <c r="F635" s="26">
        <v>8.2650000000000001E-2</v>
      </c>
      <c r="G635" s="27">
        <v>10736.1</v>
      </c>
      <c r="H635" s="27">
        <v>1035584</v>
      </c>
      <c r="I635" s="28">
        <v>12529747</v>
      </c>
      <c r="J635" s="28">
        <v>12529747</v>
      </c>
      <c r="K635" s="34">
        <v>-8.77</v>
      </c>
      <c r="L635" s="34">
        <v>11.29</v>
      </c>
      <c r="M635" s="34">
        <v>2.31</v>
      </c>
      <c r="N635" s="24">
        <v>631</v>
      </c>
      <c r="O635" s="29">
        <v>43096.561979166669</v>
      </c>
    </row>
    <row r="636" spans="2:15" x14ac:dyDescent="0.25">
      <c r="B636" s="24" t="s">
        <v>2305</v>
      </c>
      <c r="C636" s="23" t="s">
        <v>385</v>
      </c>
      <c r="D636" s="24" t="s">
        <v>1350</v>
      </c>
      <c r="E636" s="25">
        <v>2.0000000000000001E-9</v>
      </c>
      <c r="F636" s="26">
        <v>2.9648299999999999E-5</v>
      </c>
      <c r="G636" s="27">
        <v>4660.0200000000004</v>
      </c>
      <c r="H636" s="27">
        <v>1034370</v>
      </c>
      <c r="I636" s="28">
        <v>34888008393</v>
      </c>
      <c r="J636" s="28">
        <v>34888008393</v>
      </c>
      <c r="K636" s="34">
        <v>2.7</v>
      </c>
      <c r="L636" s="34">
        <v>24.59</v>
      </c>
      <c r="M636" s="34">
        <v>109.66</v>
      </c>
      <c r="N636" s="24">
        <v>632</v>
      </c>
      <c r="O636" s="29">
        <v>43096.561909722222</v>
      </c>
    </row>
    <row r="637" spans="2:15" x14ac:dyDescent="0.25">
      <c r="B637" s="24" t="s">
        <v>2350</v>
      </c>
      <c r="C637" s="23" t="s">
        <v>418</v>
      </c>
      <c r="D637" s="24" t="s">
        <v>1382</v>
      </c>
      <c r="E637" s="25">
        <v>8.9703000000000005E-4</v>
      </c>
      <c r="F637" s="26">
        <v>14.172000000000001</v>
      </c>
      <c r="G637" s="27">
        <v>24774.9</v>
      </c>
      <c r="H637" s="27">
        <v>1033018</v>
      </c>
      <c r="I637" s="28">
        <v>72891</v>
      </c>
      <c r="J637" s="28">
        <v>72891</v>
      </c>
      <c r="K637" s="34">
        <v>26.04</v>
      </c>
      <c r="L637" s="34">
        <v>131.91999999999999</v>
      </c>
      <c r="M637" s="34">
        <v>125.47</v>
      </c>
      <c r="N637" s="24">
        <v>633</v>
      </c>
      <c r="O637" s="29">
        <v>43096.561840277776</v>
      </c>
    </row>
    <row r="638" spans="2:15" x14ac:dyDescent="0.25">
      <c r="B638" s="24" t="s">
        <v>2331</v>
      </c>
      <c r="C638" s="23" t="s">
        <v>397</v>
      </c>
      <c r="D638" s="24" t="s">
        <v>1360</v>
      </c>
      <c r="E638" s="25">
        <v>1.0300000000000001E-6</v>
      </c>
      <c r="F638" s="26">
        <v>1.6309299999999999E-2</v>
      </c>
      <c r="G638" s="27">
        <v>1519.02</v>
      </c>
      <c r="H638" s="27">
        <v>1026779</v>
      </c>
      <c r="I638" s="28">
        <v>62956687</v>
      </c>
      <c r="J638" s="28">
        <v>62956687</v>
      </c>
      <c r="K638" s="34">
        <v>-12.36</v>
      </c>
      <c r="L638" s="34">
        <v>15.16</v>
      </c>
      <c r="M638" s="34">
        <v>15.15</v>
      </c>
      <c r="N638" s="24">
        <v>634</v>
      </c>
      <c r="O638" s="29">
        <v>43096.561805555553</v>
      </c>
    </row>
    <row r="639" spans="2:15" x14ac:dyDescent="0.25">
      <c r="B639" s="24" t="s">
        <v>2286</v>
      </c>
      <c r="C639" s="23" t="s">
        <v>368</v>
      </c>
      <c r="D639" s="24" t="s">
        <v>1335</v>
      </c>
      <c r="E639" s="25">
        <v>8.7399999999999993E-6</v>
      </c>
      <c r="F639" s="26">
        <v>0.13808300000000001</v>
      </c>
      <c r="G639" s="27">
        <v>24280.1</v>
      </c>
      <c r="H639" s="27">
        <v>1012335</v>
      </c>
      <c r="I639" s="28">
        <v>7331349</v>
      </c>
      <c r="J639" s="28">
        <v>7331349</v>
      </c>
      <c r="K639" s="34">
        <v>-4.9400000000000004</v>
      </c>
      <c r="L639" s="34">
        <v>31.69</v>
      </c>
      <c r="M639" s="34">
        <v>8.51</v>
      </c>
      <c r="N639" s="24">
        <v>635</v>
      </c>
      <c r="O639" s="29">
        <v>43096.561874999999</v>
      </c>
    </row>
    <row r="640" spans="2:15" x14ac:dyDescent="0.25">
      <c r="B640" s="24" t="s">
        <v>2355</v>
      </c>
      <c r="C640" s="23" t="s">
        <v>412</v>
      </c>
      <c r="D640" s="24" t="s">
        <v>1375</v>
      </c>
      <c r="E640" s="25">
        <v>1.1417E-4</v>
      </c>
      <c r="F640" s="26">
        <v>1.80375</v>
      </c>
      <c r="G640" s="27">
        <v>3007.75</v>
      </c>
      <c r="H640" s="27">
        <v>1000820</v>
      </c>
      <c r="I640" s="28">
        <v>554855</v>
      </c>
      <c r="J640" s="28">
        <v>554855</v>
      </c>
      <c r="K640" s="34">
        <v>-1.0900000000000001</v>
      </c>
      <c r="L640" s="34">
        <v>-2.94</v>
      </c>
      <c r="M640" s="34">
        <v>60.55</v>
      </c>
      <c r="N640" s="24">
        <v>636</v>
      </c>
      <c r="O640" s="29">
        <v>43096.561898148146</v>
      </c>
    </row>
    <row r="641" spans="2:15" x14ac:dyDescent="0.25">
      <c r="B641" s="24" t="s">
        <v>3791</v>
      </c>
      <c r="C641" s="23" t="s">
        <v>3792</v>
      </c>
      <c r="D641" s="24" t="s">
        <v>3793</v>
      </c>
      <c r="E641" s="25">
        <v>1.1722000000000001E-4</v>
      </c>
      <c r="F641" s="26">
        <v>1.8519300000000001</v>
      </c>
      <c r="G641" s="27">
        <v>27193.8</v>
      </c>
      <c r="H641" s="27">
        <v>993208</v>
      </c>
      <c r="I641" s="28">
        <v>536310</v>
      </c>
      <c r="J641" s="28">
        <v>7241870</v>
      </c>
      <c r="K641" s="34">
        <v>-17.22</v>
      </c>
      <c r="L641" s="34">
        <v>-23.34</v>
      </c>
      <c r="M641" s="34">
        <v>20.79</v>
      </c>
      <c r="N641" s="24">
        <v>637</v>
      </c>
      <c r="O641" s="29">
        <v>43096.562013888892</v>
      </c>
    </row>
    <row r="642" spans="2:15" x14ac:dyDescent="0.25">
      <c r="B642" s="24" t="s">
        <v>2294</v>
      </c>
      <c r="C642" s="23" t="s">
        <v>370</v>
      </c>
      <c r="D642" s="24" t="s">
        <v>1337</v>
      </c>
      <c r="E642" s="25">
        <v>1.0499999999999999E-5</v>
      </c>
      <c r="F642" s="26">
        <v>0.165909</v>
      </c>
      <c r="G642" s="27">
        <v>1117.1099999999999</v>
      </c>
      <c r="H642" s="27">
        <v>990457</v>
      </c>
      <c r="I642" s="28">
        <v>5969883</v>
      </c>
      <c r="J642" s="28">
        <v>10969886</v>
      </c>
      <c r="K642" s="34">
        <v>-1.2</v>
      </c>
      <c r="L642" s="34">
        <v>-3.22</v>
      </c>
      <c r="M642" s="34">
        <v>12.75</v>
      </c>
      <c r="N642" s="24">
        <v>638</v>
      </c>
      <c r="O642" s="29">
        <v>43096.561944444446</v>
      </c>
    </row>
    <row r="643" spans="2:15" x14ac:dyDescent="0.25">
      <c r="B643" s="24" t="s">
        <v>2142</v>
      </c>
      <c r="C643" s="23" t="s">
        <v>218</v>
      </c>
      <c r="D643" s="24" t="s">
        <v>1186</v>
      </c>
      <c r="E643" s="25">
        <v>2.9999999999999999E-7</v>
      </c>
      <c r="F643" s="26">
        <v>4.8176699999999996E-3</v>
      </c>
      <c r="G643" s="27">
        <v>778.57</v>
      </c>
      <c r="H643" s="27">
        <v>973169</v>
      </c>
      <c r="I643" s="28">
        <v>202000000</v>
      </c>
      <c r="J643" s="28">
        <v>10000000000</v>
      </c>
      <c r="K643" s="34">
        <v>-0.88</v>
      </c>
      <c r="L643" s="34">
        <v>-0.81</v>
      </c>
      <c r="M643" s="34">
        <v>-23.47</v>
      </c>
      <c r="N643" s="24">
        <v>639</v>
      </c>
      <c r="O643" s="29">
        <v>43096.561932870369</v>
      </c>
    </row>
    <row r="644" spans="2:15" x14ac:dyDescent="0.25">
      <c r="B644" s="24" t="s">
        <v>2248</v>
      </c>
      <c r="C644" s="23" t="s">
        <v>320</v>
      </c>
      <c r="D644" s="24" t="s">
        <v>1288</v>
      </c>
      <c r="E644" s="25">
        <v>9.9499999999999996E-6</v>
      </c>
      <c r="F644" s="26">
        <v>0.157249</v>
      </c>
      <c r="G644" s="27">
        <v>2523.9</v>
      </c>
      <c r="H644" s="27">
        <v>945376</v>
      </c>
      <c r="I644" s="28">
        <v>6011969</v>
      </c>
      <c r="J644" s="28">
        <v>6011969</v>
      </c>
      <c r="K644" s="34">
        <v>-2.31</v>
      </c>
      <c r="L644" s="34">
        <v>15.19</v>
      </c>
      <c r="M644" s="34">
        <v>10.55</v>
      </c>
      <c r="N644" s="24">
        <v>640</v>
      </c>
      <c r="O644" s="29">
        <v>43096.56181712963</v>
      </c>
    </row>
    <row r="645" spans="2:15" x14ac:dyDescent="0.25">
      <c r="B645" s="24" t="s">
        <v>3200</v>
      </c>
      <c r="C645" s="23" t="s">
        <v>3201</v>
      </c>
      <c r="D645" s="24" t="s">
        <v>3202</v>
      </c>
      <c r="E645" s="25">
        <v>6.9500000000000004E-6</v>
      </c>
      <c r="F645" s="26">
        <v>0.109749</v>
      </c>
      <c r="G645" s="27">
        <v>1600.03</v>
      </c>
      <c r="H645" s="27">
        <v>933141</v>
      </c>
      <c r="I645" s="28">
        <v>8502500</v>
      </c>
      <c r="J645" s="28">
        <v>10000000</v>
      </c>
      <c r="K645" s="34">
        <v>-0.64</v>
      </c>
      <c r="L645" s="34">
        <v>-6.82</v>
      </c>
      <c r="M645" s="34">
        <v>17.16</v>
      </c>
      <c r="N645" s="24">
        <v>641</v>
      </c>
      <c r="O645" s="29">
        <v>43096.561979166669</v>
      </c>
    </row>
    <row r="646" spans="2:15" x14ac:dyDescent="0.25">
      <c r="B646" s="24" t="s">
        <v>2465</v>
      </c>
      <c r="C646" s="23" t="s">
        <v>535</v>
      </c>
      <c r="D646" s="24" t="s">
        <v>1499</v>
      </c>
      <c r="E646" s="25">
        <v>1.28E-6</v>
      </c>
      <c r="F646" s="26">
        <v>2.0236400000000002E-2</v>
      </c>
      <c r="G646" s="27">
        <v>4861.8599999999997</v>
      </c>
      <c r="H646" s="27">
        <v>906752</v>
      </c>
      <c r="I646" s="28">
        <v>44807993</v>
      </c>
      <c r="J646" s="28">
        <v>44807993</v>
      </c>
      <c r="K646" s="34">
        <v>1.1100000000000001</v>
      </c>
      <c r="L646" s="34">
        <v>17.440000000000001</v>
      </c>
      <c r="M646" s="34">
        <v>-5.03</v>
      </c>
      <c r="N646" s="24">
        <v>642</v>
      </c>
      <c r="O646" s="29">
        <v>43096.56181712963</v>
      </c>
    </row>
    <row r="647" spans="2:15" x14ac:dyDescent="0.25">
      <c r="B647" s="24" t="s">
        <v>2312</v>
      </c>
      <c r="C647" s="23" t="s">
        <v>402</v>
      </c>
      <c r="D647" s="24" t="s">
        <v>1366</v>
      </c>
      <c r="E647" s="25">
        <v>1.1999999999999999E-7</v>
      </c>
      <c r="F647" s="26">
        <v>1.8487E-3</v>
      </c>
      <c r="G647" s="27">
        <v>2310.5</v>
      </c>
      <c r="H647" s="27">
        <v>901482</v>
      </c>
      <c r="I647" s="28">
        <v>487630031</v>
      </c>
      <c r="J647" s="28">
        <v>487630031</v>
      </c>
      <c r="K647" s="34">
        <v>-1.44</v>
      </c>
      <c r="L647" s="34">
        <v>18.600000000000001</v>
      </c>
      <c r="M647" s="34">
        <v>87.29</v>
      </c>
      <c r="N647" s="24">
        <v>643</v>
      </c>
      <c r="O647" s="29">
        <v>43096.561840277776</v>
      </c>
    </row>
    <row r="648" spans="2:15" x14ac:dyDescent="0.25">
      <c r="B648" s="24" t="s">
        <v>2458</v>
      </c>
      <c r="C648" s="23" t="s">
        <v>527</v>
      </c>
      <c r="D648" s="24" t="s">
        <v>1491</v>
      </c>
      <c r="E648" s="25">
        <v>9.9999999999999995E-8</v>
      </c>
      <c r="F648" s="26">
        <v>1.5856100000000001E-3</v>
      </c>
      <c r="G648" s="27">
        <v>1010.2</v>
      </c>
      <c r="H648" s="27">
        <v>898784</v>
      </c>
      <c r="I648" s="28">
        <v>566838289</v>
      </c>
      <c r="J648" s="28">
        <v>566838289</v>
      </c>
      <c r="K648" s="34">
        <v>-9.7799999999999994</v>
      </c>
      <c r="L648" s="34">
        <v>10.26</v>
      </c>
      <c r="M648" s="34">
        <v>-25.23</v>
      </c>
      <c r="N648" s="24">
        <v>644</v>
      </c>
      <c r="O648" s="29">
        <v>43096.561851851853</v>
      </c>
    </row>
    <row r="649" spans="2:15" x14ac:dyDescent="0.25">
      <c r="B649" s="24" t="s">
        <v>2348</v>
      </c>
      <c r="C649" s="23" t="s">
        <v>416</v>
      </c>
      <c r="D649" s="24" t="s">
        <v>1380</v>
      </c>
      <c r="E649" s="25">
        <v>4.2100000000000003E-6</v>
      </c>
      <c r="F649" s="26">
        <v>6.6555500000000004E-2</v>
      </c>
      <c r="G649" s="27">
        <v>5635.63</v>
      </c>
      <c r="H649" s="27">
        <v>898534</v>
      </c>
      <c r="I649" s="28">
        <v>13500527</v>
      </c>
      <c r="J649" s="28">
        <v>13500527</v>
      </c>
      <c r="K649" s="34">
        <v>-0.59</v>
      </c>
      <c r="L649" s="34">
        <v>22.75</v>
      </c>
      <c r="M649" s="34">
        <v>33.08</v>
      </c>
      <c r="N649" s="24">
        <v>645</v>
      </c>
      <c r="O649" s="29">
        <v>43096.561898148146</v>
      </c>
    </row>
    <row r="650" spans="2:15" x14ac:dyDescent="0.25">
      <c r="B650" s="24" t="s">
        <v>2299</v>
      </c>
      <c r="C650" s="23" t="s">
        <v>529</v>
      </c>
      <c r="D650" s="24" t="s">
        <v>1493</v>
      </c>
      <c r="E650" s="25">
        <v>3.23E-6</v>
      </c>
      <c r="F650" s="26">
        <v>5.0963399999999999E-2</v>
      </c>
      <c r="G650" s="27">
        <v>4227.96</v>
      </c>
      <c r="H650" s="27">
        <v>895680</v>
      </c>
      <c r="I650" s="28">
        <v>17574970</v>
      </c>
      <c r="J650" s="28">
        <v>17574970</v>
      </c>
      <c r="K650" s="34">
        <v>-0.77</v>
      </c>
      <c r="L650" s="34">
        <v>-10.55</v>
      </c>
      <c r="M650" s="34">
        <v>-14.86</v>
      </c>
      <c r="N650" s="24">
        <v>646</v>
      </c>
      <c r="O650" s="29">
        <v>43096.561851851853</v>
      </c>
    </row>
    <row r="651" spans="2:15" x14ac:dyDescent="0.25">
      <c r="B651" s="24" t="s">
        <v>3339</v>
      </c>
      <c r="C651" s="23" t="s">
        <v>3340</v>
      </c>
      <c r="D651" s="24" t="s">
        <v>3341</v>
      </c>
      <c r="E651" s="25">
        <v>4.6700000000000002E-6</v>
      </c>
      <c r="F651" s="26">
        <v>7.3723999999999998E-2</v>
      </c>
      <c r="G651" s="27">
        <v>41209.5</v>
      </c>
      <c r="H651" s="27">
        <v>884688</v>
      </c>
      <c r="I651" s="28">
        <v>12000000</v>
      </c>
      <c r="J651" s="28">
        <v>24000000</v>
      </c>
      <c r="K651" s="34">
        <v>-5.51</v>
      </c>
      <c r="L651" s="34">
        <v>36.61</v>
      </c>
      <c r="M651" s="34">
        <v>85.25</v>
      </c>
      <c r="N651" s="24">
        <v>647</v>
      </c>
      <c r="O651" s="29">
        <v>43096.562002314815</v>
      </c>
    </row>
    <row r="652" spans="2:15" x14ac:dyDescent="0.25">
      <c r="B652" s="24" t="s">
        <v>3818</v>
      </c>
      <c r="C652" s="23" t="s">
        <v>3819</v>
      </c>
      <c r="D652" s="24" t="s">
        <v>1776</v>
      </c>
      <c r="E652" s="25">
        <v>2.4215E-4</v>
      </c>
      <c r="F652" s="26">
        <v>3.8256899999999998</v>
      </c>
      <c r="G652" s="27">
        <v>6887.72</v>
      </c>
      <c r="H652" s="27">
        <v>884382</v>
      </c>
      <c r="I652" s="28">
        <v>231169</v>
      </c>
      <c r="J652" s="28">
        <v>299509</v>
      </c>
      <c r="K652" s="34">
        <v>-1.35</v>
      </c>
      <c r="L652" s="34">
        <v>-33.49</v>
      </c>
      <c r="M652" s="34">
        <v>21.45</v>
      </c>
      <c r="N652" s="24">
        <v>648</v>
      </c>
      <c r="O652" s="29">
        <v>43096.562013888892</v>
      </c>
    </row>
    <row r="653" spans="2:15" x14ac:dyDescent="0.25">
      <c r="B653" s="24" t="s">
        <v>2258</v>
      </c>
      <c r="C653" s="23" t="s">
        <v>341</v>
      </c>
      <c r="D653" s="24" t="s">
        <v>1309</v>
      </c>
      <c r="E653" s="25">
        <v>4.0999999999999997E-6</v>
      </c>
      <c r="F653" s="26">
        <v>6.4699800000000002E-2</v>
      </c>
      <c r="G653" s="27">
        <v>7661.23</v>
      </c>
      <c r="H653" s="27">
        <v>854691</v>
      </c>
      <c r="I653" s="28">
        <v>13210108</v>
      </c>
      <c r="J653" s="28">
        <v>13210108</v>
      </c>
      <c r="K653" s="34">
        <v>-9.42</v>
      </c>
      <c r="L653" s="34">
        <v>-1.59</v>
      </c>
      <c r="M653" s="34">
        <v>9.6</v>
      </c>
      <c r="N653" s="24">
        <v>649</v>
      </c>
      <c r="O653" s="29">
        <v>43096.561944444446</v>
      </c>
    </row>
    <row r="654" spans="2:15" x14ac:dyDescent="0.25">
      <c r="B654" s="24" t="s">
        <v>2406</v>
      </c>
      <c r="C654" s="23" t="s">
        <v>461</v>
      </c>
      <c r="D654" s="24" t="s">
        <v>1425</v>
      </c>
      <c r="E654" s="25">
        <v>8.8000000000000004E-7</v>
      </c>
      <c r="F654" s="26">
        <v>1.3886600000000001E-2</v>
      </c>
      <c r="G654" s="27">
        <v>4849.1400000000003</v>
      </c>
      <c r="H654" s="27">
        <v>852149</v>
      </c>
      <c r="I654" s="28">
        <v>61364813</v>
      </c>
      <c r="J654" s="28">
        <v>72764813</v>
      </c>
      <c r="K654" s="34">
        <v>-50.57</v>
      </c>
      <c r="L654" s="34">
        <v>-8.92</v>
      </c>
      <c r="M654" s="34">
        <v>53.52</v>
      </c>
      <c r="N654" s="24">
        <v>650</v>
      </c>
      <c r="O654" s="29">
        <v>43096.561909722222</v>
      </c>
    </row>
    <row r="655" spans="2:15" x14ac:dyDescent="0.25">
      <c r="B655" s="24" t="s">
        <v>2190</v>
      </c>
      <c r="C655" s="23" t="s">
        <v>268</v>
      </c>
      <c r="D655" s="24" t="s">
        <v>1237</v>
      </c>
      <c r="E655" s="25">
        <v>3.0599999999999998E-5</v>
      </c>
      <c r="F655" s="26">
        <v>0.48343199999999997</v>
      </c>
      <c r="G655" s="27">
        <v>7166.49</v>
      </c>
      <c r="H655" s="27">
        <v>851833</v>
      </c>
      <c r="I655" s="28">
        <v>1762053</v>
      </c>
      <c r="J655" s="28">
        <v>1762053</v>
      </c>
      <c r="K655" s="34">
        <v>1.99</v>
      </c>
      <c r="L655" s="34">
        <v>15.27</v>
      </c>
      <c r="M655" s="34">
        <v>31.34</v>
      </c>
      <c r="N655" s="24">
        <v>651</v>
      </c>
      <c r="O655" s="29">
        <v>43096.561932870369</v>
      </c>
    </row>
    <row r="656" spans="2:15" x14ac:dyDescent="0.25">
      <c r="B656" s="24" t="s">
        <v>2478</v>
      </c>
      <c r="C656" s="23" t="s">
        <v>543</v>
      </c>
      <c r="D656" s="24" t="s">
        <v>1506</v>
      </c>
      <c r="E656" s="25">
        <v>1.55E-6</v>
      </c>
      <c r="F656" s="26">
        <v>2.4517000000000001E-2</v>
      </c>
      <c r="G656" s="27">
        <v>10165.1</v>
      </c>
      <c r="H656" s="27">
        <v>848683</v>
      </c>
      <c r="I656" s="28">
        <v>34616120</v>
      </c>
      <c r="J656" s="28">
        <v>34616120</v>
      </c>
      <c r="K656" s="34">
        <v>-1.1000000000000001</v>
      </c>
      <c r="L656" s="34">
        <v>-15.2</v>
      </c>
      <c r="M656" s="34">
        <v>-25.09</v>
      </c>
      <c r="N656" s="24">
        <v>652</v>
      </c>
      <c r="O656" s="29">
        <v>43096.561863425923</v>
      </c>
    </row>
    <row r="657" spans="2:15" x14ac:dyDescent="0.25">
      <c r="B657" s="24" t="s">
        <v>2354</v>
      </c>
      <c r="C657" s="23" t="s">
        <v>426</v>
      </c>
      <c r="D657" s="24" t="s">
        <v>1390</v>
      </c>
      <c r="E657" s="25">
        <v>5.0000000000000003E-10</v>
      </c>
      <c r="F657" s="26">
        <v>8.1644999999999995E-6</v>
      </c>
      <c r="G657" s="27">
        <v>6070.51</v>
      </c>
      <c r="H657" s="27">
        <v>835748</v>
      </c>
      <c r="I657" s="28">
        <v>102363991310</v>
      </c>
      <c r="J657" s="28">
        <v>102363991310</v>
      </c>
      <c r="K657" s="34">
        <v>-0.68</v>
      </c>
      <c r="L657" s="34">
        <v>0.2</v>
      </c>
      <c r="M657" s="34">
        <v>78.67</v>
      </c>
      <c r="N657" s="24">
        <v>653</v>
      </c>
      <c r="O657" s="29">
        <v>43096.561840277776</v>
      </c>
    </row>
    <row r="658" spans="2:15" x14ac:dyDescent="0.25">
      <c r="B658" s="24" t="s">
        <v>3804</v>
      </c>
      <c r="C658" s="23" t="s">
        <v>3805</v>
      </c>
      <c r="D658" s="24" t="s">
        <v>3806</v>
      </c>
      <c r="E658" s="25">
        <v>2.9999999999999997E-8</v>
      </c>
      <c r="F658" s="26">
        <v>4.1076799999999999E-4</v>
      </c>
      <c r="G658" s="27">
        <v>70929.399999999994</v>
      </c>
      <c r="H658" s="27">
        <v>835465</v>
      </c>
      <c r="I658" s="28">
        <v>2033910007</v>
      </c>
      <c r="J658" s="28">
        <v>2097986587</v>
      </c>
      <c r="K658" s="34">
        <v>3.5</v>
      </c>
      <c r="L658" s="34">
        <v>34.06</v>
      </c>
      <c r="M658" s="34">
        <v>152.4</v>
      </c>
      <c r="N658" s="24">
        <v>654</v>
      </c>
      <c r="O658" s="29">
        <v>43096.562013888892</v>
      </c>
    </row>
    <row r="659" spans="2:15" x14ac:dyDescent="0.25">
      <c r="B659" s="24" t="s">
        <v>2303</v>
      </c>
      <c r="C659" s="23" t="s">
        <v>374</v>
      </c>
      <c r="D659" s="24" t="s">
        <v>1341</v>
      </c>
      <c r="E659" s="25">
        <v>1.1075099999999999E-2</v>
      </c>
      <c r="F659" s="26">
        <v>174.97300000000001</v>
      </c>
      <c r="G659" s="27">
        <v>1522.76</v>
      </c>
      <c r="H659" s="27">
        <v>835146</v>
      </c>
      <c r="I659" s="28">
        <v>4773</v>
      </c>
      <c r="J659" s="28">
        <v>4773</v>
      </c>
      <c r="K659" s="34">
        <v>-0.59</v>
      </c>
      <c r="L659" s="34">
        <v>1.8</v>
      </c>
      <c r="M659" s="34">
        <v>-5.8</v>
      </c>
      <c r="N659" s="24">
        <v>655</v>
      </c>
      <c r="O659" s="29">
        <v>43096.561956018515</v>
      </c>
    </row>
    <row r="660" spans="2:15" x14ac:dyDescent="0.25">
      <c r="B660" s="24" t="s">
        <v>2360</v>
      </c>
      <c r="C660" s="23" t="s">
        <v>430</v>
      </c>
      <c r="D660" s="24" t="s">
        <v>1394</v>
      </c>
      <c r="E660" s="25">
        <v>1.1272</v>
      </c>
      <c r="F660" s="26">
        <v>17808.3</v>
      </c>
      <c r="G660" s="27">
        <v>126270</v>
      </c>
      <c r="H660" s="27">
        <v>833516</v>
      </c>
      <c r="I660" s="28">
        <v>47</v>
      </c>
      <c r="J660" s="28">
        <v>47</v>
      </c>
      <c r="K660" s="34">
        <v>-7.16</v>
      </c>
      <c r="L660" s="34">
        <v>0.61</v>
      </c>
      <c r="M660" s="34">
        <v>-16.54</v>
      </c>
      <c r="N660" s="24">
        <v>656</v>
      </c>
      <c r="O660" s="29">
        <v>43096.561851851853</v>
      </c>
    </row>
    <row r="661" spans="2:15" x14ac:dyDescent="0.25">
      <c r="B661" s="24" t="s">
        <v>2386</v>
      </c>
      <c r="C661" s="23" t="s">
        <v>448</v>
      </c>
      <c r="D661" s="24" t="s">
        <v>1411</v>
      </c>
      <c r="E661" s="25">
        <v>1.3E-7</v>
      </c>
      <c r="F661" s="26">
        <v>2.0336299999999998E-3</v>
      </c>
      <c r="G661" s="27">
        <v>46635.1</v>
      </c>
      <c r="H661" s="27">
        <v>826810</v>
      </c>
      <c r="I661" s="28">
        <v>406568581</v>
      </c>
      <c r="J661" s="28">
        <v>406568581</v>
      </c>
      <c r="K661" s="34">
        <v>-4.33</v>
      </c>
      <c r="L661" s="34">
        <v>49.83</v>
      </c>
      <c r="M661" s="34">
        <v>256.94</v>
      </c>
      <c r="N661" s="24">
        <v>657</v>
      </c>
      <c r="O661" s="29">
        <v>43096.561898148146</v>
      </c>
    </row>
    <row r="662" spans="2:15" x14ac:dyDescent="0.25">
      <c r="B662" s="24" t="s">
        <v>2487</v>
      </c>
      <c r="C662" s="23" t="s">
        <v>3916</v>
      </c>
      <c r="D662" s="24" t="s">
        <v>1508</v>
      </c>
      <c r="E662" s="25">
        <v>1.113E-5</v>
      </c>
      <c r="F662" s="26">
        <v>0.17586099999999999</v>
      </c>
      <c r="G662" s="27">
        <v>2444.41</v>
      </c>
      <c r="H662" s="27">
        <v>826576</v>
      </c>
      <c r="I662" s="28">
        <v>4700166</v>
      </c>
      <c r="J662" s="28">
        <v>4700166</v>
      </c>
      <c r="K662" s="34">
        <v>3.39</v>
      </c>
      <c r="L662" s="34">
        <v>50.11</v>
      </c>
      <c r="M662" s="34">
        <v>41.77</v>
      </c>
      <c r="N662" s="24">
        <v>658</v>
      </c>
      <c r="O662" s="29">
        <v>43096.561828703707</v>
      </c>
    </row>
    <row r="663" spans="2:15" x14ac:dyDescent="0.25">
      <c r="B663" s="24" t="s">
        <v>2505</v>
      </c>
      <c r="C663" s="23" t="s">
        <v>577</v>
      </c>
      <c r="D663" s="24" t="s">
        <v>1540</v>
      </c>
      <c r="E663" s="25">
        <v>1.6E-7</v>
      </c>
      <c r="F663" s="26">
        <v>2.49337E-3</v>
      </c>
      <c r="G663" s="27">
        <v>1099.07</v>
      </c>
      <c r="H663" s="27">
        <v>795209</v>
      </c>
      <c r="I663" s="28">
        <v>318929301</v>
      </c>
      <c r="J663" s="28">
        <v>318929301</v>
      </c>
      <c r="K663" s="34">
        <v>-1.45</v>
      </c>
      <c r="L663" s="34">
        <v>4.28</v>
      </c>
      <c r="M663" s="34">
        <v>36.42</v>
      </c>
      <c r="N663" s="24">
        <v>659</v>
      </c>
      <c r="O663" s="29">
        <v>43096.56181712963</v>
      </c>
    </row>
    <row r="664" spans="2:15" x14ac:dyDescent="0.25">
      <c r="B664" s="24" t="s">
        <v>2462</v>
      </c>
      <c r="C664" s="23" t="s">
        <v>524</v>
      </c>
      <c r="D664" s="24" t="s">
        <v>1489</v>
      </c>
      <c r="E664" s="25">
        <v>1.0899999999999999E-6</v>
      </c>
      <c r="F664" s="26">
        <v>1.7184399999999999E-2</v>
      </c>
      <c r="G664" s="27">
        <v>896.34699999999998</v>
      </c>
      <c r="H664" s="27">
        <v>790482</v>
      </c>
      <c r="I664" s="28">
        <v>46000000</v>
      </c>
      <c r="J664" s="28">
        <v>50000000</v>
      </c>
      <c r="K664" s="34">
        <v>-1.2</v>
      </c>
      <c r="L664" s="34">
        <v>39.28</v>
      </c>
      <c r="M664" s="34">
        <v>-56.51</v>
      </c>
      <c r="N664" s="24">
        <v>660</v>
      </c>
      <c r="O664" s="29">
        <v>43096.561932870369</v>
      </c>
    </row>
    <row r="665" spans="2:15" x14ac:dyDescent="0.25">
      <c r="B665" s="24" t="s">
        <v>2188</v>
      </c>
      <c r="C665" s="23" t="s">
        <v>261</v>
      </c>
      <c r="D665" s="24" t="s">
        <v>1231</v>
      </c>
      <c r="E665" s="25">
        <v>8.0999999999999997E-7</v>
      </c>
      <c r="F665" s="26">
        <v>1.2796999999999999E-2</v>
      </c>
      <c r="G665" s="27">
        <v>900.42399999999998</v>
      </c>
      <c r="H665" s="27">
        <v>785183</v>
      </c>
      <c r="I665" s="28">
        <v>61356773</v>
      </c>
      <c r="J665" s="28">
        <v>61356773</v>
      </c>
      <c r="K665" s="34">
        <v>-13.85</v>
      </c>
      <c r="L665" s="34">
        <v>2.84</v>
      </c>
      <c r="M665" s="34">
        <v>9.9600000000000009</v>
      </c>
      <c r="N665" s="24">
        <v>661</v>
      </c>
      <c r="O665" s="29">
        <v>43096.561828703707</v>
      </c>
    </row>
    <row r="666" spans="2:15" x14ac:dyDescent="0.25">
      <c r="B666" s="24" t="s">
        <v>2472</v>
      </c>
      <c r="C666" s="23" t="s">
        <v>542</v>
      </c>
      <c r="D666" s="24" t="s">
        <v>1505</v>
      </c>
      <c r="E666" s="25">
        <v>2.03E-6</v>
      </c>
      <c r="F666" s="26">
        <v>3.2093000000000003E-2</v>
      </c>
      <c r="G666" s="27">
        <v>608.25300000000004</v>
      </c>
      <c r="H666" s="27">
        <v>760507</v>
      </c>
      <c r="I666" s="28">
        <v>23696975</v>
      </c>
      <c r="J666" s="28">
        <v>23696975</v>
      </c>
      <c r="K666" s="34">
        <v>-14.14</v>
      </c>
      <c r="L666" s="34">
        <v>-3.66</v>
      </c>
      <c r="M666" s="34">
        <v>-12.13</v>
      </c>
      <c r="N666" s="24">
        <v>662</v>
      </c>
      <c r="O666" s="29">
        <v>43096.56181712963</v>
      </c>
    </row>
    <row r="667" spans="2:15" x14ac:dyDescent="0.25">
      <c r="B667" s="24" t="s">
        <v>2563</v>
      </c>
      <c r="C667" s="23" t="s">
        <v>619</v>
      </c>
      <c r="D667" s="24" t="s">
        <v>1580</v>
      </c>
      <c r="E667" s="25">
        <v>2.3999999999999998E-7</v>
      </c>
      <c r="F667" s="26">
        <v>3.82527E-3</v>
      </c>
      <c r="G667" s="27">
        <v>5029.91</v>
      </c>
      <c r="H667" s="27">
        <v>758773</v>
      </c>
      <c r="I667" s="28">
        <v>198358078</v>
      </c>
      <c r="J667" s="28">
        <v>198358078</v>
      </c>
      <c r="K667" s="34">
        <v>26.68</v>
      </c>
      <c r="L667" s="34">
        <v>8.6</v>
      </c>
      <c r="M667" s="34">
        <v>58.49</v>
      </c>
      <c r="N667" s="24">
        <v>663</v>
      </c>
      <c r="O667" s="29">
        <v>43096.561828703707</v>
      </c>
    </row>
    <row r="668" spans="2:15" x14ac:dyDescent="0.25">
      <c r="B668" s="24" t="s">
        <v>2346</v>
      </c>
      <c r="C668" s="23" t="s">
        <v>417</v>
      </c>
      <c r="D668" s="24" t="s">
        <v>1381</v>
      </c>
      <c r="E668" s="25">
        <v>4.2300000000000002E-6</v>
      </c>
      <c r="F668" s="26">
        <v>6.6883899999999996E-2</v>
      </c>
      <c r="G668" s="27">
        <v>2598.2600000000002</v>
      </c>
      <c r="H668" s="27">
        <v>749699</v>
      </c>
      <c r="I668" s="28">
        <v>11208967</v>
      </c>
      <c r="J668" s="28">
        <v>20935289</v>
      </c>
      <c r="K668" s="34">
        <v>1.96</v>
      </c>
      <c r="L668" s="34">
        <v>16.7</v>
      </c>
      <c r="M668" s="34">
        <v>48.99</v>
      </c>
      <c r="N668" s="24">
        <v>664</v>
      </c>
      <c r="O668" s="29">
        <v>43096.561886574076</v>
      </c>
    </row>
    <row r="669" spans="2:15" x14ac:dyDescent="0.25">
      <c r="B669" s="24" t="s">
        <v>2375</v>
      </c>
      <c r="C669" s="23" t="s">
        <v>442</v>
      </c>
      <c r="D669" s="24" t="s">
        <v>1405</v>
      </c>
      <c r="E669" s="25">
        <v>1.9000000000000001E-7</v>
      </c>
      <c r="F669" s="26">
        <v>3.0262399999999999E-3</v>
      </c>
      <c r="G669" s="27">
        <v>13494.4</v>
      </c>
      <c r="H669" s="27">
        <v>747767</v>
      </c>
      <c r="I669" s="28">
        <v>247094506</v>
      </c>
      <c r="J669" s="28">
        <v>247094506</v>
      </c>
      <c r="K669" s="34">
        <v>9.93</v>
      </c>
      <c r="L669" s="34">
        <v>27.59</v>
      </c>
      <c r="M669" s="34">
        <v>128.88</v>
      </c>
      <c r="N669" s="24">
        <v>665</v>
      </c>
      <c r="O669" s="29">
        <v>43096.561967592592</v>
      </c>
    </row>
    <row r="670" spans="2:15" x14ac:dyDescent="0.25">
      <c r="B670" s="24" t="s">
        <v>3932</v>
      </c>
      <c r="C670" s="23" t="s">
        <v>3933</v>
      </c>
      <c r="D670" s="24" t="s">
        <v>3934</v>
      </c>
      <c r="E670" s="25">
        <v>3.4109999999999997E-5</v>
      </c>
      <c r="F670" s="26">
        <v>0.53889699999999996</v>
      </c>
      <c r="G670" s="27">
        <v>13875</v>
      </c>
      <c r="H670" s="27">
        <v>739005</v>
      </c>
      <c r="I670" s="28">
        <v>1371329</v>
      </c>
      <c r="J670" s="28">
        <v>2266762</v>
      </c>
      <c r="K670" s="34">
        <v>-2.77</v>
      </c>
      <c r="L670" s="34">
        <v>-8.08</v>
      </c>
      <c r="M670" s="34">
        <v>-8.6199999999999992</v>
      </c>
      <c r="N670" s="24">
        <v>666</v>
      </c>
      <c r="O670" s="29">
        <v>43096.562025462961</v>
      </c>
    </row>
    <row r="671" spans="2:15" x14ac:dyDescent="0.25">
      <c r="B671" s="24" t="s">
        <v>3612</v>
      </c>
      <c r="C671" s="23" t="s">
        <v>3613</v>
      </c>
      <c r="D671" s="24" t="s">
        <v>3614</v>
      </c>
      <c r="E671" s="25">
        <v>4.3109999999999999E-5</v>
      </c>
      <c r="F671" s="26">
        <v>0.68112099999999998</v>
      </c>
      <c r="G671" s="27">
        <v>10423.1</v>
      </c>
      <c r="H671" s="27">
        <v>738085</v>
      </c>
      <c r="I671" s="28">
        <v>1083633</v>
      </c>
      <c r="J671" s="28">
        <v>5000000</v>
      </c>
      <c r="K671" s="34">
        <v>119.51</v>
      </c>
      <c r="L671" s="34">
        <v>-1.62</v>
      </c>
      <c r="M671" s="34">
        <v>223.16</v>
      </c>
      <c r="N671" s="24">
        <v>667</v>
      </c>
      <c r="O671" s="29">
        <v>43096.562002314815</v>
      </c>
    </row>
    <row r="672" spans="2:15" x14ac:dyDescent="0.25">
      <c r="B672" s="24" t="s">
        <v>3727</v>
      </c>
      <c r="C672" s="23" t="s">
        <v>3728</v>
      </c>
      <c r="D672" s="24" t="s">
        <v>3729</v>
      </c>
      <c r="E672" s="25">
        <v>9.55E-6</v>
      </c>
      <c r="F672" s="26">
        <v>0.15085200000000001</v>
      </c>
      <c r="G672" s="27">
        <v>7982.16</v>
      </c>
      <c r="H672" s="27">
        <v>733575</v>
      </c>
      <c r="I672" s="28">
        <v>4862878</v>
      </c>
      <c r="J672" s="28">
        <v>100000000</v>
      </c>
      <c r="K672" s="34">
        <v>-7.26</v>
      </c>
      <c r="L672" s="34">
        <v>-5.52</v>
      </c>
      <c r="M672" s="34">
        <v>-3.29</v>
      </c>
      <c r="N672" s="24">
        <v>668</v>
      </c>
      <c r="O672" s="29">
        <v>43096.562002314815</v>
      </c>
    </row>
    <row r="673" spans="2:15" x14ac:dyDescent="0.25">
      <c r="B673" s="24" t="s">
        <v>2511</v>
      </c>
      <c r="C673" s="23" t="s">
        <v>566</v>
      </c>
      <c r="D673" s="24" t="s">
        <v>1530</v>
      </c>
      <c r="E673" s="25">
        <v>2.8999999999999998E-7</v>
      </c>
      <c r="F673" s="26">
        <v>4.65037E-3</v>
      </c>
      <c r="G673" s="27">
        <v>87649.2</v>
      </c>
      <c r="H673" s="27">
        <v>733019</v>
      </c>
      <c r="I673" s="28">
        <v>157625875</v>
      </c>
      <c r="J673" s="28">
        <v>157625875</v>
      </c>
      <c r="K673" s="34">
        <v>-0.69</v>
      </c>
      <c r="L673" s="34">
        <v>19.600000000000001</v>
      </c>
      <c r="M673" s="34">
        <v>243.88</v>
      </c>
      <c r="N673" s="24">
        <v>669</v>
      </c>
      <c r="O673" s="29">
        <v>43096.561886574076</v>
      </c>
    </row>
    <row r="674" spans="2:15" x14ac:dyDescent="0.25">
      <c r="B674" s="24" t="s">
        <v>2476</v>
      </c>
      <c r="C674" s="23" t="s">
        <v>546</v>
      </c>
      <c r="D674" s="24" t="s">
        <v>1510</v>
      </c>
      <c r="E674" s="25">
        <v>3.8600000000000003E-6</v>
      </c>
      <c r="F674" s="26">
        <v>6.0919099999999997E-2</v>
      </c>
      <c r="G674" s="27">
        <v>3437.43</v>
      </c>
      <c r="H674" s="27">
        <v>720907</v>
      </c>
      <c r="I674" s="28">
        <v>11833835</v>
      </c>
      <c r="J674" s="28">
        <v>11833835</v>
      </c>
      <c r="K674" s="34">
        <v>-1.0900000000000001</v>
      </c>
      <c r="L674" s="34">
        <v>3.27</v>
      </c>
      <c r="M674" s="34">
        <v>100.67</v>
      </c>
      <c r="N674" s="24">
        <v>670</v>
      </c>
      <c r="O674" s="29">
        <v>43096.561851851853</v>
      </c>
    </row>
    <row r="675" spans="2:15" x14ac:dyDescent="0.25">
      <c r="B675" s="24" t="s">
        <v>2374</v>
      </c>
      <c r="C675" s="23" t="s">
        <v>578</v>
      </c>
      <c r="D675" s="24" t="s">
        <v>1541</v>
      </c>
      <c r="E675" s="25">
        <v>4.0000000000000001E-8</v>
      </c>
      <c r="F675" s="26">
        <v>5.6819900000000003E-4</v>
      </c>
      <c r="G675" s="27">
        <v>4660.8900000000003</v>
      </c>
      <c r="H675" s="27">
        <v>715826</v>
      </c>
      <c r="I675" s="28">
        <v>1259816434</v>
      </c>
      <c r="J675" s="28">
        <v>1259816434</v>
      </c>
      <c r="K675" s="34">
        <v>5.18</v>
      </c>
      <c r="L675" s="34">
        <v>8.91</v>
      </c>
      <c r="M675" s="34">
        <v>119.8</v>
      </c>
      <c r="N675" s="24">
        <v>671</v>
      </c>
      <c r="O675" s="29">
        <v>43096.561851851853</v>
      </c>
    </row>
    <row r="676" spans="2:15" x14ac:dyDescent="0.25">
      <c r="B676" s="24" t="s">
        <v>2270</v>
      </c>
      <c r="C676" s="23" t="s">
        <v>346</v>
      </c>
      <c r="D676" s="24" t="s">
        <v>1314</v>
      </c>
      <c r="E676" s="25">
        <v>1.1E-5</v>
      </c>
      <c r="F676" s="26">
        <v>0.173787</v>
      </c>
      <c r="G676" s="27">
        <v>6330.46</v>
      </c>
      <c r="H676" s="27">
        <v>714837</v>
      </c>
      <c r="I676" s="28">
        <v>4113292</v>
      </c>
      <c r="J676" s="28">
        <v>4113292</v>
      </c>
      <c r="K676" s="34">
        <v>-18.78</v>
      </c>
      <c r="L676" s="34">
        <v>-37.72</v>
      </c>
      <c r="M676" s="34">
        <v>76.400000000000006</v>
      </c>
      <c r="N676" s="24">
        <v>672</v>
      </c>
      <c r="O676" s="29">
        <v>43096.561932870369</v>
      </c>
    </row>
    <row r="677" spans="2:15" x14ac:dyDescent="0.25">
      <c r="B677" s="24" t="s">
        <v>2396</v>
      </c>
      <c r="C677" s="23" t="s">
        <v>472</v>
      </c>
      <c r="D677" s="24" t="s">
        <v>1436</v>
      </c>
      <c r="E677" s="25">
        <v>6.9999999999999999E-6</v>
      </c>
      <c r="F677" s="26">
        <v>0.110592</v>
      </c>
      <c r="G677" s="27">
        <v>678.03300000000002</v>
      </c>
      <c r="H677" s="27">
        <v>689142</v>
      </c>
      <c r="I677" s="28">
        <v>6231390</v>
      </c>
      <c r="J677" s="28">
        <v>6231390</v>
      </c>
      <c r="K677" s="34">
        <v>-1.1399999999999999</v>
      </c>
      <c r="L677" s="34">
        <v>-1.36</v>
      </c>
      <c r="M677" s="34">
        <v>-16.579999999999998</v>
      </c>
      <c r="N677" s="24">
        <v>673</v>
      </c>
      <c r="O677" s="29">
        <v>43096.561956018515</v>
      </c>
    </row>
    <row r="678" spans="2:15" x14ac:dyDescent="0.25">
      <c r="B678" s="24" t="s">
        <v>3197</v>
      </c>
      <c r="C678" s="23" t="s">
        <v>3198</v>
      </c>
      <c r="D678" s="24" t="s">
        <v>3199</v>
      </c>
      <c r="E678" s="25">
        <v>8.7499999999999992E-6</v>
      </c>
      <c r="F678" s="26">
        <v>0.138184</v>
      </c>
      <c r="G678" s="27">
        <v>133957</v>
      </c>
      <c r="H678" s="27">
        <v>681600</v>
      </c>
      <c r="I678" s="28">
        <v>4932556</v>
      </c>
      <c r="J678" s="28">
        <v>4932556</v>
      </c>
      <c r="K678" s="34">
        <v>0.91</v>
      </c>
      <c r="L678" s="34">
        <v>1.55</v>
      </c>
      <c r="M678" s="34">
        <v>45.37</v>
      </c>
      <c r="N678" s="24">
        <v>674</v>
      </c>
      <c r="O678" s="29">
        <v>43096.561979166669</v>
      </c>
    </row>
    <row r="679" spans="2:15" x14ac:dyDescent="0.25">
      <c r="B679" s="24" t="s">
        <v>3438</v>
      </c>
      <c r="C679" s="23" t="s">
        <v>3439</v>
      </c>
      <c r="D679" s="24" t="s">
        <v>3440</v>
      </c>
      <c r="E679" s="25">
        <v>2.5997999999999999E-4</v>
      </c>
      <c r="F679" s="26">
        <v>4.1074200000000003</v>
      </c>
      <c r="G679" s="27">
        <v>2629.49</v>
      </c>
      <c r="H679" s="27">
        <v>669666</v>
      </c>
      <c r="I679" s="28">
        <v>163038</v>
      </c>
      <c r="J679" s="28">
        <v>232466</v>
      </c>
      <c r="K679" s="34">
        <v>-1.89</v>
      </c>
      <c r="L679" s="34">
        <v>11.49</v>
      </c>
      <c r="M679" s="34">
        <v>-15.25</v>
      </c>
      <c r="N679" s="24">
        <v>675</v>
      </c>
      <c r="O679" s="29">
        <v>43096.562002314815</v>
      </c>
    </row>
    <row r="680" spans="2:15" x14ac:dyDescent="0.25">
      <c r="B680" s="24" t="s">
        <v>3594</v>
      </c>
      <c r="C680" s="23" t="s">
        <v>3595</v>
      </c>
      <c r="D680" s="24" t="s">
        <v>3596</v>
      </c>
      <c r="E680" s="25">
        <v>4.6E-6</v>
      </c>
      <c r="F680" s="26">
        <v>7.2623999999999994E-2</v>
      </c>
      <c r="G680" s="27">
        <v>17821.400000000001</v>
      </c>
      <c r="H680" s="27">
        <v>653616</v>
      </c>
      <c r="I680" s="28">
        <v>9000000</v>
      </c>
      <c r="J680" s="28">
        <v>15000000</v>
      </c>
      <c r="K680" s="34">
        <v>-0.64</v>
      </c>
      <c r="L680" s="34">
        <v>-9.67</v>
      </c>
      <c r="M680" s="34">
        <v>62.54</v>
      </c>
      <c r="N680" s="24">
        <v>676</v>
      </c>
      <c r="O680" s="29">
        <v>43096.562002314815</v>
      </c>
    </row>
    <row r="681" spans="2:15" x14ac:dyDescent="0.25">
      <c r="B681" s="24" t="s">
        <v>2501</v>
      </c>
      <c r="C681" s="23" t="s">
        <v>574</v>
      </c>
      <c r="D681" s="24" t="s">
        <v>1538</v>
      </c>
      <c r="E681" s="25">
        <v>40.271000000000001</v>
      </c>
      <c r="F681" s="26">
        <v>636233</v>
      </c>
      <c r="G681" s="27">
        <v>1236.3699999999999</v>
      </c>
      <c r="H681" s="27">
        <v>646413</v>
      </c>
      <c r="I681" s="28">
        <v>1</v>
      </c>
      <c r="J681" s="28">
        <v>1</v>
      </c>
      <c r="K681" s="34">
        <v>-1.21</v>
      </c>
      <c r="L681" s="34">
        <v>4.71</v>
      </c>
      <c r="M681" s="34">
        <v>11.53</v>
      </c>
      <c r="N681" s="24">
        <v>677</v>
      </c>
      <c r="O681" s="29">
        <v>43096.561967592592</v>
      </c>
    </row>
    <row r="682" spans="2:15" x14ac:dyDescent="0.25">
      <c r="B682" s="24" t="s">
        <v>2544</v>
      </c>
      <c r="C682" s="23" t="s">
        <v>610</v>
      </c>
      <c r="D682" s="24" t="s">
        <v>1571</v>
      </c>
      <c r="E682" s="25">
        <v>1.9099999999999999E-6</v>
      </c>
      <c r="F682" s="26">
        <v>3.0250599999999999E-2</v>
      </c>
      <c r="G682" s="27">
        <v>3383.49</v>
      </c>
      <c r="H682" s="27">
        <v>640136</v>
      </c>
      <c r="I682" s="28">
        <v>21161113</v>
      </c>
      <c r="J682" s="28">
        <v>21161113</v>
      </c>
      <c r="K682" s="34">
        <v>-1.19</v>
      </c>
      <c r="L682" s="34">
        <v>35.76</v>
      </c>
      <c r="M682" s="34">
        <v>34.46</v>
      </c>
      <c r="N682" s="24">
        <v>678</v>
      </c>
      <c r="O682" s="29">
        <v>43096.561863425923</v>
      </c>
    </row>
    <row r="683" spans="2:15" x14ac:dyDescent="0.25">
      <c r="B683" s="24" t="s">
        <v>2326</v>
      </c>
      <c r="C683" s="23" t="s">
        <v>391</v>
      </c>
      <c r="D683" s="24" t="s">
        <v>1355</v>
      </c>
      <c r="E683" s="25">
        <v>8.0600000000000008E-6</v>
      </c>
      <c r="F683" s="26">
        <v>0.12728500000000001</v>
      </c>
      <c r="G683" s="27">
        <v>1772.27</v>
      </c>
      <c r="H683" s="27">
        <v>636425</v>
      </c>
      <c r="I683" s="28">
        <v>5000000</v>
      </c>
      <c r="J683" s="28">
        <v>30000000</v>
      </c>
      <c r="K683" s="34">
        <v>-0.26</v>
      </c>
      <c r="L683" s="34">
        <v>-22.27</v>
      </c>
      <c r="M683" s="34">
        <v>317.72000000000003</v>
      </c>
      <c r="N683" s="24">
        <v>679</v>
      </c>
      <c r="O683" s="29">
        <v>43096.561967592592</v>
      </c>
    </row>
    <row r="684" spans="2:15" x14ac:dyDescent="0.25">
      <c r="B684" s="24" t="s">
        <v>2729</v>
      </c>
      <c r="C684" s="23" t="s">
        <v>807</v>
      </c>
      <c r="D684" s="24" t="s">
        <v>1762</v>
      </c>
      <c r="E684" s="25">
        <v>7.9999999999999996E-6</v>
      </c>
      <c r="F684" s="26">
        <v>0.12639</v>
      </c>
      <c r="G684" s="27">
        <v>8823.64</v>
      </c>
      <c r="H684" s="27">
        <v>635030</v>
      </c>
      <c r="I684" s="28">
        <v>5024368</v>
      </c>
      <c r="J684" s="28">
        <v>40024368</v>
      </c>
      <c r="K684" s="34">
        <v>-1.1399999999999999</v>
      </c>
      <c r="L684" s="34">
        <v>-25.88</v>
      </c>
      <c r="M684" s="34">
        <v>53.75</v>
      </c>
      <c r="N684" s="24">
        <v>680</v>
      </c>
      <c r="O684" s="29">
        <v>43096.561944444446</v>
      </c>
    </row>
    <row r="685" spans="2:15" x14ac:dyDescent="0.25">
      <c r="B685" s="24" t="s">
        <v>2977</v>
      </c>
      <c r="C685" s="23" t="s">
        <v>2978</v>
      </c>
      <c r="D685" s="24" t="s">
        <v>2979</v>
      </c>
      <c r="E685" s="25">
        <v>4.7620000000000001E-5</v>
      </c>
      <c r="F685" s="26">
        <v>0.75229699999999999</v>
      </c>
      <c r="G685" s="27">
        <v>9406.34</v>
      </c>
      <c r="H685" s="27">
        <v>617935</v>
      </c>
      <c r="I685" s="28">
        <v>821397</v>
      </c>
      <c r="J685" s="28">
        <v>821397</v>
      </c>
      <c r="K685" s="34">
        <v>-3</v>
      </c>
      <c r="L685" s="34">
        <v>-20.239999999999998</v>
      </c>
      <c r="M685" s="34">
        <v>-32.15</v>
      </c>
      <c r="N685" s="24">
        <v>681</v>
      </c>
      <c r="O685" s="29">
        <v>43096.561828703707</v>
      </c>
    </row>
    <row r="686" spans="2:15" x14ac:dyDescent="0.25">
      <c r="B686" s="24" t="s">
        <v>2485</v>
      </c>
      <c r="C686" s="23" t="s">
        <v>555</v>
      </c>
      <c r="D686" s="24" t="s">
        <v>1519</v>
      </c>
      <c r="E686" s="25">
        <v>1.2840000000000001E-5</v>
      </c>
      <c r="F686" s="26">
        <v>0.20283499999999999</v>
      </c>
      <c r="G686" s="27">
        <v>581.05499999999995</v>
      </c>
      <c r="H686" s="27">
        <v>603054</v>
      </c>
      <c r="I686" s="28">
        <v>2973126</v>
      </c>
      <c r="J686" s="28">
        <v>2973126</v>
      </c>
      <c r="K686" s="34">
        <v>-1.49</v>
      </c>
      <c r="L686" s="34">
        <v>-24.49</v>
      </c>
      <c r="M686" s="34">
        <v>-34.96</v>
      </c>
      <c r="N686" s="24">
        <v>682</v>
      </c>
      <c r="O686" s="29">
        <v>43096.561863425923</v>
      </c>
    </row>
    <row r="687" spans="2:15" x14ac:dyDescent="0.25">
      <c r="B687" s="24" t="s">
        <v>3238</v>
      </c>
      <c r="C687" s="23" t="s">
        <v>3239</v>
      </c>
      <c r="D687" s="24" t="s">
        <v>3240</v>
      </c>
      <c r="E687" s="25">
        <v>4.3390000000000003E-5</v>
      </c>
      <c r="F687" s="26">
        <v>0.68550500000000003</v>
      </c>
      <c r="G687" s="27">
        <v>83511.3</v>
      </c>
      <c r="H687" s="27">
        <v>602440</v>
      </c>
      <c r="I687" s="28">
        <v>878827</v>
      </c>
      <c r="J687" s="28">
        <v>1101983</v>
      </c>
      <c r="K687" s="34">
        <v>2.37</v>
      </c>
      <c r="L687" s="34">
        <v>0.03</v>
      </c>
      <c r="M687" s="34">
        <v>-28.3</v>
      </c>
      <c r="N687" s="24">
        <v>683</v>
      </c>
      <c r="O687" s="29">
        <v>43096.561979166669</v>
      </c>
    </row>
    <row r="688" spans="2:15" x14ac:dyDescent="0.25">
      <c r="B688" s="24" t="s">
        <v>2536</v>
      </c>
      <c r="C688" s="23" t="s">
        <v>609</v>
      </c>
      <c r="D688" s="24" t="s">
        <v>1570</v>
      </c>
      <c r="E688" s="25">
        <v>2E-8</v>
      </c>
      <c r="F688" s="26">
        <v>2.8285400000000003E-4</v>
      </c>
      <c r="G688" s="27">
        <v>682.34699999999998</v>
      </c>
      <c r="H688" s="27">
        <v>600496</v>
      </c>
      <c r="I688" s="28">
        <v>2122990077</v>
      </c>
      <c r="J688" s="28">
        <v>2122990077</v>
      </c>
      <c r="K688" s="34">
        <v>-1.31</v>
      </c>
      <c r="L688" s="34">
        <v>-2.9</v>
      </c>
      <c r="M688" s="34">
        <v>-17</v>
      </c>
      <c r="N688" s="24">
        <v>684</v>
      </c>
      <c r="O688" s="29">
        <v>43096.561886574076</v>
      </c>
    </row>
    <row r="689" spans="2:15" x14ac:dyDescent="0.25">
      <c r="B689" s="24" t="s">
        <v>2515</v>
      </c>
      <c r="C689" s="23" t="s">
        <v>564</v>
      </c>
      <c r="D689" s="24" t="s">
        <v>1528</v>
      </c>
      <c r="E689" s="25">
        <v>6.9299999999999997E-6</v>
      </c>
      <c r="F689" s="26">
        <v>0.109514</v>
      </c>
      <c r="G689" s="27">
        <v>612.596</v>
      </c>
      <c r="H689" s="27">
        <v>597853</v>
      </c>
      <c r="I689" s="28">
        <v>5459145</v>
      </c>
      <c r="J689" s="28">
        <v>5459145</v>
      </c>
      <c r="K689" s="34">
        <v>7.75</v>
      </c>
      <c r="L689" s="34">
        <v>18.850000000000001</v>
      </c>
      <c r="M689" s="34">
        <v>34.69</v>
      </c>
      <c r="N689" s="24">
        <v>685</v>
      </c>
      <c r="O689" s="29">
        <v>43096.561921296299</v>
      </c>
    </row>
    <row r="690" spans="2:15" x14ac:dyDescent="0.25">
      <c r="B690" s="24" t="s">
        <v>2477</v>
      </c>
      <c r="C690" s="23" t="s">
        <v>427</v>
      </c>
      <c r="D690" s="24" t="s">
        <v>1391</v>
      </c>
      <c r="E690" s="25">
        <v>1.4999999999999999E-7</v>
      </c>
      <c r="F690" s="26">
        <v>2.3698199999999999E-3</v>
      </c>
      <c r="G690" s="27">
        <v>730.21299999999997</v>
      </c>
      <c r="H690" s="27">
        <v>588348</v>
      </c>
      <c r="I690" s="28">
        <v>248267058</v>
      </c>
      <c r="J690" s="28">
        <v>248267058</v>
      </c>
      <c r="K690" s="34">
        <v>3.86</v>
      </c>
      <c r="L690" s="34">
        <v>28.59</v>
      </c>
      <c r="M690" s="34">
        <v>33.020000000000003</v>
      </c>
      <c r="N690" s="24">
        <v>686</v>
      </c>
      <c r="O690" s="29">
        <v>43096.56181712963</v>
      </c>
    </row>
    <row r="691" spans="2:15" x14ac:dyDescent="0.25">
      <c r="B691" s="24" t="s">
        <v>2337</v>
      </c>
      <c r="C691" s="23" t="s">
        <v>401</v>
      </c>
      <c r="D691" s="24" t="s">
        <v>1365</v>
      </c>
      <c r="E691" s="25">
        <v>5.66E-6</v>
      </c>
      <c r="F691" s="26">
        <v>8.9344900000000005E-2</v>
      </c>
      <c r="G691" s="27">
        <v>6536</v>
      </c>
      <c r="H691" s="27">
        <v>585191</v>
      </c>
      <c r="I691" s="28">
        <v>6549797</v>
      </c>
      <c r="J691" s="28">
        <v>6549797</v>
      </c>
      <c r="K691" s="34">
        <v>-5</v>
      </c>
      <c r="L691" s="34">
        <v>13.01</v>
      </c>
      <c r="M691" s="34">
        <v>-9.31</v>
      </c>
      <c r="N691" s="24">
        <v>687</v>
      </c>
      <c r="O691" s="29">
        <v>43096.561886574076</v>
      </c>
    </row>
    <row r="692" spans="2:15" x14ac:dyDescent="0.25">
      <c r="B692" s="24" t="s">
        <v>3273</v>
      </c>
      <c r="C692" s="23" t="s">
        <v>3284</v>
      </c>
      <c r="D692" s="24" t="s">
        <v>3274</v>
      </c>
      <c r="E692" s="25">
        <v>2.5500000000000001E-6</v>
      </c>
      <c r="F692" s="26">
        <v>4.0312099999999997E-2</v>
      </c>
      <c r="G692" s="27">
        <v>14858.3</v>
      </c>
      <c r="H692" s="27">
        <v>568401</v>
      </c>
      <c r="I692" s="28">
        <v>14100000</v>
      </c>
      <c r="J692" s="28">
        <v>15000000</v>
      </c>
      <c r="K692" s="34">
        <v>11.19</v>
      </c>
      <c r="L692" s="34">
        <v>11.62</v>
      </c>
      <c r="M692" s="34">
        <v>43.91</v>
      </c>
      <c r="N692" s="24">
        <v>688</v>
      </c>
      <c r="O692" s="29">
        <v>43096.562002314815</v>
      </c>
    </row>
    <row r="693" spans="2:15" x14ac:dyDescent="0.25">
      <c r="B693" s="24" t="s">
        <v>2362</v>
      </c>
      <c r="C693" s="23" t="s">
        <v>424</v>
      </c>
      <c r="D693" s="24" t="s">
        <v>1388</v>
      </c>
      <c r="E693" s="25">
        <v>2.2000000000000001E-7</v>
      </c>
      <c r="F693" s="26">
        <v>3.5308700000000002E-3</v>
      </c>
      <c r="G693" s="27">
        <v>691.40800000000002</v>
      </c>
      <c r="H693" s="27">
        <v>567307</v>
      </c>
      <c r="I693" s="28">
        <v>160670486</v>
      </c>
      <c r="J693" s="28">
        <v>160670486</v>
      </c>
      <c r="K693" s="34">
        <v>-8.16</v>
      </c>
      <c r="L693" s="34">
        <v>-34.74</v>
      </c>
      <c r="M693" s="34">
        <v>48.71</v>
      </c>
      <c r="N693" s="24">
        <v>689</v>
      </c>
      <c r="O693" s="29">
        <v>43096.561840277776</v>
      </c>
    </row>
    <row r="694" spans="2:15" x14ac:dyDescent="0.25">
      <c r="B694" s="24" t="s">
        <v>2912</v>
      </c>
      <c r="C694" s="23" t="s">
        <v>2913</v>
      </c>
      <c r="D694" s="24" t="s">
        <v>2914</v>
      </c>
      <c r="E694" s="25">
        <v>5.4000000000000002E-7</v>
      </c>
      <c r="F694" s="26">
        <v>8.5170799999999998E-3</v>
      </c>
      <c r="G694" s="27">
        <v>8818.25</v>
      </c>
      <c r="H694" s="27">
        <v>560445</v>
      </c>
      <c r="I694" s="28">
        <v>65802448</v>
      </c>
      <c r="J694" s="28">
        <v>400000000</v>
      </c>
      <c r="K694" s="34">
        <v>-5.66</v>
      </c>
      <c r="L694" s="34">
        <v>-13.38</v>
      </c>
      <c r="M694" s="34">
        <v>-25.43</v>
      </c>
      <c r="N694" s="24">
        <v>690</v>
      </c>
      <c r="O694" s="29">
        <v>43096.561979166669</v>
      </c>
    </row>
    <row r="695" spans="2:15" x14ac:dyDescent="0.25">
      <c r="B695" s="24" t="s">
        <v>2983</v>
      </c>
      <c r="C695" s="23" t="s">
        <v>2984</v>
      </c>
      <c r="D695" s="24" t="s">
        <v>2985</v>
      </c>
      <c r="E695" s="25">
        <v>5.5000000000000003E-7</v>
      </c>
      <c r="F695" s="26">
        <v>8.6922400000000004E-3</v>
      </c>
      <c r="G695" s="27">
        <v>9159</v>
      </c>
      <c r="H695" s="27">
        <v>557843</v>
      </c>
      <c r="I695" s="28">
        <v>64177075</v>
      </c>
      <c r="J695" s="28">
        <v>84744296</v>
      </c>
      <c r="K695" s="34">
        <v>1.92</v>
      </c>
      <c r="L695" s="34">
        <v>10.79</v>
      </c>
      <c r="M695" s="34">
        <v>197.96</v>
      </c>
      <c r="N695" s="24">
        <v>691</v>
      </c>
      <c r="O695" s="29">
        <v>43096.561990740738</v>
      </c>
    </row>
    <row r="696" spans="2:15" x14ac:dyDescent="0.25">
      <c r="B696" s="24" t="s">
        <v>2341</v>
      </c>
      <c r="C696" s="23" t="s">
        <v>410</v>
      </c>
      <c r="D696" s="24" t="s">
        <v>1373</v>
      </c>
      <c r="E696" s="25">
        <v>7.7000000000000004E-7</v>
      </c>
      <c r="F696" s="26">
        <v>1.2225099999999999E-2</v>
      </c>
      <c r="G696" s="27">
        <v>2404.67</v>
      </c>
      <c r="H696" s="27">
        <v>557806</v>
      </c>
      <c r="I696" s="28">
        <v>45627950</v>
      </c>
      <c r="J696" s="28">
        <v>45627950</v>
      </c>
      <c r="K696" s="34">
        <v>-1.17</v>
      </c>
      <c r="L696" s="34">
        <v>9.51</v>
      </c>
      <c r="M696" s="34">
        <v>2.0699999999999998</v>
      </c>
      <c r="N696" s="24">
        <v>692</v>
      </c>
      <c r="O696" s="29">
        <v>43096.561874999999</v>
      </c>
    </row>
    <row r="697" spans="2:15" x14ac:dyDescent="0.25">
      <c r="B697" s="24" t="s">
        <v>2392</v>
      </c>
      <c r="C697" s="23" t="s">
        <v>3736</v>
      </c>
      <c r="D697" s="24" t="s">
        <v>1439</v>
      </c>
      <c r="E697" s="25">
        <v>6.9299999999999997E-6</v>
      </c>
      <c r="F697" s="26">
        <v>0.109513</v>
      </c>
      <c r="G697" s="27">
        <v>2111.44</v>
      </c>
      <c r="H697" s="27">
        <v>555767</v>
      </c>
      <c r="I697" s="28">
        <v>5074891</v>
      </c>
      <c r="J697" s="28">
        <v>7998311</v>
      </c>
      <c r="K697" s="34">
        <v>-1.46</v>
      </c>
      <c r="L697" s="34">
        <v>0.11</v>
      </c>
      <c r="M697" s="34">
        <v>-0.99</v>
      </c>
      <c r="N697" s="24">
        <v>693</v>
      </c>
      <c r="O697" s="29">
        <v>43096.561863425923</v>
      </c>
    </row>
    <row r="698" spans="2:15" x14ac:dyDescent="0.25">
      <c r="B698" s="24" t="s">
        <v>2363</v>
      </c>
      <c r="C698" s="23" t="s">
        <v>557</v>
      </c>
      <c r="D698" s="24" t="s">
        <v>1521</v>
      </c>
      <c r="E698" s="25">
        <v>4.0000000000000001E-8</v>
      </c>
      <c r="F698" s="26">
        <v>6.4814899999999999E-4</v>
      </c>
      <c r="G698" s="27">
        <v>6269.04</v>
      </c>
      <c r="H698" s="27">
        <v>548932</v>
      </c>
      <c r="I698" s="28">
        <v>846922777</v>
      </c>
      <c r="J698" s="28">
        <v>846922777</v>
      </c>
      <c r="K698" s="34">
        <v>-15.41</v>
      </c>
      <c r="L698" s="34">
        <v>-11.2</v>
      </c>
      <c r="M698" s="34">
        <v>56.73</v>
      </c>
      <c r="N698" s="24">
        <v>694</v>
      </c>
      <c r="O698" s="29">
        <v>43096.561886574076</v>
      </c>
    </row>
    <row r="699" spans="2:15" x14ac:dyDescent="0.25">
      <c r="B699" s="24" t="s">
        <v>2428</v>
      </c>
      <c r="C699" s="23" t="s">
        <v>487</v>
      </c>
      <c r="D699" s="24" t="s">
        <v>1453</v>
      </c>
      <c r="E699" s="25">
        <v>5.3220000000000002E-5</v>
      </c>
      <c r="F699" s="26">
        <v>0.84081099999999998</v>
      </c>
      <c r="G699" s="27">
        <v>4077.97</v>
      </c>
      <c r="H699" s="27">
        <v>538298</v>
      </c>
      <c r="I699" s="28">
        <v>640213</v>
      </c>
      <c r="J699" s="28">
        <v>640213</v>
      </c>
      <c r="K699" s="34">
        <v>0</v>
      </c>
      <c r="L699" s="34">
        <v>-21.93</v>
      </c>
      <c r="M699" s="34">
        <v>-6.91</v>
      </c>
      <c r="N699" s="24">
        <v>695</v>
      </c>
      <c r="O699" s="29">
        <v>43096.561944444446</v>
      </c>
    </row>
    <row r="700" spans="2:15" x14ac:dyDescent="0.25">
      <c r="B700" s="24" t="s">
        <v>2279</v>
      </c>
      <c r="C700" s="23" t="s">
        <v>350</v>
      </c>
      <c r="D700" s="24" t="s">
        <v>1318</v>
      </c>
      <c r="E700" s="25">
        <v>5.3000000000000001E-7</v>
      </c>
      <c r="F700" s="26">
        <v>8.3621700000000004E-3</v>
      </c>
      <c r="G700" s="27">
        <v>1288.3</v>
      </c>
      <c r="H700" s="27">
        <v>537523</v>
      </c>
      <c r="I700" s="28">
        <v>64280380</v>
      </c>
      <c r="J700" s="28">
        <v>64280380</v>
      </c>
      <c r="K700" s="34">
        <v>-1.1299999999999999</v>
      </c>
      <c r="L700" s="34">
        <v>-4.55</v>
      </c>
      <c r="M700" s="34">
        <v>16.07</v>
      </c>
      <c r="N700" s="24">
        <v>696</v>
      </c>
      <c r="O700" s="29">
        <v>43096.561863425923</v>
      </c>
    </row>
    <row r="701" spans="2:15" x14ac:dyDescent="0.25">
      <c r="B701" s="24" t="s">
        <v>2727</v>
      </c>
      <c r="C701" s="23" t="s">
        <v>806</v>
      </c>
      <c r="D701" s="24" t="s">
        <v>1761</v>
      </c>
      <c r="E701" s="25">
        <v>6.63E-6</v>
      </c>
      <c r="F701" s="26">
        <v>0.10476100000000001</v>
      </c>
      <c r="G701" s="27">
        <v>8010.07</v>
      </c>
      <c r="H701" s="27">
        <v>536199</v>
      </c>
      <c r="I701" s="28">
        <v>5118307</v>
      </c>
      <c r="J701" s="28">
        <v>6428932</v>
      </c>
      <c r="K701" s="34">
        <v>-9.1999999999999993</v>
      </c>
      <c r="L701" s="34">
        <v>-2.38</v>
      </c>
      <c r="M701" s="34">
        <v>19.149999999999999</v>
      </c>
      <c r="N701" s="24">
        <v>697</v>
      </c>
      <c r="O701" s="29">
        <v>43096.561967592592</v>
      </c>
    </row>
    <row r="702" spans="2:15" x14ac:dyDescent="0.25">
      <c r="B702" s="24" t="s">
        <v>3869</v>
      </c>
      <c r="C702" s="23" t="s">
        <v>3870</v>
      </c>
      <c r="D702" s="24" t="s">
        <v>3871</v>
      </c>
      <c r="E702" s="25">
        <v>2.811E-5</v>
      </c>
      <c r="F702" s="26">
        <v>0.444106</v>
      </c>
      <c r="G702" s="27">
        <v>10710.7</v>
      </c>
      <c r="H702" s="27">
        <v>532927</v>
      </c>
      <c r="I702" s="28">
        <v>1200000</v>
      </c>
      <c r="J702" s="28">
        <v>10000000</v>
      </c>
      <c r="K702" s="34">
        <v>0.01</v>
      </c>
      <c r="L702" s="34">
        <v>36.14</v>
      </c>
      <c r="M702" s="34">
        <v>13.76</v>
      </c>
      <c r="N702" s="24">
        <v>698</v>
      </c>
      <c r="O702" s="29">
        <v>43096.562013888892</v>
      </c>
    </row>
    <row r="703" spans="2:15" x14ac:dyDescent="0.25">
      <c r="B703" s="24" t="s">
        <v>2496</v>
      </c>
      <c r="C703" s="23" t="s">
        <v>444</v>
      </c>
      <c r="D703" s="24" t="s">
        <v>1407</v>
      </c>
      <c r="E703" s="25">
        <v>7.3499999999999999E-6</v>
      </c>
      <c r="F703" s="30">
        <v>0.116121</v>
      </c>
      <c r="G703" s="27">
        <v>2183.4299999999998</v>
      </c>
      <c r="H703" s="27">
        <v>526376</v>
      </c>
      <c r="I703" s="28">
        <v>4533000</v>
      </c>
      <c r="J703" s="28">
        <v>4533000</v>
      </c>
      <c r="K703" s="34">
        <v>-1.1399999999999999</v>
      </c>
      <c r="L703" s="34">
        <v>23.79</v>
      </c>
      <c r="M703" s="34">
        <v>13.68</v>
      </c>
      <c r="N703" s="24">
        <v>699</v>
      </c>
      <c r="O703" s="29">
        <v>43096.561921296299</v>
      </c>
    </row>
    <row r="704" spans="2:15" x14ac:dyDescent="0.25">
      <c r="B704" s="24" t="s">
        <v>2474</v>
      </c>
      <c r="C704" s="23" t="s">
        <v>550</v>
      </c>
      <c r="D704" s="24" t="s">
        <v>1514</v>
      </c>
      <c r="E704" s="25">
        <v>2.0000000000000001E-9</v>
      </c>
      <c r="F704" s="26">
        <v>3.5473799999999999E-5</v>
      </c>
      <c r="G704" s="27">
        <v>542.21699999999998</v>
      </c>
      <c r="H704" s="27">
        <v>514051</v>
      </c>
      <c r="I704" s="28">
        <v>14491014421</v>
      </c>
      <c r="J704" s="28">
        <v>14491014421</v>
      </c>
      <c r="K704" s="34">
        <v>-8.32</v>
      </c>
      <c r="L704" s="34">
        <v>-1.8</v>
      </c>
      <c r="M704" s="34">
        <v>-20.239999999999998</v>
      </c>
      <c r="N704" s="24">
        <v>700</v>
      </c>
      <c r="O704" s="29">
        <v>43096.56181712963</v>
      </c>
    </row>
    <row r="705" spans="2:15" x14ac:dyDescent="0.25">
      <c r="B705" s="24" t="s">
        <v>2519</v>
      </c>
      <c r="C705" s="23" t="s">
        <v>591</v>
      </c>
      <c r="D705" s="24" t="s">
        <v>1553</v>
      </c>
      <c r="E705" s="25">
        <v>7.7000000000000008E-6</v>
      </c>
      <c r="F705" s="26">
        <v>0.121646</v>
      </c>
      <c r="G705" s="27">
        <v>2566.8000000000002</v>
      </c>
      <c r="H705" s="27">
        <v>512223</v>
      </c>
      <c r="I705" s="28">
        <v>4210770</v>
      </c>
      <c r="J705" s="28">
        <v>4210770</v>
      </c>
      <c r="K705" s="34">
        <v>13.9</v>
      </c>
      <c r="L705" s="34">
        <v>11.08</v>
      </c>
      <c r="M705" s="34">
        <v>15.74</v>
      </c>
      <c r="N705" s="24">
        <v>701</v>
      </c>
      <c r="O705" s="29">
        <v>43096.561840277776</v>
      </c>
    </row>
    <row r="706" spans="2:15" x14ac:dyDescent="0.25">
      <c r="B706" s="24" t="s">
        <v>2513</v>
      </c>
      <c r="C706" s="23" t="s">
        <v>582</v>
      </c>
      <c r="D706" s="24" t="s">
        <v>1544</v>
      </c>
      <c r="E706" s="25">
        <v>4.8999999999999997E-7</v>
      </c>
      <c r="F706" s="26">
        <v>7.7816200000000004E-3</v>
      </c>
      <c r="G706" s="27">
        <v>6153.95</v>
      </c>
      <c r="H706" s="27">
        <v>497971</v>
      </c>
      <c r="I706" s="28">
        <v>63993275</v>
      </c>
      <c r="J706" s="28">
        <v>63993275</v>
      </c>
      <c r="K706" s="34">
        <v>-1.05</v>
      </c>
      <c r="L706" s="34">
        <v>-5.0599999999999996</v>
      </c>
      <c r="M706" s="34">
        <v>-24.48</v>
      </c>
      <c r="N706" s="24">
        <v>702</v>
      </c>
      <c r="O706" s="29">
        <v>43096.561828703707</v>
      </c>
    </row>
    <row r="707" spans="2:15" x14ac:dyDescent="0.25">
      <c r="B707" s="24" t="s">
        <v>2510</v>
      </c>
      <c r="C707" s="23" t="s">
        <v>576</v>
      </c>
      <c r="D707" s="24" t="s">
        <v>1002</v>
      </c>
      <c r="E707" s="25">
        <v>1.0699999999999999E-6</v>
      </c>
      <c r="F707" s="26">
        <v>1.6904700000000002E-2</v>
      </c>
      <c r="G707" s="27">
        <v>745.86599999999999</v>
      </c>
      <c r="H707" s="27">
        <v>494749</v>
      </c>
      <c r="I707" s="28">
        <v>29266944</v>
      </c>
      <c r="J707" s="28">
        <v>29266944</v>
      </c>
      <c r="K707" s="34">
        <v>-1.0900000000000001</v>
      </c>
      <c r="L707" s="34">
        <v>23.76</v>
      </c>
      <c r="M707" s="34">
        <v>37.29</v>
      </c>
      <c r="N707" s="24">
        <v>703</v>
      </c>
      <c r="O707" s="29">
        <v>43096.56181712963</v>
      </c>
    </row>
    <row r="708" spans="2:15" x14ac:dyDescent="0.25">
      <c r="B708" s="24" t="s">
        <v>2574</v>
      </c>
      <c r="C708" s="23" t="s">
        <v>730</v>
      </c>
      <c r="D708" s="24" t="s">
        <v>1685</v>
      </c>
      <c r="E708" s="25">
        <v>3.5970000000000003E-5</v>
      </c>
      <c r="F708" s="26">
        <v>0.56832899999999997</v>
      </c>
      <c r="G708" s="27">
        <v>934.35799999999995</v>
      </c>
      <c r="H708" s="27">
        <v>469767</v>
      </c>
      <c r="I708" s="28">
        <v>826576</v>
      </c>
      <c r="J708" s="28">
        <v>826576</v>
      </c>
      <c r="K708" s="34">
        <v>-1.97</v>
      </c>
      <c r="L708" s="34">
        <v>2.08</v>
      </c>
      <c r="M708" s="34">
        <v>-34.950000000000003</v>
      </c>
      <c r="N708" s="24">
        <v>704</v>
      </c>
      <c r="O708" s="29">
        <v>43096.561828703707</v>
      </c>
    </row>
    <row r="709" spans="2:15" x14ac:dyDescent="0.25">
      <c r="B709" s="24" t="s">
        <v>2523</v>
      </c>
      <c r="C709" s="23" t="s">
        <v>450</v>
      </c>
      <c r="D709" s="24" t="s">
        <v>1413</v>
      </c>
      <c r="E709" s="25">
        <v>8.5399999999999996E-6</v>
      </c>
      <c r="F709" s="26">
        <v>0.13495499999999999</v>
      </c>
      <c r="G709" s="27">
        <v>1161.1199999999999</v>
      </c>
      <c r="H709" s="27">
        <v>468696</v>
      </c>
      <c r="I709" s="28">
        <v>3472983</v>
      </c>
      <c r="J709" s="28">
        <v>3472983</v>
      </c>
      <c r="K709" s="34">
        <v>-1.25</v>
      </c>
      <c r="L709" s="34">
        <v>-7.35</v>
      </c>
      <c r="M709" s="34">
        <v>-18.739999999999998</v>
      </c>
      <c r="N709" s="24">
        <v>705</v>
      </c>
      <c r="O709" s="29">
        <v>43096.561921296299</v>
      </c>
    </row>
    <row r="710" spans="2:15" x14ac:dyDescent="0.25">
      <c r="B710" s="24" t="s">
        <v>3019</v>
      </c>
      <c r="C710" s="23" t="s">
        <v>3020</v>
      </c>
      <c r="D710" s="24" t="s">
        <v>3021</v>
      </c>
      <c r="E710" s="25">
        <v>1.9749999999999999E-5</v>
      </c>
      <c r="F710" s="26">
        <v>0.31198500000000001</v>
      </c>
      <c r="G710" s="27">
        <v>213679</v>
      </c>
      <c r="H710" s="27">
        <v>467978</v>
      </c>
      <c r="I710" s="28">
        <v>1500000</v>
      </c>
      <c r="J710" s="28">
        <v>3019862</v>
      </c>
      <c r="K710" s="34">
        <v>3.22</v>
      </c>
      <c r="L710" s="34">
        <v>20.61</v>
      </c>
      <c r="M710" s="34">
        <v>49.78</v>
      </c>
      <c r="N710" s="24">
        <v>706</v>
      </c>
      <c r="O710" s="29">
        <v>43096.561979166669</v>
      </c>
    </row>
    <row r="711" spans="2:15" x14ac:dyDescent="0.25">
      <c r="B711" s="24" t="s">
        <v>2318</v>
      </c>
      <c r="C711" s="23" t="s">
        <v>390</v>
      </c>
      <c r="D711" s="24" t="s">
        <v>1354</v>
      </c>
      <c r="E711" s="25">
        <v>5.8999999999999996E-7</v>
      </c>
      <c r="F711" s="26">
        <v>9.2796600000000003E-3</v>
      </c>
      <c r="G711" s="27">
        <v>700.78</v>
      </c>
      <c r="H711" s="27">
        <v>463983</v>
      </c>
      <c r="I711" s="28">
        <v>50000000</v>
      </c>
      <c r="J711" s="28">
        <v>100000000</v>
      </c>
      <c r="K711" s="34">
        <v>-0.69</v>
      </c>
      <c r="L711" s="34">
        <v>93.15</v>
      </c>
      <c r="M711" s="34">
        <v>-20.96</v>
      </c>
      <c r="N711" s="24">
        <v>707</v>
      </c>
      <c r="O711" s="29">
        <v>43096.561886574076</v>
      </c>
    </row>
    <row r="712" spans="2:15" x14ac:dyDescent="0.25">
      <c r="B712" s="24" t="s">
        <v>2320</v>
      </c>
      <c r="C712" s="23" t="s">
        <v>389</v>
      </c>
      <c r="D712" s="24" t="s">
        <v>1353</v>
      </c>
      <c r="E712" s="25">
        <v>1.8300000000000001E-6</v>
      </c>
      <c r="F712" s="26">
        <v>2.8977300000000001E-2</v>
      </c>
      <c r="G712" s="27">
        <v>4642.8999999999996</v>
      </c>
      <c r="H712" s="27">
        <v>459819</v>
      </c>
      <c r="I712" s="28">
        <v>15868233</v>
      </c>
      <c r="J712" s="28">
        <v>15868233</v>
      </c>
      <c r="K712" s="34">
        <v>-1.1200000000000001</v>
      </c>
      <c r="L712" s="34">
        <v>-0.94</v>
      </c>
      <c r="M712" s="34">
        <v>37.299999999999997</v>
      </c>
      <c r="N712" s="24">
        <v>708</v>
      </c>
      <c r="O712" s="29">
        <v>43096.561874999999</v>
      </c>
    </row>
    <row r="713" spans="2:15" x14ac:dyDescent="0.25">
      <c r="B713" s="24" t="s">
        <v>3722</v>
      </c>
      <c r="C713" s="23" t="s">
        <v>3740</v>
      </c>
      <c r="D713" s="24" t="s">
        <v>3723</v>
      </c>
      <c r="E713" s="25">
        <v>3.0800000000000002E-6</v>
      </c>
      <c r="F713" s="26">
        <v>4.8717900000000001E-2</v>
      </c>
      <c r="G713" s="27">
        <v>19801.7</v>
      </c>
      <c r="H713" s="27">
        <v>452370</v>
      </c>
      <c r="I713" s="28">
        <v>9285500</v>
      </c>
      <c r="J713" s="28">
        <v>21000000</v>
      </c>
      <c r="K713" s="34">
        <v>-2.09</v>
      </c>
      <c r="L713" s="34">
        <v>20.420000000000002</v>
      </c>
      <c r="M713" s="34">
        <v>-49.98</v>
      </c>
      <c r="N713" s="24">
        <v>709</v>
      </c>
      <c r="O713" s="29">
        <v>43096.562013888892</v>
      </c>
    </row>
    <row r="714" spans="2:15" x14ac:dyDescent="0.25">
      <c r="B714" s="24" t="s">
        <v>3241</v>
      </c>
      <c r="C714" s="23" t="s">
        <v>3242</v>
      </c>
      <c r="D714" s="24" t="s">
        <v>3243</v>
      </c>
      <c r="E714" s="25">
        <v>7.1999999999999999E-7</v>
      </c>
      <c r="F714" s="26">
        <v>1.1445200000000001E-2</v>
      </c>
      <c r="G714" s="27">
        <v>5266.02</v>
      </c>
      <c r="H714" s="27">
        <v>440559</v>
      </c>
      <c r="I714" s="28">
        <v>38492900</v>
      </c>
      <c r="J714" s="28">
        <v>45625900</v>
      </c>
      <c r="K714" s="34">
        <v>-1.02</v>
      </c>
      <c r="L714" s="34">
        <v>9.66</v>
      </c>
      <c r="M714" s="34">
        <v>39.130000000000003</v>
      </c>
      <c r="N714" s="24">
        <v>710</v>
      </c>
      <c r="O714" s="29">
        <v>43096.561990740738</v>
      </c>
    </row>
    <row r="715" spans="2:15" x14ac:dyDescent="0.25">
      <c r="B715" s="24" t="s">
        <v>2572</v>
      </c>
      <c r="C715" s="23" t="s">
        <v>639</v>
      </c>
      <c r="D715" s="24" t="s">
        <v>1599</v>
      </c>
      <c r="E715" s="25">
        <v>8.0000000000000005E-9</v>
      </c>
      <c r="F715" s="26">
        <v>1.29004E-4</v>
      </c>
      <c r="G715" s="27">
        <v>1458.64</v>
      </c>
      <c r="H715" s="27">
        <v>438501</v>
      </c>
      <c r="I715" s="28">
        <v>3399128724</v>
      </c>
      <c r="J715" s="28">
        <v>3399128724</v>
      </c>
      <c r="K715" s="34">
        <v>-13.11</v>
      </c>
      <c r="L715" s="34">
        <v>-5.4</v>
      </c>
      <c r="M715" s="34">
        <v>-7.57</v>
      </c>
      <c r="N715" s="24">
        <v>711</v>
      </c>
      <c r="O715" s="29">
        <v>43096.561828703707</v>
      </c>
    </row>
    <row r="716" spans="2:15" x14ac:dyDescent="0.25">
      <c r="B716" s="24" t="s">
        <v>2322</v>
      </c>
      <c r="C716" s="23" t="s">
        <v>399</v>
      </c>
      <c r="D716" s="24" t="s">
        <v>1363</v>
      </c>
      <c r="E716" s="25">
        <v>9.0999999999999997E-7</v>
      </c>
      <c r="F716" s="26">
        <v>1.43769E-2</v>
      </c>
      <c r="G716" s="27">
        <v>4641.13</v>
      </c>
      <c r="H716" s="27">
        <v>436290</v>
      </c>
      <c r="I716" s="28">
        <v>30346591</v>
      </c>
      <c r="J716" s="28">
        <v>30346591</v>
      </c>
      <c r="K716" s="34">
        <v>-1.1399999999999999</v>
      </c>
      <c r="L716" s="34">
        <v>-34.979999999999997</v>
      </c>
      <c r="M716" s="34">
        <v>156.46</v>
      </c>
      <c r="N716" s="24">
        <v>712</v>
      </c>
      <c r="O716" s="29">
        <v>43096.561921296299</v>
      </c>
    </row>
    <row r="717" spans="2:15" x14ac:dyDescent="0.25">
      <c r="B717" s="24" t="s">
        <v>2789</v>
      </c>
      <c r="C717" s="23" t="s">
        <v>2994</v>
      </c>
      <c r="D717" s="24" t="s">
        <v>1821</v>
      </c>
      <c r="E717" s="25">
        <v>2.7199999999999998E-6</v>
      </c>
      <c r="F717" s="26">
        <v>4.3006099999999998E-2</v>
      </c>
      <c r="G717" s="27">
        <v>7428.17</v>
      </c>
      <c r="H717" s="27">
        <v>434294</v>
      </c>
      <c r="I717" s="28">
        <v>10098430</v>
      </c>
      <c r="J717" s="28">
        <v>10098430</v>
      </c>
      <c r="K717" s="34">
        <v>4.12</v>
      </c>
      <c r="L717" s="34">
        <v>-13.45</v>
      </c>
      <c r="M717" s="34">
        <v>-8.73</v>
      </c>
      <c r="N717" s="24">
        <v>713</v>
      </c>
      <c r="O717" s="29">
        <v>43096.561944444446</v>
      </c>
    </row>
    <row r="718" spans="2:15" x14ac:dyDescent="0.25">
      <c r="B718" s="24" t="s">
        <v>2427</v>
      </c>
      <c r="C718" s="23" t="s">
        <v>488</v>
      </c>
      <c r="D718" s="24" t="s">
        <v>1454</v>
      </c>
      <c r="E718" s="25">
        <v>9.4E-7</v>
      </c>
      <c r="F718" s="26">
        <v>1.4922299999999999E-2</v>
      </c>
      <c r="G718" s="27">
        <v>30907</v>
      </c>
      <c r="H718" s="27">
        <v>431856</v>
      </c>
      <c r="I718" s="28">
        <v>28940333</v>
      </c>
      <c r="J718" s="28">
        <v>161666000</v>
      </c>
      <c r="K718" s="34">
        <v>-4.17</v>
      </c>
      <c r="L718" s="34">
        <v>-3.42</v>
      </c>
      <c r="M718" s="34">
        <v>-8.9700000000000006</v>
      </c>
      <c r="N718" s="24">
        <v>714</v>
      </c>
      <c r="O718" s="29">
        <v>43096.561956018515</v>
      </c>
    </row>
    <row r="719" spans="2:15" x14ac:dyDescent="0.25">
      <c r="B719" s="24" t="s">
        <v>2520</v>
      </c>
      <c r="C719" s="23" t="s">
        <v>606</v>
      </c>
      <c r="D719" s="24" t="s">
        <v>1567</v>
      </c>
      <c r="E719" s="25">
        <v>3.7400000000000002E-6</v>
      </c>
      <c r="F719" s="26">
        <v>5.9093699999999999E-2</v>
      </c>
      <c r="G719" s="27">
        <v>2105.61</v>
      </c>
      <c r="H719" s="27">
        <v>418828</v>
      </c>
      <c r="I719" s="28">
        <v>7087519</v>
      </c>
      <c r="J719" s="28">
        <v>7087519</v>
      </c>
      <c r="K719" s="34">
        <v>-1.08</v>
      </c>
      <c r="L719" s="34">
        <v>7.05</v>
      </c>
      <c r="M719" s="34">
        <v>10.039999999999999</v>
      </c>
      <c r="N719" s="24">
        <v>715</v>
      </c>
      <c r="O719" s="29">
        <v>43096.561851851853</v>
      </c>
    </row>
    <row r="720" spans="2:15" x14ac:dyDescent="0.25">
      <c r="B720" s="24" t="s">
        <v>2307</v>
      </c>
      <c r="C720" s="23" t="s">
        <v>509</v>
      </c>
      <c r="D720" s="24" t="s">
        <v>1474</v>
      </c>
      <c r="E720" s="25">
        <v>4.5199999999999999E-6</v>
      </c>
      <c r="F720" s="26">
        <v>7.1464399999999997E-2</v>
      </c>
      <c r="G720" s="27">
        <v>32187.9</v>
      </c>
      <c r="H720" s="27">
        <v>417965</v>
      </c>
      <c r="I720" s="28">
        <v>5848581</v>
      </c>
      <c r="J720" s="28">
        <v>100000000</v>
      </c>
      <c r="K720" s="34">
        <v>-3.09</v>
      </c>
      <c r="L720" s="34">
        <v>38.729999999999997</v>
      </c>
      <c r="M720" s="34">
        <v>182.51</v>
      </c>
      <c r="N720" s="24">
        <v>716</v>
      </c>
      <c r="O720" s="29">
        <v>43096.561944444446</v>
      </c>
    </row>
    <row r="721" spans="2:15" x14ac:dyDescent="0.25">
      <c r="B721" s="24" t="s">
        <v>2409</v>
      </c>
      <c r="C721" s="23" t="s">
        <v>615</v>
      </c>
      <c r="D721" s="24" t="s">
        <v>1576</v>
      </c>
      <c r="E721" s="25">
        <v>1.9000000000000001E-7</v>
      </c>
      <c r="F721" s="26">
        <v>2.9622799999999999E-3</v>
      </c>
      <c r="G721" s="27">
        <v>1583.12</v>
      </c>
      <c r="H721" s="27">
        <v>415497</v>
      </c>
      <c r="I721" s="28">
        <v>140262505</v>
      </c>
      <c r="J721" s="28">
        <v>140262505</v>
      </c>
      <c r="K721" s="34">
        <v>28.77</v>
      </c>
      <c r="L721" s="34">
        <v>42.32</v>
      </c>
      <c r="M721" s="34">
        <v>62.22</v>
      </c>
      <c r="N721" s="24">
        <v>717</v>
      </c>
      <c r="O721" s="29">
        <v>43096.561828703707</v>
      </c>
    </row>
    <row r="722" spans="2:15" x14ac:dyDescent="0.25">
      <c r="B722" s="24" t="s">
        <v>3644</v>
      </c>
      <c r="C722" s="23" t="s">
        <v>3645</v>
      </c>
      <c r="D722" s="24" t="s">
        <v>3646</v>
      </c>
      <c r="E722" s="25">
        <v>1.31E-5</v>
      </c>
      <c r="F722" s="26">
        <v>0.20691499999999999</v>
      </c>
      <c r="G722" s="27">
        <v>24057.7</v>
      </c>
      <c r="H722" s="27">
        <v>415406</v>
      </c>
      <c r="I722" s="28">
        <v>2007615</v>
      </c>
      <c r="J722" s="28">
        <v>2500000</v>
      </c>
      <c r="K722" s="34">
        <v>-0.33</v>
      </c>
      <c r="L722" s="34">
        <v>58.74</v>
      </c>
      <c r="M722" s="34">
        <v>26.72</v>
      </c>
      <c r="N722" s="24">
        <v>718</v>
      </c>
      <c r="O722" s="29">
        <v>43096.562002314815</v>
      </c>
    </row>
    <row r="723" spans="2:15" x14ac:dyDescent="0.25">
      <c r="B723" s="24" t="s">
        <v>2507</v>
      </c>
      <c r="C723" s="23" t="s">
        <v>580</v>
      </c>
      <c r="D723" s="24" t="s">
        <v>1141</v>
      </c>
      <c r="E723" s="25">
        <v>4.1999999999999996E-6</v>
      </c>
      <c r="F723" s="26">
        <v>6.6354899999999994E-2</v>
      </c>
      <c r="G723" s="27">
        <v>1735.86</v>
      </c>
      <c r="H723" s="27">
        <v>414386</v>
      </c>
      <c r="I723" s="28">
        <v>6245000</v>
      </c>
      <c r="J723" s="28">
        <v>6245000</v>
      </c>
      <c r="K723" s="34">
        <v>-12.8</v>
      </c>
      <c r="L723" s="34">
        <v>10.29</v>
      </c>
      <c r="M723" s="34">
        <v>-34.6</v>
      </c>
      <c r="N723" s="24">
        <v>719</v>
      </c>
      <c r="O723" s="29">
        <v>43096.56181712963</v>
      </c>
    </row>
    <row r="724" spans="2:15" x14ac:dyDescent="0.25">
      <c r="B724" s="24" t="s">
        <v>2394</v>
      </c>
      <c r="C724" s="23" t="s">
        <v>475</v>
      </c>
      <c r="D724" s="24" t="s">
        <v>1440</v>
      </c>
      <c r="E724" s="25">
        <v>2E-8</v>
      </c>
      <c r="F724" s="26">
        <v>3.3060199999999999E-4</v>
      </c>
      <c r="G724" s="27">
        <v>628.02599999999995</v>
      </c>
      <c r="H724" s="27">
        <v>413866</v>
      </c>
      <c r="I724" s="28">
        <v>1251855418</v>
      </c>
      <c r="J724" s="28">
        <v>1251855418</v>
      </c>
      <c r="K724" s="34">
        <v>-2.81</v>
      </c>
      <c r="L724" s="34">
        <v>102.73</v>
      </c>
      <c r="M724" s="34">
        <v>234.83</v>
      </c>
      <c r="N724" s="24">
        <v>720</v>
      </c>
      <c r="O724" s="29">
        <v>43096.561828703707</v>
      </c>
    </row>
    <row r="725" spans="2:15" x14ac:dyDescent="0.25">
      <c r="B725" s="24" t="s">
        <v>3926</v>
      </c>
      <c r="C725" s="23" t="s">
        <v>3927</v>
      </c>
      <c r="D725" s="24" t="s">
        <v>3928</v>
      </c>
      <c r="E725" s="25">
        <v>1.1799E-4</v>
      </c>
      <c r="F725" s="26">
        <v>1.86416</v>
      </c>
      <c r="G725" s="27">
        <v>111891</v>
      </c>
      <c r="H725" s="27">
        <v>413450</v>
      </c>
      <c r="I725" s="28">
        <v>221789</v>
      </c>
      <c r="J725" s="28">
        <v>2181250</v>
      </c>
      <c r="K725" s="34">
        <v>5.89</v>
      </c>
      <c r="L725" s="34">
        <v>-1.1399999999999999</v>
      </c>
      <c r="M725" s="34">
        <v>23.68</v>
      </c>
      <c r="N725" s="24">
        <v>721</v>
      </c>
      <c r="O725" s="29">
        <v>43096.562013888892</v>
      </c>
    </row>
    <row r="726" spans="2:15" x14ac:dyDescent="0.25">
      <c r="B726" s="24" t="s">
        <v>2383</v>
      </c>
      <c r="C726" s="23" t="s">
        <v>600</v>
      </c>
      <c r="D726" s="24" t="s">
        <v>1562</v>
      </c>
      <c r="E726" s="25">
        <v>5.6520000000000001E-5</v>
      </c>
      <c r="F726" s="26">
        <v>0.89299399999999995</v>
      </c>
      <c r="G726" s="27">
        <v>1105.67</v>
      </c>
      <c r="H726" s="27">
        <v>409633</v>
      </c>
      <c r="I726" s="28">
        <v>458719</v>
      </c>
      <c r="J726" s="28">
        <v>458719</v>
      </c>
      <c r="K726" s="34">
        <v>-1.07</v>
      </c>
      <c r="L726" s="34">
        <v>12.91</v>
      </c>
      <c r="M726" s="34">
        <v>-16.98</v>
      </c>
      <c r="N726" s="24">
        <v>722</v>
      </c>
      <c r="O726" s="29">
        <v>43096.561886574076</v>
      </c>
    </row>
    <row r="727" spans="2:15" x14ac:dyDescent="0.25">
      <c r="B727" s="24" t="s">
        <v>2372</v>
      </c>
      <c r="C727" s="23" t="s">
        <v>438</v>
      </c>
      <c r="D727" s="24" t="s">
        <v>1401</v>
      </c>
      <c r="E727" s="25">
        <v>1.24686E-3</v>
      </c>
      <c r="F727" s="26">
        <v>19.698899999999998</v>
      </c>
      <c r="G727" s="27">
        <v>920.12300000000005</v>
      </c>
      <c r="H727" s="27">
        <v>407627</v>
      </c>
      <c r="I727" s="28">
        <v>20693</v>
      </c>
      <c r="J727" s="28">
        <v>20693</v>
      </c>
      <c r="K727" s="34">
        <v>-1.4</v>
      </c>
      <c r="L727" s="34">
        <v>3.61</v>
      </c>
      <c r="M727" s="34">
        <v>-8.2899999999999991</v>
      </c>
      <c r="N727" s="24">
        <v>723</v>
      </c>
      <c r="O727" s="29">
        <v>43096.561851851853</v>
      </c>
    </row>
    <row r="728" spans="2:15" x14ac:dyDescent="0.25">
      <c r="B728" s="24" t="s">
        <v>2549</v>
      </c>
      <c r="C728" s="23" t="s">
        <v>688</v>
      </c>
      <c r="D728" s="24" t="s">
        <v>1646</v>
      </c>
      <c r="E728" s="25">
        <v>1.4999999999999999E-7</v>
      </c>
      <c r="F728" s="26">
        <v>2.3698199999999999E-3</v>
      </c>
      <c r="G728" s="27">
        <v>709.19200000000001</v>
      </c>
      <c r="H728" s="27">
        <v>401918</v>
      </c>
      <c r="I728" s="28">
        <v>169598616</v>
      </c>
      <c r="J728" s="28">
        <v>169598616</v>
      </c>
      <c r="K728" s="34">
        <v>-1.1399999999999999</v>
      </c>
      <c r="L728" s="34">
        <v>-6.95</v>
      </c>
      <c r="M728" s="34">
        <v>-28.21</v>
      </c>
      <c r="N728" s="24">
        <v>724</v>
      </c>
      <c r="O728" s="29">
        <v>43096.561909722222</v>
      </c>
    </row>
    <row r="729" spans="2:15" x14ac:dyDescent="0.25">
      <c r="B729" s="24" t="s">
        <v>2373</v>
      </c>
      <c r="C729" s="23" t="s">
        <v>598</v>
      </c>
      <c r="D729" s="24" t="s">
        <v>1560</v>
      </c>
      <c r="E729" s="25">
        <v>1.009E-5</v>
      </c>
      <c r="F729" s="26">
        <v>0.15942100000000001</v>
      </c>
      <c r="G729" s="27">
        <v>664.68</v>
      </c>
      <c r="H729" s="27">
        <v>394869</v>
      </c>
      <c r="I729" s="28">
        <v>2476893</v>
      </c>
      <c r="J729" s="28">
        <v>2476893</v>
      </c>
      <c r="K729" s="34">
        <v>-1.1200000000000001</v>
      </c>
      <c r="L729" s="34">
        <v>18.36</v>
      </c>
      <c r="M729" s="34">
        <v>4.8499999999999996</v>
      </c>
      <c r="N729" s="24">
        <v>725</v>
      </c>
      <c r="O729" s="29">
        <v>43096.561932870369</v>
      </c>
    </row>
    <row r="730" spans="2:15" x14ac:dyDescent="0.25">
      <c r="B730" s="24" t="s">
        <v>2802</v>
      </c>
      <c r="C730" s="23" t="s">
        <v>849</v>
      </c>
      <c r="D730" s="24" t="s">
        <v>1798</v>
      </c>
      <c r="E730" s="25">
        <v>1.3400000000000001E-6</v>
      </c>
      <c r="F730" s="26">
        <v>2.1245900000000002E-2</v>
      </c>
      <c r="G730" s="27">
        <v>883.35599999999999</v>
      </c>
      <c r="H730" s="27">
        <v>387363</v>
      </c>
      <c r="I730" s="28">
        <v>18232366</v>
      </c>
      <c r="J730" s="28">
        <v>30762996</v>
      </c>
      <c r="K730" s="34">
        <v>1.7</v>
      </c>
      <c r="L730" s="34">
        <v>17.34</v>
      </c>
      <c r="M730" s="34">
        <v>-74.98</v>
      </c>
      <c r="N730" s="24">
        <v>726</v>
      </c>
      <c r="O730" s="29">
        <v>43096.561840277776</v>
      </c>
    </row>
    <row r="731" spans="2:15" x14ac:dyDescent="0.25">
      <c r="B731" s="24" t="s">
        <v>3448</v>
      </c>
      <c r="C731" s="23" t="s">
        <v>3449</v>
      </c>
      <c r="D731" s="24" t="s">
        <v>3450</v>
      </c>
      <c r="E731" s="25">
        <v>1.3599999999999999E-6</v>
      </c>
      <c r="F731" s="26">
        <v>2.15008E-2</v>
      </c>
      <c r="G731" s="27">
        <v>5773.73</v>
      </c>
      <c r="H731" s="27">
        <v>386627</v>
      </c>
      <c r="I731" s="28">
        <v>17982000</v>
      </c>
      <c r="J731" s="28">
        <v>18000000</v>
      </c>
      <c r="K731" s="34">
        <v>20.39</v>
      </c>
      <c r="L731" s="34">
        <v>-11.7</v>
      </c>
      <c r="M731" s="34">
        <v>12.59</v>
      </c>
      <c r="N731" s="24">
        <v>727</v>
      </c>
      <c r="O731" s="29">
        <v>43096.562002314815</v>
      </c>
    </row>
    <row r="732" spans="2:15" x14ac:dyDescent="0.25">
      <c r="B732" s="24" t="s">
        <v>2527</v>
      </c>
      <c r="C732" s="23" t="s">
        <v>594</v>
      </c>
      <c r="D732" s="24" t="s">
        <v>1556</v>
      </c>
      <c r="E732" s="25">
        <v>1E-8</v>
      </c>
      <c r="F732" s="26">
        <v>1.5798799999999999E-4</v>
      </c>
      <c r="G732" s="27">
        <v>2356.98</v>
      </c>
      <c r="H732" s="27">
        <v>383773</v>
      </c>
      <c r="I732" s="28">
        <v>2429126009</v>
      </c>
      <c r="J732" s="28">
        <v>2429126009</v>
      </c>
      <c r="K732" s="34">
        <v>-1.0900000000000001</v>
      </c>
      <c r="L732" s="34">
        <v>2.87</v>
      </c>
      <c r="M732" s="34">
        <v>-7.31</v>
      </c>
      <c r="N732" s="24">
        <v>728</v>
      </c>
      <c r="O732" s="29">
        <v>43096.561874999999</v>
      </c>
    </row>
    <row r="733" spans="2:15" x14ac:dyDescent="0.25">
      <c r="B733" s="24" t="s">
        <v>2533</v>
      </c>
      <c r="C733" s="23" t="s">
        <v>603</v>
      </c>
      <c r="D733" s="24" t="s">
        <v>1565</v>
      </c>
      <c r="E733" s="25">
        <v>2.7999999999999999E-6</v>
      </c>
      <c r="F733" s="26">
        <v>4.4308399999999998E-2</v>
      </c>
      <c r="G733" s="27">
        <v>1396.8</v>
      </c>
      <c r="H733" s="27">
        <v>381526</v>
      </c>
      <c r="I733" s="28">
        <v>8610700</v>
      </c>
      <c r="J733" s="28">
        <v>8610700</v>
      </c>
      <c r="K733" s="34">
        <v>-0.77</v>
      </c>
      <c r="L733" s="34">
        <v>-24.56</v>
      </c>
      <c r="M733" s="34">
        <v>-6.72</v>
      </c>
      <c r="N733" s="24">
        <v>729</v>
      </c>
      <c r="O733" s="29">
        <v>43096.561874999999</v>
      </c>
    </row>
    <row r="734" spans="2:15" x14ac:dyDescent="0.25">
      <c r="B734" s="24" t="s">
        <v>2828</v>
      </c>
      <c r="C734" s="23" t="s">
        <v>924</v>
      </c>
      <c r="D734" s="24" t="s">
        <v>1870</v>
      </c>
      <c r="E734" s="25">
        <v>4.0457999999999998E-4</v>
      </c>
      <c r="F734" s="26">
        <v>6.3918999999999997</v>
      </c>
      <c r="G734" s="27">
        <v>7724.66</v>
      </c>
      <c r="H734" s="27">
        <v>381357</v>
      </c>
      <c r="I734" s="28">
        <v>59663</v>
      </c>
      <c r="J734" s="28">
        <v>59663</v>
      </c>
      <c r="K734" s="34">
        <v>-6.95</v>
      </c>
      <c r="L734" s="34">
        <v>3.66</v>
      </c>
      <c r="M734" s="34">
        <v>7.24</v>
      </c>
      <c r="N734" s="24">
        <v>730</v>
      </c>
      <c r="O734" s="29">
        <v>43096.56181712963</v>
      </c>
    </row>
    <row r="735" spans="2:15" x14ac:dyDescent="0.25">
      <c r="B735" s="24" t="s">
        <v>2506</v>
      </c>
      <c r="C735" s="23" t="s">
        <v>445</v>
      </c>
      <c r="D735" s="24" t="s">
        <v>1408</v>
      </c>
      <c r="E735" s="25">
        <v>1.5799999999999999E-6</v>
      </c>
      <c r="F735" s="26">
        <v>2.5032700000000001E-2</v>
      </c>
      <c r="G735" s="27">
        <v>869.03200000000004</v>
      </c>
      <c r="H735" s="27">
        <v>378562</v>
      </c>
      <c r="I735" s="28">
        <v>15122697</v>
      </c>
      <c r="J735" s="28">
        <v>15122697</v>
      </c>
      <c r="K735" s="34">
        <v>-0.96</v>
      </c>
      <c r="L735" s="34">
        <v>10.64</v>
      </c>
      <c r="M735" s="34">
        <v>56.09</v>
      </c>
      <c r="N735" s="24">
        <v>731</v>
      </c>
      <c r="O735" s="29">
        <v>43096.56181712963</v>
      </c>
    </row>
    <row r="736" spans="2:15" x14ac:dyDescent="0.25">
      <c r="B736" s="24" t="s">
        <v>2489</v>
      </c>
      <c r="C736" s="23" t="s">
        <v>584</v>
      </c>
      <c r="D736" s="24" t="s">
        <v>1546</v>
      </c>
      <c r="E736" s="25">
        <v>1.37E-6</v>
      </c>
      <c r="F736" s="26">
        <v>2.1692900000000001E-2</v>
      </c>
      <c r="G736" s="27">
        <v>787.12300000000005</v>
      </c>
      <c r="H736" s="27">
        <v>372497</v>
      </c>
      <c r="I736" s="28">
        <v>17171382</v>
      </c>
      <c r="J736" s="28">
        <v>17171382</v>
      </c>
      <c r="K736" s="34">
        <v>-1.1299999999999999</v>
      </c>
      <c r="L736" s="34">
        <v>-16.899999999999999</v>
      </c>
      <c r="M736" s="34">
        <v>-27.01</v>
      </c>
      <c r="N736" s="24">
        <v>732</v>
      </c>
      <c r="O736" s="29">
        <v>43096.561840277776</v>
      </c>
    </row>
    <row r="737" spans="2:15" x14ac:dyDescent="0.25">
      <c r="B737" s="24" t="s">
        <v>2378</v>
      </c>
      <c r="C737" s="23" t="s">
        <v>553</v>
      </c>
      <c r="D737" s="24" t="s">
        <v>1517</v>
      </c>
      <c r="E737" s="25">
        <v>1.22E-6</v>
      </c>
      <c r="F737" s="26">
        <v>1.9324899999999999E-2</v>
      </c>
      <c r="G737" s="27">
        <v>2759.68</v>
      </c>
      <c r="H737" s="27">
        <v>369437</v>
      </c>
      <c r="I737" s="28">
        <v>19117129</v>
      </c>
      <c r="J737" s="28">
        <v>19117129</v>
      </c>
      <c r="K737" s="34">
        <v>-0.94</v>
      </c>
      <c r="L737" s="34">
        <v>-9.16</v>
      </c>
      <c r="M737" s="34">
        <v>25.07</v>
      </c>
      <c r="N737" s="24">
        <v>733</v>
      </c>
      <c r="O737" s="29">
        <v>43096.56181712963</v>
      </c>
    </row>
    <row r="738" spans="2:15" x14ac:dyDescent="0.25">
      <c r="B738" s="24" t="s">
        <v>3069</v>
      </c>
      <c r="C738" s="23" t="s">
        <v>3070</v>
      </c>
      <c r="D738" s="24" t="s">
        <v>3071</v>
      </c>
      <c r="E738" s="25">
        <v>7.1400000000000002E-6</v>
      </c>
      <c r="F738" s="26">
        <v>0.112743</v>
      </c>
      <c r="G738" s="27">
        <v>8457.44</v>
      </c>
      <c r="H738" s="27">
        <v>368480</v>
      </c>
      <c r="I738" s="28">
        <v>3268315</v>
      </c>
      <c r="J738" s="28">
        <v>3315311</v>
      </c>
      <c r="K738" s="34">
        <v>6.88</v>
      </c>
      <c r="L738" s="34">
        <v>2.02</v>
      </c>
      <c r="M738" s="34">
        <v>10.1</v>
      </c>
      <c r="N738" s="24">
        <v>734</v>
      </c>
      <c r="O738" s="29">
        <v>43096.561979166669</v>
      </c>
    </row>
    <row r="739" spans="2:15" x14ac:dyDescent="0.25">
      <c r="B739" s="24" t="s">
        <v>2562</v>
      </c>
      <c r="C739" s="23" t="s">
        <v>481</v>
      </c>
      <c r="D739" s="24" t="s">
        <v>1447</v>
      </c>
      <c r="E739" s="25">
        <v>2.4999999999999999E-7</v>
      </c>
      <c r="F739" s="26">
        <v>4.0233400000000002E-3</v>
      </c>
      <c r="G739" s="27">
        <v>1218.8800000000001</v>
      </c>
      <c r="H739" s="27">
        <v>363798</v>
      </c>
      <c r="I739" s="28">
        <v>90421856</v>
      </c>
      <c r="J739" s="28">
        <v>90421856</v>
      </c>
      <c r="K739" s="34">
        <v>23.13</v>
      </c>
      <c r="L739" s="34">
        <v>8.23</v>
      </c>
      <c r="M739" s="34">
        <v>92.32</v>
      </c>
      <c r="N739" s="24">
        <v>735</v>
      </c>
      <c r="O739" s="29">
        <v>43096.561921296299</v>
      </c>
    </row>
    <row r="740" spans="2:15" x14ac:dyDescent="0.25">
      <c r="B740" s="24" t="s">
        <v>2494</v>
      </c>
      <c r="C740" s="23" t="s">
        <v>443</v>
      </c>
      <c r="D740" s="24" t="s">
        <v>1406</v>
      </c>
      <c r="E740" s="25">
        <v>1.68E-6</v>
      </c>
      <c r="F740" s="26">
        <v>2.65647E-2</v>
      </c>
      <c r="G740" s="27">
        <v>3218.27</v>
      </c>
      <c r="H740" s="27">
        <v>355265</v>
      </c>
      <c r="I740" s="28">
        <v>13373589</v>
      </c>
      <c r="J740" s="28">
        <v>13373589</v>
      </c>
      <c r="K740" s="34">
        <v>-1.32</v>
      </c>
      <c r="L740" s="34">
        <v>-4.0999999999999996</v>
      </c>
      <c r="M740" s="34">
        <v>-8.58</v>
      </c>
      <c r="N740" s="24">
        <v>736</v>
      </c>
      <c r="O740" s="29">
        <v>43096.561851851853</v>
      </c>
    </row>
    <row r="741" spans="2:15" x14ac:dyDescent="0.25">
      <c r="B741" s="24" t="s">
        <v>2398</v>
      </c>
      <c r="C741" s="23" t="s">
        <v>457</v>
      </c>
      <c r="D741" s="24" t="s">
        <v>1421</v>
      </c>
      <c r="E741" s="25">
        <v>5.4209999999999998E-5</v>
      </c>
      <c r="F741" s="26">
        <v>0.85646800000000001</v>
      </c>
      <c r="G741" s="27">
        <v>4031.69</v>
      </c>
      <c r="H741" s="27">
        <v>350481</v>
      </c>
      <c r="I741" s="28">
        <v>409217</v>
      </c>
      <c r="J741" s="28">
        <v>1000000</v>
      </c>
      <c r="K741" s="34">
        <v>-2.1</v>
      </c>
      <c r="L741" s="34">
        <v>4.41</v>
      </c>
      <c r="M741" s="34">
        <v>11.89</v>
      </c>
      <c r="N741" s="24">
        <v>737</v>
      </c>
      <c r="O741" s="29">
        <v>43096.561979166669</v>
      </c>
    </row>
    <row r="742" spans="2:15" x14ac:dyDescent="0.25">
      <c r="B742" s="24" t="s">
        <v>3694</v>
      </c>
      <c r="C742" s="23" t="s">
        <v>3695</v>
      </c>
      <c r="D742" s="24" t="s">
        <v>3696</v>
      </c>
      <c r="E742" s="25">
        <v>1.031E-5</v>
      </c>
      <c r="F742" s="26">
        <v>0.16292899999999999</v>
      </c>
      <c r="G742" s="27">
        <v>12883.7</v>
      </c>
      <c r="H742" s="27">
        <v>341079</v>
      </c>
      <c r="I742" s="28">
        <v>2093421</v>
      </c>
      <c r="J742" s="28">
        <v>3633153</v>
      </c>
      <c r="K742" s="34">
        <v>0.2</v>
      </c>
      <c r="L742" s="34">
        <v>-8.14</v>
      </c>
      <c r="M742" s="34">
        <v>3.63</v>
      </c>
      <c r="N742" s="24">
        <v>738</v>
      </c>
      <c r="O742" s="29">
        <v>43096.562002314815</v>
      </c>
    </row>
    <row r="743" spans="2:15" x14ac:dyDescent="0.25">
      <c r="B743" s="24" t="s">
        <v>2310</v>
      </c>
      <c r="C743" s="23" t="s">
        <v>380</v>
      </c>
      <c r="D743" s="24" t="s">
        <v>1346</v>
      </c>
      <c r="E743" s="25">
        <v>1.9700000000000002E-6</v>
      </c>
      <c r="F743" s="26">
        <v>3.1124800000000001E-2</v>
      </c>
      <c r="G743" s="27">
        <v>5095.1499999999996</v>
      </c>
      <c r="H743" s="27">
        <v>340152</v>
      </c>
      <c r="I743" s="28">
        <v>10928643</v>
      </c>
      <c r="J743" s="28">
        <v>10928643</v>
      </c>
      <c r="K743" s="34">
        <v>-13.48</v>
      </c>
      <c r="L743" s="34">
        <v>25.28</v>
      </c>
      <c r="M743" s="34">
        <v>30.3</v>
      </c>
      <c r="N743" s="24">
        <v>739</v>
      </c>
      <c r="O743" s="29">
        <v>43096.561932870369</v>
      </c>
    </row>
    <row r="744" spans="2:15" x14ac:dyDescent="0.25">
      <c r="B744" s="24" t="s">
        <v>2668</v>
      </c>
      <c r="C744" s="23" t="s">
        <v>732</v>
      </c>
      <c r="D744" s="24" t="s">
        <v>3008</v>
      </c>
      <c r="E744" s="25">
        <v>4.7999999999999998E-6</v>
      </c>
      <c r="F744" s="26">
        <v>7.5818399999999994E-2</v>
      </c>
      <c r="G744" s="27">
        <v>4551.2700000000004</v>
      </c>
      <c r="H744" s="27">
        <v>337537</v>
      </c>
      <c r="I744" s="28">
        <v>4451920</v>
      </c>
      <c r="J744" s="28">
        <v>4451920</v>
      </c>
      <c r="K744" s="34">
        <v>-2.5</v>
      </c>
      <c r="L744" s="34">
        <v>229.02</v>
      </c>
      <c r="M744" s="34">
        <v>-3.94</v>
      </c>
      <c r="N744" s="24">
        <v>740</v>
      </c>
      <c r="O744" s="29">
        <v>43096.561851851853</v>
      </c>
    </row>
    <row r="745" spans="2:15" x14ac:dyDescent="0.25">
      <c r="B745" s="24" t="s">
        <v>2490</v>
      </c>
      <c r="C745" s="23" t="s">
        <v>556</v>
      </c>
      <c r="D745" s="24" t="s">
        <v>1520</v>
      </c>
      <c r="E745" s="25">
        <v>1.8E-7</v>
      </c>
      <c r="F745" s="26">
        <v>2.8563299999999998E-3</v>
      </c>
      <c r="G745" s="27">
        <v>2505.02</v>
      </c>
      <c r="H745" s="27">
        <v>331537</v>
      </c>
      <c r="I745" s="28">
        <v>116071034</v>
      </c>
      <c r="J745" s="28">
        <v>116071034</v>
      </c>
      <c r="K745" s="34">
        <v>-1.1499999999999999</v>
      </c>
      <c r="L745" s="34">
        <v>5.69</v>
      </c>
      <c r="M745" s="34">
        <v>23.02</v>
      </c>
      <c r="N745" s="24">
        <v>741</v>
      </c>
      <c r="O745" s="29">
        <v>43096.561863425923</v>
      </c>
    </row>
    <row r="746" spans="2:15" x14ac:dyDescent="0.25">
      <c r="B746" s="24" t="s">
        <v>2482</v>
      </c>
      <c r="C746" s="23" t="s">
        <v>554</v>
      </c>
      <c r="D746" s="24" t="s">
        <v>1518</v>
      </c>
      <c r="E746" s="25">
        <v>2.1500000000000002E-6</v>
      </c>
      <c r="F746" s="26">
        <v>3.3993700000000002E-2</v>
      </c>
      <c r="G746" s="27">
        <v>583.82500000000005</v>
      </c>
      <c r="H746" s="27">
        <v>320777</v>
      </c>
      <c r="I746" s="28">
        <v>9436367</v>
      </c>
      <c r="J746" s="28">
        <v>9586367</v>
      </c>
      <c r="K746" s="34">
        <v>-21.67</v>
      </c>
      <c r="L746" s="34">
        <v>-19.57</v>
      </c>
      <c r="M746" s="34">
        <v>19.95</v>
      </c>
      <c r="N746" s="24">
        <v>742</v>
      </c>
      <c r="O746" s="29">
        <v>43096.561898148146</v>
      </c>
    </row>
    <row r="747" spans="2:15" x14ac:dyDescent="0.25">
      <c r="B747" s="24" t="s">
        <v>2540</v>
      </c>
      <c r="C747" s="23" t="s">
        <v>612</v>
      </c>
      <c r="D747" s="24" t="s">
        <v>1573</v>
      </c>
      <c r="E747" s="25">
        <v>1E-8</v>
      </c>
      <c r="F747" s="26">
        <v>1.5798799999999999E-4</v>
      </c>
      <c r="G747" s="27">
        <v>2020.76</v>
      </c>
      <c r="H747" s="27">
        <v>316084</v>
      </c>
      <c r="I747" s="28">
        <v>2000683485</v>
      </c>
      <c r="J747" s="28">
        <v>2000683485</v>
      </c>
      <c r="K747" s="34">
        <v>-1.1399999999999999</v>
      </c>
      <c r="L747" s="34">
        <v>2.87</v>
      </c>
      <c r="M747" s="34">
        <v>-7.31</v>
      </c>
      <c r="N747" s="24">
        <v>743</v>
      </c>
      <c r="O747" s="29">
        <v>43096.561874999999</v>
      </c>
    </row>
    <row r="748" spans="2:15" x14ac:dyDescent="0.25">
      <c r="B748" s="24" t="s">
        <v>2740</v>
      </c>
      <c r="C748" s="23" t="s">
        <v>808</v>
      </c>
      <c r="D748" s="24" t="s">
        <v>1763</v>
      </c>
      <c r="E748" s="25">
        <v>1.9999999999999999E-6</v>
      </c>
      <c r="F748" s="26">
        <v>3.1597600000000003E-2</v>
      </c>
      <c r="G748" s="27">
        <v>2846.41</v>
      </c>
      <c r="H748" s="27">
        <v>315976</v>
      </c>
      <c r="I748" s="28">
        <v>10000000</v>
      </c>
      <c r="J748" s="28">
        <v>10000000</v>
      </c>
      <c r="K748" s="34">
        <v>-1.19</v>
      </c>
      <c r="L748" s="34">
        <v>5.99</v>
      </c>
      <c r="M748" s="34">
        <v>-11.42</v>
      </c>
      <c r="N748" s="24">
        <v>744</v>
      </c>
      <c r="O748" s="29">
        <v>43096.561979166669</v>
      </c>
    </row>
    <row r="749" spans="2:15" x14ac:dyDescent="0.25">
      <c r="B749" s="24" t="s">
        <v>3730</v>
      </c>
      <c r="C749" s="23" t="s">
        <v>3731</v>
      </c>
      <c r="D749" s="24" t="s">
        <v>3732</v>
      </c>
      <c r="E749" s="25">
        <v>5.3900000000000001E-6</v>
      </c>
      <c r="F749" s="26">
        <v>8.5162799999999997E-2</v>
      </c>
      <c r="G749" s="27">
        <v>21684.799999999999</v>
      </c>
      <c r="H749" s="27">
        <v>298070</v>
      </c>
      <c r="I749" s="28">
        <v>3500000</v>
      </c>
      <c r="J749" s="28">
        <v>80000000</v>
      </c>
      <c r="K749" s="34">
        <v>-0.77</v>
      </c>
      <c r="L749" s="34">
        <v>1.46</v>
      </c>
      <c r="M749" s="34">
        <v>18.690000000000001</v>
      </c>
      <c r="N749" s="24">
        <v>745</v>
      </c>
      <c r="O749" s="29">
        <v>43096.562013888892</v>
      </c>
    </row>
    <row r="750" spans="2:15" x14ac:dyDescent="0.25">
      <c r="B750" s="24" t="s">
        <v>3570</v>
      </c>
      <c r="C750" s="23" t="s">
        <v>3571</v>
      </c>
      <c r="D750" s="24" t="s">
        <v>3572</v>
      </c>
      <c r="E750" s="25">
        <v>1.61E-6</v>
      </c>
      <c r="F750" s="26">
        <v>2.5429500000000001E-2</v>
      </c>
      <c r="G750" s="27">
        <v>1529.52</v>
      </c>
      <c r="H750" s="27">
        <v>296796</v>
      </c>
      <c r="I750" s="28">
        <v>11671310</v>
      </c>
      <c r="J750" s="28">
        <v>50000000</v>
      </c>
      <c r="K750" s="34">
        <v>-0.87</v>
      </c>
      <c r="L750" s="34">
        <v>441.11</v>
      </c>
      <c r="M750" s="34">
        <v>525.91999999999996</v>
      </c>
      <c r="N750" s="24">
        <v>746</v>
      </c>
      <c r="O750" s="29">
        <v>43096.562002314815</v>
      </c>
    </row>
    <row r="751" spans="2:15" x14ac:dyDescent="0.25">
      <c r="B751" s="24" t="s">
        <v>3143</v>
      </c>
      <c r="C751" s="23" t="s">
        <v>3049</v>
      </c>
      <c r="D751" s="24" t="s">
        <v>3050</v>
      </c>
      <c r="E751" s="25">
        <v>7.0000000000000005E-8</v>
      </c>
      <c r="F751" s="26">
        <v>1.0435900000000001E-3</v>
      </c>
      <c r="G751" s="27">
        <v>5120.29</v>
      </c>
      <c r="H751" s="27">
        <v>296716</v>
      </c>
      <c r="I751" s="28">
        <v>284322110</v>
      </c>
      <c r="J751" s="28">
        <v>284322110</v>
      </c>
      <c r="K751" s="34">
        <v>-6.2</v>
      </c>
      <c r="L751" s="34">
        <v>-12.04</v>
      </c>
      <c r="M751" s="34">
        <v>154.78</v>
      </c>
      <c r="N751" s="24">
        <v>747</v>
      </c>
      <c r="O751" s="29">
        <v>43096.561956018515</v>
      </c>
    </row>
    <row r="752" spans="2:15" x14ac:dyDescent="0.25">
      <c r="B752" s="24" t="s">
        <v>2596</v>
      </c>
      <c r="C752" s="23" t="s">
        <v>662</v>
      </c>
      <c r="D752" s="24" t="s">
        <v>1621</v>
      </c>
      <c r="E752" s="25">
        <v>1.024E-5</v>
      </c>
      <c r="F752" s="26">
        <v>0.16178000000000001</v>
      </c>
      <c r="G752" s="27">
        <v>861.14700000000005</v>
      </c>
      <c r="H752" s="27">
        <v>296362</v>
      </c>
      <c r="I752" s="28">
        <v>1831882</v>
      </c>
      <c r="J752" s="28">
        <v>1831882</v>
      </c>
      <c r="K752" s="34">
        <v>-1.1399999999999999</v>
      </c>
      <c r="L752" s="34">
        <v>2.97</v>
      </c>
      <c r="M752" s="34">
        <v>-14.05</v>
      </c>
      <c r="N752" s="24">
        <v>748</v>
      </c>
      <c r="O752" s="29">
        <v>43096.561932870369</v>
      </c>
    </row>
    <row r="753" spans="2:15" x14ac:dyDescent="0.25">
      <c r="B753" s="24" t="s">
        <v>2737</v>
      </c>
      <c r="C753" s="23" t="s">
        <v>790</v>
      </c>
      <c r="D753" s="24" t="s">
        <v>1745</v>
      </c>
      <c r="E753" s="25">
        <v>1.1400000000000001E-6</v>
      </c>
      <c r="F753" s="26">
        <v>1.8014599999999999E-2</v>
      </c>
      <c r="G753" s="27">
        <v>4857.5600000000004</v>
      </c>
      <c r="H753" s="27">
        <v>292678</v>
      </c>
      <c r="I753" s="28">
        <v>16246703</v>
      </c>
      <c r="J753" s="28">
        <v>114446700</v>
      </c>
      <c r="K753" s="34">
        <v>-6.62</v>
      </c>
      <c r="L753" s="34">
        <v>-22.87</v>
      </c>
      <c r="M753" s="34">
        <v>42.49</v>
      </c>
      <c r="N753" s="24">
        <v>749</v>
      </c>
      <c r="O753" s="29">
        <v>43096.561979166669</v>
      </c>
    </row>
    <row r="754" spans="2:15" x14ac:dyDescent="0.25">
      <c r="B754" s="24" t="s">
        <v>2518</v>
      </c>
      <c r="C754" s="23" t="s">
        <v>589</v>
      </c>
      <c r="D754" s="24" t="s">
        <v>1551</v>
      </c>
      <c r="E754" s="25">
        <v>1.6999999999999999E-7</v>
      </c>
      <c r="F754" s="26">
        <v>2.7399199999999999E-3</v>
      </c>
      <c r="G754" s="27">
        <v>2757.78</v>
      </c>
      <c r="H754" s="27">
        <v>292355</v>
      </c>
      <c r="I754" s="28">
        <v>106701874</v>
      </c>
      <c r="J754" s="28">
        <v>106701874</v>
      </c>
      <c r="K754" s="34">
        <v>-7.26</v>
      </c>
      <c r="L754" s="34">
        <v>-3.67</v>
      </c>
      <c r="M754" s="34">
        <v>-75.73</v>
      </c>
      <c r="N754" s="24">
        <v>750</v>
      </c>
      <c r="O754" s="29">
        <v>43096.561921296299</v>
      </c>
    </row>
    <row r="755" spans="2:15" x14ac:dyDescent="0.25">
      <c r="B755" s="24" t="s">
        <v>3606</v>
      </c>
      <c r="C755" s="23" t="s">
        <v>3607</v>
      </c>
      <c r="D755" s="24" t="s">
        <v>3608</v>
      </c>
      <c r="E755" s="25">
        <v>2.2560000000000001E-5</v>
      </c>
      <c r="F755" s="26">
        <v>0.356493</v>
      </c>
      <c r="G755" s="27">
        <v>4734.08</v>
      </c>
      <c r="H755" s="27">
        <v>290603</v>
      </c>
      <c r="I755" s="28">
        <v>815172</v>
      </c>
      <c r="J755" s="28">
        <v>888400</v>
      </c>
      <c r="K755" s="34">
        <v>-1.1399999999999999</v>
      </c>
      <c r="L755" s="34">
        <v>-18.059999999999999</v>
      </c>
      <c r="M755" s="34">
        <v>114.49</v>
      </c>
      <c r="N755" s="24">
        <v>751</v>
      </c>
      <c r="O755" s="29">
        <v>43096.562002314815</v>
      </c>
    </row>
    <row r="756" spans="2:15" x14ac:dyDescent="0.25">
      <c r="B756" s="24" t="s">
        <v>2526</v>
      </c>
      <c r="C756" s="23" t="s">
        <v>579</v>
      </c>
      <c r="D756" s="24" t="s">
        <v>1542</v>
      </c>
      <c r="E756" s="25">
        <v>9.9999999999999995E-7</v>
      </c>
      <c r="F756" s="26">
        <v>1.5845100000000001E-2</v>
      </c>
      <c r="G756" s="27">
        <v>1441.55</v>
      </c>
      <c r="H756" s="27">
        <v>288256</v>
      </c>
      <c r="I756" s="28">
        <v>18192145</v>
      </c>
      <c r="J756" s="28">
        <v>18192145</v>
      </c>
      <c r="K756" s="34">
        <v>-1.1499999999999999</v>
      </c>
      <c r="L756" s="34">
        <v>13.1</v>
      </c>
      <c r="M756" s="34">
        <v>55.25</v>
      </c>
      <c r="N756" s="24">
        <v>752</v>
      </c>
      <c r="O756" s="29">
        <v>43096.561851851853</v>
      </c>
    </row>
    <row r="757" spans="2:15" x14ac:dyDescent="0.25">
      <c r="B757" s="24" t="s">
        <v>2521</v>
      </c>
      <c r="C757" s="23" t="s">
        <v>601</v>
      </c>
      <c r="D757" s="24" t="s">
        <v>1563</v>
      </c>
      <c r="E757" s="25">
        <v>1.415E-5</v>
      </c>
      <c r="F757" s="26">
        <v>0.223492</v>
      </c>
      <c r="G757" s="27">
        <v>1004.17</v>
      </c>
      <c r="H757" s="27">
        <v>272679</v>
      </c>
      <c r="I757" s="28">
        <v>1220085</v>
      </c>
      <c r="J757" s="28">
        <v>1220085</v>
      </c>
      <c r="K757" s="34">
        <v>-1.19</v>
      </c>
      <c r="L757" s="34">
        <v>28.26</v>
      </c>
      <c r="M757" s="34">
        <v>3.72</v>
      </c>
      <c r="N757" s="24">
        <v>753</v>
      </c>
      <c r="O757" s="29">
        <v>43096.561840277776</v>
      </c>
    </row>
    <row r="758" spans="2:15" x14ac:dyDescent="0.25">
      <c r="B758" s="24" t="s">
        <v>2556</v>
      </c>
      <c r="C758" s="23" t="s">
        <v>625</v>
      </c>
      <c r="D758" s="24" t="s">
        <v>1585</v>
      </c>
      <c r="E758" s="25">
        <v>2.7599999999999998E-6</v>
      </c>
      <c r="F758" s="26">
        <v>4.3604700000000003E-2</v>
      </c>
      <c r="G758" s="27">
        <v>1890.35</v>
      </c>
      <c r="H758" s="27">
        <v>262254</v>
      </c>
      <c r="I758" s="28">
        <v>6014340</v>
      </c>
      <c r="J758" s="28">
        <v>6014340</v>
      </c>
      <c r="K758" s="34">
        <v>-8.74</v>
      </c>
      <c r="L758" s="34">
        <v>-3.46</v>
      </c>
      <c r="M758" s="34">
        <v>-14.43</v>
      </c>
      <c r="N758" s="24">
        <v>754</v>
      </c>
      <c r="O758" s="29">
        <v>43096.561840277776</v>
      </c>
    </row>
    <row r="759" spans="2:15" x14ac:dyDescent="0.25">
      <c r="B759" s="24" t="s">
        <v>2642</v>
      </c>
      <c r="C759" s="23" t="s">
        <v>708</v>
      </c>
      <c r="D759" s="24" t="s">
        <v>1666</v>
      </c>
      <c r="E759" s="25">
        <v>4.9999999999999998E-8</v>
      </c>
      <c r="F759" s="26">
        <v>8.1996599999999999E-4</v>
      </c>
      <c r="G759" s="27">
        <v>1269.1600000000001</v>
      </c>
      <c r="H759" s="27">
        <v>261160</v>
      </c>
      <c r="I759" s="28">
        <v>318500691</v>
      </c>
      <c r="J759" s="28">
        <v>318500691</v>
      </c>
      <c r="K759" s="34">
        <v>-0.76</v>
      </c>
      <c r="L759" s="34">
        <v>6.37</v>
      </c>
      <c r="M759" s="34">
        <v>25.75</v>
      </c>
      <c r="N759" s="24">
        <v>755</v>
      </c>
      <c r="O759" s="29">
        <v>43096.561863425923</v>
      </c>
    </row>
    <row r="760" spans="2:15" x14ac:dyDescent="0.25">
      <c r="B760" s="24" t="s">
        <v>2558</v>
      </c>
      <c r="C760" s="23" t="s">
        <v>652</v>
      </c>
      <c r="D760" s="24" t="s">
        <v>1612</v>
      </c>
      <c r="E760" s="25">
        <v>1.2699999999999999E-6</v>
      </c>
      <c r="F760" s="26">
        <v>2.0027699999999999E-2</v>
      </c>
      <c r="G760" s="27">
        <v>11249.9</v>
      </c>
      <c r="H760" s="27">
        <v>248043</v>
      </c>
      <c r="I760" s="28">
        <v>12384976</v>
      </c>
      <c r="J760" s="28">
        <v>12384976</v>
      </c>
      <c r="K760" s="34">
        <v>17.09</v>
      </c>
      <c r="L760" s="34">
        <v>93.43</v>
      </c>
      <c r="M760" s="34">
        <v>211.01</v>
      </c>
      <c r="N760" s="24">
        <v>756</v>
      </c>
      <c r="O760" s="29">
        <v>43096.561863425923</v>
      </c>
    </row>
    <row r="761" spans="2:15" x14ac:dyDescent="0.25">
      <c r="B761" s="24" t="s">
        <v>2407</v>
      </c>
      <c r="C761" s="23" t="s">
        <v>468</v>
      </c>
      <c r="D761" s="24" t="s">
        <v>1432</v>
      </c>
      <c r="E761" s="25">
        <v>2.26E-6</v>
      </c>
      <c r="F761" s="26">
        <v>3.57243E-2</v>
      </c>
      <c r="G761" s="27">
        <v>833.471</v>
      </c>
      <c r="H761" s="27">
        <v>246549</v>
      </c>
      <c r="I761" s="28">
        <v>6901432</v>
      </c>
      <c r="J761" s="28">
        <v>6901432</v>
      </c>
      <c r="K761" s="34">
        <v>-1.21</v>
      </c>
      <c r="L761" s="34">
        <v>-6.64</v>
      </c>
      <c r="M761" s="34">
        <v>-29.93</v>
      </c>
      <c r="N761" s="24">
        <v>757</v>
      </c>
      <c r="O761" s="29">
        <v>43096.561956018515</v>
      </c>
    </row>
    <row r="762" spans="2:15" x14ac:dyDescent="0.25">
      <c r="B762" s="24" t="s">
        <v>2497</v>
      </c>
      <c r="C762" s="23" t="s">
        <v>447</v>
      </c>
      <c r="D762" s="24" t="s">
        <v>1410</v>
      </c>
      <c r="E762" s="25">
        <v>2.4899999999999999E-6</v>
      </c>
      <c r="F762" s="26">
        <v>3.9368300000000002E-2</v>
      </c>
      <c r="G762" s="27">
        <v>536.84299999999996</v>
      </c>
      <c r="H762" s="27">
        <v>240944</v>
      </c>
      <c r="I762" s="28">
        <v>6120246</v>
      </c>
      <c r="J762" s="28">
        <v>6120246</v>
      </c>
      <c r="K762" s="34">
        <v>-1.02</v>
      </c>
      <c r="L762" s="34">
        <v>148.08000000000001</v>
      </c>
      <c r="M762" s="34">
        <v>58.49</v>
      </c>
      <c r="N762" s="24">
        <v>758</v>
      </c>
      <c r="O762" s="29">
        <v>43096.561967592592</v>
      </c>
    </row>
    <row r="763" spans="2:15" x14ac:dyDescent="0.25">
      <c r="B763" s="24" t="s">
        <v>3639</v>
      </c>
      <c r="C763" s="23" t="s">
        <v>3640</v>
      </c>
      <c r="D763" s="24" t="s">
        <v>3641</v>
      </c>
      <c r="E763" s="25">
        <v>5.4000000000000002E-7</v>
      </c>
      <c r="F763" s="26">
        <v>8.5722400000000001E-3</v>
      </c>
      <c r="G763" s="27">
        <v>4455.1499999999996</v>
      </c>
      <c r="H763" s="27">
        <v>238267</v>
      </c>
      <c r="I763" s="28">
        <v>27795201</v>
      </c>
      <c r="J763" s="28">
        <v>41961940</v>
      </c>
      <c r="K763" s="34">
        <v>-3.95</v>
      </c>
      <c r="L763" s="34">
        <v>1.38</v>
      </c>
      <c r="M763" s="34">
        <v>-60.35</v>
      </c>
      <c r="N763" s="24">
        <v>759</v>
      </c>
      <c r="O763" s="29">
        <v>43096.562013888892</v>
      </c>
    </row>
    <row r="764" spans="2:15" x14ac:dyDescent="0.25">
      <c r="B764" s="24" t="s">
        <v>2581</v>
      </c>
      <c r="C764" s="23" t="s">
        <v>649</v>
      </c>
      <c r="D764" s="24" t="s">
        <v>1609</v>
      </c>
      <c r="E764" s="25">
        <v>1.3E-7</v>
      </c>
      <c r="F764" s="26">
        <v>1.99629E-3</v>
      </c>
      <c r="G764" s="27">
        <v>81445.399999999994</v>
      </c>
      <c r="H764" s="27">
        <v>230571</v>
      </c>
      <c r="I764" s="28">
        <v>115499623</v>
      </c>
      <c r="J764" s="28">
        <v>393459356</v>
      </c>
      <c r="K764" s="34">
        <v>23.94</v>
      </c>
      <c r="L764" s="34">
        <v>-6.49</v>
      </c>
      <c r="M764" s="34">
        <v>420.45</v>
      </c>
      <c r="N764" s="24">
        <v>760</v>
      </c>
      <c r="O764" s="29">
        <v>43096.561851851853</v>
      </c>
    </row>
    <row r="765" spans="2:15" x14ac:dyDescent="0.25">
      <c r="B765" s="24" t="s">
        <v>3107</v>
      </c>
      <c r="C765" s="23" t="s">
        <v>3108</v>
      </c>
      <c r="D765" s="24" t="s">
        <v>3109</v>
      </c>
      <c r="E765" s="25">
        <v>6.3899999999999998E-6</v>
      </c>
      <c r="F765" s="26">
        <v>0.100954</v>
      </c>
      <c r="G765" s="27">
        <v>7305.04</v>
      </c>
      <c r="H765" s="27">
        <v>225528</v>
      </c>
      <c r="I765" s="28">
        <v>2233969</v>
      </c>
      <c r="J765" s="28">
        <v>2693969</v>
      </c>
      <c r="K765" s="34">
        <v>-1.1399999999999999</v>
      </c>
      <c r="L765" s="34">
        <v>51.76</v>
      </c>
      <c r="M765" s="34">
        <v>171.93</v>
      </c>
      <c r="N765" s="24">
        <v>761</v>
      </c>
      <c r="O765" s="29">
        <v>43096.561979166669</v>
      </c>
    </row>
    <row r="766" spans="2:15" x14ac:dyDescent="0.25">
      <c r="B766" s="24" t="s">
        <v>3821</v>
      </c>
      <c r="C766" s="23" t="s">
        <v>3822</v>
      </c>
      <c r="D766" s="24" t="s">
        <v>3823</v>
      </c>
      <c r="E766" s="25">
        <v>1.2999999999999999E-4</v>
      </c>
      <c r="F766" s="26">
        <v>2.0538400000000001</v>
      </c>
      <c r="G766" s="27">
        <v>17324.2</v>
      </c>
      <c r="H766" s="27">
        <v>217290</v>
      </c>
      <c r="I766" s="28">
        <v>105797</v>
      </c>
      <c r="J766" s="28">
        <v>505797</v>
      </c>
      <c r="K766" s="34">
        <v>-0.5</v>
      </c>
      <c r="L766" s="34">
        <v>4.3499999999999996</v>
      </c>
      <c r="M766" s="34">
        <v>86.22</v>
      </c>
      <c r="N766" s="24">
        <v>762</v>
      </c>
      <c r="O766" s="29">
        <v>43096.562013888892</v>
      </c>
    </row>
    <row r="767" spans="2:15" x14ac:dyDescent="0.25">
      <c r="B767" s="24" t="s">
        <v>2309</v>
      </c>
      <c r="C767" s="23" t="s">
        <v>388</v>
      </c>
      <c r="D767" s="24" t="s">
        <v>1352</v>
      </c>
      <c r="E767" s="25">
        <v>7.9999999999999996E-7</v>
      </c>
      <c r="F767" s="26">
        <v>1.2713800000000001E-2</v>
      </c>
      <c r="G767" s="27">
        <v>9373.9500000000007</v>
      </c>
      <c r="H767" s="27">
        <v>216989</v>
      </c>
      <c r="I767" s="28">
        <v>17067232</v>
      </c>
      <c r="J767" s="28">
        <v>17067232</v>
      </c>
      <c r="K767" s="34">
        <v>-10.62</v>
      </c>
      <c r="L767" s="34">
        <v>14.45</v>
      </c>
      <c r="M767" s="34">
        <v>19.690000000000001</v>
      </c>
      <c r="N767" s="24">
        <v>763</v>
      </c>
      <c r="O767" s="29">
        <v>43096.561967592592</v>
      </c>
    </row>
    <row r="768" spans="2:15" x14ac:dyDescent="0.25">
      <c r="B768" s="24" t="s">
        <v>2517</v>
      </c>
      <c r="C768" s="23" t="s">
        <v>305</v>
      </c>
      <c r="D768" s="24" t="s">
        <v>1417</v>
      </c>
      <c r="E768" s="25">
        <v>1E-8</v>
      </c>
      <c r="F768" s="26">
        <v>1.5798799999999999E-4</v>
      </c>
      <c r="G768" s="27">
        <v>534.76199999999994</v>
      </c>
      <c r="H768" s="27">
        <v>214334</v>
      </c>
      <c r="I768" s="28">
        <v>1356645470</v>
      </c>
      <c r="J768" s="28">
        <v>2856645470</v>
      </c>
      <c r="K768" s="34">
        <v>-1.0900000000000001</v>
      </c>
      <c r="L768" s="34">
        <v>2.87</v>
      </c>
      <c r="M768" s="34">
        <v>-7.31</v>
      </c>
      <c r="N768" s="24">
        <v>764</v>
      </c>
      <c r="O768" s="29">
        <v>43096.561874999999</v>
      </c>
    </row>
    <row r="769" spans="2:15" x14ac:dyDescent="0.25">
      <c r="B769" s="24" t="s">
        <v>2421</v>
      </c>
      <c r="C769" s="23" t="s">
        <v>477</v>
      </c>
      <c r="D769" s="24" t="s">
        <v>1443</v>
      </c>
      <c r="E769" s="25">
        <v>6.5000000000000002E-7</v>
      </c>
      <c r="F769" s="26">
        <v>1.0272099999999999E-2</v>
      </c>
      <c r="G769" s="27">
        <v>2176.7600000000002</v>
      </c>
      <c r="H769" s="27">
        <v>210789</v>
      </c>
      <c r="I769" s="28">
        <v>20520514</v>
      </c>
      <c r="J769" s="28">
        <v>20520514</v>
      </c>
      <c r="K769" s="34">
        <v>0.23</v>
      </c>
      <c r="L769" s="34">
        <v>33.450000000000003</v>
      </c>
      <c r="M769" s="34">
        <v>-11.97</v>
      </c>
      <c r="N769" s="24">
        <v>765</v>
      </c>
      <c r="O769" s="29">
        <v>43096.561909722222</v>
      </c>
    </row>
    <row r="770" spans="2:15" x14ac:dyDescent="0.25">
      <c r="B770" s="24" t="s">
        <v>2573</v>
      </c>
      <c r="C770" s="23" t="s">
        <v>638</v>
      </c>
      <c r="D770" s="24" t="s">
        <v>1597</v>
      </c>
      <c r="E770" s="25">
        <v>5.1910000000000003E-5</v>
      </c>
      <c r="F770" s="26">
        <v>0.82011500000000004</v>
      </c>
      <c r="G770" s="27">
        <v>1215.3800000000001</v>
      </c>
      <c r="H770" s="27">
        <v>210381</v>
      </c>
      <c r="I770" s="28">
        <v>256527</v>
      </c>
      <c r="J770" s="28">
        <v>256527</v>
      </c>
      <c r="K770" s="34">
        <v>-1.31</v>
      </c>
      <c r="L770" s="34">
        <v>7.33</v>
      </c>
      <c r="M770" s="34">
        <v>-45.65</v>
      </c>
      <c r="N770" s="24">
        <v>766</v>
      </c>
      <c r="O770" s="29">
        <v>43096.561932870369</v>
      </c>
    </row>
    <row r="771" spans="2:15" x14ac:dyDescent="0.25">
      <c r="B771" s="24" t="s">
        <v>2424</v>
      </c>
      <c r="C771" s="23" t="s">
        <v>484</v>
      </c>
      <c r="D771" s="24" t="s">
        <v>1450</v>
      </c>
      <c r="E771" s="25">
        <v>1.1379999999999999E-5</v>
      </c>
      <c r="F771" s="26">
        <v>0.17979500000000001</v>
      </c>
      <c r="G771" s="27">
        <v>4154.88</v>
      </c>
      <c r="H771" s="27">
        <v>207057</v>
      </c>
      <c r="I771" s="28">
        <v>1151628</v>
      </c>
      <c r="J771" s="28">
        <v>1153403</v>
      </c>
      <c r="K771" s="34">
        <v>-0.97</v>
      </c>
      <c r="L771" s="34">
        <v>-13.9</v>
      </c>
      <c r="M771" s="34">
        <v>-40.99</v>
      </c>
      <c r="N771" s="24">
        <v>767</v>
      </c>
      <c r="O771" s="29">
        <v>43096.561944444446</v>
      </c>
    </row>
    <row r="772" spans="2:15" x14ac:dyDescent="0.25">
      <c r="B772" s="24" t="s">
        <v>2267</v>
      </c>
      <c r="C772" s="23" t="s">
        <v>303</v>
      </c>
      <c r="D772" s="24">
        <v>808</v>
      </c>
      <c r="E772" s="25">
        <v>3E-9</v>
      </c>
      <c r="F772" s="26">
        <v>5.2004800000000001E-5</v>
      </c>
      <c r="G772" s="27">
        <v>4971.47</v>
      </c>
      <c r="H772" s="27">
        <v>206885</v>
      </c>
      <c r="I772" s="28">
        <v>3978187849</v>
      </c>
      <c r="J772" s="28">
        <v>3978187849</v>
      </c>
      <c r="K772" s="34">
        <v>0.59</v>
      </c>
      <c r="L772" s="34">
        <v>-12.42</v>
      </c>
      <c r="M772" s="34">
        <v>-19.510000000000002</v>
      </c>
      <c r="N772" s="24">
        <v>768</v>
      </c>
      <c r="O772" s="29">
        <v>43096.561909722222</v>
      </c>
    </row>
    <row r="773" spans="2:15" x14ac:dyDescent="0.25">
      <c r="B773" s="24" t="s">
        <v>2532</v>
      </c>
      <c r="C773" s="23" t="s">
        <v>590</v>
      </c>
      <c r="D773" s="24" t="s">
        <v>1552</v>
      </c>
      <c r="E773" s="25">
        <v>3.5630000000000003E-5</v>
      </c>
      <c r="F773" s="26">
        <v>0.56284699999999999</v>
      </c>
      <c r="G773" s="27">
        <v>1020.78</v>
      </c>
      <c r="H773" s="27">
        <v>205052</v>
      </c>
      <c r="I773" s="28">
        <v>364313</v>
      </c>
      <c r="J773" s="28">
        <v>364313</v>
      </c>
      <c r="K773" s="34">
        <v>-2.93</v>
      </c>
      <c r="L773" s="34">
        <v>4.08</v>
      </c>
      <c r="M773" s="34">
        <v>55.73</v>
      </c>
      <c r="N773" s="24">
        <v>769</v>
      </c>
      <c r="O773" s="29">
        <v>43096.561932870369</v>
      </c>
    </row>
    <row r="774" spans="2:15" x14ac:dyDescent="0.25">
      <c r="B774" s="24" t="s">
        <v>2512</v>
      </c>
      <c r="C774" s="23" t="s">
        <v>586</v>
      </c>
      <c r="D774" s="24" t="s">
        <v>1548</v>
      </c>
      <c r="E774" s="25">
        <v>4.2429999999999999E-5</v>
      </c>
      <c r="F774" s="26">
        <v>0.67034300000000002</v>
      </c>
      <c r="G774" s="27">
        <v>739.78800000000001</v>
      </c>
      <c r="H774" s="27">
        <v>202426</v>
      </c>
      <c r="I774" s="28">
        <v>301974</v>
      </c>
      <c r="J774" s="28">
        <v>301974</v>
      </c>
      <c r="K774" s="34">
        <v>-10.79</v>
      </c>
      <c r="L774" s="34">
        <v>-23.68</v>
      </c>
      <c r="M774" s="34">
        <v>0.5</v>
      </c>
      <c r="N774" s="24">
        <v>770</v>
      </c>
      <c r="O774" s="29">
        <v>43096.561863425923</v>
      </c>
    </row>
    <row r="775" spans="2:15" x14ac:dyDescent="0.25">
      <c r="B775" s="24" t="s">
        <v>2364</v>
      </c>
      <c r="C775" s="23" t="s">
        <v>432</v>
      </c>
      <c r="D775" s="24" t="s">
        <v>1396</v>
      </c>
      <c r="E775" s="25">
        <v>8.9999999999999995E-9</v>
      </c>
      <c r="F775" s="26">
        <v>1.42991E-4</v>
      </c>
      <c r="G775" s="27">
        <v>4737.5200000000004</v>
      </c>
      <c r="H775" s="27">
        <v>202197</v>
      </c>
      <c r="I775" s="28">
        <v>1414054562</v>
      </c>
      <c r="J775" s="28">
        <v>1414054562</v>
      </c>
      <c r="K775" s="34">
        <v>-9.5399999999999991</v>
      </c>
      <c r="L775" s="34">
        <v>0.11</v>
      </c>
      <c r="M775" s="34">
        <v>29.86</v>
      </c>
      <c r="N775" s="24">
        <v>771</v>
      </c>
      <c r="O775" s="29">
        <v>43096.561828703707</v>
      </c>
    </row>
    <row r="776" spans="2:15" x14ac:dyDescent="0.25">
      <c r="B776" s="24" t="s">
        <v>2371</v>
      </c>
      <c r="C776" s="23" t="s">
        <v>439</v>
      </c>
      <c r="D776" s="24" t="s">
        <v>1402</v>
      </c>
      <c r="E776" s="25">
        <v>1.0300000000000001E-6</v>
      </c>
      <c r="F776" s="26">
        <v>1.6234499999999999E-2</v>
      </c>
      <c r="G776" s="27">
        <v>1741.38</v>
      </c>
      <c r="H776" s="27">
        <v>201577</v>
      </c>
      <c r="I776" s="28">
        <v>12416554</v>
      </c>
      <c r="J776" s="28">
        <v>12416554</v>
      </c>
      <c r="K776" s="34">
        <v>-0.97</v>
      </c>
      <c r="L776" s="34">
        <v>-4.88</v>
      </c>
      <c r="M776" s="34">
        <v>-27.25</v>
      </c>
      <c r="N776" s="24">
        <v>772</v>
      </c>
      <c r="O776" s="29">
        <v>43096.561863425923</v>
      </c>
    </row>
    <row r="777" spans="2:15" x14ac:dyDescent="0.25">
      <c r="B777" s="24" t="s">
        <v>4042</v>
      </c>
      <c r="C777" s="23" t="s">
        <v>4043</v>
      </c>
      <c r="D777" s="24" t="s">
        <v>4044</v>
      </c>
      <c r="E777" s="25">
        <v>2.8540000000000001E-5</v>
      </c>
      <c r="F777" s="26">
        <v>0.45083499999999999</v>
      </c>
      <c r="G777" s="27">
        <v>6858.66</v>
      </c>
      <c r="H777" s="27">
        <v>200684</v>
      </c>
      <c r="I777" s="28">
        <v>445138</v>
      </c>
      <c r="J777" s="28">
        <v>3000000</v>
      </c>
      <c r="K777" s="34">
        <v>-1.1299999999999999</v>
      </c>
      <c r="L777" s="34">
        <v>-2.1800000000000002</v>
      </c>
      <c r="M777" s="34">
        <v>4.6399999999999997</v>
      </c>
      <c r="N777" s="24">
        <v>773</v>
      </c>
      <c r="O777" s="29">
        <v>43096.562025462961</v>
      </c>
    </row>
    <row r="778" spans="2:15" x14ac:dyDescent="0.25">
      <c r="B778" s="24" t="s">
        <v>2582</v>
      </c>
      <c r="C778" s="23" t="s">
        <v>636</v>
      </c>
      <c r="D778" s="24" t="s">
        <v>1595</v>
      </c>
      <c r="E778" s="25">
        <v>1.6999999999999999E-7</v>
      </c>
      <c r="F778" s="26">
        <v>2.6466200000000001E-3</v>
      </c>
      <c r="G778" s="27">
        <v>569.96</v>
      </c>
      <c r="H778" s="27">
        <v>195135</v>
      </c>
      <c r="I778" s="28">
        <v>73729962</v>
      </c>
      <c r="J778" s="28">
        <v>73729962</v>
      </c>
      <c r="K778" s="34">
        <v>-11.86</v>
      </c>
      <c r="L778" s="34">
        <v>-29.84</v>
      </c>
      <c r="M778" s="34">
        <v>-69.239999999999995</v>
      </c>
      <c r="N778" s="24">
        <v>774</v>
      </c>
      <c r="O778" s="29">
        <v>43096.561898148146</v>
      </c>
    </row>
    <row r="779" spans="2:15" x14ac:dyDescent="0.25">
      <c r="B779" s="24" t="s">
        <v>2419</v>
      </c>
      <c r="C779" s="23" t="s">
        <v>478</v>
      </c>
      <c r="D779" s="24" t="s">
        <v>1444</v>
      </c>
      <c r="E779" s="25">
        <v>4.5999999999999999E-7</v>
      </c>
      <c r="F779" s="26">
        <v>7.3363600000000001E-3</v>
      </c>
      <c r="G779" s="27">
        <v>8449.2900000000009</v>
      </c>
      <c r="H779" s="27">
        <v>193070</v>
      </c>
      <c r="I779" s="28">
        <v>26316800</v>
      </c>
      <c r="J779" s="28">
        <v>26316800</v>
      </c>
      <c r="K779" s="34">
        <v>6.24</v>
      </c>
      <c r="L779" s="34">
        <v>8.31</v>
      </c>
      <c r="M779" s="34">
        <v>99.39</v>
      </c>
      <c r="N779" s="24">
        <v>775</v>
      </c>
      <c r="O779" s="29">
        <v>43096.561944444446</v>
      </c>
    </row>
    <row r="780" spans="2:15" x14ac:dyDescent="0.25">
      <c r="B780" s="24" t="s">
        <v>3809</v>
      </c>
      <c r="C780" s="23" t="s">
        <v>3810</v>
      </c>
      <c r="D780" s="24" t="s">
        <v>3811</v>
      </c>
      <c r="E780" s="25">
        <v>7.1999999999999999E-7</v>
      </c>
      <c r="F780" s="26">
        <v>1.1375100000000001E-2</v>
      </c>
      <c r="G780" s="27">
        <v>1320.7</v>
      </c>
      <c r="H780" s="27">
        <v>187401</v>
      </c>
      <c r="I780" s="28">
        <v>16474625</v>
      </c>
      <c r="J780" s="28">
        <v>16474625</v>
      </c>
      <c r="K780" s="34">
        <v>-1.1399999999999999</v>
      </c>
      <c r="L780" s="34">
        <v>8.36</v>
      </c>
      <c r="M780" s="34">
        <v>52.95</v>
      </c>
      <c r="N780" s="24">
        <v>776</v>
      </c>
      <c r="O780" s="29">
        <v>43096.562013888892</v>
      </c>
    </row>
    <row r="781" spans="2:15" x14ac:dyDescent="0.25">
      <c r="B781" s="24" t="s">
        <v>2334</v>
      </c>
      <c r="C781" s="23" t="s">
        <v>398</v>
      </c>
      <c r="D781" s="24" t="s">
        <v>1362</v>
      </c>
      <c r="E781" s="25">
        <v>1.9000000000000001E-7</v>
      </c>
      <c r="F781" s="26">
        <v>3.01893E-3</v>
      </c>
      <c r="G781" s="27">
        <v>3881.55</v>
      </c>
      <c r="H781" s="27">
        <v>185767</v>
      </c>
      <c r="I781" s="28">
        <v>61534175</v>
      </c>
      <c r="J781" s="28">
        <v>61534175</v>
      </c>
      <c r="K781" s="34">
        <v>3.48</v>
      </c>
      <c r="L781" s="34">
        <v>15.02</v>
      </c>
      <c r="M781" s="34">
        <v>43.65</v>
      </c>
      <c r="N781" s="24">
        <v>777</v>
      </c>
      <c r="O781" s="29">
        <v>43096.561956018515</v>
      </c>
    </row>
    <row r="782" spans="2:15" x14ac:dyDescent="0.25">
      <c r="B782" s="24" t="s">
        <v>2589</v>
      </c>
      <c r="C782" s="23" t="s">
        <v>659</v>
      </c>
      <c r="D782" s="24" t="s">
        <v>1618</v>
      </c>
      <c r="E782" s="25">
        <v>1.9999999999999999E-6</v>
      </c>
      <c r="F782" s="26">
        <v>3.1597600000000003E-2</v>
      </c>
      <c r="G782" s="27">
        <v>719.09100000000001</v>
      </c>
      <c r="H782" s="27">
        <v>182294</v>
      </c>
      <c r="I782" s="28">
        <v>5769234</v>
      </c>
      <c r="J782" s="28">
        <v>6267834</v>
      </c>
      <c r="K782" s="34">
        <v>-5.84</v>
      </c>
      <c r="L782" s="34">
        <v>28</v>
      </c>
      <c r="M782" s="34">
        <v>-2.71</v>
      </c>
      <c r="N782" s="24">
        <v>778</v>
      </c>
      <c r="O782" s="29">
        <v>43096.561944444446</v>
      </c>
    </row>
    <row r="783" spans="2:15" x14ac:dyDescent="0.25">
      <c r="B783" s="24" t="s">
        <v>2747</v>
      </c>
      <c r="C783" s="23" t="s">
        <v>809</v>
      </c>
      <c r="D783" s="24" t="s">
        <v>1764</v>
      </c>
      <c r="E783" s="25">
        <v>1E-8</v>
      </c>
      <c r="F783" s="26">
        <v>1.5798799999999999E-4</v>
      </c>
      <c r="G783" s="27">
        <v>1169.81</v>
      </c>
      <c r="H783" s="27">
        <v>179196</v>
      </c>
      <c r="I783" s="28">
        <v>1134236104</v>
      </c>
      <c r="J783" s="28">
        <v>1134236104</v>
      </c>
      <c r="K783" s="34">
        <v>-1.0900000000000001</v>
      </c>
      <c r="L783" s="34">
        <v>-4.74</v>
      </c>
      <c r="M783" s="34">
        <v>-7.31</v>
      </c>
      <c r="N783" s="24">
        <v>779</v>
      </c>
      <c r="O783" s="29">
        <v>43096.56181712963</v>
      </c>
    </row>
    <row r="784" spans="2:15" x14ac:dyDescent="0.25">
      <c r="B784" s="24" t="s">
        <v>2599</v>
      </c>
      <c r="C784" s="23" t="s">
        <v>645</v>
      </c>
      <c r="D784" s="24" t="s">
        <v>1605</v>
      </c>
      <c r="E784" s="25">
        <v>1.219E-5</v>
      </c>
      <c r="F784" s="26">
        <v>0.192549</v>
      </c>
      <c r="G784" s="27">
        <v>513.16099999999994</v>
      </c>
      <c r="H784" s="27">
        <v>173288</v>
      </c>
      <c r="I784" s="28">
        <v>899970</v>
      </c>
      <c r="J784" s="28">
        <v>899970</v>
      </c>
      <c r="K784" s="34">
        <v>-1.93</v>
      </c>
      <c r="L784" s="34">
        <v>-17.12</v>
      </c>
      <c r="M784" s="34">
        <v>-0.13</v>
      </c>
      <c r="N784" s="24">
        <v>780</v>
      </c>
      <c r="O784" s="29">
        <v>43096.56181712963</v>
      </c>
    </row>
    <row r="785" spans="2:15" x14ac:dyDescent="0.25">
      <c r="B785" s="24" t="s">
        <v>3060</v>
      </c>
      <c r="C785" s="23" t="s">
        <v>3061</v>
      </c>
      <c r="D785" s="24" t="s">
        <v>3062</v>
      </c>
      <c r="E785" s="25">
        <v>6.6000000000000003E-7</v>
      </c>
      <c r="F785" s="30">
        <v>1.04717E-2</v>
      </c>
      <c r="G785" s="27">
        <v>2970.14</v>
      </c>
      <c r="H785" s="27">
        <v>173206</v>
      </c>
      <c r="I785" s="28">
        <v>16540381</v>
      </c>
      <c r="J785" s="28">
        <v>44982175</v>
      </c>
      <c r="K785" s="34">
        <v>-1.05</v>
      </c>
      <c r="L785" s="34">
        <v>11.64</v>
      </c>
      <c r="M785" s="34">
        <v>-20.190000000000001</v>
      </c>
      <c r="N785" s="24">
        <v>781</v>
      </c>
      <c r="O785" s="29">
        <v>43096.561979166669</v>
      </c>
    </row>
    <row r="786" spans="2:15" x14ac:dyDescent="0.25">
      <c r="B786" s="24" t="s">
        <v>2548</v>
      </c>
      <c r="C786" s="23" t="s">
        <v>632</v>
      </c>
      <c r="D786" s="24" t="s">
        <v>1592</v>
      </c>
      <c r="E786" s="25">
        <v>1.2300000000000001E-6</v>
      </c>
      <c r="F786" s="26">
        <v>1.9481999999999999E-2</v>
      </c>
      <c r="G786" s="27">
        <v>531.245</v>
      </c>
      <c r="H786" s="27">
        <v>169338</v>
      </c>
      <c r="I786" s="28">
        <v>8692018</v>
      </c>
      <c r="J786" s="28">
        <v>8692018</v>
      </c>
      <c r="K786" s="34">
        <v>-3.51</v>
      </c>
      <c r="L786" s="34">
        <v>9.81</v>
      </c>
      <c r="M786" s="34">
        <v>25.03</v>
      </c>
      <c r="N786" s="24">
        <v>782</v>
      </c>
      <c r="O786" s="29">
        <v>43096.56181712963</v>
      </c>
    </row>
    <row r="787" spans="2:15" x14ac:dyDescent="0.25">
      <c r="B787" s="24" t="s">
        <v>2390</v>
      </c>
      <c r="C787" s="23" t="s">
        <v>453</v>
      </c>
      <c r="D787" s="24" t="s">
        <v>1416</v>
      </c>
      <c r="E787" s="25">
        <v>9.18128E-2</v>
      </c>
      <c r="F787" s="26">
        <v>1450.53</v>
      </c>
      <c r="G787" s="27">
        <v>1254.92</v>
      </c>
      <c r="H787" s="27">
        <v>165137</v>
      </c>
      <c r="I787" s="28">
        <v>114</v>
      </c>
      <c r="J787" s="28">
        <v>114</v>
      </c>
      <c r="K787" s="34">
        <v>-0.59</v>
      </c>
      <c r="L787" s="34">
        <v>2.74</v>
      </c>
      <c r="M787" s="34">
        <v>-8.8000000000000007</v>
      </c>
      <c r="N787" s="24">
        <v>783</v>
      </c>
      <c r="O787" s="29">
        <v>43096.561851851853</v>
      </c>
    </row>
    <row r="788" spans="2:15" x14ac:dyDescent="0.25">
      <c r="B788" s="24" t="s">
        <v>2630</v>
      </c>
      <c r="C788" s="23" t="s">
        <v>695</v>
      </c>
      <c r="D788" s="24" t="s">
        <v>1653</v>
      </c>
      <c r="E788" s="25">
        <v>2.3E-6</v>
      </c>
      <c r="F788" s="26">
        <v>3.6343E-2</v>
      </c>
      <c r="G788" s="27">
        <v>3661.61</v>
      </c>
      <c r="H788" s="27">
        <v>163544</v>
      </c>
      <c r="I788" s="28">
        <v>4500000</v>
      </c>
      <c r="J788" s="28">
        <v>4500000</v>
      </c>
      <c r="K788" s="34">
        <v>-9.94</v>
      </c>
      <c r="L788" s="34">
        <v>-19.850000000000001</v>
      </c>
      <c r="M788" s="34">
        <v>-8.4499999999999993</v>
      </c>
      <c r="N788" s="24">
        <v>784</v>
      </c>
      <c r="O788" s="29">
        <v>43096.561956018515</v>
      </c>
    </row>
    <row r="789" spans="2:15" x14ac:dyDescent="0.25">
      <c r="B789" s="24" t="s">
        <v>2552</v>
      </c>
      <c r="C789" s="23" t="s">
        <v>465</v>
      </c>
      <c r="D789" s="24" t="s">
        <v>1429</v>
      </c>
      <c r="E789" s="25">
        <v>1.24E-6</v>
      </c>
      <c r="F789" s="26">
        <v>1.9588600000000001E-2</v>
      </c>
      <c r="G789" s="27">
        <v>3745.96</v>
      </c>
      <c r="H789" s="27">
        <v>162782</v>
      </c>
      <c r="I789" s="28">
        <v>8310046</v>
      </c>
      <c r="J789" s="28">
        <v>8310046</v>
      </c>
      <c r="K789" s="34">
        <v>-3.28</v>
      </c>
      <c r="L789" s="34">
        <v>0.81</v>
      </c>
      <c r="M789" s="34">
        <v>-11.25</v>
      </c>
      <c r="N789" s="24">
        <v>785</v>
      </c>
      <c r="O789" s="29">
        <v>43096.56181712963</v>
      </c>
    </row>
    <row r="790" spans="2:15" x14ac:dyDescent="0.25">
      <c r="B790" s="24" t="s">
        <v>2633</v>
      </c>
      <c r="C790" s="23" t="s">
        <v>483</v>
      </c>
      <c r="D790" s="24" t="s">
        <v>1449</v>
      </c>
      <c r="E790" s="25">
        <v>2.3999999999999998E-7</v>
      </c>
      <c r="F790" s="30">
        <v>3.7917099999999998E-3</v>
      </c>
      <c r="G790" s="27">
        <v>661.51300000000003</v>
      </c>
      <c r="H790" s="27">
        <v>156165</v>
      </c>
      <c r="I790" s="28">
        <v>41185951</v>
      </c>
      <c r="J790" s="28">
        <v>43185951</v>
      </c>
      <c r="K790" s="34">
        <v>-1.1399999999999999</v>
      </c>
      <c r="L790" s="34">
        <v>23.41</v>
      </c>
      <c r="M790" s="34">
        <v>85.37</v>
      </c>
      <c r="N790" s="24">
        <v>786</v>
      </c>
      <c r="O790" s="29">
        <v>43096.561944444446</v>
      </c>
    </row>
    <row r="791" spans="2:15" x14ac:dyDescent="0.25">
      <c r="B791" s="24" t="s">
        <v>2416</v>
      </c>
      <c r="C791" s="23" t="s">
        <v>660</v>
      </c>
      <c r="D791" s="24" t="s">
        <v>1619</v>
      </c>
      <c r="E791" s="25">
        <v>1E-10</v>
      </c>
      <c r="F791" s="26">
        <v>1.5524E-6</v>
      </c>
      <c r="G791" s="27">
        <v>2451.0300000000002</v>
      </c>
      <c r="H791" s="27">
        <v>155238</v>
      </c>
      <c r="I791" s="28">
        <v>100000000000</v>
      </c>
      <c r="J791" s="28">
        <v>100000000000</v>
      </c>
      <c r="K791" s="34">
        <v>-0.19</v>
      </c>
      <c r="L791" s="34">
        <v>32.32</v>
      </c>
      <c r="M791" s="34">
        <v>258.74</v>
      </c>
      <c r="N791" s="24">
        <v>787</v>
      </c>
      <c r="O791" s="29">
        <v>43096.561921296299</v>
      </c>
    </row>
    <row r="792" spans="2:15" x14ac:dyDescent="0.25">
      <c r="B792" s="24" t="s">
        <v>2483</v>
      </c>
      <c r="C792" s="23" t="s">
        <v>552</v>
      </c>
      <c r="D792" s="24" t="s">
        <v>1516</v>
      </c>
      <c r="E792" s="25">
        <v>4.0000000000000002E-9</v>
      </c>
      <c r="F792" s="26">
        <v>5.9246000000000002E-5</v>
      </c>
      <c r="G792" s="27">
        <v>1252.5</v>
      </c>
      <c r="H792" s="27">
        <v>151670</v>
      </c>
      <c r="I792" s="28">
        <v>2560000000</v>
      </c>
      <c r="J792" s="28">
        <v>6662367704</v>
      </c>
      <c r="K792" s="34">
        <v>4.3</v>
      </c>
      <c r="L792" s="34">
        <v>-21.78</v>
      </c>
      <c r="M792" s="34">
        <v>52.59</v>
      </c>
      <c r="N792" s="24">
        <v>788</v>
      </c>
      <c r="O792" s="29">
        <v>43096.561898148146</v>
      </c>
    </row>
    <row r="793" spans="2:15" x14ac:dyDescent="0.25">
      <c r="B793" s="24" t="s">
        <v>2401</v>
      </c>
      <c r="C793" s="23" t="s">
        <v>467</v>
      </c>
      <c r="D793" s="24" t="s">
        <v>1431</v>
      </c>
      <c r="E793" s="25">
        <v>2.1E-7</v>
      </c>
      <c r="F793" s="26">
        <v>3.3011799999999999E-3</v>
      </c>
      <c r="G793" s="27">
        <v>14012.8</v>
      </c>
      <c r="H793" s="27">
        <v>151482</v>
      </c>
      <c r="I793" s="28">
        <v>45887218</v>
      </c>
      <c r="J793" s="28">
        <v>45887218</v>
      </c>
      <c r="K793" s="34">
        <v>-17.850000000000001</v>
      </c>
      <c r="L793" s="34">
        <v>-32.090000000000003</v>
      </c>
      <c r="M793" s="34">
        <v>31.67</v>
      </c>
      <c r="N793" s="24">
        <v>789</v>
      </c>
      <c r="O793" s="29">
        <v>43096.561874999999</v>
      </c>
    </row>
    <row r="794" spans="2:15" x14ac:dyDescent="0.25">
      <c r="B794" s="24" t="s">
        <v>2356</v>
      </c>
      <c r="C794" s="23" t="s">
        <v>437</v>
      </c>
      <c r="D794" s="24" t="s">
        <v>1400</v>
      </c>
      <c r="E794" s="25">
        <v>2.2500000000000001E-6</v>
      </c>
      <c r="F794" s="26">
        <v>3.54902E-2</v>
      </c>
      <c r="G794" s="27">
        <v>2267.5</v>
      </c>
      <c r="H794" s="27">
        <v>148886</v>
      </c>
      <c r="I794" s="28">
        <v>4195132</v>
      </c>
      <c r="J794" s="28">
        <v>4195132</v>
      </c>
      <c r="K794" s="34">
        <v>-0.75</v>
      </c>
      <c r="L794" s="34">
        <v>1.77</v>
      </c>
      <c r="M794" s="34">
        <v>-0.21</v>
      </c>
      <c r="N794" s="24">
        <v>790</v>
      </c>
      <c r="O794" s="29">
        <v>43096.561828703707</v>
      </c>
    </row>
    <row r="795" spans="2:15" x14ac:dyDescent="0.25">
      <c r="B795" s="24" t="s">
        <v>2571</v>
      </c>
      <c r="C795" s="23" t="s">
        <v>679</v>
      </c>
      <c r="D795" s="24" t="s">
        <v>1637</v>
      </c>
      <c r="E795" s="25">
        <v>1.1999999999999999E-7</v>
      </c>
      <c r="F795" s="26">
        <v>1.8958499999999999E-3</v>
      </c>
      <c r="G795" s="27">
        <v>1439.08</v>
      </c>
      <c r="H795" s="27">
        <v>147455</v>
      </c>
      <c r="I795" s="28">
        <v>77777777</v>
      </c>
      <c r="J795" s="28">
        <v>77777777</v>
      </c>
      <c r="K795" s="34">
        <v>-1.1399999999999999</v>
      </c>
      <c r="L795" s="34">
        <v>76.3</v>
      </c>
      <c r="M795" s="34">
        <v>44.93</v>
      </c>
      <c r="N795" s="24">
        <v>791</v>
      </c>
      <c r="O795" s="29">
        <v>43096.561944444446</v>
      </c>
    </row>
    <row r="796" spans="2:15" x14ac:dyDescent="0.25">
      <c r="B796" s="24" t="s">
        <v>2579</v>
      </c>
      <c r="C796" s="23" t="s">
        <v>673</v>
      </c>
      <c r="D796" s="24" t="s">
        <v>1631</v>
      </c>
      <c r="E796" s="25">
        <v>3.3999999999999997E-7</v>
      </c>
      <c r="F796" s="26">
        <v>5.3961399999999998E-3</v>
      </c>
      <c r="G796" s="27">
        <v>1124.75</v>
      </c>
      <c r="H796" s="27">
        <v>147134</v>
      </c>
      <c r="I796" s="28">
        <v>27266600</v>
      </c>
      <c r="J796" s="28">
        <v>27266600</v>
      </c>
      <c r="K796" s="34">
        <v>-1.49</v>
      </c>
      <c r="L796" s="34">
        <v>16.22</v>
      </c>
      <c r="M796" s="34">
        <v>25.73</v>
      </c>
      <c r="N796" s="24">
        <v>792</v>
      </c>
      <c r="O796" s="29">
        <v>43096.561944444446</v>
      </c>
    </row>
    <row r="797" spans="2:15" x14ac:dyDescent="0.25">
      <c r="B797" s="24" t="s">
        <v>2391</v>
      </c>
      <c r="C797" s="23" t="s">
        <v>456</v>
      </c>
      <c r="D797" s="24" t="s">
        <v>1420</v>
      </c>
      <c r="E797" s="25">
        <v>7.6030000000000002E-5</v>
      </c>
      <c r="F797" s="26">
        <v>1.2011099999999999</v>
      </c>
      <c r="G797" s="27">
        <v>3178.79</v>
      </c>
      <c r="H797" s="27">
        <v>141324</v>
      </c>
      <c r="I797" s="28">
        <v>117661</v>
      </c>
      <c r="J797" s="28">
        <v>117661</v>
      </c>
      <c r="K797" s="34">
        <v>-0.4</v>
      </c>
      <c r="L797" s="34">
        <v>2.54</v>
      </c>
      <c r="M797" s="34">
        <v>-7.38</v>
      </c>
      <c r="N797" s="24">
        <v>793</v>
      </c>
      <c r="O797" s="29">
        <v>43096.561863425923</v>
      </c>
    </row>
    <row r="798" spans="2:15" x14ac:dyDescent="0.25">
      <c r="B798" s="24" t="s">
        <v>2623</v>
      </c>
      <c r="C798" s="23" t="s">
        <v>710</v>
      </c>
      <c r="D798" s="24" t="s">
        <v>1668</v>
      </c>
      <c r="E798" s="25">
        <v>1.413E-5</v>
      </c>
      <c r="F798" s="26">
        <v>0.22328999999999999</v>
      </c>
      <c r="G798" s="27">
        <v>1488.35</v>
      </c>
      <c r="H798" s="27">
        <v>140749</v>
      </c>
      <c r="I798" s="28">
        <v>630343</v>
      </c>
      <c r="J798" s="28">
        <v>630343</v>
      </c>
      <c r="K798" s="34">
        <v>5.36</v>
      </c>
      <c r="L798" s="34">
        <v>0.92</v>
      </c>
      <c r="M798" s="34">
        <v>21.47</v>
      </c>
      <c r="N798" s="24">
        <v>794</v>
      </c>
      <c r="O798" s="29">
        <v>43096.561909722222</v>
      </c>
    </row>
    <row r="799" spans="2:15" x14ac:dyDescent="0.25">
      <c r="B799" s="24" t="s">
        <v>2575</v>
      </c>
      <c r="C799" s="23" t="s">
        <v>629</v>
      </c>
      <c r="D799" s="24" t="s">
        <v>1589</v>
      </c>
      <c r="E799" s="25">
        <v>3.8000000000000001E-7</v>
      </c>
      <c r="F799" s="26">
        <v>5.9536299999999997E-3</v>
      </c>
      <c r="G799" s="27">
        <v>1193.2</v>
      </c>
      <c r="H799" s="27">
        <v>133397</v>
      </c>
      <c r="I799" s="28">
        <v>22406021</v>
      </c>
      <c r="J799" s="28">
        <v>22406021</v>
      </c>
      <c r="K799" s="34">
        <v>-1.1000000000000001</v>
      </c>
      <c r="L799" s="34">
        <v>-9.6300000000000008</v>
      </c>
      <c r="M799" s="34">
        <v>75.06</v>
      </c>
      <c r="N799" s="24">
        <v>795</v>
      </c>
      <c r="O799" s="29">
        <v>43096.56181712963</v>
      </c>
    </row>
    <row r="800" spans="2:15" x14ac:dyDescent="0.25">
      <c r="B800" s="24" t="s">
        <v>2404</v>
      </c>
      <c r="C800" s="23" t="s">
        <v>470</v>
      </c>
      <c r="D800" s="24" t="s">
        <v>1434</v>
      </c>
      <c r="E800" s="25">
        <v>5.3199999999999999E-6</v>
      </c>
      <c r="F800" s="26">
        <v>8.4084400000000004E-2</v>
      </c>
      <c r="G800" s="27">
        <v>776.55100000000004</v>
      </c>
      <c r="H800" s="27">
        <v>133203</v>
      </c>
      <c r="I800" s="28">
        <v>1584153</v>
      </c>
      <c r="J800" s="28">
        <v>1584153</v>
      </c>
      <c r="K800" s="34">
        <v>-0.54</v>
      </c>
      <c r="L800" s="34">
        <v>-11.61</v>
      </c>
      <c r="M800" s="34">
        <v>13.52</v>
      </c>
      <c r="N800" s="24">
        <v>796</v>
      </c>
      <c r="O800" s="29">
        <v>43096.561921296299</v>
      </c>
    </row>
    <row r="801" spans="2:15" x14ac:dyDescent="0.25">
      <c r="B801" s="24" t="s">
        <v>2590</v>
      </c>
      <c r="C801" s="23" t="s">
        <v>479</v>
      </c>
      <c r="D801" s="24" t="s">
        <v>1445</v>
      </c>
      <c r="E801" s="25">
        <v>2.8000000000000002E-7</v>
      </c>
      <c r="F801" s="26">
        <v>4.4236600000000003E-3</v>
      </c>
      <c r="G801" s="27">
        <v>13076.9</v>
      </c>
      <c r="H801" s="27">
        <v>132212</v>
      </c>
      <c r="I801" s="28">
        <v>29887402</v>
      </c>
      <c r="J801" s="28">
        <v>89786652</v>
      </c>
      <c r="K801" s="34">
        <v>-1.1399999999999999</v>
      </c>
      <c r="L801" s="34">
        <v>26.13</v>
      </c>
      <c r="M801" s="34">
        <v>24.94</v>
      </c>
      <c r="N801" s="24">
        <v>797</v>
      </c>
      <c r="O801" s="29">
        <v>43096.561956018515</v>
      </c>
    </row>
    <row r="802" spans="2:15" x14ac:dyDescent="0.25">
      <c r="B802" s="24" t="s">
        <v>2402</v>
      </c>
      <c r="C802" s="23" t="s">
        <v>454</v>
      </c>
      <c r="D802" s="24" t="s">
        <v>1418</v>
      </c>
      <c r="E802" s="25">
        <v>5.0999999999999999E-7</v>
      </c>
      <c r="F802" s="26">
        <v>8.0573799999999994E-3</v>
      </c>
      <c r="G802" s="27">
        <v>68354.399999999994</v>
      </c>
      <c r="H802" s="27">
        <v>131846</v>
      </c>
      <c r="I802" s="28">
        <v>16363400</v>
      </c>
      <c r="J802" s="28">
        <v>796363400</v>
      </c>
      <c r="K802" s="34">
        <v>-1.0900000000000001</v>
      </c>
      <c r="L802" s="34">
        <v>4.47</v>
      </c>
      <c r="M802" s="34">
        <v>-3.53</v>
      </c>
      <c r="N802" s="24">
        <v>798</v>
      </c>
      <c r="O802" s="29">
        <v>43096.561921296299</v>
      </c>
    </row>
    <row r="803" spans="2:15" x14ac:dyDescent="0.25">
      <c r="B803" s="24" t="s">
        <v>2415</v>
      </c>
      <c r="C803" s="23" t="s">
        <v>476</v>
      </c>
      <c r="D803" s="24" t="s">
        <v>1442</v>
      </c>
      <c r="E803" s="25">
        <v>1.48E-6</v>
      </c>
      <c r="F803" s="26">
        <v>2.34463E-2</v>
      </c>
      <c r="G803" s="27">
        <v>20585.5</v>
      </c>
      <c r="H803" s="27">
        <v>129737</v>
      </c>
      <c r="I803" s="28">
        <v>5533347</v>
      </c>
      <c r="J803" s="28">
        <v>15533347</v>
      </c>
      <c r="K803" s="34">
        <v>0.8</v>
      </c>
      <c r="L803" s="34">
        <v>36.58</v>
      </c>
      <c r="M803" s="34">
        <v>95.08</v>
      </c>
      <c r="N803" s="24">
        <v>799</v>
      </c>
      <c r="O803" s="29">
        <v>43096.561921296299</v>
      </c>
    </row>
    <row r="804" spans="2:15" x14ac:dyDescent="0.25">
      <c r="B804" s="24" t="s">
        <v>2395</v>
      </c>
      <c r="C804" s="23" t="s">
        <v>602</v>
      </c>
      <c r="D804" s="24" t="s">
        <v>1564</v>
      </c>
      <c r="E804" s="25">
        <v>1.44E-6</v>
      </c>
      <c r="F804" s="26">
        <v>2.2743599999999999E-2</v>
      </c>
      <c r="G804" s="27">
        <v>1090.99</v>
      </c>
      <c r="H804" s="27">
        <v>129685</v>
      </c>
      <c r="I804" s="28">
        <v>5702048</v>
      </c>
      <c r="J804" s="28">
        <v>5702048</v>
      </c>
      <c r="K804" s="34">
        <v>17.22</v>
      </c>
      <c r="L804" s="34">
        <v>-10.87</v>
      </c>
      <c r="M804" s="34">
        <v>38.33</v>
      </c>
      <c r="N804" s="24">
        <v>800</v>
      </c>
      <c r="O804" s="29">
        <v>43096.561874999999</v>
      </c>
    </row>
    <row r="805" spans="2:15" x14ac:dyDescent="0.25">
      <c r="B805" s="24" t="s">
        <v>2647</v>
      </c>
      <c r="C805" s="23" t="s">
        <v>729</v>
      </c>
      <c r="D805" s="24" t="s">
        <v>1684</v>
      </c>
      <c r="E805" s="25">
        <v>9.3000000000000007E-6</v>
      </c>
      <c r="F805" s="30">
        <v>0.14687900000000001</v>
      </c>
      <c r="G805" s="27">
        <v>2966.36</v>
      </c>
      <c r="H805" s="27">
        <v>128200</v>
      </c>
      <c r="I805" s="28">
        <v>872830</v>
      </c>
      <c r="J805" s="28">
        <v>872830</v>
      </c>
      <c r="K805" s="34">
        <v>21.36</v>
      </c>
      <c r="L805" s="34">
        <v>24.69</v>
      </c>
      <c r="M805" s="34">
        <v>-11.64</v>
      </c>
      <c r="N805" s="24">
        <v>801</v>
      </c>
      <c r="O805" s="29">
        <v>43096.561886574076</v>
      </c>
    </row>
    <row r="806" spans="2:15" x14ac:dyDescent="0.25">
      <c r="B806" s="24" t="s">
        <v>3719</v>
      </c>
      <c r="C806" s="23" t="s">
        <v>3720</v>
      </c>
      <c r="D806" s="24" t="s">
        <v>3721</v>
      </c>
      <c r="E806" s="25">
        <v>5.2100000000000001E-6</v>
      </c>
      <c r="F806" s="26">
        <v>8.2334500000000005E-2</v>
      </c>
      <c r="G806" s="27">
        <v>810.85199999999998</v>
      </c>
      <c r="H806" s="27">
        <v>125271</v>
      </c>
      <c r="I806" s="28">
        <v>1521492</v>
      </c>
      <c r="J806" s="28">
        <v>1931093</v>
      </c>
      <c r="K806" s="34">
        <v>-1.1399999999999999</v>
      </c>
      <c r="L806" s="34">
        <v>-7.56</v>
      </c>
      <c r="M806" s="34">
        <v>-23.82</v>
      </c>
      <c r="N806" s="24">
        <v>802</v>
      </c>
      <c r="O806" s="29">
        <v>43096.562013888892</v>
      </c>
    </row>
    <row r="807" spans="2:15" x14ac:dyDescent="0.25">
      <c r="B807" s="24" t="s">
        <v>2620</v>
      </c>
      <c r="C807" s="23" t="s">
        <v>707</v>
      </c>
      <c r="D807" s="24" t="s">
        <v>1665</v>
      </c>
      <c r="E807" s="25">
        <v>1.2969999999999999E-5</v>
      </c>
      <c r="F807" s="26">
        <v>0.20491000000000001</v>
      </c>
      <c r="G807" s="27">
        <v>8243.86</v>
      </c>
      <c r="H807" s="27">
        <v>121490</v>
      </c>
      <c r="I807" s="28">
        <v>592894</v>
      </c>
      <c r="J807" s="28">
        <v>592894</v>
      </c>
      <c r="K807" s="34">
        <v>1.58</v>
      </c>
      <c r="L807" s="34">
        <v>-43.43</v>
      </c>
      <c r="M807" s="34">
        <v>65.22</v>
      </c>
      <c r="N807" s="24">
        <v>803</v>
      </c>
      <c r="O807" s="29">
        <v>43096.561921296299</v>
      </c>
    </row>
    <row r="808" spans="2:15" x14ac:dyDescent="0.25">
      <c r="B808" s="24" t="s">
        <v>2635</v>
      </c>
      <c r="C808" s="23" t="s">
        <v>699</v>
      </c>
      <c r="D808" s="24" t="s">
        <v>1657</v>
      </c>
      <c r="E808" s="25">
        <v>5.5000000000000003E-7</v>
      </c>
      <c r="F808" s="26">
        <v>8.6112900000000006E-3</v>
      </c>
      <c r="G808" s="27">
        <v>943.92</v>
      </c>
      <c r="H808" s="27">
        <v>121277</v>
      </c>
      <c r="I808" s="28">
        <v>14083450</v>
      </c>
      <c r="J808" s="28">
        <v>14083450</v>
      </c>
      <c r="K808" s="34">
        <v>-9.7799999999999994</v>
      </c>
      <c r="L808" s="34">
        <v>28.74</v>
      </c>
      <c r="M808" s="34">
        <v>186.56</v>
      </c>
      <c r="N808" s="24">
        <v>804</v>
      </c>
      <c r="O808" s="29">
        <v>43096.561909722222</v>
      </c>
    </row>
    <row r="809" spans="2:15" x14ac:dyDescent="0.25">
      <c r="B809" s="24" t="s">
        <v>2551</v>
      </c>
      <c r="C809" s="23" t="s">
        <v>458</v>
      </c>
      <c r="D809" s="24" t="s">
        <v>1422</v>
      </c>
      <c r="E809" s="25">
        <v>3.3000000000000002E-7</v>
      </c>
      <c r="F809" s="26">
        <v>5.2183200000000002E-3</v>
      </c>
      <c r="G809" s="27">
        <v>785.95500000000004</v>
      </c>
      <c r="H809" s="27">
        <v>120244</v>
      </c>
      <c r="I809" s="28">
        <v>23042604</v>
      </c>
      <c r="J809" s="28">
        <v>23042604</v>
      </c>
      <c r="K809" s="34">
        <v>6.2</v>
      </c>
      <c r="L809" s="34">
        <v>-25.09</v>
      </c>
      <c r="M809" s="34">
        <v>-28.88</v>
      </c>
      <c r="N809" s="24">
        <v>805</v>
      </c>
      <c r="O809" s="29">
        <v>43096.561851851853</v>
      </c>
    </row>
    <row r="810" spans="2:15" x14ac:dyDescent="0.25">
      <c r="B810" s="24" t="s">
        <v>2531</v>
      </c>
      <c r="C810" s="23" t="s">
        <v>596</v>
      </c>
      <c r="D810" s="24" t="s">
        <v>1558</v>
      </c>
      <c r="E810" s="25">
        <v>3.0800000000000002E-6</v>
      </c>
      <c r="F810" s="26">
        <v>4.8660299999999997E-2</v>
      </c>
      <c r="G810" s="27">
        <v>2837.73</v>
      </c>
      <c r="H810" s="27">
        <v>119264</v>
      </c>
      <c r="I810" s="28">
        <v>2450949</v>
      </c>
      <c r="J810" s="28">
        <v>2450949</v>
      </c>
      <c r="K810" s="34">
        <v>-1.0900000000000001</v>
      </c>
      <c r="L810" s="34">
        <v>-10.5</v>
      </c>
      <c r="M810" s="34">
        <v>28.01</v>
      </c>
      <c r="N810" s="24">
        <v>806</v>
      </c>
      <c r="O810" s="29">
        <v>43096.561828703707</v>
      </c>
    </row>
    <row r="811" spans="2:15" x14ac:dyDescent="0.25">
      <c r="B811" s="24" t="s">
        <v>2785</v>
      </c>
      <c r="C811" s="23" t="s">
        <v>840</v>
      </c>
      <c r="D811" s="24" t="s">
        <v>1791</v>
      </c>
      <c r="E811" s="25">
        <v>90</v>
      </c>
      <c r="F811" s="26">
        <v>1421890</v>
      </c>
      <c r="G811" s="27">
        <v>100620</v>
      </c>
      <c r="H811" s="27">
        <v>111283</v>
      </c>
      <c r="I811" s="28">
        <v>0</v>
      </c>
      <c r="J811" s="28">
        <v>1</v>
      </c>
      <c r="K811" s="34">
        <v>74.52</v>
      </c>
      <c r="L811" s="34">
        <v>-43.37</v>
      </c>
      <c r="M811" s="34">
        <v>101.25</v>
      </c>
      <c r="N811" s="24">
        <v>807</v>
      </c>
      <c r="O811" s="29">
        <v>43096.561932870369</v>
      </c>
    </row>
    <row r="812" spans="2:15" x14ac:dyDescent="0.25">
      <c r="B812" s="24" t="s">
        <v>2387</v>
      </c>
      <c r="C812" s="23" t="s">
        <v>573</v>
      </c>
      <c r="D812" s="24" t="s">
        <v>1537</v>
      </c>
      <c r="E812" s="25">
        <v>1E-8</v>
      </c>
      <c r="F812" s="26">
        <v>2.20535E-4</v>
      </c>
      <c r="G812" s="27">
        <v>51574.6</v>
      </c>
      <c r="H812" s="27">
        <v>108313</v>
      </c>
      <c r="I812" s="28">
        <v>491139006</v>
      </c>
      <c r="J812" s="28">
        <v>613941292</v>
      </c>
      <c r="K812" s="34">
        <v>0.43</v>
      </c>
      <c r="L812" s="34">
        <v>29.36</v>
      </c>
      <c r="M812" s="34">
        <v>87.15</v>
      </c>
      <c r="N812" s="24">
        <v>808</v>
      </c>
      <c r="O812" s="29">
        <v>43096.561898148146</v>
      </c>
    </row>
    <row r="813" spans="2:15" x14ac:dyDescent="0.25">
      <c r="B813" s="24" t="s">
        <v>2617</v>
      </c>
      <c r="C813" s="23" t="s">
        <v>658</v>
      </c>
      <c r="D813" s="24" t="s">
        <v>1617</v>
      </c>
      <c r="E813" s="25">
        <v>3.3999999999999997E-7</v>
      </c>
      <c r="F813" s="26">
        <v>5.3190299999999998E-3</v>
      </c>
      <c r="G813" s="27">
        <v>999.05899999999997</v>
      </c>
      <c r="H813" s="27">
        <v>107845</v>
      </c>
      <c r="I813" s="28">
        <v>20275249</v>
      </c>
      <c r="J813" s="28">
        <v>20275249</v>
      </c>
      <c r="K813" s="34">
        <v>-1.1399999999999999</v>
      </c>
      <c r="L813" s="34">
        <v>19.440000000000001</v>
      </c>
      <c r="M813" s="34">
        <v>51.86</v>
      </c>
      <c r="N813" s="24">
        <v>809</v>
      </c>
      <c r="O813" s="29">
        <v>43096.561909722222</v>
      </c>
    </row>
    <row r="814" spans="2:15" x14ac:dyDescent="0.25">
      <c r="B814" s="24" t="s">
        <v>3454</v>
      </c>
      <c r="C814" s="23" t="s">
        <v>3455</v>
      </c>
      <c r="D814" s="24" t="s">
        <v>3456</v>
      </c>
      <c r="E814" s="25">
        <v>6.3E-7</v>
      </c>
      <c r="F814" s="26">
        <v>1.00023E-2</v>
      </c>
      <c r="G814" s="27">
        <v>1227.22</v>
      </c>
      <c r="H814" s="27">
        <v>101599</v>
      </c>
      <c r="I814" s="28">
        <v>10157540</v>
      </c>
      <c r="J814" s="28">
        <v>13792050</v>
      </c>
      <c r="K814" s="34">
        <v>1.9</v>
      </c>
      <c r="L814" s="34">
        <v>-5.35</v>
      </c>
      <c r="M814" s="34">
        <v>5.31</v>
      </c>
      <c r="N814" s="24">
        <v>810</v>
      </c>
      <c r="O814" s="29">
        <v>43096.562002314815</v>
      </c>
    </row>
    <row r="815" spans="2:15" x14ac:dyDescent="0.25">
      <c r="B815" s="24" t="s">
        <v>2669</v>
      </c>
      <c r="C815" s="23" t="s">
        <v>735</v>
      </c>
      <c r="D815" s="24" t="s">
        <v>1689</v>
      </c>
      <c r="E815" s="25">
        <v>1.3799999999999999E-6</v>
      </c>
      <c r="F815" s="26">
        <v>2.18327E-2</v>
      </c>
      <c r="G815" s="27">
        <v>915.28899999999999</v>
      </c>
      <c r="H815" s="27">
        <v>95952</v>
      </c>
      <c r="I815" s="28">
        <v>4394874</v>
      </c>
      <c r="J815" s="28">
        <v>4394874</v>
      </c>
      <c r="K815" s="34">
        <v>-1.02</v>
      </c>
      <c r="L815" s="34">
        <v>9.26</v>
      </c>
      <c r="M815" s="34">
        <v>-11.43</v>
      </c>
      <c r="N815" s="24">
        <v>811</v>
      </c>
      <c r="O815" s="29">
        <v>43096.561863425923</v>
      </c>
    </row>
    <row r="816" spans="2:15" x14ac:dyDescent="0.25">
      <c r="B816" s="24" t="s">
        <v>2643</v>
      </c>
      <c r="C816" s="23" t="s">
        <v>721</v>
      </c>
      <c r="D816" s="24" t="s">
        <v>1678</v>
      </c>
      <c r="E816" s="25">
        <v>3.58E-6</v>
      </c>
      <c r="F816" s="26">
        <v>5.6495900000000002E-2</v>
      </c>
      <c r="G816" s="27">
        <v>1289.72</v>
      </c>
      <c r="H816" s="27">
        <v>95891</v>
      </c>
      <c r="I816" s="28">
        <v>1697314</v>
      </c>
      <c r="J816" s="28">
        <v>1697314</v>
      </c>
      <c r="K816" s="34">
        <v>-1.21</v>
      </c>
      <c r="L816" s="34">
        <v>-11.34</v>
      </c>
      <c r="M816" s="34">
        <v>-3.05</v>
      </c>
      <c r="N816" s="24">
        <v>812</v>
      </c>
      <c r="O816" s="29">
        <v>43096.561909722222</v>
      </c>
    </row>
    <row r="817" spans="2:15" x14ac:dyDescent="0.25">
      <c r="B817" s="24" t="s">
        <v>2403</v>
      </c>
      <c r="C817" s="23" t="s">
        <v>455</v>
      </c>
      <c r="D817" s="24" t="s">
        <v>1419</v>
      </c>
      <c r="E817" s="25">
        <v>6.4200000000000004E-6</v>
      </c>
      <c r="F817" s="26">
        <v>0.101437</v>
      </c>
      <c r="G817" s="27">
        <v>17378.2</v>
      </c>
      <c r="H817" s="27">
        <v>93971</v>
      </c>
      <c r="I817" s="28">
        <v>926402</v>
      </c>
      <c r="J817" s="28">
        <v>8426402</v>
      </c>
      <c r="K817" s="34">
        <v>-0.02</v>
      </c>
      <c r="L817" s="34">
        <v>3.17</v>
      </c>
      <c r="M817" s="34">
        <v>0.83</v>
      </c>
      <c r="N817" s="24">
        <v>813</v>
      </c>
      <c r="O817" s="29">
        <v>43096.561967592592</v>
      </c>
    </row>
    <row r="818" spans="2:15" x14ac:dyDescent="0.25">
      <c r="B818" s="24" t="s">
        <v>2696</v>
      </c>
      <c r="C818" s="23" t="s">
        <v>764</v>
      </c>
      <c r="D818" s="24" t="s">
        <v>1719</v>
      </c>
      <c r="E818" s="25">
        <v>1.42E-6</v>
      </c>
      <c r="F818" s="26">
        <v>2.2434300000000001E-2</v>
      </c>
      <c r="G818" s="27">
        <v>14361.7</v>
      </c>
      <c r="H818" s="27">
        <v>89850</v>
      </c>
      <c r="I818" s="28">
        <v>4005012</v>
      </c>
      <c r="J818" s="28">
        <v>4005012</v>
      </c>
      <c r="K818" s="34">
        <v>0.28000000000000003</v>
      </c>
      <c r="L818" s="34">
        <v>298.99</v>
      </c>
      <c r="M818" s="34">
        <v>448.39</v>
      </c>
      <c r="N818" s="24">
        <v>814</v>
      </c>
      <c r="O818" s="29">
        <v>43096.561921296299</v>
      </c>
    </row>
    <row r="819" spans="2:15" x14ac:dyDescent="0.25">
      <c r="B819" s="24" t="s">
        <v>2400</v>
      </c>
      <c r="C819" s="23" t="s">
        <v>462</v>
      </c>
      <c r="D819" s="24" t="s">
        <v>1426</v>
      </c>
      <c r="E819" s="25">
        <v>6.5000000000000002E-7</v>
      </c>
      <c r="F819" s="26">
        <v>1.0327599999999999E-2</v>
      </c>
      <c r="G819" s="27">
        <v>637.38800000000003</v>
      </c>
      <c r="H819" s="27">
        <v>89057</v>
      </c>
      <c r="I819" s="28">
        <v>8623200</v>
      </c>
      <c r="J819" s="28">
        <v>10123200</v>
      </c>
      <c r="K819" s="34">
        <v>-1.34</v>
      </c>
      <c r="L819" s="34">
        <v>9.17</v>
      </c>
      <c r="M819" s="34">
        <v>7.66</v>
      </c>
      <c r="N819" s="24">
        <v>815</v>
      </c>
      <c r="O819" s="29">
        <v>43096.561932870369</v>
      </c>
    </row>
    <row r="820" spans="2:15" x14ac:dyDescent="0.25">
      <c r="B820" s="24" t="s">
        <v>2429</v>
      </c>
      <c r="C820" s="23" t="s">
        <v>485</v>
      </c>
      <c r="D820" s="24" t="s">
        <v>1451</v>
      </c>
      <c r="E820" s="25">
        <v>8.0000000000000002E-8</v>
      </c>
      <c r="F820" s="26">
        <v>1.2639000000000001E-3</v>
      </c>
      <c r="G820" s="27">
        <v>343383</v>
      </c>
      <c r="H820" s="27">
        <v>88473</v>
      </c>
      <c r="I820" s="28">
        <v>70000000</v>
      </c>
      <c r="J820" s="28">
        <v>70000000</v>
      </c>
      <c r="K820" s="34">
        <v>-12.12</v>
      </c>
      <c r="L820" s="34">
        <v>109.24</v>
      </c>
      <c r="M820" s="34">
        <v>85.37</v>
      </c>
      <c r="N820" s="24">
        <v>816</v>
      </c>
      <c r="O820" s="29">
        <v>43096.561956018515</v>
      </c>
    </row>
    <row r="821" spans="2:15" x14ac:dyDescent="0.25">
      <c r="B821" s="24" t="s">
        <v>2546</v>
      </c>
      <c r="C821" s="23" t="s">
        <v>621</v>
      </c>
      <c r="D821" s="24" t="s">
        <v>1582</v>
      </c>
      <c r="E821" s="25">
        <v>6.8999999999999996E-7</v>
      </c>
      <c r="F821" s="26">
        <v>1.0972600000000001E-2</v>
      </c>
      <c r="G821" s="27">
        <v>1138.67</v>
      </c>
      <c r="H821" s="27">
        <v>88110</v>
      </c>
      <c r="I821" s="28">
        <v>8030000</v>
      </c>
      <c r="J821" s="28">
        <v>8030000</v>
      </c>
      <c r="K821" s="34">
        <v>-9.17</v>
      </c>
      <c r="L821" s="34">
        <v>16.93</v>
      </c>
      <c r="M821" s="34">
        <v>-1.05</v>
      </c>
      <c r="N821" s="24">
        <v>817</v>
      </c>
      <c r="O821" s="29">
        <v>43096.561909722222</v>
      </c>
    </row>
    <row r="822" spans="2:15" x14ac:dyDescent="0.25">
      <c r="B822" s="24" t="s">
        <v>2413</v>
      </c>
      <c r="C822" s="23" t="s">
        <v>641</v>
      </c>
      <c r="D822" s="24" t="s">
        <v>1601</v>
      </c>
      <c r="E822" s="25">
        <v>3.0900000000000001E-6</v>
      </c>
      <c r="F822" s="26">
        <v>4.88163E-2</v>
      </c>
      <c r="G822" s="27">
        <v>1114.51</v>
      </c>
      <c r="H822" s="27">
        <v>79437</v>
      </c>
      <c r="I822" s="28">
        <v>1627261</v>
      </c>
      <c r="J822" s="28">
        <v>1627261</v>
      </c>
      <c r="K822" s="34">
        <v>-1.24</v>
      </c>
      <c r="L822" s="34">
        <v>9.2899999999999991</v>
      </c>
      <c r="M822" s="34">
        <v>-4.79</v>
      </c>
      <c r="N822" s="24">
        <v>818</v>
      </c>
      <c r="O822" s="29">
        <v>43096.561909722222</v>
      </c>
    </row>
    <row r="823" spans="2:15" x14ac:dyDescent="0.25">
      <c r="B823" s="24" t="s">
        <v>2553</v>
      </c>
      <c r="C823" s="23" t="s">
        <v>637</v>
      </c>
      <c r="D823" s="24" t="s">
        <v>1596</v>
      </c>
      <c r="E823" s="25">
        <v>1.9999999999999999E-7</v>
      </c>
      <c r="F823" s="26">
        <v>3.1597600000000002E-3</v>
      </c>
      <c r="G823" s="27">
        <v>702.65</v>
      </c>
      <c r="H823" s="27">
        <v>78776</v>
      </c>
      <c r="I823" s="28">
        <v>24931054</v>
      </c>
      <c r="J823" s="28">
        <v>210000000</v>
      </c>
      <c r="K823" s="34">
        <v>-1.1399999999999999</v>
      </c>
      <c r="L823" s="34">
        <v>28.54</v>
      </c>
      <c r="M823" s="34">
        <v>21.34</v>
      </c>
      <c r="N823" s="24">
        <v>819</v>
      </c>
      <c r="O823" s="29">
        <v>43096.561886574076</v>
      </c>
    </row>
    <row r="824" spans="2:15" x14ac:dyDescent="0.25">
      <c r="B824" s="24" t="s">
        <v>3457</v>
      </c>
      <c r="C824" s="23" t="s">
        <v>3458</v>
      </c>
      <c r="D824" s="24" t="s">
        <v>3459</v>
      </c>
      <c r="E824" s="25">
        <v>6.1999999999999999E-7</v>
      </c>
      <c r="F824" s="26">
        <v>9.7517300000000001E-3</v>
      </c>
      <c r="G824" s="27">
        <v>2137.13</v>
      </c>
      <c r="H824" s="27">
        <v>77936</v>
      </c>
      <c r="I824" s="28">
        <v>7991996</v>
      </c>
      <c r="J824" s="28">
        <v>7991996</v>
      </c>
      <c r="K824" s="34">
        <v>-0.64</v>
      </c>
      <c r="L824" s="34">
        <v>45.85</v>
      </c>
      <c r="M824" s="34">
        <v>43.31</v>
      </c>
      <c r="N824" s="24">
        <v>820</v>
      </c>
      <c r="O824" s="29">
        <v>43096.562002314815</v>
      </c>
    </row>
    <row r="825" spans="2:15" x14ac:dyDescent="0.25">
      <c r="B825" s="24" t="s">
        <v>2738</v>
      </c>
      <c r="C825" s="23" t="s">
        <v>3992</v>
      </c>
      <c r="D825" s="24" t="s">
        <v>818</v>
      </c>
      <c r="E825" s="25">
        <v>2.9999999999999997E-8</v>
      </c>
      <c r="F825" s="26">
        <v>4.7322400000000001E-4</v>
      </c>
      <c r="G825" s="27">
        <v>1829.9</v>
      </c>
      <c r="H825" s="27">
        <v>75716</v>
      </c>
      <c r="I825" s="28">
        <v>160000000</v>
      </c>
      <c r="J825" s="28">
        <v>1000000000</v>
      </c>
      <c r="K825" s="34">
        <v>46.44</v>
      </c>
      <c r="L825" s="34">
        <v>-20.02</v>
      </c>
      <c r="M825" s="34">
        <v>13.83</v>
      </c>
      <c r="N825" s="24">
        <v>821</v>
      </c>
      <c r="O825" s="29">
        <v>43096.561979166669</v>
      </c>
    </row>
    <row r="826" spans="2:15" x14ac:dyDescent="0.25">
      <c r="B826" s="24" t="s">
        <v>2684</v>
      </c>
      <c r="C826" s="23" t="s">
        <v>751</v>
      </c>
      <c r="D826" s="24" t="s">
        <v>1706</v>
      </c>
      <c r="E826" s="25">
        <v>8.9999999999999996E-7</v>
      </c>
      <c r="F826" s="26">
        <v>1.42647E-2</v>
      </c>
      <c r="G826" s="27">
        <v>1824.46</v>
      </c>
      <c r="H826" s="27">
        <v>72624</v>
      </c>
      <c r="I826" s="28">
        <v>5091200</v>
      </c>
      <c r="J826" s="28">
        <v>5091200</v>
      </c>
      <c r="K826" s="34">
        <v>27.22</v>
      </c>
      <c r="L826" s="34">
        <v>4.66</v>
      </c>
      <c r="M826" s="34">
        <v>299.89</v>
      </c>
      <c r="N826" s="24">
        <v>822</v>
      </c>
      <c r="O826" s="29">
        <v>43096.561921296299</v>
      </c>
    </row>
    <row r="827" spans="2:15" x14ac:dyDescent="0.25">
      <c r="B827" s="24" t="s">
        <v>2667</v>
      </c>
      <c r="C827" s="23" t="s">
        <v>728</v>
      </c>
      <c r="D827" s="24" t="s">
        <v>1683</v>
      </c>
      <c r="E827" s="25">
        <v>9.9999999999999995E-8</v>
      </c>
      <c r="F827" s="26">
        <v>1.5641100000000001E-3</v>
      </c>
      <c r="G827" s="27">
        <v>1096.0999999999999</v>
      </c>
      <c r="H827" s="27">
        <v>72197</v>
      </c>
      <c r="I827" s="28">
        <v>46158242</v>
      </c>
      <c r="J827" s="28">
        <v>46158242</v>
      </c>
      <c r="K827" s="34">
        <v>-1.1399999999999999</v>
      </c>
      <c r="L827" s="34">
        <v>27.91</v>
      </c>
      <c r="M827" s="34">
        <v>110.16</v>
      </c>
      <c r="N827" s="24">
        <v>823</v>
      </c>
      <c r="O827" s="29">
        <v>43096.561828703707</v>
      </c>
    </row>
    <row r="828" spans="2:15" x14ac:dyDescent="0.25">
      <c r="B828" s="24" t="s">
        <v>2410</v>
      </c>
      <c r="C828" s="23" t="s">
        <v>1441</v>
      </c>
      <c r="D828" s="24" t="s">
        <v>1441</v>
      </c>
      <c r="E828" s="25">
        <v>2.2000000000000001E-7</v>
      </c>
      <c r="F828" s="26">
        <v>3.4757299999999998E-3</v>
      </c>
      <c r="G828" s="27">
        <v>1391.62</v>
      </c>
      <c r="H828" s="27">
        <v>64467</v>
      </c>
      <c r="I828" s="28">
        <v>18547845</v>
      </c>
      <c r="J828" s="28">
        <v>18547845</v>
      </c>
      <c r="K828" s="34">
        <v>-9.3800000000000008</v>
      </c>
      <c r="L828" s="34">
        <v>-4.0999999999999996</v>
      </c>
      <c r="M828" s="34">
        <v>47.98</v>
      </c>
      <c r="N828" s="24">
        <v>824</v>
      </c>
      <c r="O828" s="29">
        <v>43096.561921296299</v>
      </c>
    </row>
    <row r="829" spans="2:15" x14ac:dyDescent="0.25">
      <c r="B829" s="24" t="s">
        <v>2624</v>
      </c>
      <c r="C829" s="23" t="s">
        <v>685</v>
      </c>
      <c r="D829" s="24" t="s">
        <v>1643</v>
      </c>
      <c r="E829" s="25">
        <v>1.4999999999999999E-7</v>
      </c>
      <c r="F829" s="26">
        <v>2.3748699999999998E-3</v>
      </c>
      <c r="G829" s="27">
        <v>1785.59</v>
      </c>
      <c r="H829" s="27">
        <v>64169</v>
      </c>
      <c r="I829" s="28">
        <v>27020001</v>
      </c>
      <c r="J829" s="28">
        <v>27020001</v>
      </c>
      <c r="K829" s="34">
        <v>13.44</v>
      </c>
      <c r="L829" s="34">
        <v>18.940000000000001</v>
      </c>
      <c r="M829" s="34">
        <v>35.93</v>
      </c>
      <c r="N829" s="24">
        <v>825</v>
      </c>
      <c r="O829" s="29">
        <v>43096.561956018515</v>
      </c>
    </row>
    <row r="830" spans="2:15" x14ac:dyDescent="0.25">
      <c r="B830" s="24" t="s">
        <v>2631</v>
      </c>
      <c r="C830" s="23" t="s">
        <v>713</v>
      </c>
      <c r="D830" s="24" t="s">
        <v>1671</v>
      </c>
      <c r="E830" s="25">
        <v>5.0000000000000001E-9</v>
      </c>
      <c r="F830" s="26">
        <v>7.4786500000000006E-5</v>
      </c>
      <c r="G830" s="27">
        <v>1851.98</v>
      </c>
      <c r="H830" s="27">
        <v>58343</v>
      </c>
      <c r="I830" s="28">
        <v>780124964</v>
      </c>
      <c r="J830" s="28">
        <v>1635124964</v>
      </c>
      <c r="K830" s="34">
        <v>-3.17</v>
      </c>
      <c r="L830" s="34">
        <v>17.46</v>
      </c>
      <c r="M830" s="34">
        <v>12.84</v>
      </c>
      <c r="N830" s="24">
        <v>826</v>
      </c>
      <c r="O830" s="29">
        <v>43096.561898148146</v>
      </c>
    </row>
    <row r="831" spans="2:15" x14ac:dyDescent="0.25">
      <c r="B831" s="24" t="s">
        <v>2744</v>
      </c>
      <c r="C831" s="23" t="s">
        <v>825</v>
      </c>
      <c r="D831" s="24" t="s">
        <v>1778</v>
      </c>
      <c r="E831" s="25">
        <v>8.0000000000000002E-8</v>
      </c>
      <c r="F831" s="26">
        <v>1.31354E-3</v>
      </c>
      <c r="G831" s="27">
        <v>1125.99</v>
      </c>
      <c r="H831" s="27">
        <v>58085</v>
      </c>
      <c r="I831" s="28">
        <v>44220400</v>
      </c>
      <c r="J831" s="28">
        <v>44220400</v>
      </c>
      <c r="K831" s="34">
        <v>-1.1399999999999999</v>
      </c>
      <c r="L831" s="34">
        <v>5.75</v>
      </c>
      <c r="M831" s="34">
        <v>-1.3</v>
      </c>
      <c r="N831" s="24">
        <v>827</v>
      </c>
      <c r="O831" s="29">
        <v>43096.561956018515</v>
      </c>
    </row>
    <row r="832" spans="2:15" x14ac:dyDescent="0.25">
      <c r="B832" s="24" t="s">
        <v>2385</v>
      </c>
      <c r="C832" s="23" t="s">
        <v>452</v>
      </c>
      <c r="D832" s="24" t="s">
        <v>1415</v>
      </c>
      <c r="E832" s="25">
        <v>8.0000000000000002E-8</v>
      </c>
      <c r="F832" s="26">
        <v>1.2685400000000001E-3</v>
      </c>
      <c r="G832" s="27">
        <v>2300.1</v>
      </c>
      <c r="H832" s="27">
        <v>56979</v>
      </c>
      <c r="I832" s="28">
        <v>44917175</v>
      </c>
      <c r="J832" s="28">
        <v>1007029575</v>
      </c>
      <c r="K832" s="34">
        <v>10.76</v>
      </c>
      <c r="L832" s="34">
        <v>-4.42</v>
      </c>
      <c r="M832" s="34">
        <v>21.57</v>
      </c>
      <c r="N832" s="24">
        <v>828</v>
      </c>
      <c r="O832" s="29">
        <v>43096.561909722222</v>
      </c>
    </row>
    <row r="833" spans="2:15" x14ac:dyDescent="0.25">
      <c r="B833" s="24" t="s">
        <v>3423</v>
      </c>
      <c r="C833" s="23" t="s">
        <v>3424</v>
      </c>
      <c r="D833" s="24" t="s">
        <v>3425</v>
      </c>
      <c r="E833" s="25">
        <v>9.5999999999999991E-7</v>
      </c>
      <c r="F833" s="26">
        <v>1.51188E-2</v>
      </c>
      <c r="G833" s="27">
        <v>906.39499999999998</v>
      </c>
      <c r="H833" s="27">
        <v>51812</v>
      </c>
      <c r="I833" s="28">
        <v>3427006</v>
      </c>
      <c r="J833" s="28">
        <v>9227006</v>
      </c>
      <c r="K833" s="34">
        <v>-1.1399999999999999</v>
      </c>
      <c r="L833" s="34">
        <v>-16.77</v>
      </c>
      <c r="M833" s="34">
        <v>-14.41</v>
      </c>
      <c r="N833" s="24">
        <v>829</v>
      </c>
      <c r="O833" s="29">
        <v>43096.562002314815</v>
      </c>
    </row>
    <row r="834" spans="2:15" x14ac:dyDescent="0.25">
      <c r="B834" s="24" t="s">
        <v>2690</v>
      </c>
      <c r="C834" s="23" t="s">
        <v>747</v>
      </c>
      <c r="D834" s="24" t="s">
        <v>1702</v>
      </c>
      <c r="E834" s="25">
        <v>7.6000000000000003E-7</v>
      </c>
      <c r="F834" s="26">
        <v>1.20071E-2</v>
      </c>
      <c r="G834" s="27">
        <v>37001.699999999997</v>
      </c>
      <c r="H834" s="27">
        <v>47937</v>
      </c>
      <c r="I834" s="28">
        <v>3992396</v>
      </c>
      <c r="J834" s="28">
        <v>253992396</v>
      </c>
      <c r="K834" s="34">
        <v>-5.69</v>
      </c>
      <c r="L834" s="34">
        <v>-66.91</v>
      </c>
      <c r="M834" s="34">
        <v>193.5</v>
      </c>
      <c r="N834" s="24">
        <v>830</v>
      </c>
      <c r="O834" s="29">
        <v>43096.561921296299</v>
      </c>
    </row>
    <row r="835" spans="2:15" x14ac:dyDescent="0.25">
      <c r="B835" s="24" t="s">
        <v>2658</v>
      </c>
      <c r="C835" s="23" t="s">
        <v>706</v>
      </c>
      <c r="D835" s="24" t="s">
        <v>1664</v>
      </c>
      <c r="E835" s="25">
        <v>8.0000000000000002E-8</v>
      </c>
      <c r="F835" s="26">
        <v>1.2639000000000001E-3</v>
      </c>
      <c r="G835" s="27">
        <v>865.01700000000005</v>
      </c>
      <c r="H835" s="27">
        <v>38404</v>
      </c>
      <c r="I835" s="28">
        <v>30385540</v>
      </c>
      <c r="J835" s="28">
        <v>530385540</v>
      </c>
      <c r="K835" s="34">
        <v>-1.1399999999999999</v>
      </c>
      <c r="L835" s="34">
        <v>-9.1199999999999992</v>
      </c>
      <c r="M835" s="34">
        <v>5.24</v>
      </c>
      <c r="N835" s="24">
        <v>831</v>
      </c>
      <c r="O835" s="29">
        <v>43096.561921296299</v>
      </c>
    </row>
    <row r="836" spans="2:15" x14ac:dyDescent="0.25">
      <c r="B836" s="24" t="s">
        <v>2426</v>
      </c>
      <c r="C836" s="23" t="s">
        <v>489</v>
      </c>
      <c r="D836" s="24" t="s">
        <v>1455</v>
      </c>
      <c r="E836" s="25">
        <v>5.0000000000000001E-9</v>
      </c>
      <c r="F836" s="26">
        <v>7.5226600000000002E-5</v>
      </c>
      <c r="G836" s="27">
        <v>7166.89</v>
      </c>
      <c r="H836" s="27">
        <v>36606</v>
      </c>
      <c r="I836" s="28">
        <v>486609040</v>
      </c>
      <c r="J836" s="28">
        <v>10000000000</v>
      </c>
      <c r="K836" s="34">
        <v>3.48</v>
      </c>
      <c r="L836" s="34">
        <v>7.78</v>
      </c>
      <c r="M836" s="34">
        <v>-14.34</v>
      </c>
      <c r="N836" s="24">
        <v>832</v>
      </c>
      <c r="O836" s="29">
        <v>43096.561909722222</v>
      </c>
    </row>
    <row r="837" spans="2:15" x14ac:dyDescent="0.25">
      <c r="B837" s="24" t="s">
        <v>3185</v>
      </c>
      <c r="C837" s="23" t="s">
        <v>3186</v>
      </c>
      <c r="D837" s="24" t="s">
        <v>3187</v>
      </c>
      <c r="E837" s="25">
        <v>1.4999999999999999E-7</v>
      </c>
      <c r="F837" s="26">
        <v>2.3698199999999999E-3</v>
      </c>
      <c r="G837" s="27">
        <v>7235.89</v>
      </c>
      <c r="H837" s="27">
        <v>28045</v>
      </c>
      <c r="I837" s="28">
        <v>11834082</v>
      </c>
      <c r="J837" s="28">
        <v>255834082</v>
      </c>
      <c r="K837" s="34">
        <v>-4.71</v>
      </c>
      <c r="L837" s="34">
        <v>21.7</v>
      </c>
      <c r="M837" s="34">
        <v>-37.68</v>
      </c>
      <c r="N837" s="24">
        <v>833</v>
      </c>
      <c r="O837" s="29">
        <v>43096.561979166669</v>
      </c>
    </row>
    <row r="838" spans="2:15" x14ac:dyDescent="0.25">
      <c r="B838" s="24" t="s">
        <v>2412</v>
      </c>
      <c r="C838" s="23" t="s">
        <v>474</v>
      </c>
      <c r="D838" s="24" t="s">
        <v>1438</v>
      </c>
      <c r="E838" s="25">
        <v>4.0000000000000001E-8</v>
      </c>
      <c r="F838" s="26">
        <v>6.3946499999999998E-4</v>
      </c>
      <c r="G838" s="27">
        <v>2347.94</v>
      </c>
      <c r="H838" s="27">
        <v>23271</v>
      </c>
      <c r="I838" s="28">
        <v>36390750</v>
      </c>
      <c r="J838" s="28">
        <v>6240390800</v>
      </c>
      <c r="K838" s="34">
        <v>-1.1100000000000001</v>
      </c>
      <c r="L838" s="34">
        <v>3.03</v>
      </c>
      <c r="M838" s="34">
        <v>-6.65</v>
      </c>
      <c r="N838" s="24">
        <v>834</v>
      </c>
      <c r="O838" s="29">
        <v>43096.561863425923</v>
      </c>
    </row>
    <row r="839" spans="2:15" x14ac:dyDescent="0.25">
      <c r="B839" s="24" t="s">
        <v>2678</v>
      </c>
      <c r="C839" s="23" t="s">
        <v>749</v>
      </c>
      <c r="D839" s="24" t="s">
        <v>1704</v>
      </c>
      <c r="E839" s="25">
        <v>1.2500000000000001E-6</v>
      </c>
      <c r="F839" s="26">
        <v>1.98125E-2</v>
      </c>
      <c r="G839" s="27">
        <v>1786.01</v>
      </c>
      <c r="H839" s="27">
        <v>22751</v>
      </c>
      <c r="I839" s="28">
        <v>1148324</v>
      </c>
      <c r="J839" s="28">
        <v>5194373</v>
      </c>
      <c r="K839" s="34">
        <v>-2.91</v>
      </c>
      <c r="L839" s="34">
        <v>0.82</v>
      </c>
      <c r="M839" s="34">
        <v>22.04</v>
      </c>
      <c r="N839" s="24">
        <v>835</v>
      </c>
      <c r="O839" s="29">
        <v>43096.561921296299</v>
      </c>
    </row>
    <row r="840" spans="2:15" x14ac:dyDescent="0.25">
      <c r="B840" s="24" t="s">
        <v>2816</v>
      </c>
      <c r="C840" s="23" t="s">
        <v>902</v>
      </c>
      <c r="D840" s="24" t="s">
        <v>1849</v>
      </c>
      <c r="E840" s="25">
        <v>2.5490000000000002E-5</v>
      </c>
      <c r="F840" s="26">
        <v>0.40271099999999999</v>
      </c>
      <c r="G840" s="27">
        <v>743.56399999999996</v>
      </c>
      <c r="H840" s="27">
        <v>18873</v>
      </c>
      <c r="I840" s="28">
        <v>46864</v>
      </c>
      <c r="J840" s="28">
        <v>599334</v>
      </c>
      <c r="K840" s="34">
        <v>-1.1399999999999999</v>
      </c>
      <c r="L840" s="34">
        <v>57.91</v>
      </c>
      <c r="M840" s="34">
        <v>27.26</v>
      </c>
      <c r="N840" s="24">
        <v>836</v>
      </c>
      <c r="O840" s="29">
        <v>43096.561967592592</v>
      </c>
    </row>
    <row r="841" spans="2:15" x14ac:dyDescent="0.25">
      <c r="B841" s="24" t="s">
        <v>3345</v>
      </c>
      <c r="C841" s="23" t="s">
        <v>3346</v>
      </c>
      <c r="D841" s="24" t="s">
        <v>3347</v>
      </c>
      <c r="E841" s="25">
        <v>4.9999999999999998E-7</v>
      </c>
      <c r="F841" s="26">
        <v>7.8762399999999996E-3</v>
      </c>
      <c r="G841" s="27">
        <v>1470.55</v>
      </c>
      <c r="H841" s="27">
        <v>17796</v>
      </c>
      <c r="I841" s="28">
        <v>2259512</v>
      </c>
      <c r="J841" s="28">
        <v>102000000</v>
      </c>
      <c r="K841" s="34">
        <v>-1.1200000000000001</v>
      </c>
      <c r="L841" s="34">
        <v>76.239999999999995</v>
      </c>
      <c r="M841" s="34">
        <v>75.39</v>
      </c>
      <c r="N841" s="24">
        <v>837</v>
      </c>
      <c r="O841" s="29">
        <v>43096.561990740738</v>
      </c>
    </row>
    <row r="842" spans="2:15" x14ac:dyDescent="0.25">
      <c r="B842" s="24" t="s">
        <v>2422</v>
      </c>
      <c r="C842" s="23" t="s">
        <v>482</v>
      </c>
      <c r="D842" s="24" t="s">
        <v>1448</v>
      </c>
      <c r="E842" s="25">
        <v>8.0000000000000002E-8</v>
      </c>
      <c r="F842" s="26">
        <v>1.23471E-3</v>
      </c>
      <c r="G842" s="27">
        <v>10544.5</v>
      </c>
      <c r="H842" s="27">
        <v>16709</v>
      </c>
      <c r="I842" s="28">
        <v>13532750</v>
      </c>
      <c r="J842" s="28">
        <v>30132750</v>
      </c>
      <c r="K842" s="34">
        <v>-19.739999999999998</v>
      </c>
      <c r="L842" s="34">
        <v>33.25</v>
      </c>
      <c r="M842" s="34">
        <v>129.69999999999999</v>
      </c>
      <c r="N842" s="24">
        <v>838</v>
      </c>
      <c r="O842" s="29">
        <v>43096.561956018515</v>
      </c>
    </row>
    <row r="843" spans="2:15" x14ac:dyDescent="0.25">
      <c r="B843" s="24" t="s">
        <v>2685</v>
      </c>
      <c r="C843" s="23" t="s">
        <v>490</v>
      </c>
      <c r="D843" s="24" t="s">
        <v>1456</v>
      </c>
      <c r="E843" s="25">
        <v>1.1999999999999999E-6</v>
      </c>
      <c r="F843" s="26">
        <v>1.8899099999999999E-2</v>
      </c>
      <c r="G843" s="27">
        <v>589.26800000000003</v>
      </c>
      <c r="H843" s="27">
        <v>13322</v>
      </c>
      <c r="I843" s="28">
        <v>704882</v>
      </c>
      <c r="J843" s="28">
        <v>704882</v>
      </c>
      <c r="K843" s="34">
        <v>-0.94</v>
      </c>
      <c r="L843" s="34">
        <v>-6.8</v>
      </c>
      <c r="M843" s="34">
        <v>-22.22</v>
      </c>
      <c r="N843" s="24">
        <v>839</v>
      </c>
      <c r="O843" s="29">
        <v>43096.561909722222</v>
      </c>
    </row>
    <row r="844" spans="2:15" x14ac:dyDescent="0.25">
      <c r="B844" s="24" t="s">
        <v>2432</v>
      </c>
      <c r="C844" s="23" t="s">
        <v>494</v>
      </c>
      <c r="D844" s="24" t="s">
        <v>1460</v>
      </c>
      <c r="E844" s="25">
        <v>6.5000000000000002E-7</v>
      </c>
      <c r="F844" s="26">
        <v>1.0269199999999999E-2</v>
      </c>
      <c r="G844" s="27">
        <v>508.21600000000001</v>
      </c>
      <c r="H844" s="27">
        <v>12986</v>
      </c>
      <c r="I844" s="28">
        <v>1264511</v>
      </c>
      <c r="J844" s="28">
        <v>811264511</v>
      </c>
      <c r="K844" s="34">
        <v>-1.1399999999999999</v>
      </c>
      <c r="L844" s="34">
        <v>-7.35</v>
      </c>
      <c r="M844" s="34">
        <v>257.02</v>
      </c>
      <c r="N844" s="24">
        <v>840</v>
      </c>
      <c r="O844" s="29">
        <v>43096.561932870369</v>
      </c>
    </row>
    <row r="845" spans="2:15" x14ac:dyDescent="0.25">
      <c r="B845" s="24" t="s">
        <v>2695</v>
      </c>
      <c r="C845" s="23" t="s">
        <v>763</v>
      </c>
      <c r="D845" s="24" t="s">
        <v>1718</v>
      </c>
      <c r="E845" s="25">
        <v>4.1999999999999998E-5</v>
      </c>
      <c r="F845" s="26">
        <v>0.66354900000000006</v>
      </c>
      <c r="G845" s="27">
        <v>14406.8</v>
      </c>
      <c r="H845" s="27">
        <v>11033</v>
      </c>
      <c r="I845" s="28">
        <v>16627</v>
      </c>
      <c r="J845" s="28">
        <v>66627</v>
      </c>
      <c r="K845" s="34">
        <v>-16.940000000000001</v>
      </c>
      <c r="L845" s="34">
        <v>94.08</v>
      </c>
      <c r="M845" s="34">
        <v>163.66</v>
      </c>
      <c r="N845" s="24">
        <v>841</v>
      </c>
      <c r="O845" s="29">
        <v>43096.561886574076</v>
      </c>
    </row>
    <row r="846" spans="2:15" x14ac:dyDescent="0.25">
      <c r="B846" s="24" t="s">
        <v>2435</v>
      </c>
      <c r="C846" s="23" t="s">
        <v>496</v>
      </c>
      <c r="D846" s="24" t="s">
        <v>1462</v>
      </c>
      <c r="E846" s="25">
        <v>8.8999999999999995E-7</v>
      </c>
      <c r="F846" s="26">
        <v>1.40676E-2</v>
      </c>
      <c r="G846" s="27">
        <v>659.32100000000003</v>
      </c>
      <c r="H846" s="27">
        <v>7895</v>
      </c>
      <c r="I846" s="28">
        <v>561235</v>
      </c>
      <c r="J846" s="28">
        <v>33565561235</v>
      </c>
      <c r="K846" s="34">
        <v>-1.1399999999999999</v>
      </c>
      <c r="L846" s="34">
        <v>26</v>
      </c>
      <c r="M846" s="34">
        <v>18.36</v>
      </c>
      <c r="N846" s="24">
        <v>842</v>
      </c>
      <c r="O846" s="29">
        <v>43096.561967592592</v>
      </c>
    </row>
    <row r="847" spans="2:15" x14ac:dyDescent="0.25">
      <c r="B847" s="24" t="s">
        <v>2701</v>
      </c>
      <c r="C847" s="23" t="s">
        <v>770</v>
      </c>
      <c r="D847" s="24" t="s">
        <v>1724</v>
      </c>
      <c r="E847" s="25">
        <v>1.1000000000000001E-7</v>
      </c>
      <c r="F847" s="26">
        <v>1.7378700000000001E-3</v>
      </c>
      <c r="G847" s="27">
        <v>1082.58</v>
      </c>
      <c r="H847" s="27">
        <v>732</v>
      </c>
      <c r="I847" s="28">
        <v>421300</v>
      </c>
      <c r="J847" s="28">
        <v>10421300</v>
      </c>
      <c r="K847" s="34">
        <v>81.25</v>
      </c>
      <c r="L847" s="34">
        <v>88.54</v>
      </c>
      <c r="M847" s="34">
        <v>47.6</v>
      </c>
      <c r="N847" s="24">
        <v>843</v>
      </c>
      <c r="O847" s="29">
        <v>43096.561944444446</v>
      </c>
    </row>
    <row r="848" spans="2:15" x14ac:dyDescent="0.25">
      <c r="B848" s="24" t="s">
        <v>2702</v>
      </c>
      <c r="C848" s="23" t="s">
        <v>771</v>
      </c>
      <c r="D848" s="24" t="s">
        <v>1725</v>
      </c>
      <c r="E848" s="25">
        <v>1.4000000000000001E-7</v>
      </c>
      <c r="F848" s="26">
        <v>2.2118300000000001E-3</v>
      </c>
      <c r="G848" s="27">
        <v>1817.65</v>
      </c>
      <c r="H848" s="27">
        <v>193</v>
      </c>
      <c r="I848" s="28">
        <v>87140</v>
      </c>
      <c r="J848" s="28">
        <v>148587140</v>
      </c>
      <c r="K848" s="34">
        <v>-7.73</v>
      </c>
      <c r="L848" s="34">
        <v>37.799999999999997</v>
      </c>
      <c r="M848" s="34">
        <v>30.48</v>
      </c>
      <c r="N848" s="24">
        <v>844</v>
      </c>
      <c r="O848" s="29">
        <v>43096.561909722222</v>
      </c>
    </row>
    <row r="849" spans="2:15" x14ac:dyDescent="0.25">
      <c r="B849" s="24" t="s">
        <v>2153</v>
      </c>
      <c r="C849" s="23" t="s">
        <v>247</v>
      </c>
      <c r="D849" s="24" t="s">
        <v>1216</v>
      </c>
      <c r="E849" s="25">
        <v>9.6170500000000006E-2</v>
      </c>
      <c r="F849" s="26">
        <v>1537.94</v>
      </c>
      <c r="G849" s="27"/>
      <c r="H849" s="27">
        <v>90281692</v>
      </c>
      <c r="I849" s="28">
        <v>58703</v>
      </c>
      <c r="J849" s="28">
        <v>1000000</v>
      </c>
      <c r="K849" s="34">
        <v>-1.29</v>
      </c>
      <c r="L849" s="34">
        <v>-3.49</v>
      </c>
      <c r="M849" s="34">
        <v>-0.14000000000000001</v>
      </c>
      <c r="N849" s="24">
        <v>845</v>
      </c>
      <c r="O849" s="29">
        <v>43096.544479166667</v>
      </c>
    </row>
    <row r="850" spans="2:15" x14ac:dyDescent="0.25">
      <c r="B850" s="24" t="s">
        <v>2053</v>
      </c>
      <c r="C850" s="23" t="s">
        <v>498</v>
      </c>
      <c r="D850" s="24" t="s">
        <v>1464</v>
      </c>
      <c r="E850" s="25">
        <v>3.8327000000000001E-3</v>
      </c>
      <c r="F850" s="26">
        <v>60.552</v>
      </c>
      <c r="G850" s="27">
        <v>0.67212700000000003</v>
      </c>
      <c r="H850" s="27">
        <v>49414112</v>
      </c>
      <c r="I850" s="28">
        <v>816061</v>
      </c>
      <c r="J850" s="28">
        <v>816061</v>
      </c>
      <c r="K850" s="34">
        <v>-0.25</v>
      </c>
      <c r="L850" s="34">
        <v>-29.11</v>
      </c>
      <c r="M850" s="34">
        <v>5.96</v>
      </c>
      <c r="N850" s="24">
        <v>846</v>
      </c>
      <c r="O850" s="29">
        <v>43096.561851851853</v>
      </c>
    </row>
    <row r="851" spans="2:15" x14ac:dyDescent="0.25">
      <c r="B851" s="24" t="s">
        <v>2606</v>
      </c>
      <c r="C851" s="23" t="s">
        <v>674</v>
      </c>
      <c r="D851" s="24" t="s">
        <v>1632</v>
      </c>
      <c r="E851" s="25">
        <v>3.2000000000000001E-7</v>
      </c>
      <c r="F851" s="26">
        <v>5.0988099999999996E-3</v>
      </c>
      <c r="G851" s="27">
        <v>478.03</v>
      </c>
      <c r="H851" s="27">
        <v>26520492</v>
      </c>
      <c r="I851" s="28">
        <v>5201310113</v>
      </c>
      <c r="J851" s="28">
        <v>12666916683</v>
      </c>
      <c r="K851" s="34">
        <v>-0.76</v>
      </c>
      <c r="L851" s="34">
        <v>27.26</v>
      </c>
      <c r="M851" s="34">
        <v>85041.2</v>
      </c>
      <c r="N851" s="24">
        <v>847</v>
      </c>
      <c r="O851" s="29">
        <v>43096.561840277776</v>
      </c>
    </row>
    <row r="852" spans="2:15" x14ac:dyDescent="0.25">
      <c r="B852" s="24" t="s">
        <v>2081</v>
      </c>
      <c r="C852" s="23" t="s">
        <v>160</v>
      </c>
      <c r="D852" s="24" t="s">
        <v>1130</v>
      </c>
      <c r="E852" s="25">
        <v>2.1100000000000001E-6</v>
      </c>
      <c r="F852" s="26">
        <v>3.3259900000000002E-2</v>
      </c>
      <c r="G852" s="27">
        <v>403.524</v>
      </c>
      <c r="H852" s="27">
        <v>14782178</v>
      </c>
      <c r="I852" s="28">
        <v>444444444</v>
      </c>
      <c r="J852" s="28">
        <v>8888888888</v>
      </c>
      <c r="K852" s="34">
        <v>-4.47</v>
      </c>
      <c r="L852" s="34">
        <v>9.09</v>
      </c>
      <c r="M852" s="34">
        <v>94.16</v>
      </c>
      <c r="N852" s="24">
        <v>848</v>
      </c>
      <c r="O852" s="29">
        <v>43096.561956018515</v>
      </c>
    </row>
    <row r="853" spans="2:15" x14ac:dyDescent="0.25">
      <c r="B853" s="24" t="s">
        <v>2225</v>
      </c>
      <c r="C853" s="23" t="s">
        <v>299</v>
      </c>
      <c r="D853" s="24" t="s">
        <v>1267</v>
      </c>
      <c r="E853" s="25">
        <v>3.9929999999999999E-5</v>
      </c>
      <c r="F853" s="26">
        <v>0.63089399999999995</v>
      </c>
      <c r="G853" s="27">
        <v>71.009200000000007</v>
      </c>
      <c r="H853" s="27">
        <v>14523391</v>
      </c>
      <c r="I853" s="28">
        <v>23020335</v>
      </c>
      <c r="J853" s="28">
        <v>25201489</v>
      </c>
      <c r="K853" s="34">
        <v>-8.83</v>
      </c>
      <c r="L853" s="34">
        <v>1073.7</v>
      </c>
      <c r="M853" s="34">
        <v>470.11</v>
      </c>
      <c r="N853" s="24">
        <v>849</v>
      </c>
      <c r="O853" s="29">
        <v>43096.561921296299</v>
      </c>
    </row>
    <row r="854" spans="2:15" x14ac:dyDescent="0.25">
      <c r="B854" s="24" t="s">
        <v>2277</v>
      </c>
      <c r="C854" s="23" t="s">
        <v>340</v>
      </c>
      <c r="D854" s="24" t="s">
        <v>1308</v>
      </c>
      <c r="E854" s="25">
        <v>2.7970000000000002E-5</v>
      </c>
      <c r="F854" s="26">
        <v>0.44189200000000001</v>
      </c>
      <c r="G854" s="27">
        <v>1.57988</v>
      </c>
      <c r="H854" s="27">
        <v>14447371</v>
      </c>
      <c r="I854" s="28">
        <v>32694349</v>
      </c>
      <c r="J854" s="28">
        <v>32694349</v>
      </c>
      <c r="K854" s="34">
        <v>-1.1399999999999999</v>
      </c>
      <c r="L854" s="34">
        <v>-4.09</v>
      </c>
      <c r="M854" s="34">
        <v>25</v>
      </c>
      <c r="N854" s="24">
        <v>850</v>
      </c>
      <c r="O854" s="29">
        <v>43096.561898148146</v>
      </c>
    </row>
    <row r="855" spans="2:15" x14ac:dyDescent="0.25">
      <c r="B855" s="24" t="s">
        <v>2990</v>
      </c>
      <c r="C855" s="23" t="s">
        <v>2991</v>
      </c>
      <c r="D855" s="24" t="s">
        <v>2992</v>
      </c>
      <c r="E855" s="25">
        <v>1.6199999999999999E-6</v>
      </c>
      <c r="F855" s="26">
        <v>2.5579500000000002E-2</v>
      </c>
      <c r="G855" s="27">
        <v>498.08800000000002</v>
      </c>
      <c r="H855" s="27">
        <v>14065955</v>
      </c>
      <c r="I855" s="28">
        <v>549891703</v>
      </c>
      <c r="J855" s="28">
        <v>1374729257</v>
      </c>
      <c r="K855" s="34">
        <v>-0.64</v>
      </c>
      <c r="L855" s="34">
        <v>-35.869999999999997</v>
      </c>
      <c r="M855" s="34">
        <v>-48.05</v>
      </c>
      <c r="N855" s="24">
        <v>851</v>
      </c>
      <c r="O855" s="29">
        <v>43096.561990740738</v>
      </c>
    </row>
    <row r="856" spans="2:15" x14ac:dyDescent="0.25">
      <c r="B856" s="24" t="s">
        <v>2440</v>
      </c>
      <c r="C856" s="23" t="s">
        <v>503</v>
      </c>
      <c r="D856" s="24" t="s">
        <v>1266</v>
      </c>
      <c r="E856" s="25">
        <v>2.7537999999999998E-4</v>
      </c>
      <c r="F856" s="26">
        <v>4.3506200000000002</v>
      </c>
      <c r="G856" s="27">
        <v>465.83199999999999</v>
      </c>
      <c r="H856" s="27">
        <v>6761021</v>
      </c>
      <c r="I856" s="28">
        <v>1554036</v>
      </c>
      <c r="J856" s="28">
        <v>1554036</v>
      </c>
      <c r="K856" s="34">
        <v>-0.64</v>
      </c>
      <c r="L856" s="34">
        <v>0.97</v>
      </c>
      <c r="M856" s="34">
        <v>256.32</v>
      </c>
      <c r="N856" s="24">
        <v>852</v>
      </c>
      <c r="O856" s="29">
        <v>43096.561909722222</v>
      </c>
    </row>
    <row r="857" spans="2:15" x14ac:dyDescent="0.25">
      <c r="B857" s="24" t="s">
        <v>2093</v>
      </c>
      <c r="C857" s="23" t="s">
        <v>176</v>
      </c>
      <c r="D857" s="24" t="s">
        <v>1144</v>
      </c>
      <c r="E857" s="25">
        <v>5.1E-5</v>
      </c>
      <c r="F857" s="26">
        <v>0.81935800000000003</v>
      </c>
      <c r="G857" s="27"/>
      <c r="H857" s="27">
        <v>4814682</v>
      </c>
      <c r="I857" s="28">
        <v>5876164</v>
      </c>
      <c r="J857" s="28">
        <v>5876164</v>
      </c>
      <c r="K857" s="34"/>
      <c r="L857" s="34">
        <v>4.58</v>
      </c>
      <c r="M857" s="34"/>
      <c r="N857" s="24">
        <v>853</v>
      </c>
      <c r="O857" s="29">
        <v>43095.725023148145</v>
      </c>
    </row>
    <row r="858" spans="2:15" x14ac:dyDescent="0.25">
      <c r="B858" s="24" t="s">
        <v>2441</v>
      </c>
      <c r="C858" s="23" t="s">
        <v>502</v>
      </c>
      <c r="D858" s="24" t="s">
        <v>1468</v>
      </c>
      <c r="E858" s="25">
        <v>2.69E-5</v>
      </c>
      <c r="F858" s="26">
        <v>0.424987</v>
      </c>
      <c r="G858" s="27">
        <v>3.6416200000000001</v>
      </c>
      <c r="H858" s="27">
        <v>4249992</v>
      </c>
      <c r="I858" s="28">
        <v>10000288</v>
      </c>
      <c r="J858" s="28">
        <v>10000288</v>
      </c>
      <c r="K858" s="34">
        <v>-1.1399999999999999</v>
      </c>
      <c r="L858" s="34">
        <v>52</v>
      </c>
      <c r="M858" s="34">
        <v>7.56</v>
      </c>
      <c r="N858" s="24">
        <v>854</v>
      </c>
      <c r="O858" s="29">
        <v>43096.561909722222</v>
      </c>
    </row>
    <row r="859" spans="2:15" x14ac:dyDescent="0.25">
      <c r="B859" s="24" t="s">
        <v>2288</v>
      </c>
      <c r="C859" s="23" t="s">
        <v>356</v>
      </c>
      <c r="D859" s="24" t="s">
        <v>1324</v>
      </c>
      <c r="E859" s="25">
        <v>3.9999999999999998E-7</v>
      </c>
      <c r="F859" s="26">
        <v>6.3448599999999999E-3</v>
      </c>
      <c r="G859" s="27">
        <v>31.6004</v>
      </c>
      <c r="H859" s="27">
        <v>3661014</v>
      </c>
      <c r="I859" s="28">
        <v>577004618</v>
      </c>
      <c r="J859" s="28">
        <v>886395300</v>
      </c>
      <c r="K859" s="34">
        <v>-1.1399999999999999</v>
      </c>
      <c r="L859" s="34">
        <v>-0.31</v>
      </c>
      <c r="M859" s="34">
        <v>-9.44</v>
      </c>
      <c r="N859" s="24">
        <v>855</v>
      </c>
      <c r="O859" s="29">
        <v>43096.561840277776</v>
      </c>
    </row>
    <row r="860" spans="2:15" x14ac:dyDescent="0.25">
      <c r="B860" s="24" t="s">
        <v>2123</v>
      </c>
      <c r="C860" s="23" t="s">
        <v>207</v>
      </c>
      <c r="D860" s="24" t="s">
        <v>1176</v>
      </c>
      <c r="E860" s="25">
        <v>3.0960000000000002E-5</v>
      </c>
      <c r="F860" s="26">
        <v>0.489093</v>
      </c>
      <c r="G860" s="27">
        <v>210.78700000000001</v>
      </c>
      <c r="H860" s="27">
        <v>3211710</v>
      </c>
      <c r="I860" s="28">
        <v>6566666</v>
      </c>
      <c r="J860" s="28">
        <v>6666666</v>
      </c>
      <c r="K860" s="34">
        <v>-0.64</v>
      </c>
      <c r="L860" s="34">
        <v>58.71</v>
      </c>
      <c r="M860" s="34">
        <v>-14.16</v>
      </c>
      <c r="N860" s="24">
        <v>856</v>
      </c>
      <c r="O860" s="29">
        <v>43096.561932870369</v>
      </c>
    </row>
    <row r="861" spans="2:15" x14ac:dyDescent="0.25">
      <c r="B861" s="24" t="s">
        <v>2186</v>
      </c>
      <c r="C861" s="23" t="s">
        <v>257</v>
      </c>
      <c r="D861" s="24" t="s">
        <v>1226</v>
      </c>
      <c r="E861" s="25">
        <v>4.2007999999999998E-4</v>
      </c>
      <c r="F861" s="26">
        <v>6.6367799999999999</v>
      </c>
      <c r="G861" s="27">
        <v>190.78</v>
      </c>
      <c r="H861" s="27">
        <v>3092418</v>
      </c>
      <c r="I861" s="28">
        <v>465952</v>
      </c>
      <c r="J861" s="28">
        <v>465952</v>
      </c>
      <c r="K861" s="34">
        <v>-1.1200000000000001</v>
      </c>
      <c r="L861" s="34">
        <v>-4.28</v>
      </c>
      <c r="M861" s="34">
        <v>-13.76</v>
      </c>
      <c r="N861" s="24">
        <v>857</v>
      </c>
      <c r="O861" s="29">
        <v>43096.561886574076</v>
      </c>
    </row>
    <row r="862" spans="2:15" x14ac:dyDescent="0.25">
      <c r="B862" s="24" t="s">
        <v>2275</v>
      </c>
      <c r="C862" s="23" t="s">
        <v>513</v>
      </c>
      <c r="D862" s="24" t="s">
        <v>1478</v>
      </c>
      <c r="E862" s="25">
        <v>3.1810000000000002E-5</v>
      </c>
      <c r="F862" s="26">
        <v>0.50255899999999998</v>
      </c>
      <c r="G862" s="27">
        <v>225.70400000000001</v>
      </c>
      <c r="H862" s="27">
        <v>3050156</v>
      </c>
      <c r="I862" s="28">
        <v>6069250</v>
      </c>
      <c r="J862" s="28">
        <v>6069250</v>
      </c>
      <c r="K862" s="34">
        <v>-1.0900000000000001</v>
      </c>
      <c r="L862" s="34">
        <v>5.73</v>
      </c>
      <c r="M862" s="34">
        <v>6.31</v>
      </c>
      <c r="N862" s="24">
        <v>858</v>
      </c>
      <c r="O862" s="29">
        <v>43096.561828703707</v>
      </c>
    </row>
    <row r="863" spans="2:15" x14ac:dyDescent="0.25">
      <c r="B863" s="24" t="s">
        <v>2437</v>
      </c>
      <c r="C863" s="23" t="s">
        <v>499</v>
      </c>
      <c r="D863" s="24" t="s">
        <v>1465</v>
      </c>
      <c r="E863" s="25">
        <v>1.649E-5</v>
      </c>
      <c r="F863" s="26">
        <v>0.26052199999999998</v>
      </c>
      <c r="G863" s="27">
        <v>74.248800000000003</v>
      </c>
      <c r="H863" s="27">
        <v>2681235</v>
      </c>
      <c r="I863" s="28">
        <v>10291781</v>
      </c>
      <c r="J863" s="28">
        <v>25000000</v>
      </c>
      <c r="K863" s="34">
        <v>-1.0900000000000001</v>
      </c>
      <c r="L863" s="34">
        <v>-1.53</v>
      </c>
      <c r="M863" s="34">
        <v>12.86</v>
      </c>
      <c r="N863" s="24">
        <v>859</v>
      </c>
      <c r="O863" s="29">
        <v>43096.561921296299</v>
      </c>
    </row>
    <row r="864" spans="2:15" x14ac:dyDescent="0.25">
      <c r="B864" s="24" t="s">
        <v>2459</v>
      </c>
      <c r="C864" s="23" t="s">
        <v>537</v>
      </c>
      <c r="D864" s="24" t="s">
        <v>1501</v>
      </c>
      <c r="E864" s="25">
        <v>1.8240000000000002E-5</v>
      </c>
      <c r="F864" s="30">
        <v>0.28814400000000001</v>
      </c>
      <c r="G864" s="27">
        <v>191.80099999999999</v>
      </c>
      <c r="H864" s="27">
        <v>2414034</v>
      </c>
      <c r="I864" s="28">
        <v>8377873</v>
      </c>
      <c r="J864" s="28">
        <v>8377873</v>
      </c>
      <c r="K864" s="34">
        <v>-9.74</v>
      </c>
      <c r="L864" s="34">
        <v>8.4700000000000006</v>
      </c>
      <c r="M864" s="34">
        <v>18.23</v>
      </c>
      <c r="N864" s="24">
        <v>860</v>
      </c>
      <c r="O864" s="29">
        <v>43096.561874999999</v>
      </c>
    </row>
    <row r="865" spans="2:15" x14ac:dyDescent="0.25">
      <c r="B865" s="24" t="s">
        <v>2220</v>
      </c>
      <c r="C865" s="23" t="s">
        <v>302</v>
      </c>
      <c r="D865" s="24" t="s">
        <v>1271</v>
      </c>
      <c r="E865" s="25">
        <v>1.5E-5</v>
      </c>
      <c r="F865" s="26">
        <v>0.236982</v>
      </c>
      <c r="G865" s="27">
        <v>257.02199999999999</v>
      </c>
      <c r="H865" s="27">
        <v>2369820</v>
      </c>
      <c r="I865" s="28">
        <v>10000000</v>
      </c>
      <c r="J865" s="28">
        <v>10000000</v>
      </c>
      <c r="K865" s="34">
        <v>-1.1399999999999999</v>
      </c>
      <c r="L865" s="34">
        <v>54.17</v>
      </c>
      <c r="M865" s="34">
        <v>49.33</v>
      </c>
      <c r="N865" s="24">
        <v>861</v>
      </c>
      <c r="O865" s="29">
        <v>43096.561932870369</v>
      </c>
    </row>
    <row r="866" spans="2:15" x14ac:dyDescent="0.25">
      <c r="B866" s="24" t="s">
        <v>2445</v>
      </c>
      <c r="C866" s="23" t="s">
        <v>507</v>
      </c>
      <c r="D866" s="24" t="s">
        <v>1472</v>
      </c>
      <c r="E866" s="25">
        <v>4.07E-6</v>
      </c>
      <c r="F866" s="26">
        <v>6.4353099999999996E-2</v>
      </c>
      <c r="G866" s="27">
        <v>85.007300000000001</v>
      </c>
      <c r="H866" s="27">
        <v>2271720</v>
      </c>
      <c r="I866" s="28">
        <v>35300866</v>
      </c>
      <c r="J866" s="28">
        <v>100000000</v>
      </c>
      <c r="K866" s="34">
        <v>0.43</v>
      </c>
      <c r="L866" s="34"/>
      <c r="M866" s="34"/>
      <c r="N866" s="24">
        <v>862</v>
      </c>
      <c r="O866" s="29">
        <v>43096.561967592592</v>
      </c>
    </row>
    <row r="867" spans="2:15" x14ac:dyDescent="0.25">
      <c r="B867" s="24" t="s">
        <v>2449</v>
      </c>
      <c r="C867" s="23" t="s">
        <v>514</v>
      </c>
      <c r="D867" s="24" t="s">
        <v>1479</v>
      </c>
      <c r="E867" s="25">
        <v>1.2217E-4</v>
      </c>
      <c r="F867" s="26">
        <v>1.93007</v>
      </c>
      <c r="G867" s="27">
        <v>1.93007</v>
      </c>
      <c r="H867" s="27">
        <v>1930070</v>
      </c>
      <c r="I867" s="28">
        <v>1000000</v>
      </c>
      <c r="J867" s="28">
        <v>1000000</v>
      </c>
      <c r="K867" s="34">
        <v>2.44</v>
      </c>
      <c r="L867" s="34"/>
      <c r="M867" s="34"/>
      <c r="N867" s="24">
        <v>863</v>
      </c>
      <c r="O867" s="29">
        <v>43096.561921296299</v>
      </c>
    </row>
    <row r="868" spans="2:15" x14ac:dyDescent="0.25">
      <c r="B868" s="24" t="s">
        <v>2268</v>
      </c>
      <c r="C868" s="23" t="s">
        <v>342</v>
      </c>
      <c r="D868" s="24" t="s">
        <v>1310</v>
      </c>
      <c r="E868" s="25">
        <v>2.232E-5</v>
      </c>
      <c r="F868" s="26">
        <v>0.35257899999999998</v>
      </c>
      <c r="G868" s="27">
        <v>361.71100000000001</v>
      </c>
      <c r="H868" s="27">
        <v>1913905</v>
      </c>
      <c r="I868" s="28">
        <v>5428300</v>
      </c>
      <c r="J868" s="28">
        <v>98928316</v>
      </c>
      <c r="K868" s="34">
        <v>-3.71</v>
      </c>
      <c r="L868" s="34">
        <v>-8.17</v>
      </c>
      <c r="M868" s="34">
        <v>75.39</v>
      </c>
      <c r="N868" s="24">
        <v>864</v>
      </c>
      <c r="O868" s="29">
        <v>43096.561898148146</v>
      </c>
    </row>
    <row r="869" spans="2:15" x14ac:dyDescent="0.25">
      <c r="B869" s="24" t="s">
        <v>3291</v>
      </c>
      <c r="C869" s="23" t="s">
        <v>3292</v>
      </c>
      <c r="D869" s="24" t="s">
        <v>3293</v>
      </c>
      <c r="E869" s="25">
        <v>1.4300000000000001E-6</v>
      </c>
      <c r="F869" s="26">
        <v>2.2542900000000001E-2</v>
      </c>
      <c r="G869" s="27">
        <v>175.798</v>
      </c>
      <c r="H869" s="27">
        <v>1881076</v>
      </c>
      <c r="I869" s="28">
        <v>83444258</v>
      </c>
      <c r="J869" s="28">
        <v>7505026110</v>
      </c>
      <c r="K869" s="34">
        <v>-0.62</v>
      </c>
      <c r="L869" s="34">
        <v>-5.47</v>
      </c>
      <c r="M869" s="34">
        <v>5.69</v>
      </c>
      <c r="N869" s="24">
        <v>865</v>
      </c>
      <c r="O869" s="29">
        <v>43096.561990740738</v>
      </c>
    </row>
    <row r="870" spans="2:15" x14ac:dyDescent="0.25">
      <c r="B870" s="24" t="s">
        <v>3432</v>
      </c>
      <c r="C870" s="23" t="s">
        <v>3433</v>
      </c>
      <c r="D870" s="24" t="s">
        <v>3434</v>
      </c>
      <c r="E870" s="25">
        <v>1.4699999999999999E-6</v>
      </c>
      <c r="F870" s="26">
        <v>2.32541E-2</v>
      </c>
      <c r="G870" s="27">
        <v>278.29899999999998</v>
      </c>
      <c r="H870" s="27">
        <v>1860328</v>
      </c>
      <c r="I870" s="28">
        <v>80000000</v>
      </c>
      <c r="J870" s="28">
        <v>150000000</v>
      </c>
      <c r="K870" s="34">
        <v>-0.64</v>
      </c>
      <c r="L870" s="34">
        <v>-36.119999999999997</v>
      </c>
      <c r="M870" s="34">
        <v>11.27</v>
      </c>
      <c r="N870" s="24">
        <v>866</v>
      </c>
      <c r="O870" s="29">
        <v>43096.562002314815</v>
      </c>
    </row>
    <row r="871" spans="2:15" x14ac:dyDescent="0.25">
      <c r="B871" s="24" t="s">
        <v>2455</v>
      </c>
      <c r="C871" s="23" t="s">
        <v>523</v>
      </c>
      <c r="D871" s="24" t="s">
        <v>1488</v>
      </c>
      <c r="E871" s="25">
        <v>1E-8</v>
      </c>
      <c r="F871" s="26">
        <v>1.5798799999999999E-4</v>
      </c>
      <c r="G871" s="27">
        <v>2.5551400000000002</v>
      </c>
      <c r="H871" s="27">
        <v>1737286</v>
      </c>
      <c r="I871" s="28">
        <v>10996318099</v>
      </c>
      <c r="J871" s="28">
        <v>20996318099</v>
      </c>
      <c r="K871" s="34">
        <v>-1.1399999999999999</v>
      </c>
      <c r="L871" s="34">
        <v>2.87</v>
      </c>
      <c r="M871" s="34"/>
      <c r="N871" s="24">
        <v>867</v>
      </c>
      <c r="O871" s="29">
        <v>43096.561886574076</v>
      </c>
    </row>
    <row r="872" spans="2:15" x14ac:dyDescent="0.25">
      <c r="B872" s="24" t="s">
        <v>2460</v>
      </c>
      <c r="C872" s="23" t="s">
        <v>525</v>
      </c>
      <c r="D872" s="24" t="s">
        <v>1490</v>
      </c>
      <c r="E872" s="25">
        <v>1.0300000000000001E-6</v>
      </c>
      <c r="F872" s="26">
        <v>1.6272700000000001E-2</v>
      </c>
      <c r="G872" s="27">
        <v>168.67699999999999</v>
      </c>
      <c r="H872" s="27">
        <v>1627270</v>
      </c>
      <c r="I872" s="28">
        <v>100000000</v>
      </c>
      <c r="J872" s="28">
        <v>100000000</v>
      </c>
      <c r="K872" s="34">
        <v>-1.1399999999999999</v>
      </c>
      <c r="L872" s="34"/>
      <c r="M872" s="34">
        <v>-5.48</v>
      </c>
      <c r="N872" s="24">
        <v>868</v>
      </c>
      <c r="O872" s="29">
        <v>43096.561921296299</v>
      </c>
    </row>
    <row r="873" spans="2:15" x14ac:dyDescent="0.25">
      <c r="B873" s="24" t="s">
        <v>2998</v>
      </c>
      <c r="C873" s="23" t="s">
        <v>2999</v>
      </c>
      <c r="D873" s="24" t="s">
        <v>3000</v>
      </c>
      <c r="E873" s="25">
        <v>1.2119999999999999E-5</v>
      </c>
      <c r="F873" s="26">
        <v>0.191416</v>
      </c>
      <c r="G873" s="27">
        <v>33.499299999999998</v>
      </c>
      <c r="H873" s="27">
        <v>1531328</v>
      </c>
      <c r="I873" s="28">
        <v>8000000</v>
      </c>
      <c r="J873" s="28">
        <v>100000000</v>
      </c>
      <c r="K873" s="34">
        <v>-1.77</v>
      </c>
      <c r="L873" s="34">
        <v>28.36</v>
      </c>
      <c r="M873" s="34">
        <v>3.13</v>
      </c>
      <c r="N873" s="24">
        <v>869</v>
      </c>
      <c r="O873" s="29">
        <v>43096.561990740738</v>
      </c>
    </row>
    <row r="874" spans="2:15" x14ac:dyDescent="0.25">
      <c r="B874" s="24" t="s">
        <v>3573</v>
      </c>
      <c r="C874" s="23" t="s">
        <v>3574</v>
      </c>
      <c r="D874" s="24" t="s">
        <v>3575</v>
      </c>
      <c r="E874" s="25">
        <v>9.5000000000000005E-6</v>
      </c>
      <c r="F874" s="26">
        <v>0.15002699999999999</v>
      </c>
      <c r="G874" s="27">
        <v>243.79300000000001</v>
      </c>
      <c r="H874" s="27">
        <v>1469949</v>
      </c>
      <c r="I874" s="28">
        <v>9797899</v>
      </c>
      <c r="J874" s="28">
        <v>11500000</v>
      </c>
      <c r="K874" s="34">
        <v>-0.64</v>
      </c>
      <c r="L874" s="34">
        <v>-25.2</v>
      </c>
      <c r="M874" s="34">
        <v>14.24</v>
      </c>
      <c r="N874" s="24">
        <v>870</v>
      </c>
      <c r="O874" s="29">
        <v>43096.562002314815</v>
      </c>
    </row>
    <row r="875" spans="2:15" x14ac:dyDescent="0.25">
      <c r="B875" s="24" t="s">
        <v>2446</v>
      </c>
      <c r="C875" s="23" t="s">
        <v>506</v>
      </c>
      <c r="D875" s="24" t="s">
        <v>1471</v>
      </c>
      <c r="E875" s="25">
        <v>7.4000000000000001E-7</v>
      </c>
      <c r="F875" s="26">
        <v>1.17155E-2</v>
      </c>
      <c r="G875" s="27">
        <v>123.944</v>
      </c>
      <c r="H875" s="27">
        <v>1232135</v>
      </c>
      <c r="I875" s="28">
        <v>105171342</v>
      </c>
      <c r="J875" s="28">
        <v>105171342</v>
      </c>
      <c r="K875" s="34">
        <v>-6.8</v>
      </c>
      <c r="L875" s="34">
        <v>-35.06</v>
      </c>
      <c r="M875" s="34">
        <v>-15.73</v>
      </c>
      <c r="N875" s="24">
        <v>871</v>
      </c>
      <c r="O875" s="29">
        <v>43096.561851851853</v>
      </c>
    </row>
    <row r="876" spans="2:15" x14ac:dyDescent="0.25">
      <c r="B876" s="24" t="s">
        <v>2257</v>
      </c>
      <c r="C876" s="23" t="s">
        <v>333</v>
      </c>
      <c r="D876" s="24" t="s">
        <v>1301</v>
      </c>
      <c r="E876" s="25">
        <v>1.4699999999999999E-6</v>
      </c>
      <c r="F876" s="26">
        <v>2.32541E-2</v>
      </c>
      <c r="G876" s="27">
        <v>497.33800000000002</v>
      </c>
      <c r="H876" s="27">
        <v>1195095</v>
      </c>
      <c r="I876" s="28">
        <v>51392877</v>
      </c>
      <c r="J876" s="28">
        <v>70856019</v>
      </c>
      <c r="K876" s="34">
        <v>-0.64</v>
      </c>
      <c r="L876" s="34">
        <v>56.51</v>
      </c>
      <c r="M876" s="34">
        <v>116.77</v>
      </c>
      <c r="N876" s="24">
        <v>872</v>
      </c>
      <c r="O876" s="29">
        <v>43096.561956018515</v>
      </c>
    </row>
    <row r="877" spans="2:15" x14ac:dyDescent="0.25">
      <c r="B877" s="24" t="s">
        <v>2245</v>
      </c>
      <c r="C877" s="23" t="s">
        <v>352</v>
      </c>
      <c r="D877" s="24" t="s">
        <v>1320</v>
      </c>
      <c r="E877" s="25">
        <v>1.5668500000000001E-3</v>
      </c>
      <c r="F877" s="26">
        <v>24.7544</v>
      </c>
      <c r="G877" s="27">
        <v>24.004200000000001</v>
      </c>
      <c r="H877" s="27">
        <v>1175915</v>
      </c>
      <c r="I877" s="28">
        <v>47503</v>
      </c>
      <c r="J877" s="28">
        <v>47503</v>
      </c>
      <c r="K877" s="34">
        <v>-0.64</v>
      </c>
      <c r="L877" s="34">
        <v>-21.22</v>
      </c>
      <c r="M877" s="34">
        <v>-14.09</v>
      </c>
      <c r="N877" s="24">
        <v>873</v>
      </c>
      <c r="O877" s="29">
        <v>43096.561967592592</v>
      </c>
    </row>
    <row r="878" spans="2:15" x14ac:dyDescent="0.25">
      <c r="B878" s="24" t="s">
        <v>2283</v>
      </c>
      <c r="C878" s="23" t="s">
        <v>357</v>
      </c>
      <c r="D878" s="24" t="s">
        <v>1325</v>
      </c>
      <c r="E878" s="25">
        <v>1.6500000000000001E-6</v>
      </c>
      <c r="F878" s="26">
        <v>2.6117499999999998E-2</v>
      </c>
      <c r="G878" s="27">
        <v>237.97399999999999</v>
      </c>
      <c r="H878" s="27">
        <v>1172521</v>
      </c>
      <c r="I878" s="28">
        <v>44894093</v>
      </c>
      <c r="J878" s="28">
        <v>44894093</v>
      </c>
      <c r="K878" s="34">
        <v>-8.93</v>
      </c>
      <c r="L878" s="34">
        <v>4.75</v>
      </c>
      <c r="M878" s="34">
        <v>43.12</v>
      </c>
      <c r="N878" s="24">
        <v>874</v>
      </c>
      <c r="O878" s="29">
        <v>43096.561967592592</v>
      </c>
    </row>
    <row r="879" spans="2:15" x14ac:dyDescent="0.25">
      <c r="B879" s="24" t="s">
        <v>2444</v>
      </c>
      <c r="C879" s="23" t="s">
        <v>519</v>
      </c>
      <c r="D879" s="24" t="s">
        <v>1485</v>
      </c>
      <c r="E879" s="25">
        <v>9.0999999999999997E-7</v>
      </c>
      <c r="F879" s="26">
        <v>1.43769E-2</v>
      </c>
      <c r="G879" s="27">
        <v>22.600200000000001</v>
      </c>
      <c r="H879" s="27">
        <v>1105951</v>
      </c>
      <c r="I879" s="28">
        <v>76925527</v>
      </c>
      <c r="J879" s="28">
        <v>76925527</v>
      </c>
      <c r="K879" s="34">
        <v>-1.0900000000000001</v>
      </c>
      <c r="L879" s="34"/>
      <c r="M879" s="34">
        <v>-20.170000000000002</v>
      </c>
      <c r="N879" s="24">
        <v>875</v>
      </c>
      <c r="O879" s="29">
        <v>43096.561863425923</v>
      </c>
    </row>
    <row r="880" spans="2:15" x14ac:dyDescent="0.25">
      <c r="B880" s="24" t="s">
        <v>2324</v>
      </c>
      <c r="C880" s="23" t="s">
        <v>551</v>
      </c>
      <c r="D880" s="24" t="s">
        <v>1515</v>
      </c>
      <c r="E880" s="25">
        <v>2.2139999999999999E-4</v>
      </c>
      <c r="F880" s="26">
        <v>3.4978400000000001</v>
      </c>
      <c r="G880" s="27">
        <v>93.083399999999997</v>
      </c>
      <c r="H880" s="27">
        <v>1036115</v>
      </c>
      <c r="I880" s="28">
        <v>296216</v>
      </c>
      <c r="J880" s="28">
        <v>296216</v>
      </c>
      <c r="K880" s="34">
        <v>-15</v>
      </c>
      <c r="L880" s="34">
        <v>-7.56</v>
      </c>
      <c r="M880" s="34">
        <v>41.66</v>
      </c>
      <c r="N880" s="24">
        <v>876</v>
      </c>
      <c r="O880" s="29">
        <v>43096.561851851853</v>
      </c>
    </row>
    <row r="881" spans="2:15" x14ac:dyDescent="0.25">
      <c r="B881" s="24" t="s">
        <v>2274</v>
      </c>
      <c r="C881" s="23" t="s">
        <v>351</v>
      </c>
      <c r="D881" s="24" t="s">
        <v>1319</v>
      </c>
      <c r="E881" s="25">
        <v>3.858E-5</v>
      </c>
      <c r="F881" s="26">
        <v>0.60950499999999996</v>
      </c>
      <c r="G881" s="27">
        <v>21.7774</v>
      </c>
      <c r="H881" s="27">
        <v>963951</v>
      </c>
      <c r="I881" s="28">
        <v>1581531</v>
      </c>
      <c r="J881" s="28">
        <v>1861531</v>
      </c>
      <c r="K881" s="34">
        <v>-1.1399999999999999</v>
      </c>
      <c r="L881" s="34">
        <v>16.13</v>
      </c>
      <c r="M881" s="34">
        <v>8.9499999999999993</v>
      </c>
      <c r="N881" s="24">
        <v>877</v>
      </c>
      <c r="O881" s="29">
        <v>43096.561967592592</v>
      </c>
    </row>
    <row r="882" spans="2:15" x14ac:dyDescent="0.25">
      <c r="B882" s="24" t="s">
        <v>3057</v>
      </c>
      <c r="C882" s="23" t="s">
        <v>3058</v>
      </c>
      <c r="D882" s="24" t="s">
        <v>3059</v>
      </c>
      <c r="E882" s="25">
        <v>9.7999999999999993E-7</v>
      </c>
      <c r="F882" s="26">
        <v>1.54828E-2</v>
      </c>
      <c r="G882" s="27">
        <v>491.64100000000002</v>
      </c>
      <c r="H882" s="27">
        <v>924267</v>
      </c>
      <c r="I882" s="28">
        <v>59696358</v>
      </c>
      <c r="J882" s="28">
        <v>59696358</v>
      </c>
      <c r="K882" s="34">
        <v>-3.07</v>
      </c>
      <c r="L882" s="34">
        <v>2.87</v>
      </c>
      <c r="M882" s="34">
        <v>3.22</v>
      </c>
      <c r="N882" s="24">
        <v>878</v>
      </c>
      <c r="O882" s="29">
        <v>43096.56181712963</v>
      </c>
    </row>
    <row r="883" spans="2:15" x14ac:dyDescent="0.25">
      <c r="B883" s="24" t="s">
        <v>2323</v>
      </c>
      <c r="C883" s="23" t="s">
        <v>526</v>
      </c>
      <c r="D883" s="24" t="s">
        <v>526</v>
      </c>
      <c r="E883" s="25">
        <v>1.7770000000000001E-5</v>
      </c>
      <c r="F883" s="26">
        <v>0.280698</v>
      </c>
      <c r="G883" s="27">
        <v>349.64600000000002</v>
      </c>
      <c r="H883" s="27">
        <v>921887</v>
      </c>
      <c r="I883" s="28">
        <v>3284266</v>
      </c>
      <c r="J883" s="28">
        <v>3284266</v>
      </c>
      <c r="K883" s="34">
        <v>-0.11</v>
      </c>
      <c r="L883" s="34">
        <v>-1.83</v>
      </c>
      <c r="M883" s="34">
        <v>-12.37</v>
      </c>
      <c r="N883" s="24">
        <v>879</v>
      </c>
      <c r="O883" s="29">
        <v>43096.561886574076</v>
      </c>
    </row>
    <row r="884" spans="2:15" x14ac:dyDescent="0.25">
      <c r="B884" s="24" t="s">
        <v>2945</v>
      </c>
      <c r="C884" s="23" t="s">
        <v>2931</v>
      </c>
      <c r="D884" s="24" t="s">
        <v>1481</v>
      </c>
      <c r="E884" s="25">
        <v>1.1999999999999999E-7</v>
      </c>
      <c r="F884" s="26">
        <v>1.9715399999999999E-3</v>
      </c>
      <c r="G884" s="27">
        <v>471.041</v>
      </c>
      <c r="H884" s="27">
        <v>870137</v>
      </c>
      <c r="I884" s="28">
        <v>441349000</v>
      </c>
      <c r="J884" s="28">
        <v>888000000</v>
      </c>
      <c r="K884" s="34">
        <v>-17.510000000000002</v>
      </c>
      <c r="L884" s="34">
        <v>-7.15</v>
      </c>
      <c r="M884" s="34">
        <v>25.77</v>
      </c>
      <c r="N884" s="24">
        <v>880</v>
      </c>
      <c r="O884" s="29">
        <v>43096.561944444446</v>
      </c>
    </row>
    <row r="885" spans="2:15" x14ac:dyDescent="0.25">
      <c r="B885" s="24" t="s">
        <v>2492</v>
      </c>
      <c r="C885" s="23" t="s">
        <v>563</v>
      </c>
      <c r="D885" s="24" t="s">
        <v>1527</v>
      </c>
      <c r="E885" s="25">
        <v>1E-8</v>
      </c>
      <c r="F885" s="26">
        <v>1.5798799999999999E-4</v>
      </c>
      <c r="G885" s="27">
        <v>13.975899999999999</v>
      </c>
      <c r="H885" s="27">
        <v>864019</v>
      </c>
      <c r="I885" s="28">
        <v>5468888629</v>
      </c>
      <c r="J885" s="28">
        <v>922342668888629</v>
      </c>
      <c r="K885" s="34">
        <v>-1.1399999999999999</v>
      </c>
      <c r="L885" s="34">
        <v>3.53</v>
      </c>
      <c r="M885" s="34">
        <v>-7.31</v>
      </c>
      <c r="N885" s="24">
        <v>881</v>
      </c>
      <c r="O885" s="29">
        <v>43096.561886574076</v>
      </c>
    </row>
    <row r="886" spans="2:15" x14ac:dyDescent="0.25">
      <c r="B886" s="24" t="s">
        <v>2797</v>
      </c>
      <c r="C886" s="23" t="s">
        <v>865</v>
      </c>
      <c r="D886" s="24" t="s">
        <v>1814</v>
      </c>
      <c r="E886" s="25">
        <v>3.54E-6</v>
      </c>
      <c r="F886" s="26">
        <v>5.5863099999999999E-2</v>
      </c>
      <c r="G886" s="27">
        <v>421.03699999999998</v>
      </c>
      <c r="H886" s="27">
        <v>846003</v>
      </c>
      <c r="I886" s="28">
        <v>15144227</v>
      </c>
      <c r="J886" s="28">
        <v>15144227</v>
      </c>
      <c r="K886" s="34">
        <v>-1.47</v>
      </c>
      <c r="L886" s="34">
        <v>-19.11</v>
      </c>
      <c r="M886" s="34">
        <v>-0.45</v>
      </c>
      <c r="N886" s="24">
        <v>882</v>
      </c>
      <c r="O886" s="29">
        <v>43096.561840277776</v>
      </c>
    </row>
    <row r="887" spans="2:15" x14ac:dyDescent="0.25">
      <c r="B887" s="24" t="s">
        <v>2439</v>
      </c>
      <c r="C887" s="23" t="s">
        <v>501</v>
      </c>
      <c r="D887" s="24" t="s">
        <v>1467</v>
      </c>
      <c r="E887" s="25">
        <v>6.9999999999999997E-7</v>
      </c>
      <c r="F887" s="26">
        <v>1.10592E-2</v>
      </c>
      <c r="G887" s="27">
        <v>175.745</v>
      </c>
      <c r="H887" s="27">
        <v>829440</v>
      </c>
      <c r="I887" s="28">
        <v>75000000</v>
      </c>
      <c r="J887" s="28">
        <v>100000000</v>
      </c>
      <c r="K887" s="34">
        <v>-1.1399999999999999</v>
      </c>
      <c r="L887" s="34">
        <v>6.61</v>
      </c>
      <c r="M887" s="34">
        <v>47.06</v>
      </c>
      <c r="N887" s="24">
        <v>883</v>
      </c>
      <c r="O887" s="29">
        <v>43096.561909722222</v>
      </c>
    </row>
    <row r="888" spans="2:15" x14ac:dyDescent="0.25">
      <c r="B888" s="24" t="s">
        <v>2473</v>
      </c>
      <c r="C888" s="23" t="s">
        <v>544</v>
      </c>
      <c r="D888" s="24" t="s">
        <v>1507</v>
      </c>
      <c r="E888" s="25">
        <v>2.1799999999999999E-6</v>
      </c>
      <c r="F888" s="26">
        <v>3.4481299999999999E-2</v>
      </c>
      <c r="G888" s="27">
        <v>417.08100000000002</v>
      </c>
      <c r="H888" s="27">
        <v>795819</v>
      </c>
      <c r="I888" s="28">
        <v>23079737</v>
      </c>
      <c r="J888" s="28">
        <v>23079737</v>
      </c>
      <c r="K888" s="34">
        <v>-1.66</v>
      </c>
      <c r="L888" s="34">
        <v>19</v>
      </c>
      <c r="M888" s="34">
        <v>63.03</v>
      </c>
      <c r="N888" s="24">
        <v>884</v>
      </c>
      <c r="O888" s="29">
        <v>43096.561828703707</v>
      </c>
    </row>
    <row r="889" spans="2:15" x14ac:dyDescent="0.25">
      <c r="B889" s="24" t="s">
        <v>2467</v>
      </c>
      <c r="C889" s="23" t="s">
        <v>540</v>
      </c>
      <c r="D889" s="24" t="s">
        <v>1503</v>
      </c>
      <c r="E889" s="25">
        <v>8.0000000000000002E-8</v>
      </c>
      <c r="F889" s="26">
        <v>1.2639000000000001E-3</v>
      </c>
      <c r="G889" s="27">
        <v>1.9472</v>
      </c>
      <c r="H889" s="27">
        <v>714273</v>
      </c>
      <c r="I889" s="28">
        <v>565134332</v>
      </c>
      <c r="J889" s="28">
        <v>565134332</v>
      </c>
      <c r="K889" s="34">
        <v>-1.0900000000000001</v>
      </c>
      <c r="L889" s="34"/>
      <c r="M889" s="34">
        <v>2.41</v>
      </c>
      <c r="N889" s="24">
        <v>885</v>
      </c>
      <c r="O889" s="29">
        <v>43096.561874999999</v>
      </c>
    </row>
    <row r="890" spans="2:15" x14ac:dyDescent="0.25">
      <c r="B890" s="24" t="s">
        <v>2388</v>
      </c>
      <c r="C890" s="23" t="s">
        <v>459</v>
      </c>
      <c r="D890" s="24" t="s">
        <v>1423</v>
      </c>
      <c r="E890" s="25">
        <v>1.2973999999999999E-4</v>
      </c>
      <c r="F890" s="26">
        <v>2.0497800000000002</v>
      </c>
      <c r="G890" s="27">
        <v>432.95699999999999</v>
      </c>
      <c r="H890" s="27">
        <v>679414</v>
      </c>
      <c r="I890" s="28">
        <v>331457</v>
      </c>
      <c r="J890" s="28">
        <v>331457</v>
      </c>
      <c r="K890" s="34">
        <v>-1.0900000000000001</v>
      </c>
      <c r="L890" s="34">
        <v>7.21</v>
      </c>
      <c r="M890" s="34">
        <v>32.28</v>
      </c>
      <c r="N890" s="24">
        <v>886</v>
      </c>
      <c r="O890" s="29">
        <v>43096.561874999999</v>
      </c>
    </row>
    <row r="891" spans="2:15" x14ac:dyDescent="0.25">
      <c r="B891" s="24" t="s">
        <v>2453</v>
      </c>
      <c r="C891" s="23" t="s">
        <v>521</v>
      </c>
      <c r="D891" s="24" t="s">
        <v>1487</v>
      </c>
      <c r="E891" s="25">
        <v>1.9099999999999999E-6</v>
      </c>
      <c r="F891" s="26">
        <v>3.01792E-2</v>
      </c>
      <c r="G891" s="27">
        <v>310.52300000000002</v>
      </c>
      <c r="H891" s="27">
        <v>633346</v>
      </c>
      <c r="I891" s="28">
        <v>20986163</v>
      </c>
      <c r="J891" s="28">
        <v>20986163</v>
      </c>
      <c r="K891" s="34">
        <v>-1.1399999999999999</v>
      </c>
      <c r="L891" s="34">
        <v>-0.79</v>
      </c>
      <c r="M891" s="34">
        <v>-18.41</v>
      </c>
      <c r="N891" s="24">
        <v>887</v>
      </c>
      <c r="O891" s="29">
        <v>43096.56181712963</v>
      </c>
    </row>
    <row r="892" spans="2:15" x14ac:dyDescent="0.25">
      <c r="B892" s="24" t="s">
        <v>2486</v>
      </c>
      <c r="C892" s="23" t="s">
        <v>434</v>
      </c>
      <c r="D892" s="24" t="s">
        <v>1398</v>
      </c>
      <c r="E892" s="25">
        <v>2.9999999999999999E-7</v>
      </c>
      <c r="F892" s="26">
        <v>4.8073100000000004E-3</v>
      </c>
      <c r="G892" s="27">
        <v>238.45099999999999</v>
      </c>
      <c r="H892" s="27">
        <v>602259</v>
      </c>
      <c r="I892" s="28">
        <v>125279775</v>
      </c>
      <c r="J892" s="28">
        <v>125279775</v>
      </c>
      <c r="K892" s="34">
        <v>12.55</v>
      </c>
      <c r="L892" s="34">
        <v>27.87</v>
      </c>
      <c r="M892" s="34">
        <v>81.709999999999994</v>
      </c>
      <c r="N892" s="24">
        <v>888</v>
      </c>
      <c r="O892" s="29">
        <v>43096.561909722222</v>
      </c>
    </row>
    <row r="893" spans="2:15" x14ac:dyDescent="0.25">
      <c r="B893" s="24" t="s">
        <v>2336</v>
      </c>
      <c r="C893" s="23" t="s">
        <v>533</v>
      </c>
      <c r="D893" s="24" t="s">
        <v>1497</v>
      </c>
      <c r="E893" s="25">
        <v>5.1900000000000003E-6</v>
      </c>
      <c r="F893" s="26">
        <v>8.1995700000000005E-2</v>
      </c>
      <c r="G893" s="27">
        <v>23.3154</v>
      </c>
      <c r="H893" s="27">
        <v>573970</v>
      </c>
      <c r="I893" s="28">
        <v>7000000</v>
      </c>
      <c r="J893" s="28">
        <v>10000000</v>
      </c>
      <c r="K893" s="34">
        <v>-1.1399999999999999</v>
      </c>
      <c r="L893" s="34">
        <v>-34.42</v>
      </c>
      <c r="M893" s="34">
        <v>56.86</v>
      </c>
      <c r="N893" s="24">
        <v>889</v>
      </c>
      <c r="O893" s="29">
        <v>43096.561967592592</v>
      </c>
    </row>
    <row r="894" spans="2:15" x14ac:dyDescent="0.25">
      <c r="B894" s="24" t="s">
        <v>2260</v>
      </c>
      <c r="C894" s="23" t="s">
        <v>335</v>
      </c>
      <c r="D894" s="24" t="s">
        <v>1303</v>
      </c>
      <c r="E894" s="25">
        <v>3.4800000000000001E-6</v>
      </c>
      <c r="F894" s="26">
        <v>5.4979800000000002E-2</v>
      </c>
      <c r="G894" s="27">
        <v>151.88200000000001</v>
      </c>
      <c r="H894" s="27">
        <v>568662</v>
      </c>
      <c r="I894" s="28">
        <v>10343113</v>
      </c>
      <c r="J894" s="28">
        <v>38602656</v>
      </c>
      <c r="K894" s="34">
        <v>-1.1399999999999999</v>
      </c>
      <c r="L894" s="34">
        <v>-48.44</v>
      </c>
      <c r="M894" s="34">
        <v>0.98</v>
      </c>
      <c r="N894" s="24">
        <v>890</v>
      </c>
      <c r="O894" s="29">
        <v>43096.561932870369</v>
      </c>
    </row>
    <row r="895" spans="2:15" x14ac:dyDescent="0.25">
      <c r="B895" s="24" t="s">
        <v>2493</v>
      </c>
      <c r="C895" s="23" t="s">
        <v>565</v>
      </c>
      <c r="D895" s="24" t="s">
        <v>1529</v>
      </c>
      <c r="E895" s="25">
        <v>2.7999999999999999E-6</v>
      </c>
      <c r="F895" s="26">
        <v>4.4271100000000001E-2</v>
      </c>
      <c r="G895" s="27">
        <v>493.43200000000002</v>
      </c>
      <c r="H895" s="27">
        <v>548984</v>
      </c>
      <c r="I895" s="28">
        <v>12400516</v>
      </c>
      <c r="J895" s="28">
        <v>23600516</v>
      </c>
      <c r="K895" s="34">
        <v>-0.38</v>
      </c>
      <c r="L895" s="34">
        <v>0.66</v>
      </c>
      <c r="M895" s="34">
        <v>-14.32</v>
      </c>
      <c r="N895" s="24">
        <v>891</v>
      </c>
      <c r="O895" s="29">
        <v>43096.561921296299</v>
      </c>
    </row>
    <row r="896" spans="2:15" x14ac:dyDescent="0.25">
      <c r="B896" s="24" t="s">
        <v>2946</v>
      </c>
      <c r="C896" s="23" t="s">
        <v>2943</v>
      </c>
      <c r="D896" s="24" t="s">
        <v>2944</v>
      </c>
      <c r="E896" s="25">
        <v>4.8999999999999997E-6</v>
      </c>
      <c r="F896" s="26">
        <v>7.74141E-2</v>
      </c>
      <c r="G896" s="27">
        <v>0.38865</v>
      </c>
      <c r="H896" s="27">
        <v>543138</v>
      </c>
      <c r="I896" s="28">
        <v>7016004</v>
      </c>
      <c r="J896" s="28">
        <v>7016004</v>
      </c>
      <c r="K896" s="34">
        <v>-1.0900000000000001</v>
      </c>
      <c r="L896" s="34">
        <v>-1.1000000000000001</v>
      </c>
      <c r="M896" s="34">
        <v>43.92</v>
      </c>
      <c r="N896" s="24">
        <v>892</v>
      </c>
      <c r="O896" s="29">
        <v>43096.561898148146</v>
      </c>
    </row>
    <row r="897" spans="2:15" x14ac:dyDescent="0.25">
      <c r="B897" s="24" t="s">
        <v>2502</v>
      </c>
      <c r="C897" s="23" t="s">
        <v>567</v>
      </c>
      <c r="D897" s="24" t="s">
        <v>1531</v>
      </c>
      <c r="E897" s="25">
        <v>3.3999999999999997E-7</v>
      </c>
      <c r="F897" s="26">
        <v>5.37916E-3</v>
      </c>
      <c r="G897" s="27"/>
      <c r="H897" s="27">
        <v>538135</v>
      </c>
      <c r="I897" s="28">
        <v>100040708</v>
      </c>
      <c r="J897" s="28">
        <v>100040708</v>
      </c>
      <c r="K897" s="34"/>
      <c r="L897" s="34">
        <v>3.02</v>
      </c>
      <c r="M897" s="34">
        <v>-7.13</v>
      </c>
      <c r="N897" s="24">
        <v>893</v>
      </c>
      <c r="O897" s="29">
        <v>43095.954259259262</v>
      </c>
    </row>
    <row r="898" spans="2:15" x14ac:dyDescent="0.25">
      <c r="B898" s="24" t="s">
        <v>2605</v>
      </c>
      <c r="C898" s="23" t="s">
        <v>644</v>
      </c>
      <c r="D898" s="24" t="s">
        <v>1604</v>
      </c>
      <c r="E898" s="25">
        <v>6.2500000000000003E-6</v>
      </c>
      <c r="F898" s="26">
        <v>9.8742399999999994E-2</v>
      </c>
      <c r="G898" s="27">
        <v>53.353999999999999</v>
      </c>
      <c r="H898" s="27">
        <v>530152</v>
      </c>
      <c r="I898" s="28">
        <v>5369044</v>
      </c>
      <c r="J898" s="28">
        <v>5369044</v>
      </c>
      <c r="K898" s="34">
        <v>-1.0900000000000001</v>
      </c>
      <c r="L898" s="34">
        <v>0.9</v>
      </c>
      <c r="M898" s="34">
        <v>48.1</v>
      </c>
      <c r="N898" s="24">
        <v>894</v>
      </c>
      <c r="O898" s="29">
        <v>43096.561840277776</v>
      </c>
    </row>
    <row r="899" spans="2:15" x14ac:dyDescent="0.25">
      <c r="B899" s="24" t="s">
        <v>2525</v>
      </c>
      <c r="C899" s="23" t="s">
        <v>592</v>
      </c>
      <c r="D899" s="24" t="s">
        <v>1554</v>
      </c>
      <c r="E899" s="25">
        <v>1.102E-5</v>
      </c>
      <c r="F899" s="26">
        <v>0.17410300000000001</v>
      </c>
      <c r="G899" s="27">
        <v>2.7796400000000001</v>
      </c>
      <c r="H899" s="27">
        <v>528580</v>
      </c>
      <c r="I899" s="28">
        <v>3036018</v>
      </c>
      <c r="J899" s="28">
        <v>3036018</v>
      </c>
      <c r="K899" s="34">
        <v>-1.0900000000000001</v>
      </c>
      <c r="L899" s="34">
        <v>-44.64</v>
      </c>
      <c r="M899" s="34">
        <v>-46.3</v>
      </c>
      <c r="N899" s="24">
        <v>895</v>
      </c>
      <c r="O899" s="29">
        <v>43096.561851851853</v>
      </c>
    </row>
    <row r="900" spans="2:15" x14ac:dyDescent="0.25">
      <c r="B900" s="24" t="s">
        <v>2509</v>
      </c>
      <c r="C900" s="23" t="s">
        <v>575</v>
      </c>
      <c r="D900" s="24" t="s">
        <v>1539</v>
      </c>
      <c r="E900" s="25">
        <v>3.3000000000000002E-7</v>
      </c>
      <c r="F900" s="26">
        <v>5.27956E-3</v>
      </c>
      <c r="G900" s="27">
        <v>98.767300000000006</v>
      </c>
      <c r="H900" s="27">
        <v>527831</v>
      </c>
      <c r="I900" s="28">
        <v>99976323</v>
      </c>
      <c r="J900" s="28">
        <v>99976323</v>
      </c>
      <c r="K900" s="34">
        <v>-9.41</v>
      </c>
      <c r="L900" s="34">
        <v>-7.98</v>
      </c>
      <c r="M900" s="34">
        <v>32.1</v>
      </c>
      <c r="N900" s="24">
        <v>896</v>
      </c>
      <c r="O900" s="29">
        <v>43096.561840277776</v>
      </c>
    </row>
    <row r="901" spans="2:15" x14ac:dyDescent="0.25">
      <c r="B901" s="24" t="s">
        <v>2292</v>
      </c>
      <c r="C901" s="23" t="s">
        <v>367</v>
      </c>
      <c r="D901" s="24" t="s">
        <v>367</v>
      </c>
      <c r="E901" s="25">
        <v>5.6099999999999997E-6</v>
      </c>
      <c r="F901" s="26">
        <v>8.9287400000000003E-2</v>
      </c>
      <c r="G901" s="27"/>
      <c r="H901" s="27">
        <v>514474</v>
      </c>
      <c r="I901" s="28">
        <v>5762000</v>
      </c>
      <c r="J901" s="28">
        <v>5762000</v>
      </c>
      <c r="K901" s="34"/>
      <c r="L901" s="34">
        <v>0.16</v>
      </c>
      <c r="M901" s="34">
        <v>22.84</v>
      </c>
      <c r="N901" s="24">
        <v>897</v>
      </c>
      <c r="O901" s="29">
        <v>43095.905694444446</v>
      </c>
    </row>
    <row r="902" spans="2:15" x14ac:dyDescent="0.25">
      <c r="B902" s="24" t="s">
        <v>2352</v>
      </c>
      <c r="C902" s="23" t="s">
        <v>421</v>
      </c>
      <c r="D902" s="24" t="s">
        <v>1385</v>
      </c>
      <c r="E902" s="25">
        <v>3.5999999999999999E-7</v>
      </c>
      <c r="F902" s="26">
        <v>5.6875600000000004E-3</v>
      </c>
      <c r="G902" s="27">
        <v>113.45099999999999</v>
      </c>
      <c r="H902" s="27">
        <v>498532</v>
      </c>
      <c r="I902" s="28">
        <v>87653034</v>
      </c>
      <c r="J902" s="28">
        <v>87653034</v>
      </c>
      <c r="K902" s="34">
        <v>-1.1399999999999999</v>
      </c>
      <c r="L902" s="34">
        <v>0.62</v>
      </c>
      <c r="M902" s="34">
        <v>-4.5199999999999996</v>
      </c>
      <c r="N902" s="24">
        <v>898</v>
      </c>
      <c r="O902" s="29">
        <v>43096.561886574076</v>
      </c>
    </row>
    <row r="903" spans="2:15" x14ac:dyDescent="0.25">
      <c r="B903" s="24" t="s">
        <v>2530</v>
      </c>
      <c r="C903" s="23" t="s">
        <v>570</v>
      </c>
      <c r="D903" s="24" t="s">
        <v>1534</v>
      </c>
      <c r="E903" s="25">
        <v>1.0499999999999999E-6</v>
      </c>
      <c r="F903" s="26">
        <v>1.6549100000000001E-2</v>
      </c>
      <c r="G903" s="27"/>
      <c r="H903" s="27">
        <v>492112</v>
      </c>
      <c r="I903" s="28">
        <v>29736461</v>
      </c>
      <c r="J903" s="28">
        <v>100000000</v>
      </c>
      <c r="K903" s="34"/>
      <c r="L903" s="34">
        <v>2.59</v>
      </c>
      <c r="M903" s="34">
        <v>9.4700000000000006</v>
      </c>
      <c r="N903" s="24">
        <v>899</v>
      </c>
      <c r="O903" s="29">
        <v>43096.450694444444</v>
      </c>
    </row>
    <row r="904" spans="2:15" x14ac:dyDescent="0.25">
      <c r="B904" s="24" t="s">
        <v>2313</v>
      </c>
      <c r="C904" s="23" t="s">
        <v>381</v>
      </c>
      <c r="D904" s="24" t="s">
        <v>1347</v>
      </c>
      <c r="E904" s="25">
        <v>1.8709999999999999E-5</v>
      </c>
      <c r="F904" s="26">
        <v>0.29551699999999997</v>
      </c>
      <c r="G904" s="27">
        <v>383.35399999999998</v>
      </c>
      <c r="H904" s="27">
        <v>464261</v>
      </c>
      <c r="I904" s="28">
        <v>1571013</v>
      </c>
      <c r="J904" s="28">
        <v>2071013</v>
      </c>
      <c r="K904" s="34">
        <v>-2.19</v>
      </c>
      <c r="L904" s="34">
        <v>11.95</v>
      </c>
      <c r="M904" s="34">
        <v>108.72</v>
      </c>
      <c r="N904" s="24">
        <v>900</v>
      </c>
      <c r="O904" s="29">
        <v>43096.561944444446</v>
      </c>
    </row>
    <row r="905" spans="2:15" x14ac:dyDescent="0.25">
      <c r="B905" s="24" t="s">
        <v>2514</v>
      </c>
      <c r="C905" s="23" t="s">
        <v>581</v>
      </c>
      <c r="D905" s="24" t="s">
        <v>1543</v>
      </c>
      <c r="E905" s="25">
        <v>1E-8</v>
      </c>
      <c r="F905" s="26">
        <v>1.5798799999999999E-4</v>
      </c>
      <c r="G905" s="27">
        <v>21.229299999999999</v>
      </c>
      <c r="H905" s="27">
        <v>452890</v>
      </c>
      <c r="I905" s="28">
        <v>2866607586</v>
      </c>
      <c r="J905" s="28">
        <v>2866607586</v>
      </c>
      <c r="K905" s="34">
        <v>-1.1399999999999999</v>
      </c>
      <c r="L905" s="34">
        <v>4.0599999999999996</v>
      </c>
      <c r="M905" s="34">
        <v>-7.47</v>
      </c>
      <c r="N905" s="24">
        <v>901</v>
      </c>
      <c r="O905" s="29">
        <v>43096.561886574076</v>
      </c>
    </row>
    <row r="906" spans="2:15" x14ac:dyDescent="0.25">
      <c r="B906" s="24" t="s">
        <v>2327</v>
      </c>
      <c r="C906" s="23" t="s">
        <v>394</v>
      </c>
      <c r="D906" s="24" t="s">
        <v>1357</v>
      </c>
      <c r="E906" s="25">
        <v>8.8610999999999996E-4</v>
      </c>
      <c r="F906" s="26">
        <v>13.9994</v>
      </c>
      <c r="G906" s="27">
        <v>118.15</v>
      </c>
      <c r="H906" s="27">
        <v>447981</v>
      </c>
      <c r="I906" s="28">
        <v>32000</v>
      </c>
      <c r="J906" s="28">
        <v>9999992</v>
      </c>
      <c r="K906" s="34">
        <v>1.21</v>
      </c>
      <c r="L906" s="34">
        <v>-20.72</v>
      </c>
      <c r="M906" s="34">
        <v>2.68</v>
      </c>
      <c r="N906" s="24">
        <v>902</v>
      </c>
      <c r="O906" s="29">
        <v>43096.561944444446</v>
      </c>
    </row>
    <row r="907" spans="2:15" x14ac:dyDescent="0.25">
      <c r="B907" s="24" t="s">
        <v>2376</v>
      </c>
      <c r="C907" s="23" t="s">
        <v>2949</v>
      </c>
      <c r="D907" s="24" t="s">
        <v>1379</v>
      </c>
      <c r="E907" s="25">
        <v>3.9400000000000004E-6</v>
      </c>
      <c r="F907" s="26">
        <v>6.2310200000000003E-2</v>
      </c>
      <c r="G907" s="27">
        <v>239.58</v>
      </c>
      <c r="H907" s="27">
        <v>428452</v>
      </c>
      <c r="I907" s="28">
        <v>6876109</v>
      </c>
      <c r="J907" s="28">
        <v>80000000</v>
      </c>
      <c r="K907" s="34">
        <v>-0.63</v>
      </c>
      <c r="L907" s="34">
        <v>-24.78</v>
      </c>
      <c r="M907" s="34">
        <v>-12.03</v>
      </c>
      <c r="N907" s="24">
        <v>903</v>
      </c>
      <c r="O907" s="29">
        <v>43096.561956018515</v>
      </c>
    </row>
    <row r="908" spans="2:15" x14ac:dyDescent="0.25">
      <c r="B908" s="24" t="s">
        <v>2484</v>
      </c>
      <c r="C908" s="23" t="s">
        <v>560</v>
      </c>
      <c r="D908" s="24" t="s">
        <v>1524</v>
      </c>
      <c r="E908" s="25">
        <v>4.8999999999999997E-7</v>
      </c>
      <c r="F908" s="26">
        <v>7.7682000000000003E-3</v>
      </c>
      <c r="G908" s="27">
        <v>194.76</v>
      </c>
      <c r="H908" s="27">
        <v>419737</v>
      </c>
      <c r="I908" s="28">
        <v>54032769</v>
      </c>
      <c r="J908" s="28">
        <v>54032769</v>
      </c>
      <c r="K908" s="34">
        <v>-1.36</v>
      </c>
      <c r="L908" s="34">
        <v>0.62</v>
      </c>
      <c r="M908" s="34">
        <v>-8.5299999999999994</v>
      </c>
      <c r="N908" s="24">
        <v>904</v>
      </c>
      <c r="O908" s="29">
        <v>43096.561898148146</v>
      </c>
    </row>
    <row r="909" spans="2:15" x14ac:dyDescent="0.25">
      <c r="B909" s="24" t="s">
        <v>2447</v>
      </c>
      <c r="C909" s="23" t="s">
        <v>508</v>
      </c>
      <c r="D909" s="24" t="s">
        <v>1473</v>
      </c>
      <c r="E909" s="25">
        <v>3.9999999999999998E-7</v>
      </c>
      <c r="F909" s="26">
        <v>6.3195100000000004E-3</v>
      </c>
      <c r="G909" s="27">
        <v>2.7395100000000001</v>
      </c>
      <c r="H909" s="27">
        <v>411849</v>
      </c>
      <c r="I909" s="28">
        <v>65171010</v>
      </c>
      <c r="J909" s="28">
        <v>65171010</v>
      </c>
      <c r="K909" s="34">
        <v>-1.0900000000000001</v>
      </c>
      <c r="L909" s="34">
        <v>5.48</v>
      </c>
      <c r="M909" s="34">
        <v>0.1</v>
      </c>
      <c r="N909" s="24">
        <v>905</v>
      </c>
      <c r="O909" s="29">
        <v>43096.56181712963</v>
      </c>
    </row>
    <row r="910" spans="2:15" x14ac:dyDescent="0.25">
      <c r="B910" s="24" t="s">
        <v>2547</v>
      </c>
      <c r="C910" s="23" t="s">
        <v>568</v>
      </c>
      <c r="D910" s="24" t="s">
        <v>1532</v>
      </c>
      <c r="E910" s="25">
        <v>5.9999999999999995E-8</v>
      </c>
      <c r="F910" s="26">
        <v>1.01837E-3</v>
      </c>
      <c r="G910" s="27">
        <v>420.47</v>
      </c>
      <c r="H910" s="27">
        <v>408796</v>
      </c>
      <c r="I910" s="28">
        <v>401421401</v>
      </c>
      <c r="J910" s="28">
        <v>401421401</v>
      </c>
      <c r="K910" s="34">
        <v>-0.22</v>
      </c>
      <c r="L910" s="34">
        <v>32.700000000000003</v>
      </c>
      <c r="M910" s="34">
        <v>96.56</v>
      </c>
      <c r="N910" s="24">
        <v>906</v>
      </c>
      <c r="O910" s="29">
        <v>43096.561932870369</v>
      </c>
    </row>
    <row r="911" spans="2:15" x14ac:dyDescent="0.25">
      <c r="B911" s="24" t="s">
        <v>2504</v>
      </c>
      <c r="C911" s="23" t="s">
        <v>571</v>
      </c>
      <c r="D911" s="24" t="s">
        <v>1535</v>
      </c>
      <c r="E911" s="25">
        <v>8.9900000000000003E-6</v>
      </c>
      <c r="F911" s="26">
        <v>0.142096</v>
      </c>
      <c r="G911" s="27">
        <v>73.627799999999993</v>
      </c>
      <c r="H911" s="27">
        <v>403246</v>
      </c>
      <c r="I911" s="28">
        <v>2837843</v>
      </c>
      <c r="J911" s="28">
        <v>2837843</v>
      </c>
      <c r="K911" s="34">
        <v>-1.0900000000000001</v>
      </c>
      <c r="L911" s="34">
        <v>9.15</v>
      </c>
      <c r="M911" s="34">
        <v>6.71</v>
      </c>
      <c r="N911" s="24">
        <v>907</v>
      </c>
      <c r="O911" s="29">
        <v>43096.561874999999</v>
      </c>
    </row>
    <row r="912" spans="2:15" x14ac:dyDescent="0.25">
      <c r="B912" s="24" t="s">
        <v>2516</v>
      </c>
      <c r="C912" s="23" t="s">
        <v>585</v>
      </c>
      <c r="D912" s="24" t="s">
        <v>1547</v>
      </c>
      <c r="E912" s="25">
        <v>5.7999999999999995E-7</v>
      </c>
      <c r="F912" s="26">
        <v>9.1632999999999992E-3</v>
      </c>
      <c r="G912" s="27">
        <v>225.584</v>
      </c>
      <c r="H912" s="27">
        <v>398941</v>
      </c>
      <c r="I912" s="28">
        <v>43536800</v>
      </c>
      <c r="J912" s="28">
        <v>43536800</v>
      </c>
      <c r="K912" s="34">
        <v>-1.0900000000000001</v>
      </c>
      <c r="L912" s="34">
        <v>-17.13</v>
      </c>
      <c r="M912" s="34">
        <v>7.16</v>
      </c>
      <c r="N912" s="24">
        <v>908</v>
      </c>
      <c r="O912" s="29">
        <v>43096.56181712963</v>
      </c>
    </row>
    <row r="913" spans="2:15" x14ac:dyDescent="0.25">
      <c r="B913" s="24" t="s">
        <v>2479</v>
      </c>
      <c r="C913" s="23" t="s">
        <v>547</v>
      </c>
      <c r="D913" s="24" t="s">
        <v>1511</v>
      </c>
      <c r="E913" s="25">
        <v>1.2239E-4</v>
      </c>
      <c r="F913" s="26">
        <v>1.8694599999999999</v>
      </c>
      <c r="G913" s="27"/>
      <c r="H913" s="27">
        <v>394093</v>
      </c>
      <c r="I913" s="28">
        <v>210806</v>
      </c>
      <c r="J913" s="28">
        <v>210806</v>
      </c>
      <c r="K913" s="34"/>
      <c r="L913" s="34"/>
      <c r="M913" s="34">
        <v>-2.94</v>
      </c>
      <c r="N913" s="24">
        <v>909</v>
      </c>
      <c r="O913" s="29">
        <v>43095.461180555554</v>
      </c>
    </row>
    <row r="914" spans="2:15" x14ac:dyDescent="0.25">
      <c r="B914" s="24" t="s">
        <v>2464</v>
      </c>
      <c r="C914" s="23" t="s">
        <v>536</v>
      </c>
      <c r="D914" s="24" t="s">
        <v>1500</v>
      </c>
      <c r="E914" s="25">
        <v>5.6000000000000004E-7</v>
      </c>
      <c r="F914" s="26">
        <v>8.8473200000000005E-3</v>
      </c>
      <c r="G914" s="27">
        <v>223.762</v>
      </c>
      <c r="H914" s="27">
        <v>386623</v>
      </c>
      <c r="I914" s="28">
        <v>43699481</v>
      </c>
      <c r="J914" s="28">
        <v>43699481</v>
      </c>
      <c r="K914" s="34">
        <v>23.09</v>
      </c>
      <c r="L914" s="34">
        <v>30.93</v>
      </c>
      <c r="M914" s="34">
        <v>25.64</v>
      </c>
      <c r="N914" s="24">
        <v>910</v>
      </c>
      <c r="O914" s="29">
        <v>43096.561851851853</v>
      </c>
    </row>
    <row r="915" spans="2:15" x14ac:dyDescent="0.25">
      <c r="B915" s="24" t="s">
        <v>2488</v>
      </c>
      <c r="C915" s="23" t="s">
        <v>436</v>
      </c>
      <c r="D915" s="24">
        <v>888</v>
      </c>
      <c r="E915" s="25">
        <v>4.7999999999999996E-7</v>
      </c>
      <c r="F915" s="26">
        <v>7.5744599999999999E-3</v>
      </c>
      <c r="G915" s="27">
        <v>314.214</v>
      </c>
      <c r="H915" s="27">
        <v>385640</v>
      </c>
      <c r="I915" s="28">
        <v>50913136</v>
      </c>
      <c r="J915" s="28">
        <v>50913136</v>
      </c>
      <c r="K915" s="34">
        <v>-0.98</v>
      </c>
      <c r="L915" s="34">
        <v>20.329999999999998</v>
      </c>
      <c r="M915" s="34">
        <v>57.69</v>
      </c>
      <c r="N915" s="24">
        <v>911</v>
      </c>
      <c r="O915" s="29">
        <v>43096.561828703707</v>
      </c>
    </row>
    <row r="916" spans="2:15" x14ac:dyDescent="0.25">
      <c r="B916" s="24" t="s">
        <v>2528</v>
      </c>
      <c r="C916" s="23" t="s">
        <v>599</v>
      </c>
      <c r="D916" s="24" t="s">
        <v>1561</v>
      </c>
      <c r="E916" s="25">
        <v>3.3999999999999997E-7</v>
      </c>
      <c r="F916" s="26">
        <v>5.4034199999999999E-3</v>
      </c>
      <c r="G916" s="27">
        <v>187.77</v>
      </c>
      <c r="H916" s="27">
        <v>384909</v>
      </c>
      <c r="I916" s="28">
        <v>71234301</v>
      </c>
      <c r="J916" s="28">
        <v>71234301</v>
      </c>
      <c r="K916" s="34">
        <v>-4.99</v>
      </c>
      <c r="L916" s="34">
        <v>-13.7</v>
      </c>
      <c r="M916" s="34">
        <v>-17.12</v>
      </c>
      <c r="N916" s="24">
        <v>912</v>
      </c>
      <c r="O916" s="29">
        <v>43096.561886574076</v>
      </c>
    </row>
    <row r="917" spans="2:15" x14ac:dyDescent="0.25">
      <c r="B917" s="24" t="s">
        <v>2768</v>
      </c>
      <c r="C917" s="23" t="s">
        <v>855</v>
      </c>
      <c r="D917" s="24" t="s">
        <v>1804</v>
      </c>
      <c r="E917" s="25">
        <v>1.0100000000000001E-6</v>
      </c>
      <c r="F917" s="26">
        <v>1.59568E-2</v>
      </c>
      <c r="G917" s="27">
        <v>86.555499999999995</v>
      </c>
      <c r="H917" s="27">
        <v>380997</v>
      </c>
      <c r="I917" s="28">
        <v>23876767</v>
      </c>
      <c r="J917" s="28">
        <v>31412139756</v>
      </c>
      <c r="K917" s="34">
        <v>-1.1399999999999999</v>
      </c>
      <c r="L917" s="34">
        <v>-35.58</v>
      </c>
      <c r="M917" s="34">
        <v>-35.22</v>
      </c>
      <c r="N917" s="24">
        <v>913</v>
      </c>
      <c r="O917" s="29">
        <v>43096.561863425923</v>
      </c>
    </row>
    <row r="918" spans="2:15" x14ac:dyDescent="0.25">
      <c r="B918" s="24" t="s">
        <v>2673</v>
      </c>
      <c r="C918" s="23" t="s">
        <v>757</v>
      </c>
      <c r="D918" s="24" t="s">
        <v>1712</v>
      </c>
      <c r="E918" s="25">
        <v>5.9999999999999997E-7</v>
      </c>
      <c r="F918" s="30">
        <v>9.4792699999999997E-3</v>
      </c>
      <c r="G918" s="27">
        <v>85.345799999999997</v>
      </c>
      <c r="H918" s="27">
        <v>380632</v>
      </c>
      <c r="I918" s="28">
        <v>40154175</v>
      </c>
      <c r="J918" s="28">
        <v>40154175</v>
      </c>
      <c r="K918" s="34">
        <v>-2.76</v>
      </c>
      <c r="L918" s="34">
        <v>4.58</v>
      </c>
      <c r="M918" s="34">
        <v>-14</v>
      </c>
      <c r="N918" s="24">
        <v>914</v>
      </c>
      <c r="O918" s="29">
        <v>43096.561909722222</v>
      </c>
    </row>
    <row r="919" spans="2:15" x14ac:dyDescent="0.25">
      <c r="B919" s="24" t="s">
        <v>2381</v>
      </c>
      <c r="C919" s="23" t="s">
        <v>435</v>
      </c>
      <c r="D919" s="24" t="s">
        <v>1399</v>
      </c>
      <c r="E919" s="25">
        <v>1.1678E-4</v>
      </c>
      <c r="F919" s="26">
        <v>1.84491</v>
      </c>
      <c r="G919" s="27">
        <v>9.4558400000000002</v>
      </c>
      <c r="H919" s="27">
        <v>361708</v>
      </c>
      <c r="I919" s="28">
        <v>196057</v>
      </c>
      <c r="J919" s="28">
        <v>196057</v>
      </c>
      <c r="K919" s="34">
        <v>-1.19</v>
      </c>
      <c r="L919" s="34">
        <v>31.11</v>
      </c>
      <c r="M919" s="34">
        <v>5</v>
      </c>
      <c r="N919" s="24">
        <v>915</v>
      </c>
      <c r="O919" s="29">
        <v>43096.561874999999</v>
      </c>
    </row>
    <row r="920" spans="2:15" x14ac:dyDescent="0.25">
      <c r="B920" s="24" t="s">
        <v>2353</v>
      </c>
      <c r="C920" s="23" t="s">
        <v>403</v>
      </c>
      <c r="D920" s="24" t="s">
        <v>1367</v>
      </c>
      <c r="E920" s="25">
        <v>3.964E-5</v>
      </c>
      <c r="F920" s="26">
        <v>0.62629400000000002</v>
      </c>
      <c r="G920" s="27">
        <v>37.147799999999997</v>
      </c>
      <c r="H920" s="27">
        <v>356852</v>
      </c>
      <c r="I920" s="28">
        <v>569784</v>
      </c>
      <c r="J920" s="28">
        <v>569784</v>
      </c>
      <c r="K920" s="34">
        <v>-1.1399999999999999</v>
      </c>
      <c r="L920" s="34">
        <v>-11.55</v>
      </c>
      <c r="M920" s="34">
        <v>-27.17</v>
      </c>
      <c r="N920" s="24">
        <v>916</v>
      </c>
      <c r="O920" s="29">
        <v>43096.561909722222</v>
      </c>
    </row>
    <row r="921" spans="2:15" x14ac:dyDescent="0.25">
      <c r="B921" s="24" t="s">
        <v>2632</v>
      </c>
      <c r="C921" s="23" t="s">
        <v>709</v>
      </c>
      <c r="D921" s="24" t="s">
        <v>1667</v>
      </c>
      <c r="E921" s="25">
        <v>2.9999999999999997E-8</v>
      </c>
      <c r="F921" s="26">
        <v>5.4997599999999998E-4</v>
      </c>
      <c r="G921" s="27">
        <v>496.63400000000001</v>
      </c>
      <c r="H921" s="27">
        <v>334692</v>
      </c>
      <c r="I921" s="28">
        <v>608557394</v>
      </c>
      <c r="J921" s="28">
        <v>608557394</v>
      </c>
      <c r="K921" s="34">
        <v>-1.72</v>
      </c>
      <c r="L921" s="34">
        <v>8.3800000000000008</v>
      </c>
      <c r="M921" s="34">
        <v>145.11000000000001</v>
      </c>
      <c r="N921" s="24">
        <v>917</v>
      </c>
      <c r="O921" s="29">
        <v>43096.561840277776</v>
      </c>
    </row>
    <row r="922" spans="2:15" x14ac:dyDescent="0.25">
      <c r="B922" s="24" t="s">
        <v>2570</v>
      </c>
      <c r="C922" s="23" t="s">
        <v>627</v>
      </c>
      <c r="D922" s="24" t="s">
        <v>1587</v>
      </c>
      <c r="E922" s="25">
        <v>1.7E-6</v>
      </c>
      <c r="F922" s="26">
        <v>2.6828000000000001E-2</v>
      </c>
      <c r="G922" s="27">
        <v>105.14700000000001</v>
      </c>
      <c r="H922" s="27">
        <v>326852</v>
      </c>
      <c r="I922" s="28">
        <v>12183242</v>
      </c>
      <c r="J922" s="28">
        <v>12183242</v>
      </c>
      <c r="K922" s="34">
        <v>-2.0699999999999998</v>
      </c>
      <c r="L922" s="34">
        <v>9.39</v>
      </c>
      <c r="M922" s="34">
        <v>11.81</v>
      </c>
      <c r="N922" s="24">
        <v>918</v>
      </c>
      <c r="O922" s="29">
        <v>43096.561851851853</v>
      </c>
    </row>
    <row r="923" spans="2:15" x14ac:dyDescent="0.25">
      <c r="B923" s="24" t="s">
        <v>2569</v>
      </c>
      <c r="C923" s="23" t="s">
        <v>473</v>
      </c>
      <c r="D923" s="24" t="s">
        <v>1437</v>
      </c>
      <c r="E923" s="25">
        <v>8.0000000000000003E-10</v>
      </c>
      <c r="F923" s="26">
        <v>1.3460599999999999E-5</v>
      </c>
      <c r="G923" s="27"/>
      <c r="H923" s="27">
        <v>321785</v>
      </c>
      <c r="I923" s="28">
        <v>23905669976</v>
      </c>
      <c r="J923" s="28">
        <v>23905669976</v>
      </c>
      <c r="K923" s="34"/>
      <c r="L923" s="34">
        <v>-2.86</v>
      </c>
      <c r="M923" s="34">
        <v>6.41</v>
      </c>
      <c r="N923" s="24">
        <v>919</v>
      </c>
      <c r="O923" s="29">
        <v>43095.728483796294</v>
      </c>
    </row>
    <row r="924" spans="2:15" x14ac:dyDescent="0.25">
      <c r="B924" s="24" t="s">
        <v>2333</v>
      </c>
      <c r="C924" s="23" t="s">
        <v>406</v>
      </c>
      <c r="D924" s="24" t="s">
        <v>1370</v>
      </c>
      <c r="E924" s="25">
        <v>1.95E-6</v>
      </c>
      <c r="F924" s="26">
        <v>3.0807600000000001E-2</v>
      </c>
      <c r="G924" s="27">
        <v>37.789200000000001</v>
      </c>
      <c r="H924" s="27">
        <v>320869</v>
      </c>
      <c r="I924" s="28">
        <v>10415252</v>
      </c>
      <c r="J924" s="28">
        <v>10415252</v>
      </c>
      <c r="K924" s="34">
        <v>-1.1399999999999999</v>
      </c>
      <c r="L924" s="34">
        <v>15.59</v>
      </c>
      <c r="M924" s="34">
        <v>20.74</v>
      </c>
      <c r="N924" s="24">
        <v>920</v>
      </c>
      <c r="O924" s="29">
        <v>43096.561886574076</v>
      </c>
    </row>
    <row r="925" spans="2:15" x14ac:dyDescent="0.25">
      <c r="B925" s="24" t="s">
        <v>2368</v>
      </c>
      <c r="C925" s="23" t="s">
        <v>440</v>
      </c>
      <c r="D925" s="24" t="s">
        <v>1403</v>
      </c>
      <c r="E925" s="25">
        <v>1.64E-6</v>
      </c>
      <c r="F925" s="26">
        <v>2.5850600000000001E-2</v>
      </c>
      <c r="G925" s="27">
        <v>134.49100000000001</v>
      </c>
      <c r="H925" s="27">
        <v>313940</v>
      </c>
      <c r="I925" s="28">
        <v>12144382</v>
      </c>
      <c r="J925" s="28">
        <v>12144382</v>
      </c>
      <c r="K925" s="34">
        <v>-0.28000000000000003</v>
      </c>
      <c r="L925" s="34">
        <v>6.68</v>
      </c>
      <c r="M925" s="34">
        <v>13</v>
      </c>
      <c r="N925" s="24">
        <v>921</v>
      </c>
      <c r="O925" s="29">
        <v>43096.561874999999</v>
      </c>
    </row>
    <row r="926" spans="2:15" x14ac:dyDescent="0.25">
      <c r="B926" s="24" t="s">
        <v>2524</v>
      </c>
      <c r="C926" s="23" t="s">
        <v>587</v>
      </c>
      <c r="D926" s="24" t="s">
        <v>1549</v>
      </c>
      <c r="E926" s="25">
        <v>1.66E-6</v>
      </c>
      <c r="F926" s="26">
        <v>2.6225999999999999E-2</v>
      </c>
      <c r="G926" s="27">
        <v>2.6225999999999998</v>
      </c>
      <c r="H926" s="27">
        <v>302320</v>
      </c>
      <c r="I926" s="28">
        <v>11527489</v>
      </c>
      <c r="J926" s="28">
        <v>911527489</v>
      </c>
      <c r="K926" s="34">
        <v>-1.0900000000000001</v>
      </c>
      <c r="L926" s="34"/>
      <c r="M926" s="34"/>
      <c r="N926" s="24">
        <v>922</v>
      </c>
      <c r="O926" s="29">
        <v>43096.561886574076</v>
      </c>
    </row>
    <row r="927" spans="2:15" x14ac:dyDescent="0.25">
      <c r="B927" s="24" t="s">
        <v>2529</v>
      </c>
      <c r="C927" s="23" t="s">
        <v>593</v>
      </c>
      <c r="D927" s="24" t="s">
        <v>1555</v>
      </c>
      <c r="E927" s="25">
        <v>8.7000000000000003E-7</v>
      </c>
      <c r="F927" s="26">
        <v>1.3740499999999999E-2</v>
      </c>
      <c r="G927" s="27">
        <v>94.159700000000001</v>
      </c>
      <c r="H927" s="27">
        <v>288831</v>
      </c>
      <c r="I927" s="28">
        <v>21020383</v>
      </c>
      <c r="J927" s="28">
        <v>21020383</v>
      </c>
      <c r="K927" s="34">
        <v>-4.29</v>
      </c>
      <c r="L927" s="34">
        <v>-4.99</v>
      </c>
      <c r="M927" s="34">
        <v>4.93</v>
      </c>
      <c r="N927" s="24">
        <v>923</v>
      </c>
      <c r="O927" s="29">
        <v>43096.561874999999</v>
      </c>
    </row>
    <row r="928" spans="2:15" x14ac:dyDescent="0.25">
      <c r="B928" s="24" t="s">
        <v>2534</v>
      </c>
      <c r="C928" s="23" t="s">
        <v>617</v>
      </c>
      <c r="D928" s="24" t="s">
        <v>1578</v>
      </c>
      <c r="E928" s="25">
        <v>7.9999999999999996E-7</v>
      </c>
      <c r="F928" s="26">
        <v>1.26515E-2</v>
      </c>
      <c r="G928" s="27">
        <v>115.126</v>
      </c>
      <c r="H928" s="27">
        <v>284939</v>
      </c>
      <c r="I928" s="28">
        <v>22522170</v>
      </c>
      <c r="J928" s="28">
        <v>22522170</v>
      </c>
      <c r="K928" s="34">
        <v>-1.0900000000000001</v>
      </c>
      <c r="L928" s="34">
        <v>2.77</v>
      </c>
      <c r="M928" s="34">
        <v>-0.98</v>
      </c>
      <c r="N928" s="24">
        <v>924</v>
      </c>
      <c r="O928" s="29">
        <v>43096.561874999999</v>
      </c>
    </row>
    <row r="929" spans="2:15" x14ac:dyDescent="0.25">
      <c r="B929" s="24" t="s">
        <v>2296</v>
      </c>
      <c r="C929" s="23" t="s">
        <v>371</v>
      </c>
      <c r="D929" s="24" t="s">
        <v>1338</v>
      </c>
      <c r="E929" s="25">
        <v>4.9999999999999998E-8</v>
      </c>
      <c r="F929" s="26">
        <v>7.3882899999999998E-4</v>
      </c>
      <c r="G929" s="27">
        <v>302.92099999999999</v>
      </c>
      <c r="H929" s="27">
        <v>281668</v>
      </c>
      <c r="I929" s="28">
        <v>381236123</v>
      </c>
      <c r="J929" s="28">
        <v>1000000000</v>
      </c>
      <c r="K929" s="34">
        <v>-7.73</v>
      </c>
      <c r="L929" s="34">
        <v>-1.44</v>
      </c>
      <c r="M929" s="34">
        <v>75.3</v>
      </c>
      <c r="N929" s="24">
        <v>925</v>
      </c>
      <c r="O929" s="29">
        <v>43096.561921296299</v>
      </c>
    </row>
    <row r="930" spans="2:15" x14ac:dyDescent="0.25">
      <c r="B930" s="24" t="s">
        <v>2500</v>
      </c>
      <c r="C930" s="23" t="s">
        <v>588</v>
      </c>
      <c r="D930" s="24" t="s">
        <v>1550</v>
      </c>
      <c r="E930" s="25">
        <v>3.0900000000000001E-6</v>
      </c>
      <c r="F930" s="26">
        <v>4.3383999999999999E-2</v>
      </c>
      <c r="G930" s="27"/>
      <c r="H930" s="27">
        <v>276152</v>
      </c>
      <c r="I930" s="28">
        <v>6365285</v>
      </c>
      <c r="J930" s="28">
        <v>6365285</v>
      </c>
      <c r="K930" s="34"/>
      <c r="L930" s="34"/>
      <c r="M930" s="34">
        <v>-11.93</v>
      </c>
      <c r="N930" s="24">
        <v>926</v>
      </c>
      <c r="O930" s="29">
        <v>43094.829212962963</v>
      </c>
    </row>
    <row r="931" spans="2:15" x14ac:dyDescent="0.25">
      <c r="B931" s="24" t="s">
        <v>2457</v>
      </c>
      <c r="C931" s="23" t="s">
        <v>516</v>
      </c>
      <c r="D931" s="24" t="s">
        <v>1482</v>
      </c>
      <c r="E931" s="25">
        <v>2.6E-7</v>
      </c>
      <c r="F931" s="30">
        <v>4.1076799999999998E-3</v>
      </c>
      <c r="G931" s="27">
        <v>255.928</v>
      </c>
      <c r="H931" s="27">
        <v>268193</v>
      </c>
      <c r="I931" s="28">
        <v>65290635</v>
      </c>
      <c r="J931" s="28">
        <v>65290635</v>
      </c>
      <c r="K931" s="34">
        <v>-1.0900000000000001</v>
      </c>
      <c r="L931" s="34">
        <v>-21.27</v>
      </c>
      <c r="M931" s="34">
        <v>-56.18</v>
      </c>
      <c r="N931" s="24">
        <v>927</v>
      </c>
      <c r="O931" s="29">
        <v>43096.561828703707</v>
      </c>
    </row>
    <row r="932" spans="2:15" x14ac:dyDescent="0.25">
      <c r="B932" s="24" t="s">
        <v>3445</v>
      </c>
      <c r="C932" s="23" t="s">
        <v>3446</v>
      </c>
      <c r="D932" s="24" t="s">
        <v>1699</v>
      </c>
      <c r="E932" s="25">
        <v>4.1300000000000003E-6</v>
      </c>
      <c r="F932" s="26">
        <v>6.5252699999999997E-2</v>
      </c>
      <c r="G932" s="27">
        <v>61.386400000000002</v>
      </c>
      <c r="H932" s="27">
        <v>266453</v>
      </c>
      <c r="I932" s="28">
        <v>4083401</v>
      </c>
      <c r="J932" s="28">
        <v>4083401</v>
      </c>
      <c r="K932" s="34">
        <v>-1.01</v>
      </c>
      <c r="L932" s="34">
        <v>-18.95</v>
      </c>
      <c r="M932" s="34">
        <v>-3.19</v>
      </c>
      <c r="N932" s="24">
        <v>928</v>
      </c>
      <c r="O932" s="29">
        <v>43096.56181712963</v>
      </c>
    </row>
    <row r="933" spans="2:15" x14ac:dyDescent="0.25">
      <c r="B933" s="24" t="s">
        <v>2491</v>
      </c>
      <c r="C933" s="23" t="s">
        <v>558</v>
      </c>
      <c r="D933" s="24" t="s">
        <v>1522</v>
      </c>
      <c r="E933" s="25">
        <v>1.0899999999999999E-6</v>
      </c>
      <c r="F933" s="26">
        <v>1.71591E-2</v>
      </c>
      <c r="G933" s="27">
        <v>27.449100000000001</v>
      </c>
      <c r="H933" s="27">
        <v>262748</v>
      </c>
      <c r="I933" s="28">
        <v>15312476</v>
      </c>
      <c r="J933" s="28">
        <v>15312476</v>
      </c>
      <c r="K933" s="34">
        <v>-1.36</v>
      </c>
      <c r="L933" s="34">
        <v>-12.54</v>
      </c>
      <c r="M933" s="34">
        <v>-14.69</v>
      </c>
      <c r="N933" s="24">
        <v>929</v>
      </c>
      <c r="O933" s="29">
        <v>43096.561921296299</v>
      </c>
    </row>
    <row r="934" spans="2:15" x14ac:dyDescent="0.25">
      <c r="B934" s="24" t="s">
        <v>2495</v>
      </c>
      <c r="C934" s="23" t="s">
        <v>561</v>
      </c>
      <c r="D934" s="24" t="s">
        <v>1525</v>
      </c>
      <c r="E934" s="25">
        <v>1.3E-7</v>
      </c>
      <c r="F934" s="26">
        <v>2.0538399999999999E-3</v>
      </c>
      <c r="G934" s="27">
        <v>1.9468799999999999</v>
      </c>
      <c r="H934" s="27">
        <v>246650</v>
      </c>
      <c r="I934" s="28">
        <v>120092276</v>
      </c>
      <c r="J934" s="28">
        <v>120092276</v>
      </c>
      <c r="K934" s="34">
        <v>-1.1399999999999999</v>
      </c>
      <c r="L934" s="34">
        <v>9.82</v>
      </c>
      <c r="M934" s="34">
        <v>-4.72</v>
      </c>
      <c r="N934" s="24">
        <v>930</v>
      </c>
      <c r="O934" s="29">
        <v>43096.56181712963</v>
      </c>
    </row>
    <row r="935" spans="2:15" x14ac:dyDescent="0.25">
      <c r="B935" s="24" t="s">
        <v>2585</v>
      </c>
      <c r="C935" s="23" t="s">
        <v>647</v>
      </c>
      <c r="D935" s="24" t="s">
        <v>1607</v>
      </c>
      <c r="E935" s="25">
        <v>1.664E-5</v>
      </c>
      <c r="F935" s="26">
        <v>0.26289200000000001</v>
      </c>
      <c r="G935" s="27">
        <v>11.4091</v>
      </c>
      <c r="H935" s="27">
        <v>244691</v>
      </c>
      <c r="I935" s="28">
        <v>930767</v>
      </c>
      <c r="J935" s="28">
        <v>930767</v>
      </c>
      <c r="K935" s="34">
        <v>-1.0900000000000001</v>
      </c>
      <c r="L935" s="34">
        <v>34.15</v>
      </c>
      <c r="M935" s="34"/>
      <c r="N935" s="24">
        <v>931</v>
      </c>
      <c r="O935" s="29">
        <v>43096.56181712963</v>
      </c>
    </row>
    <row r="936" spans="2:15" x14ac:dyDescent="0.25">
      <c r="B936" s="24" t="s">
        <v>2578</v>
      </c>
      <c r="C936" s="23" t="s">
        <v>655</v>
      </c>
      <c r="D936" s="24" t="s">
        <v>1615</v>
      </c>
      <c r="E936" s="25">
        <v>4.69E-6</v>
      </c>
      <c r="F936" s="26">
        <v>7.4137800000000004E-2</v>
      </c>
      <c r="G936" s="27">
        <v>115.502</v>
      </c>
      <c r="H936" s="27">
        <v>235787</v>
      </c>
      <c r="I936" s="28">
        <v>3180390</v>
      </c>
      <c r="J936" s="28">
        <v>3180390</v>
      </c>
      <c r="K936" s="34">
        <v>-4.16</v>
      </c>
      <c r="L936" s="34">
        <v>3</v>
      </c>
      <c r="M936" s="34">
        <v>-18.59</v>
      </c>
      <c r="N936" s="24">
        <v>932</v>
      </c>
      <c r="O936" s="29">
        <v>43096.561874999999</v>
      </c>
    </row>
    <row r="937" spans="2:15" x14ac:dyDescent="0.25">
      <c r="B937" s="24" t="s">
        <v>2597</v>
      </c>
      <c r="C937" s="23" t="s">
        <v>664</v>
      </c>
      <c r="D937" s="24" t="s">
        <v>1623</v>
      </c>
      <c r="E937" s="25">
        <v>9.8200000000000008E-6</v>
      </c>
      <c r="F937" s="26">
        <v>0.15515100000000001</v>
      </c>
      <c r="G937" s="27">
        <v>338.78399999999999</v>
      </c>
      <c r="H937" s="27">
        <v>232184</v>
      </c>
      <c r="I937" s="28">
        <v>1496503</v>
      </c>
      <c r="J937" s="28">
        <v>1496503</v>
      </c>
      <c r="K937" s="34">
        <v>-3.02</v>
      </c>
      <c r="L937" s="34">
        <v>5.56</v>
      </c>
      <c r="M937" s="34">
        <v>48.77</v>
      </c>
      <c r="N937" s="24">
        <v>933</v>
      </c>
      <c r="O937" s="29">
        <v>43096.561863425923</v>
      </c>
    </row>
    <row r="938" spans="2:15" x14ac:dyDescent="0.25">
      <c r="B938" s="24" t="s">
        <v>2613</v>
      </c>
      <c r="C938" s="23" t="s">
        <v>692</v>
      </c>
      <c r="D938" s="24" t="s">
        <v>1650</v>
      </c>
      <c r="E938" s="25">
        <v>1.8E-7</v>
      </c>
      <c r="F938" s="30">
        <v>2.8437800000000002E-3</v>
      </c>
      <c r="G938" s="27">
        <v>309.73</v>
      </c>
      <c r="H938" s="27">
        <v>226704</v>
      </c>
      <c r="I938" s="28">
        <v>79719140</v>
      </c>
      <c r="J938" s="28">
        <v>79719140</v>
      </c>
      <c r="K938" s="34">
        <v>18.690000000000001</v>
      </c>
      <c r="L938" s="34">
        <v>-0.2</v>
      </c>
      <c r="M938" s="34">
        <v>40.549999999999997</v>
      </c>
      <c r="N938" s="24">
        <v>934</v>
      </c>
      <c r="O938" s="29">
        <v>43096.561863425923</v>
      </c>
    </row>
    <row r="939" spans="2:15" x14ac:dyDescent="0.25">
      <c r="B939" s="24" t="s">
        <v>2543</v>
      </c>
      <c r="C939" s="23" t="s">
        <v>618</v>
      </c>
      <c r="D939" s="24" t="s">
        <v>1579</v>
      </c>
      <c r="E939" s="25">
        <v>3.3000000000000002E-7</v>
      </c>
      <c r="F939" s="26">
        <v>5.16242E-3</v>
      </c>
      <c r="G939" s="27">
        <v>57.575499999999998</v>
      </c>
      <c r="H939" s="27">
        <v>223716</v>
      </c>
      <c r="I939" s="28">
        <v>43335531</v>
      </c>
      <c r="J939" s="28">
        <v>10043335531</v>
      </c>
      <c r="K939" s="34">
        <v>-0.62</v>
      </c>
      <c r="L939" s="34">
        <v>-9.8699999999999992</v>
      </c>
      <c r="M939" s="34">
        <v>-0.87</v>
      </c>
      <c r="N939" s="24">
        <v>935</v>
      </c>
      <c r="O939" s="29">
        <v>43096.561863425923</v>
      </c>
    </row>
    <row r="940" spans="2:15" x14ac:dyDescent="0.25">
      <c r="B940" s="24" t="s">
        <v>2586</v>
      </c>
      <c r="C940" s="23" t="s">
        <v>646</v>
      </c>
      <c r="D940" s="24" t="s">
        <v>1606</v>
      </c>
      <c r="E940" s="25">
        <v>1.7799999999999999E-6</v>
      </c>
      <c r="F940" s="26">
        <v>2.81246E-2</v>
      </c>
      <c r="G940" s="27">
        <v>275.73200000000003</v>
      </c>
      <c r="H940" s="27">
        <v>217090</v>
      </c>
      <c r="I940" s="28">
        <v>7718883</v>
      </c>
      <c r="J940" s="28">
        <v>7718883</v>
      </c>
      <c r="K940" s="34">
        <v>-1.0900000000000001</v>
      </c>
      <c r="L940" s="34">
        <v>-0.57999999999999996</v>
      </c>
      <c r="M940" s="34">
        <v>-2.54</v>
      </c>
      <c r="N940" s="24">
        <v>936</v>
      </c>
      <c r="O940" s="29">
        <v>43096.561840277776</v>
      </c>
    </row>
    <row r="941" spans="2:15" x14ac:dyDescent="0.25">
      <c r="B941" s="24" t="s">
        <v>2576</v>
      </c>
      <c r="C941" s="23" t="s">
        <v>634</v>
      </c>
      <c r="D941" s="24" t="s">
        <v>1594</v>
      </c>
      <c r="E941" s="25">
        <v>2.4399999999999999E-6</v>
      </c>
      <c r="F941" s="26">
        <v>3.8531900000000001E-2</v>
      </c>
      <c r="G941" s="27">
        <v>157.62700000000001</v>
      </c>
      <c r="H941" s="27">
        <v>206875</v>
      </c>
      <c r="I941" s="28">
        <v>5368934</v>
      </c>
      <c r="J941" s="28">
        <v>5368934</v>
      </c>
      <c r="K941" s="34">
        <v>-19.71</v>
      </c>
      <c r="L941" s="34">
        <v>-1.69</v>
      </c>
      <c r="M941" s="34">
        <v>7.83</v>
      </c>
      <c r="N941" s="24">
        <v>937</v>
      </c>
      <c r="O941" s="29">
        <v>43096.561886574076</v>
      </c>
    </row>
    <row r="942" spans="2:15" x14ac:dyDescent="0.25">
      <c r="B942" s="24" t="s">
        <v>2522</v>
      </c>
      <c r="C942" s="23" t="s">
        <v>595</v>
      </c>
      <c r="D942" s="24" t="s">
        <v>1557</v>
      </c>
      <c r="E942" s="25">
        <v>1.3599999999999999E-6</v>
      </c>
      <c r="F942" s="26">
        <v>2.1918699999999999E-2</v>
      </c>
      <c r="G942" s="27"/>
      <c r="H942" s="27">
        <v>199607</v>
      </c>
      <c r="I942" s="28">
        <v>9106714</v>
      </c>
      <c r="J942" s="28">
        <v>9106714</v>
      </c>
      <c r="K942" s="34"/>
      <c r="L942" s="34">
        <v>4.91</v>
      </c>
      <c r="M942" s="34">
        <v>-0.56000000000000005</v>
      </c>
      <c r="N942" s="24">
        <v>938</v>
      </c>
      <c r="O942" s="29">
        <v>43096.398692129631</v>
      </c>
    </row>
    <row r="943" spans="2:15" x14ac:dyDescent="0.25">
      <c r="B943" s="24" t="s">
        <v>2595</v>
      </c>
      <c r="C943" s="23" t="s">
        <v>650</v>
      </c>
      <c r="D943" s="24" t="s">
        <v>1610</v>
      </c>
      <c r="E943" s="25">
        <v>7.0999999999999998E-7</v>
      </c>
      <c r="F943" s="26">
        <v>1.1217100000000001E-2</v>
      </c>
      <c r="G943" s="27">
        <v>42.889000000000003</v>
      </c>
      <c r="H943" s="27">
        <v>195908</v>
      </c>
      <c r="I943" s="28">
        <v>17465159</v>
      </c>
      <c r="J943" s="28">
        <v>17465159</v>
      </c>
      <c r="K943" s="34">
        <v>-1.0900000000000001</v>
      </c>
      <c r="L943" s="34">
        <v>1.44</v>
      </c>
      <c r="M943" s="34">
        <v>14.26</v>
      </c>
      <c r="N943" s="24">
        <v>939</v>
      </c>
      <c r="O943" s="29">
        <v>43096.561874999999</v>
      </c>
    </row>
    <row r="944" spans="2:15" x14ac:dyDescent="0.25">
      <c r="B944" s="24" t="s">
        <v>2541</v>
      </c>
      <c r="C944" s="23" t="s">
        <v>464</v>
      </c>
      <c r="D944" s="24" t="s">
        <v>1428</v>
      </c>
      <c r="E944" s="25">
        <v>2.9999999999999999E-7</v>
      </c>
      <c r="F944" s="26">
        <v>4.8063899999999998E-3</v>
      </c>
      <c r="G944" s="27">
        <v>255.858</v>
      </c>
      <c r="H944" s="27">
        <v>194548</v>
      </c>
      <c r="I944" s="28">
        <v>40477042</v>
      </c>
      <c r="J944" s="28">
        <v>51530001</v>
      </c>
      <c r="K944" s="34">
        <v>-1.19</v>
      </c>
      <c r="L944" s="34">
        <v>-5.32</v>
      </c>
      <c r="M944" s="34">
        <v>25.59</v>
      </c>
      <c r="N944" s="24">
        <v>940</v>
      </c>
      <c r="O944" s="29">
        <v>43096.561898148146</v>
      </c>
    </row>
    <row r="945" spans="2:15" x14ac:dyDescent="0.25">
      <c r="B945" s="24" t="s">
        <v>2555</v>
      </c>
      <c r="C945" s="23" t="s">
        <v>611</v>
      </c>
      <c r="D945" s="24" t="s">
        <v>1572</v>
      </c>
      <c r="E945" s="25">
        <v>7.9699999999999999E-6</v>
      </c>
      <c r="F945" s="26">
        <v>0.12596299999999999</v>
      </c>
      <c r="G945" s="27">
        <v>360.92899999999997</v>
      </c>
      <c r="H945" s="27">
        <v>191468</v>
      </c>
      <c r="I945" s="28">
        <v>1520031</v>
      </c>
      <c r="J945" s="28">
        <v>1520031</v>
      </c>
      <c r="K945" s="34">
        <v>-0.94</v>
      </c>
      <c r="L945" s="34">
        <v>-2.2200000000000002</v>
      </c>
      <c r="M945" s="34">
        <v>-20.75</v>
      </c>
      <c r="N945" s="24">
        <v>941</v>
      </c>
      <c r="O945" s="29">
        <v>43096.561874999999</v>
      </c>
    </row>
    <row r="946" spans="2:15" x14ac:dyDescent="0.25">
      <c r="B946" s="24" t="s">
        <v>2397</v>
      </c>
      <c r="C946" s="23" t="s">
        <v>460</v>
      </c>
      <c r="D946" s="24" t="s">
        <v>1424</v>
      </c>
      <c r="E946" s="25">
        <v>1.9999999999999999E-6</v>
      </c>
      <c r="F946" s="26">
        <v>3.1597600000000003E-2</v>
      </c>
      <c r="G946" s="27">
        <v>353.40100000000001</v>
      </c>
      <c r="H946" s="27">
        <v>191005</v>
      </c>
      <c r="I946" s="28">
        <v>6044911</v>
      </c>
      <c r="J946" s="28">
        <v>6044911</v>
      </c>
      <c r="K946" s="34">
        <v>-1.0900000000000001</v>
      </c>
      <c r="L946" s="34">
        <v>-19.47</v>
      </c>
      <c r="M946" s="34">
        <v>-16.600000000000001</v>
      </c>
      <c r="N946" s="24">
        <v>942</v>
      </c>
      <c r="O946" s="29">
        <v>43096.561828703707</v>
      </c>
    </row>
    <row r="947" spans="2:15" x14ac:dyDescent="0.25">
      <c r="B947" s="24" t="s">
        <v>2451</v>
      </c>
      <c r="C947" s="23" t="s">
        <v>518</v>
      </c>
      <c r="D947" s="24" t="s">
        <v>1484</v>
      </c>
      <c r="E947" s="25">
        <v>6.0000000000000002E-6</v>
      </c>
      <c r="F947" s="26">
        <v>9.5543400000000001E-2</v>
      </c>
      <c r="G947" s="27"/>
      <c r="H947" s="27">
        <v>190216</v>
      </c>
      <c r="I947" s="28">
        <v>1990891</v>
      </c>
      <c r="J947" s="28">
        <v>1990891</v>
      </c>
      <c r="K947" s="34"/>
      <c r="L947" s="34">
        <v>3.75</v>
      </c>
      <c r="M947" s="34">
        <v>0.99</v>
      </c>
      <c r="N947" s="24">
        <v>943</v>
      </c>
      <c r="O947" s="29">
        <v>43096.120879629627</v>
      </c>
    </row>
    <row r="948" spans="2:15" x14ac:dyDescent="0.25">
      <c r="B948" s="24" t="s">
        <v>2641</v>
      </c>
      <c r="C948" s="23" t="s">
        <v>704</v>
      </c>
      <c r="D948" s="24" t="s">
        <v>1662</v>
      </c>
      <c r="E948" s="25">
        <v>2E-8</v>
      </c>
      <c r="F948" s="26">
        <v>3.1597599999999998E-4</v>
      </c>
      <c r="G948" s="27">
        <v>219.227</v>
      </c>
      <c r="H948" s="27">
        <v>189694</v>
      </c>
      <c r="I948" s="28">
        <v>600344291</v>
      </c>
      <c r="J948" s="28">
        <v>600344291</v>
      </c>
      <c r="K948" s="34">
        <v>7.84</v>
      </c>
      <c r="L948" s="34">
        <v>105.68</v>
      </c>
      <c r="M948" s="34">
        <v>85.37</v>
      </c>
      <c r="N948" s="24">
        <v>944</v>
      </c>
      <c r="O948" s="29">
        <v>43096.561921296299</v>
      </c>
    </row>
    <row r="949" spans="2:15" x14ac:dyDescent="0.25">
      <c r="B949" s="24" t="s">
        <v>2614</v>
      </c>
      <c r="C949" s="23" t="s">
        <v>678</v>
      </c>
      <c r="D949" s="24" t="s">
        <v>1636</v>
      </c>
      <c r="E949" s="25">
        <v>1.1964999999999999E-4</v>
      </c>
      <c r="F949" s="26">
        <v>1.89032</v>
      </c>
      <c r="G949" s="27">
        <v>12.030900000000001</v>
      </c>
      <c r="H949" s="27">
        <v>186030</v>
      </c>
      <c r="I949" s="28">
        <v>98412</v>
      </c>
      <c r="J949" s="28">
        <v>98412</v>
      </c>
      <c r="K949" s="34">
        <v>-1.0900000000000001</v>
      </c>
      <c r="L949" s="34"/>
      <c r="M949" s="34">
        <v>-8.86</v>
      </c>
      <c r="N949" s="24">
        <v>945</v>
      </c>
      <c r="O949" s="29">
        <v>43096.561840277776</v>
      </c>
    </row>
    <row r="950" spans="2:15" x14ac:dyDescent="0.25">
      <c r="B950" s="24" t="s">
        <v>2559</v>
      </c>
      <c r="C950" s="23" t="s">
        <v>604</v>
      </c>
      <c r="D950" s="24" t="s">
        <v>604</v>
      </c>
      <c r="E950" s="25">
        <v>1.1999999999999999E-7</v>
      </c>
      <c r="F950" s="26">
        <v>1.8958499999999999E-3</v>
      </c>
      <c r="G950" s="27">
        <v>22.118099999999998</v>
      </c>
      <c r="H950" s="27">
        <v>185017</v>
      </c>
      <c r="I950" s="28">
        <v>97590320</v>
      </c>
      <c r="J950" s="28">
        <v>97590320</v>
      </c>
      <c r="K950" s="34">
        <v>-1.1399999999999999</v>
      </c>
      <c r="L950" s="34"/>
      <c r="M950" s="34">
        <v>-13.13</v>
      </c>
      <c r="N950" s="24">
        <v>946</v>
      </c>
      <c r="O950" s="29">
        <v>43096.561898148146</v>
      </c>
    </row>
    <row r="951" spans="2:15" x14ac:dyDescent="0.25">
      <c r="B951" s="24" t="s">
        <v>2588</v>
      </c>
      <c r="C951" s="23" t="s">
        <v>654</v>
      </c>
      <c r="D951" s="24" t="s">
        <v>1614</v>
      </c>
      <c r="E951" s="25">
        <v>7.7100000000000007E-6</v>
      </c>
      <c r="F951" s="26">
        <v>0.121809</v>
      </c>
      <c r="G951" s="27">
        <v>147.928</v>
      </c>
      <c r="H951" s="27">
        <v>184383</v>
      </c>
      <c r="I951" s="28">
        <v>1513704</v>
      </c>
      <c r="J951" s="28">
        <v>1513704</v>
      </c>
      <c r="K951" s="34">
        <v>-1.1399999999999999</v>
      </c>
      <c r="L951" s="34">
        <v>2.84</v>
      </c>
      <c r="M951" s="34">
        <v>-10.79</v>
      </c>
      <c r="N951" s="24">
        <v>947</v>
      </c>
      <c r="O951" s="29">
        <v>43096.561874999999</v>
      </c>
    </row>
    <row r="952" spans="2:15" x14ac:dyDescent="0.25">
      <c r="B952" s="24" t="s">
        <v>2592</v>
      </c>
      <c r="C952" s="23" t="s">
        <v>670</v>
      </c>
      <c r="D952" s="24" t="s">
        <v>1628</v>
      </c>
      <c r="E952" s="25">
        <v>9.4099999999999997E-6</v>
      </c>
      <c r="F952" s="26">
        <v>0.14868899999999999</v>
      </c>
      <c r="G952" s="27">
        <v>212.84700000000001</v>
      </c>
      <c r="H952" s="27">
        <v>181425</v>
      </c>
      <c r="I952" s="28">
        <v>1220161</v>
      </c>
      <c r="J952" s="28">
        <v>1220161</v>
      </c>
      <c r="K952" s="34">
        <v>-13.68</v>
      </c>
      <c r="L952" s="34">
        <v>16.36</v>
      </c>
      <c r="M952" s="34">
        <v>-20.76</v>
      </c>
      <c r="N952" s="24">
        <v>948</v>
      </c>
      <c r="O952" s="29">
        <v>43096.561851851853</v>
      </c>
    </row>
    <row r="953" spans="2:15" x14ac:dyDescent="0.25">
      <c r="B953" s="24" t="s">
        <v>2638</v>
      </c>
      <c r="C953" s="23" t="s">
        <v>717</v>
      </c>
      <c r="D953" s="24" t="s">
        <v>1674</v>
      </c>
      <c r="E953" s="25">
        <v>7.3300000000000001E-6</v>
      </c>
      <c r="F953" s="26">
        <v>0.11580699999999999</v>
      </c>
      <c r="G953" s="27">
        <v>217.47200000000001</v>
      </c>
      <c r="H953" s="27">
        <v>176569</v>
      </c>
      <c r="I953" s="28">
        <v>1524686</v>
      </c>
      <c r="J953" s="28">
        <v>2524686</v>
      </c>
      <c r="K953" s="34">
        <v>-0.82</v>
      </c>
      <c r="L953" s="34">
        <v>6.29</v>
      </c>
      <c r="M953" s="34">
        <v>127.64</v>
      </c>
      <c r="N953" s="24">
        <v>949</v>
      </c>
      <c r="O953" s="29">
        <v>43096.561898148146</v>
      </c>
    </row>
    <row r="954" spans="2:15" x14ac:dyDescent="0.25">
      <c r="B954" s="24" t="s">
        <v>2564</v>
      </c>
      <c r="C954" s="23" t="s">
        <v>630</v>
      </c>
      <c r="D954" s="24" t="s">
        <v>1590</v>
      </c>
      <c r="E954" s="25">
        <v>1.385E-5</v>
      </c>
      <c r="F954" s="26">
        <v>0.21881300000000001</v>
      </c>
      <c r="G954" s="27">
        <v>218.81299999999999</v>
      </c>
      <c r="H954" s="27">
        <v>173542</v>
      </c>
      <c r="I954" s="28">
        <v>793108</v>
      </c>
      <c r="J954" s="28">
        <v>7093108</v>
      </c>
      <c r="K954" s="34">
        <v>-1.1399999999999999</v>
      </c>
      <c r="L954" s="34">
        <v>2.87</v>
      </c>
      <c r="M954" s="34">
        <v>-37.44</v>
      </c>
      <c r="N954" s="24">
        <v>950</v>
      </c>
      <c r="O954" s="29">
        <v>43096.561886574076</v>
      </c>
    </row>
    <row r="955" spans="2:15" x14ac:dyDescent="0.25">
      <c r="B955" s="24" t="s">
        <v>2539</v>
      </c>
      <c r="C955" s="23" t="s">
        <v>607</v>
      </c>
      <c r="D955" s="24" t="s">
        <v>1568</v>
      </c>
      <c r="E955" s="25">
        <v>4.8999999999999997E-7</v>
      </c>
      <c r="F955" s="26">
        <v>7.7414099999999998E-3</v>
      </c>
      <c r="G955" s="27">
        <v>431.01</v>
      </c>
      <c r="H955" s="27">
        <v>173272</v>
      </c>
      <c r="I955" s="28">
        <v>22382462</v>
      </c>
      <c r="J955" s="28">
        <v>22382462</v>
      </c>
      <c r="K955" s="34">
        <v>-15.01</v>
      </c>
      <c r="L955" s="34">
        <v>-3.79</v>
      </c>
      <c r="M955" s="34">
        <v>2.15</v>
      </c>
      <c r="N955" s="24">
        <v>951</v>
      </c>
      <c r="O955" s="29">
        <v>43096.561898148146</v>
      </c>
    </row>
    <row r="956" spans="2:15" x14ac:dyDescent="0.25">
      <c r="B956" s="24" t="s">
        <v>2554</v>
      </c>
      <c r="C956" s="23" t="s">
        <v>624</v>
      </c>
      <c r="D956" s="24" t="s">
        <v>1584</v>
      </c>
      <c r="E956" s="25">
        <v>9.0999999999999997E-7</v>
      </c>
      <c r="F956" s="26">
        <v>1.43769E-2</v>
      </c>
      <c r="G956" s="27">
        <v>441.65</v>
      </c>
      <c r="H956" s="27">
        <v>170445</v>
      </c>
      <c r="I956" s="28">
        <v>11855487</v>
      </c>
      <c r="J956" s="28">
        <v>11855487</v>
      </c>
      <c r="K956" s="34">
        <v>-1.07</v>
      </c>
      <c r="L956" s="34">
        <v>11.41</v>
      </c>
      <c r="M956" s="34">
        <v>-4.1500000000000004</v>
      </c>
      <c r="N956" s="24">
        <v>952</v>
      </c>
      <c r="O956" s="29">
        <v>43096.561840277776</v>
      </c>
    </row>
    <row r="957" spans="2:15" x14ac:dyDescent="0.25">
      <c r="B957" s="24" t="s">
        <v>2603</v>
      </c>
      <c r="C957" s="23" t="s">
        <v>671</v>
      </c>
      <c r="D957" s="24" t="s">
        <v>1629</v>
      </c>
      <c r="E957" s="25">
        <v>8.5000000000000001E-7</v>
      </c>
      <c r="F957" s="26">
        <v>1.33946E-2</v>
      </c>
      <c r="G957" s="27">
        <v>169.57900000000001</v>
      </c>
      <c r="H957" s="27">
        <v>166932</v>
      </c>
      <c r="I957" s="28">
        <v>12462620</v>
      </c>
      <c r="J957" s="28">
        <v>12462620</v>
      </c>
      <c r="K957" s="34">
        <v>-1.24</v>
      </c>
      <c r="L957" s="34">
        <v>-9.17</v>
      </c>
      <c r="M957" s="34">
        <v>3.58</v>
      </c>
      <c r="N957" s="24">
        <v>953</v>
      </c>
      <c r="O957" s="29">
        <v>43096.561851851853</v>
      </c>
    </row>
    <row r="958" spans="2:15" x14ac:dyDescent="0.25">
      <c r="B958" s="24" t="s">
        <v>2568</v>
      </c>
      <c r="C958" s="23" t="s">
        <v>614</v>
      </c>
      <c r="D958" s="24" t="s">
        <v>1575</v>
      </c>
      <c r="E958" s="25">
        <v>1.0499999999999999E-6</v>
      </c>
      <c r="F958" s="26">
        <v>1.6588700000000001E-2</v>
      </c>
      <c r="G958" s="27">
        <v>6.3915600000000001</v>
      </c>
      <c r="H958" s="27">
        <v>163374</v>
      </c>
      <c r="I958" s="28">
        <v>9848485</v>
      </c>
      <c r="J958" s="28">
        <v>9848485</v>
      </c>
      <c r="K958" s="34">
        <v>-1.1399999999999999</v>
      </c>
      <c r="L958" s="34">
        <v>-13.36</v>
      </c>
      <c r="M958" s="34"/>
      <c r="N958" s="24">
        <v>954</v>
      </c>
      <c r="O958" s="29">
        <v>43096.561898148146</v>
      </c>
    </row>
    <row r="959" spans="2:15" x14ac:dyDescent="0.25">
      <c r="B959" s="24" t="s">
        <v>2600</v>
      </c>
      <c r="C959" s="23" t="s">
        <v>666</v>
      </c>
      <c r="D959" s="24" t="s">
        <v>1625</v>
      </c>
      <c r="E959" s="25">
        <v>2E-8</v>
      </c>
      <c r="F959" s="26">
        <v>3.1597599999999998E-4</v>
      </c>
      <c r="G959" s="27">
        <v>331.05500000000001</v>
      </c>
      <c r="H959" s="27">
        <v>161401</v>
      </c>
      <c r="I959" s="28">
        <v>510802961</v>
      </c>
      <c r="J959" s="28">
        <v>510802961</v>
      </c>
      <c r="K959" s="34">
        <v>7.84</v>
      </c>
      <c r="L959" s="34">
        <v>105.68</v>
      </c>
      <c r="M959" s="34">
        <v>10.44</v>
      </c>
      <c r="N959" s="24">
        <v>955</v>
      </c>
      <c r="O959" s="29">
        <v>43096.561921296299</v>
      </c>
    </row>
    <row r="960" spans="2:15" x14ac:dyDescent="0.25">
      <c r="B960" s="24" t="s">
        <v>2598</v>
      </c>
      <c r="C960" s="23" t="s">
        <v>665</v>
      </c>
      <c r="D960" s="24" t="s">
        <v>1624</v>
      </c>
      <c r="E960" s="25">
        <v>8.3000000000000002E-6</v>
      </c>
      <c r="F960" s="26">
        <v>0.13113</v>
      </c>
      <c r="G960" s="27">
        <v>42.116700000000002</v>
      </c>
      <c r="H960" s="27">
        <v>158315</v>
      </c>
      <c r="I960" s="28">
        <v>1207310</v>
      </c>
      <c r="J960" s="28">
        <v>1207310</v>
      </c>
      <c r="K960" s="34">
        <v>-1.1399999999999999</v>
      </c>
      <c r="L960" s="34">
        <v>2.2200000000000002</v>
      </c>
      <c r="M960" s="34">
        <v>-8.09</v>
      </c>
      <c r="N960" s="24">
        <v>956</v>
      </c>
      <c r="O960" s="29">
        <v>43096.561840277776</v>
      </c>
    </row>
    <row r="961" spans="2:15" x14ac:dyDescent="0.25">
      <c r="B961" s="24" t="s">
        <v>2584</v>
      </c>
      <c r="C961" s="23" t="s">
        <v>648</v>
      </c>
      <c r="D961" s="24" t="s">
        <v>1608</v>
      </c>
      <c r="E961" s="25">
        <v>3.9600000000000002E-6</v>
      </c>
      <c r="F961" s="26">
        <v>6.2485400000000003E-2</v>
      </c>
      <c r="G961" s="27">
        <v>85.903899999999993</v>
      </c>
      <c r="H961" s="27">
        <v>156413</v>
      </c>
      <c r="I961" s="28">
        <v>2503200</v>
      </c>
      <c r="J961" s="28">
        <v>2503200</v>
      </c>
      <c r="K961" s="34">
        <v>-1.1499999999999999</v>
      </c>
      <c r="L961" s="34">
        <v>-6.87</v>
      </c>
      <c r="M961" s="34">
        <v>-3.23</v>
      </c>
      <c r="N961" s="24">
        <v>957</v>
      </c>
      <c r="O961" s="29">
        <v>43096.561886574076</v>
      </c>
    </row>
    <row r="962" spans="2:15" x14ac:dyDescent="0.25">
      <c r="B962" s="24" t="s">
        <v>2591</v>
      </c>
      <c r="C962" s="23" t="s">
        <v>653</v>
      </c>
      <c r="D962" s="24" t="s">
        <v>1613</v>
      </c>
      <c r="E962" s="25">
        <v>5.2E-7</v>
      </c>
      <c r="F962" s="26">
        <v>8.1907200000000003E-3</v>
      </c>
      <c r="G962" s="27">
        <v>92.840800000000002</v>
      </c>
      <c r="H962" s="27">
        <v>147430</v>
      </c>
      <c r="I962" s="28">
        <v>17999629</v>
      </c>
      <c r="J962" s="28">
        <v>25999629</v>
      </c>
      <c r="K962" s="34">
        <v>-1.0900000000000001</v>
      </c>
      <c r="L962" s="34">
        <v>7.89</v>
      </c>
      <c r="M962" s="34">
        <v>-10</v>
      </c>
      <c r="N962" s="24">
        <v>958</v>
      </c>
      <c r="O962" s="29">
        <v>43096.561886574076</v>
      </c>
    </row>
    <row r="963" spans="2:15" x14ac:dyDescent="0.25">
      <c r="B963" s="24" t="s">
        <v>2587</v>
      </c>
      <c r="C963" s="23" t="s">
        <v>656</v>
      </c>
      <c r="D963" s="24">
        <v>611</v>
      </c>
      <c r="E963" s="25">
        <v>2.088E-5</v>
      </c>
      <c r="F963" s="26">
        <v>0.329874</v>
      </c>
      <c r="G963" s="27">
        <v>287.23899999999998</v>
      </c>
      <c r="H963" s="27">
        <v>142943</v>
      </c>
      <c r="I963" s="28">
        <v>433326</v>
      </c>
      <c r="J963" s="28">
        <v>433326</v>
      </c>
      <c r="K963" s="34">
        <v>-0.82</v>
      </c>
      <c r="L963" s="34">
        <v>0.94</v>
      </c>
      <c r="M963" s="34">
        <v>9.92</v>
      </c>
      <c r="N963" s="24">
        <v>959</v>
      </c>
      <c r="O963" s="29">
        <v>43096.561886574076</v>
      </c>
    </row>
    <row r="964" spans="2:15" x14ac:dyDescent="0.25">
      <c r="B964" s="24" t="s">
        <v>2577</v>
      </c>
      <c r="C964" s="23" t="s">
        <v>663</v>
      </c>
      <c r="D964" s="24" t="s">
        <v>1622</v>
      </c>
      <c r="E964" s="25">
        <v>2.8899999999999999E-6</v>
      </c>
      <c r="F964" s="26">
        <v>4.5716100000000003E-2</v>
      </c>
      <c r="G964" s="27">
        <v>80.337199999999996</v>
      </c>
      <c r="H964" s="27">
        <v>142417</v>
      </c>
      <c r="I964" s="28">
        <v>3115258</v>
      </c>
      <c r="J964" s="28">
        <v>3115258</v>
      </c>
      <c r="K964" s="34">
        <v>0.28000000000000003</v>
      </c>
      <c r="L964" s="34">
        <v>38.450000000000003</v>
      </c>
      <c r="M964" s="34">
        <v>36.69</v>
      </c>
      <c r="N964" s="24">
        <v>960</v>
      </c>
      <c r="O964" s="29">
        <v>43096.561851851853</v>
      </c>
    </row>
    <row r="965" spans="2:15" x14ac:dyDescent="0.25">
      <c r="B965" s="24" t="s">
        <v>2535</v>
      </c>
      <c r="C965" s="23" t="s">
        <v>623</v>
      </c>
      <c r="D965" s="24">
        <v>300</v>
      </c>
      <c r="E965" s="25">
        <v>0.03</v>
      </c>
      <c r="F965" s="26">
        <v>473.964</v>
      </c>
      <c r="G965" s="27">
        <v>108.93600000000001</v>
      </c>
      <c r="H965" s="27">
        <v>142189</v>
      </c>
      <c r="I965" s="28">
        <v>300</v>
      </c>
      <c r="J965" s="28">
        <v>300</v>
      </c>
      <c r="K965" s="34">
        <v>-1.0900000000000001</v>
      </c>
      <c r="L965" s="34">
        <v>-4.2</v>
      </c>
      <c r="M965" s="34">
        <v>4.47</v>
      </c>
      <c r="N965" s="24">
        <v>961</v>
      </c>
      <c r="O965" s="29">
        <v>43096.561956018515</v>
      </c>
    </row>
    <row r="966" spans="2:15" x14ac:dyDescent="0.25">
      <c r="B966" s="24" t="s">
        <v>2644</v>
      </c>
      <c r="C966" s="23" t="s">
        <v>703</v>
      </c>
      <c r="D966" s="24" t="s">
        <v>1661</v>
      </c>
      <c r="E966" s="25">
        <v>1.0899999999999999E-6</v>
      </c>
      <c r="F966" s="26">
        <v>1.728E-2</v>
      </c>
      <c r="G966" s="27">
        <v>405.00400000000002</v>
      </c>
      <c r="H966" s="27">
        <v>139835</v>
      </c>
      <c r="I966" s="28">
        <v>8092309</v>
      </c>
      <c r="J966" s="28">
        <v>8092309</v>
      </c>
      <c r="K966" s="34">
        <v>-1</v>
      </c>
      <c r="L966" s="34">
        <v>-8.65</v>
      </c>
      <c r="M966" s="34">
        <v>-26.12</v>
      </c>
      <c r="N966" s="24">
        <v>962</v>
      </c>
      <c r="O966" s="29">
        <v>43096.561898148146</v>
      </c>
    </row>
    <row r="967" spans="2:15" x14ac:dyDescent="0.25">
      <c r="B967" s="24" t="s">
        <v>2625</v>
      </c>
      <c r="C967" s="23" t="s">
        <v>687</v>
      </c>
      <c r="D967" s="24" t="s">
        <v>1645</v>
      </c>
      <c r="E967" s="25">
        <v>1.1999999999999999E-6</v>
      </c>
      <c r="F967" s="26">
        <v>1.9565599999999999E-2</v>
      </c>
      <c r="G967" s="27"/>
      <c r="H967" s="27">
        <v>137437</v>
      </c>
      <c r="I967" s="28">
        <v>7024402</v>
      </c>
      <c r="J967" s="28">
        <v>7024402</v>
      </c>
      <c r="K967" s="34"/>
      <c r="L967" s="34">
        <v>6.16</v>
      </c>
      <c r="M967" s="34">
        <v>-66.2</v>
      </c>
      <c r="N967" s="24">
        <v>963</v>
      </c>
      <c r="O967" s="29">
        <v>43096.214629629627</v>
      </c>
    </row>
    <row r="968" spans="2:15" x14ac:dyDescent="0.25">
      <c r="B968" s="24" t="s">
        <v>2566</v>
      </c>
      <c r="C968" s="23" t="s">
        <v>622</v>
      </c>
      <c r="D968" s="24" t="s">
        <v>1583</v>
      </c>
      <c r="E968" s="25">
        <v>9.5999999999999996E-6</v>
      </c>
      <c r="F968" s="26">
        <v>0.127695</v>
      </c>
      <c r="G968" s="27"/>
      <c r="H968" s="27">
        <v>137157</v>
      </c>
      <c r="I968" s="28">
        <v>1074095</v>
      </c>
      <c r="J968" s="28">
        <v>1074095</v>
      </c>
      <c r="K968" s="34"/>
      <c r="L968" s="34"/>
      <c r="M968" s="34">
        <v>-21.54</v>
      </c>
      <c r="N968" s="24">
        <v>964</v>
      </c>
      <c r="O968" s="29">
        <v>43093.846631944441</v>
      </c>
    </row>
    <row r="969" spans="2:15" x14ac:dyDescent="0.25">
      <c r="B969" s="24" t="s">
        <v>2431</v>
      </c>
      <c r="C969" s="23" t="s">
        <v>493</v>
      </c>
      <c r="D969" s="24" t="s">
        <v>1459</v>
      </c>
      <c r="E969" s="25">
        <v>3.49E-6</v>
      </c>
      <c r="F969" s="26">
        <v>5.5137800000000001E-2</v>
      </c>
      <c r="G969" s="27">
        <v>60.380299999999998</v>
      </c>
      <c r="H969" s="27">
        <v>132979</v>
      </c>
      <c r="I969" s="28">
        <v>2411754</v>
      </c>
      <c r="J969" s="28">
        <v>2411754</v>
      </c>
      <c r="K969" s="34">
        <v>-7.7</v>
      </c>
      <c r="L969" s="34">
        <v>3.83</v>
      </c>
      <c r="M969" s="34">
        <v>-24.33</v>
      </c>
      <c r="N969" s="24">
        <v>965</v>
      </c>
      <c r="O969" s="29">
        <v>43096.561851851853</v>
      </c>
    </row>
    <row r="970" spans="2:15" x14ac:dyDescent="0.25">
      <c r="B970" s="24" t="s">
        <v>2414</v>
      </c>
      <c r="C970" s="23" t="s">
        <v>640</v>
      </c>
      <c r="D970" s="24" t="s">
        <v>1600</v>
      </c>
      <c r="E970" s="25">
        <v>4.2E-7</v>
      </c>
      <c r="F970" s="26">
        <v>6.64293E-3</v>
      </c>
      <c r="G970" s="27">
        <v>184.61199999999999</v>
      </c>
      <c r="H970" s="27">
        <v>130301</v>
      </c>
      <c r="I970" s="28">
        <v>19615019</v>
      </c>
      <c r="J970" s="28">
        <v>19615019</v>
      </c>
      <c r="K970" s="34">
        <v>0.81</v>
      </c>
      <c r="L970" s="34">
        <v>11.8</v>
      </c>
      <c r="M970" s="34">
        <v>25.58</v>
      </c>
      <c r="N970" s="24">
        <v>966</v>
      </c>
      <c r="O970" s="29">
        <v>43096.561863425923</v>
      </c>
    </row>
    <row r="971" spans="2:15" x14ac:dyDescent="0.25">
      <c r="B971" s="24" t="s">
        <v>2538</v>
      </c>
      <c r="C971" s="23" t="s">
        <v>608</v>
      </c>
      <c r="D971" s="24" t="s">
        <v>1569</v>
      </c>
      <c r="E971" s="25">
        <v>1.3E-6</v>
      </c>
      <c r="F971" s="26">
        <v>2.0523099999999999E-2</v>
      </c>
      <c r="G971" s="27">
        <v>427.67599999999999</v>
      </c>
      <c r="H971" s="27">
        <v>127230</v>
      </c>
      <c r="I971" s="28">
        <v>6199359</v>
      </c>
      <c r="J971" s="28">
        <v>7323359</v>
      </c>
      <c r="K971" s="34">
        <v>-1.1100000000000001</v>
      </c>
      <c r="L971" s="34">
        <v>-10.29</v>
      </c>
      <c r="M971" s="34">
        <v>-23.07</v>
      </c>
      <c r="N971" s="24">
        <v>967</v>
      </c>
      <c r="O971" s="29">
        <v>43096.561921296299</v>
      </c>
    </row>
    <row r="972" spans="2:15" x14ac:dyDescent="0.25">
      <c r="B972" s="24" t="s">
        <v>2411</v>
      </c>
      <c r="C972" s="23" t="s">
        <v>635</v>
      </c>
      <c r="D972" s="24" t="s">
        <v>1409</v>
      </c>
      <c r="E972" s="25">
        <v>3.7E-7</v>
      </c>
      <c r="F972" s="26">
        <v>5.8455499999999997E-3</v>
      </c>
      <c r="G972" s="27">
        <v>177.67099999999999</v>
      </c>
      <c r="H972" s="27">
        <v>118580</v>
      </c>
      <c r="I972" s="28">
        <v>20285537</v>
      </c>
      <c r="J972" s="28">
        <v>23775537</v>
      </c>
      <c r="K972" s="34">
        <v>-1.0900000000000001</v>
      </c>
      <c r="L972" s="34">
        <v>5.79</v>
      </c>
      <c r="M972" s="34">
        <v>-5.24</v>
      </c>
      <c r="N972" s="24">
        <v>968</v>
      </c>
      <c r="O972" s="29">
        <v>43096.561863425923</v>
      </c>
    </row>
    <row r="973" spans="2:15" x14ac:dyDescent="0.25">
      <c r="B973" s="24" t="s">
        <v>2550</v>
      </c>
      <c r="C973" s="23" t="s">
        <v>3656</v>
      </c>
      <c r="D973" s="24" t="s">
        <v>1598</v>
      </c>
      <c r="E973" s="25">
        <v>4.4000000000000002E-7</v>
      </c>
      <c r="F973" s="26">
        <v>6.9514700000000004E-3</v>
      </c>
      <c r="G973" s="27">
        <v>41.223300000000002</v>
      </c>
      <c r="H973" s="27">
        <v>116143</v>
      </c>
      <c r="I973" s="28">
        <v>16707737</v>
      </c>
      <c r="J973" s="28">
        <v>16707737</v>
      </c>
      <c r="K973" s="34">
        <v>-1.0900000000000001</v>
      </c>
      <c r="L973" s="34">
        <v>0.57999999999999996</v>
      </c>
      <c r="M973" s="34">
        <v>-39.450000000000003</v>
      </c>
      <c r="N973" s="24">
        <v>969</v>
      </c>
      <c r="O973" s="29">
        <v>43096.561863425923</v>
      </c>
    </row>
    <row r="974" spans="2:15" x14ac:dyDescent="0.25">
      <c r="B974" s="24" t="s">
        <v>2461</v>
      </c>
      <c r="C974" s="23" t="s">
        <v>530</v>
      </c>
      <c r="D974" s="24" t="s">
        <v>1494</v>
      </c>
      <c r="E974" s="25">
        <v>7.0000000000000004E-11</v>
      </c>
      <c r="F974" s="26">
        <v>1.1262999999999999E-6</v>
      </c>
      <c r="G974" s="27"/>
      <c r="H974" s="27">
        <v>113942</v>
      </c>
      <c r="I974" s="28">
        <v>101168328395</v>
      </c>
      <c r="J974" s="28">
        <v>101168328395</v>
      </c>
      <c r="K974" s="34"/>
      <c r="L974" s="34">
        <v>-0.18</v>
      </c>
      <c r="M974" s="34">
        <v>84.6</v>
      </c>
      <c r="N974" s="24">
        <v>970</v>
      </c>
      <c r="O974" s="29">
        <v>43095.721539351849</v>
      </c>
    </row>
    <row r="975" spans="2:15" x14ac:dyDescent="0.25">
      <c r="B975" s="24" t="s">
        <v>2560</v>
      </c>
      <c r="C975" s="23" t="s">
        <v>631</v>
      </c>
      <c r="D975" s="24" t="s">
        <v>1591</v>
      </c>
      <c r="E975" s="25">
        <v>1.9599999999999999E-6</v>
      </c>
      <c r="F975" s="26">
        <v>2.5839999999999998E-2</v>
      </c>
      <c r="G975" s="27"/>
      <c r="H975" s="27">
        <v>109269</v>
      </c>
      <c r="I975" s="28">
        <v>4228672</v>
      </c>
      <c r="J975" s="28">
        <v>4228672</v>
      </c>
      <c r="K975" s="34"/>
      <c r="L975" s="34"/>
      <c r="M975" s="34">
        <v>-14.35</v>
      </c>
      <c r="N975" s="24">
        <v>971</v>
      </c>
      <c r="O975" s="29">
        <v>43093.659270833334</v>
      </c>
    </row>
    <row r="976" spans="2:15" x14ac:dyDescent="0.25">
      <c r="B976" s="24" t="s">
        <v>2940</v>
      </c>
      <c r="C976" s="23" t="s">
        <v>2941</v>
      </c>
      <c r="D976" s="24" t="s">
        <v>2942</v>
      </c>
      <c r="E976" s="25">
        <v>1.6500000000000001E-6</v>
      </c>
      <c r="F976" s="26">
        <v>2.6099500000000001E-2</v>
      </c>
      <c r="G976" s="27">
        <v>335.36799999999999</v>
      </c>
      <c r="H976" s="27">
        <v>105117</v>
      </c>
      <c r="I976" s="28">
        <v>4027542</v>
      </c>
      <c r="J976" s="28">
        <v>4027542</v>
      </c>
      <c r="K976" s="34">
        <v>0.45</v>
      </c>
      <c r="L976" s="34">
        <v>-1.95</v>
      </c>
      <c r="M976" s="34">
        <v>83.32</v>
      </c>
      <c r="N976" s="24">
        <v>972</v>
      </c>
      <c r="O976" s="29">
        <v>43096.561979166669</v>
      </c>
    </row>
    <row r="977" spans="2:15" x14ac:dyDescent="0.25">
      <c r="B977" s="24" t="s">
        <v>2662</v>
      </c>
      <c r="C977" s="23" t="s">
        <v>731</v>
      </c>
      <c r="D977" s="24" t="s">
        <v>1686</v>
      </c>
      <c r="E977" s="25">
        <v>5.3000000000000001E-7</v>
      </c>
      <c r="F977" s="26">
        <v>8.3733599999999998E-3</v>
      </c>
      <c r="G977" s="27">
        <v>4.7396399999999996</v>
      </c>
      <c r="H977" s="27">
        <v>104377</v>
      </c>
      <c r="I977" s="28">
        <v>12465418</v>
      </c>
      <c r="J977" s="28">
        <v>12465418</v>
      </c>
      <c r="K977" s="34">
        <v>-1.1399999999999999</v>
      </c>
      <c r="L977" s="34">
        <v>11.23</v>
      </c>
      <c r="M977" s="34">
        <v>0.25</v>
      </c>
      <c r="N977" s="24">
        <v>973</v>
      </c>
      <c r="O977" s="29">
        <v>43096.561874999999</v>
      </c>
    </row>
    <row r="978" spans="2:15" x14ac:dyDescent="0.25">
      <c r="B978" s="24" t="s">
        <v>2627</v>
      </c>
      <c r="C978" s="23" t="s">
        <v>690</v>
      </c>
      <c r="D978" s="24" t="s">
        <v>1648</v>
      </c>
      <c r="E978" s="25">
        <v>2.4899999999999999E-6</v>
      </c>
      <c r="F978" s="26">
        <v>3.9338999999999999E-2</v>
      </c>
      <c r="G978" s="27">
        <v>159.495</v>
      </c>
      <c r="H978" s="27">
        <v>103158</v>
      </c>
      <c r="I978" s="28">
        <v>2622273</v>
      </c>
      <c r="J978" s="28">
        <v>2622273</v>
      </c>
      <c r="K978" s="34">
        <v>-1.0900000000000001</v>
      </c>
      <c r="L978" s="34">
        <v>9.2799999999999994</v>
      </c>
      <c r="M978" s="34">
        <v>37.020000000000003</v>
      </c>
      <c r="N978" s="24">
        <v>974</v>
      </c>
      <c r="O978" s="29">
        <v>43096.561863425923</v>
      </c>
    </row>
    <row r="979" spans="2:15" x14ac:dyDescent="0.25">
      <c r="B979" s="24" t="s">
        <v>2655</v>
      </c>
      <c r="C979" s="23" t="s">
        <v>743</v>
      </c>
      <c r="D979" s="24" t="s">
        <v>1697</v>
      </c>
      <c r="E979" s="25">
        <v>2.1E-7</v>
      </c>
      <c r="F979" s="26">
        <v>3.3779499999999998E-3</v>
      </c>
      <c r="G979" s="27">
        <v>447.721</v>
      </c>
      <c r="H979" s="27">
        <v>102108</v>
      </c>
      <c r="I979" s="28">
        <v>30227750</v>
      </c>
      <c r="J979" s="28">
        <v>30227750</v>
      </c>
      <c r="K979" s="34">
        <v>3.4</v>
      </c>
      <c r="L979" s="34">
        <v>55.75</v>
      </c>
      <c r="M979" s="34">
        <v>-5.19</v>
      </c>
      <c r="N979" s="24">
        <v>975</v>
      </c>
      <c r="O979" s="29">
        <v>43096.561886574076</v>
      </c>
    </row>
    <row r="980" spans="2:15" x14ac:dyDescent="0.25">
      <c r="B980" s="24" t="s">
        <v>2498</v>
      </c>
      <c r="C980" s="23" t="s">
        <v>583</v>
      </c>
      <c r="D980" s="24" t="s">
        <v>1545</v>
      </c>
      <c r="E980" s="25">
        <v>2.1299999999999999E-6</v>
      </c>
      <c r="F980" s="26">
        <v>3.3704600000000001E-2</v>
      </c>
      <c r="G980" s="27">
        <v>1.51671</v>
      </c>
      <c r="H980" s="27">
        <v>101113</v>
      </c>
      <c r="I980" s="28">
        <v>2999967</v>
      </c>
      <c r="J980" s="28">
        <v>5000000</v>
      </c>
      <c r="K980" s="34">
        <v>2.44</v>
      </c>
      <c r="L980" s="34">
        <v>41.62</v>
      </c>
      <c r="M980" s="34">
        <v>251.42</v>
      </c>
      <c r="N980" s="24">
        <v>976</v>
      </c>
      <c r="O980" s="29">
        <v>43096.561921296299</v>
      </c>
    </row>
    <row r="981" spans="2:15" x14ac:dyDescent="0.25">
      <c r="B981" s="24" t="s">
        <v>2616</v>
      </c>
      <c r="C981" s="23" t="s">
        <v>683</v>
      </c>
      <c r="D981" s="24" t="s">
        <v>1641</v>
      </c>
      <c r="E981" s="25">
        <v>3.9999999999999998E-7</v>
      </c>
      <c r="F981" s="30">
        <v>6.3195100000000004E-3</v>
      </c>
      <c r="G981" s="27">
        <v>4.6186199999999999</v>
      </c>
      <c r="H981" s="27">
        <v>100276</v>
      </c>
      <c r="I981" s="28">
        <v>15867695</v>
      </c>
      <c r="J981" s="28">
        <v>15867695</v>
      </c>
      <c r="K981" s="34">
        <v>-1.0900000000000001</v>
      </c>
      <c r="L981" s="34">
        <v>24.76</v>
      </c>
      <c r="M981" s="34">
        <v>-21.83</v>
      </c>
      <c r="N981" s="24">
        <v>977</v>
      </c>
      <c r="O981" s="29">
        <v>43096.561874999999</v>
      </c>
    </row>
    <row r="982" spans="2:15" x14ac:dyDescent="0.25">
      <c r="B982" s="24" t="s">
        <v>2637</v>
      </c>
      <c r="C982" s="23" t="s">
        <v>701</v>
      </c>
      <c r="D982" s="24" t="s">
        <v>1659</v>
      </c>
      <c r="E982" s="25">
        <v>1E-8</v>
      </c>
      <c r="F982" s="26">
        <v>1.5798799999999999E-4</v>
      </c>
      <c r="G982" s="27">
        <v>15.7988</v>
      </c>
      <c r="H982" s="27">
        <v>99658</v>
      </c>
      <c r="I982" s="28">
        <v>630795971</v>
      </c>
      <c r="J982" s="28">
        <v>630795971</v>
      </c>
      <c r="K982" s="34">
        <v>-1.0900000000000001</v>
      </c>
      <c r="L982" s="34">
        <v>2.94</v>
      </c>
      <c r="M982" s="34"/>
      <c r="N982" s="24">
        <v>978</v>
      </c>
      <c r="O982" s="29">
        <v>43096.561909722222</v>
      </c>
    </row>
    <row r="983" spans="2:15" x14ac:dyDescent="0.25">
      <c r="B983" s="24" t="s">
        <v>2561</v>
      </c>
      <c r="C983" s="23" t="s">
        <v>628</v>
      </c>
      <c r="D983" s="24" t="s">
        <v>1588</v>
      </c>
      <c r="E983" s="25">
        <v>6.1999999999999999E-7</v>
      </c>
      <c r="F983" s="30">
        <v>9.5853499999999994E-3</v>
      </c>
      <c r="G983" s="27"/>
      <c r="H983" s="27">
        <v>96470</v>
      </c>
      <c r="I983" s="28">
        <v>10064287</v>
      </c>
      <c r="J983" s="28">
        <v>10064287</v>
      </c>
      <c r="K983" s="34"/>
      <c r="L983" s="34"/>
      <c r="M983" s="34"/>
      <c r="N983" s="24">
        <v>979</v>
      </c>
      <c r="O983" s="29">
        <v>43095.346562500003</v>
      </c>
    </row>
    <row r="984" spans="2:15" x14ac:dyDescent="0.25">
      <c r="B984" s="24" t="s">
        <v>2650</v>
      </c>
      <c r="C984" s="23" t="s">
        <v>716</v>
      </c>
      <c r="D984" s="24" t="s">
        <v>716</v>
      </c>
      <c r="E984" s="25">
        <v>5.3399999999999997E-6</v>
      </c>
      <c r="F984" s="26">
        <v>8.4365499999999996E-2</v>
      </c>
      <c r="G984" s="27">
        <v>23.656500000000001</v>
      </c>
      <c r="H984" s="27">
        <v>92399</v>
      </c>
      <c r="I984" s="28">
        <v>1095224</v>
      </c>
      <c r="J984" s="28">
        <v>1095224</v>
      </c>
      <c r="K984" s="34">
        <v>-1.0900000000000001</v>
      </c>
      <c r="L984" s="34">
        <v>25.99</v>
      </c>
      <c r="M984" s="34">
        <v>3.48</v>
      </c>
      <c r="N984" s="24">
        <v>980</v>
      </c>
      <c r="O984" s="29">
        <v>43096.561874999999</v>
      </c>
    </row>
    <row r="985" spans="2:15" x14ac:dyDescent="0.25">
      <c r="B985" s="24" t="s">
        <v>2604</v>
      </c>
      <c r="C985" s="23" t="s">
        <v>669</v>
      </c>
      <c r="D985" s="24" t="s">
        <v>1627</v>
      </c>
      <c r="E985" s="25">
        <v>6.4000000000000001E-7</v>
      </c>
      <c r="F985" s="26">
        <v>1.0111200000000001E-2</v>
      </c>
      <c r="G985" s="27">
        <v>75.551100000000005</v>
      </c>
      <c r="H985" s="27">
        <v>90922</v>
      </c>
      <c r="I985" s="28">
        <v>8992249</v>
      </c>
      <c r="J985" s="28">
        <v>8992249</v>
      </c>
      <c r="K985" s="34">
        <v>-1.1399999999999999</v>
      </c>
      <c r="L985" s="34">
        <v>-1.77</v>
      </c>
      <c r="M985" s="34">
        <v>-0.66</v>
      </c>
      <c r="N985" s="24">
        <v>981</v>
      </c>
      <c r="O985" s="29">
        <v>43096.561898148146</v>
      </c>
    </row>
    <row r="986" spans="2:15" x14ac:dyDescent="0.25">
      <c r="B986" s="24" t="s">
        <v>2615</v>
      </c>
      <c r="C986" s="23" t="s">
        <v>680</v>
      </c>
      <c r="D986" s="24" t="s">
        <v>1638</v>
      </c>
      <c r="E986" s="25">
        <v>2.8000000000000002E-7</v>
      </c>
      <c r="F986" s="26">
        <v>4.4236600000000003E-3</v>
      </c>
      <c r="G986" s="27">
        <v>9.0369100000000007</v>
      </c>
      <c r="H986" s="27">
        <v>89277</v>
      </c>
      <c r="I986" s="28">
        <v>20181636</v>
      </c>
      <c r="J986" s="28">
        <v>20181636</v>
      </c>
      <c r="K986" s="34">
        <v>1.89</v>
      </c>
      <c r="L986" s="34"/>
      <c r="M986" s="34">
        <v>-16.28</v>
      </c>
      <c r="N986" s="24">
        <v>982</v>
      </c>
      <c r="O986" s="29">
        <v>43096.561898148146</v>
      </c>
    </row>
    <row r="987" spans="2:15" x14ac:dyDescent="0.25">
      <c r="B987" s="24" t="s">
        <v>2663</v>
      </c>
      <c r="C987" s="23" t="s">
        <v>492</v>
      </c>
      <c r="D987" s="24" t="s">
        <v>1458</v>
      </c>
      <c r="E987" s="25">
        <v>4.9999999999999998E-8</v>
      </c>
      <c r="F987" s="26">
        <v>7.8993900000000003E-4</v>
      </c>
      <c r="G987" s="27">
        <v>297.29599999999999</v>
      </c>
      <c r="H987" s="27">
        <v>86506</v>
      </c>
      <c r="I987" s="28">
        <v>109509142</v>
      </c>
      <c r="J987" s="28">
        <v>109509142</v>
      </c>
      <c r="K987" s="34">
        <v>64.77</v>
      </c>
      <c r="L987" s="34">
        <v>1.25</v>
      </c>
      <c r="M987" s="34">
        <v>-45.29</v>
      </c>
      <c r="N987" s="24">
        <v>983</v>
      </c>
      <c r="O987" s="29">
        <v>43096.561921296299</v>
      </c>
    </row>
    <row r="988" spans="2:15" x14ac:dyDescent="0.25">
      <c r="B988" s="24" t="s">
        <v>2594</v>
      </c>
      <c r="C988" s="23" t="s">
        <v>676</v>
      </c>
      <c r="D988" s="24" t="s">
        <v>1634</v>
      </c>
      <c r="E988" s="25">
        <v>1.6999999999999999E-7</v>
      </c>
      <c r="F988" s="26">
        <v>2.6155200000000001E-3</v>
      </c>
      <c r="G988" s="27">
        <v>46.466000000000001</v>
      </c>
      <c r="H988" s="27">
        <v>85175</v>
      </c>
      <c r="I988" s="28">
        <v>32565300</v>
      </c>
      <c r="J988" s="28">
        <v>32565300</v>
      </c>
      <c r="K988" s="34">
        <v>1.74</v>
      </c>
      <c r="L988" s="34">
        <v>9.52</v>
      </c>
      <c r="M988" s="34">
        <v>-13.27</v>
      </c>
      <c r="N988" s="24">
        <v>984</v>
      </c>
      <c r="O988" s="29">
        <v>43096.561863425923</v>
      </c>
    </row>
    <row r="989" spans="2:15" x14ac:dyDescent="0.25">
      <c r="B989" s="24" t="s">
        <v>2653</v>
      </c>
      <c r="C989" s="23" t="s">
        <v>737</v>
      </c>
      <c r="D989" s="24" t="s">
        <v>1691</v>
      </c>
      <c r="E989" s="25">
        <v>4.4000000000000002E-7</v>
      </c>
      <c r="F989" s="26">
        <v>6.9514700000000004E-3</v>
      </c>
      <c r="G989" s="27">
        <v>185.53200000000001</v>
      </c>
      <c r="H989" s="27">
        <v>82178</v>
      </c>
      <c r="I989" s="28">
        <v>11821728</v>
      </c>
      <c r="J989" s="28">
        <v>11821728</v>
      </c>
      <c r="K989" s="34">
        <v>-1.1399999999999999</v>
      </c>
      <c r="L989" s="34">
        <v>-65.53</v>
      </c>
      <c r="M989" s="34">
        <v>-47.38</v>
      </c>
      <c r="N989" s="24">
        <v>985</v>
      </c>
      <c r="O989" s="29">
        <v>43096.561909722222</v>
      </c>
    </row>
    <row r="990" spans="2:15" x14ac:dyDescent="0.25">
      <c r="B990" s="24" t="s">
        <v>2382</v>
      </c>
      <c r="C990" s="23" t="s">
        <v>449</v>
      </c>
      <c r="D990" s="24" t="s">
        <v>1412</v>
      </c>
      <c r="E990" s="25">
        <v>9.1999999999999998E-7</v>
      </c>
      <c r="F990" s="26">
        <v>1.45776E-2</v>
      </c>
      <c r="G990" s="27">
        <v>383.28699999999998</v>
      </c>
      <c r="H990" s="27">
        <v>81506</v>
      </c>
      <c r="I990" s="28">
        <v>5591193</v>
      </c>
      <c r="J990" s="28">
        <v>5591193</v>
      </c>
      <c r="K990" s="34">
        <v>5.29</v>
      </c>
      <c r="L990" s="34">
        <v>7.86</v>
      </c>
      <c r="M990" s="34">
        <v>52.66</v>
      </c>
      <c r="N990" s="24">
        <v>986</v>
      </c>
      <c r="O990" s="29">
        <v>43096.561863425923</v>
      </c>
    </row>
    <row r="991" spans="2:15" x14ac:dyDescent="0.25">
      <c r="B991" s="24" t="s">
        <v>2640</v>
      </c>
      <c r="C991" s="23" t="s">
        <v>714</v>
      </c>
      <c r="D991" s="24" t="s">
        <v>1672</v>
      </c>
      <c r="E991" s="25">
        <v>3.0599999999999999E-6</v>
      </c>
      <c r="F991" s="26">
        <v>4.8394899999999998E-2</v>
      </c>
      <c r="G991" s="27"/>
      <c r="H991" s="27">
        <v>80886</v>
      </c>
      <c r="I991" s="28">
        <v>1671379</v>
      </c>
      <c r="J991" s="28">
        <v>2000000</v>
      </c>
      <c r="K991" s="34"/>
      <c r="L991" s="34">
        <v>16.87</v>
      </c>
      <c r="M991" s="34">
        <v>102.51</v>
      </c>
      <c r="N991" s="24">
        <v>987</v>
      </c>
      <c r="O991" s="29">
        <v>43096.152199074073</v>
      </c>
    </row>
    <row r="992" spans="2:15" x14ac:dyDescent="0.25">
      <c r="B992" s="24" t="s">
        <v>2608</v>
      </c>
      <c r="C992" s="23" t="s">
        <v>682</v>
      </c>
      <c r="D992" s="24" t="s">
        <v>1640</v>
      </c>
      <c r="E992" s="25">
        <v>5.9999999999999995E-8</v>
      </c>
      <c r="F992" s="26">
        <v>9.4792699999999999E-4</v>
      </c>
      <c r="G992" s="27">
        <v>101.83799999999999</v>
      </c>
      <c r="H992" s="27">
        <v>79105</v>
      </c>
      <c r="I992" s="28">
        <v>83450403</v>
      </c>
      <c r="J992" s="28">
        <v>83450403</v>
      </c>
      <c r="K992" s="34">
        <v>-1.0900000000000001</v>
      </c>
      <c r="L992" s="34">
        <v>23.45</v>
      </c>
      <c r="M992" s="34">
        <v>-2.4</v>
      </c>
      <c r="N992" s="24">
        <v>988</v>
      </c>
      <c r="O992" s="29">
        <v>43096.561874999999</v>
      </c>
    </row>
    <row r="993" spans="2:15" x14ac:dyDescent="0.25">
      <c r="B993" s="24" t="s">
        <v>2389</v>
      </c>
      <c r="C993" s="23" t="s">
        <v>605</v>
      </c>
      <c r="D993" s="24" t="s">
        <v>1566</v>
      </c>
      <c r="E993" s="25">
        <v>9.7999999999999993E-7</v>
      </c>
      <c r="F993" s="26">
        <v>1.5469800000000001E-2</v>
      </c>
      <c r="G993" s="27">
        <v>239.01</v>
      </c>
      <c r="H993" s="27">
        <v>77349</v>
      </c>
      <c r="I993" s="28">
        <v>5000000</v>
      </c>
      <c r="J993" s="28">
        <v>5000000000</v>
      </c>
      <c r="K993" s="34">
        <v>0.36</v>
      </c>
      <c r="L993" s="34">
        <v>7.97</v>
      </c>
      <c r="M993" s="34">
        <v>23.53</v>
      </c>
      <c r="N993" s="24">
        <v>989</v>
      </c>
      <c r="O993" s="29">
        <v>43096.561932870369</v>
      </c>
    </row>
    <row r="994" spans="2:15" x14ac:dyDescent="0.25">
      <c r="B994" s="24" t="s">
        <v>2602</v>
      </c>
      <c r="C994" s="23" t="s">
        <v>720</v>
      </c>
      <c r="D994" s="24" t="s">
        <v>1677</v>
      </c>
      <c r="E994" s="25">
        <v>2.6E-7</v>
      </c>
      <c r="F994" s="26">
        <v>4.1174799999999998E-3</v>
      </c>
      <c r="G994" s="27">
        <v>139.99299999999999</v>
      </c>
      <c r="H994" s="27">
        <v>77333</v>
      </c>
      <c r="I994" s="28">
        <v>18781750</v>
      </c>
      <c r="J994" s="28">
        <v>268781750</v>
      </c>
      <c r="K994" s="34">
        <v>-1.0900000000000001</v>
      </c>
      <c r="L994" s="34">
        <v>25.86</v>
      </c>
      <c r="M994" s="34">
        <v>5.0199999999999996</v>
      </c>
      <c r="N994" s="24">
        <v>990</v>
      </c>
      <c r="O994" s="29">
        <v>43096.561898148146</v>
      </c>
    </row>
    <row r="995" spans="2:15" x14ac:dyDescent="0.25">
      <c r="B995" s="24" t="s">
        <v>2609</v>
      </c>
      <c r="C995" s="23" t="s">
        <v>697</v>
      </c>
      <c r="D995" s="24" t="s">
        <v>1655</v>
      </c>
      <c r="E995" s="25">
        <v>5.2E-7</v>
      </c>
      <c r="F995" s="26">
        <v>8.2153699999999996E-3</v>
      </c>
      <c r="G995" s="27">
        <v>40.096800000000002</v>
      </c>
      <c r="H995" s="27">
        <v>74610</v>
      </c>
      <c r="I995" s="28">
        <v>9081731</v>
      </c>
      <c r="J995" s="28">
        <v>9081731</v>
      </c>
      <c r="K995" s="34">
        <v>-1.0900000000000001</v>
      </c>
      <c r="L995" s="34">
        <v>-16</v>
      </c>
      <c r="M995" s="34">
        <v>12.08</v>
      </c>
      <c r="N995" s="24">
        <v>991</v>
      </c>
      <c r="O995" s="29">
        <v>43096.561828703707</v>
      </c>
    </row>
    <row r="996" spans="2:15" x14ac:dyDescent="0.25">
      <c r="B996" s="24" t="s">
        <v>2649</v>
      </c>
      <c r="C996" s="23" t="s">
        <v>684</v>
      </c>
      <c r="D996" s="24" t="s">
        <v>1642</v>
      </c>
      <c r="E996" s="25">
        <v>3.3000000000000002E-7</v>
      </c>
      <c r="F996" s="26">
        <v>5.2135999999999997E-3</v>
      </c>
      <c r="G996" s="27">
        <v>19.563300000000002</v>
      </c>
      <c r="H996" s="27">
        <v>74549</v>
      </c>
      <c r="I996" s="28">
        <v>14298972</v>
      </c>
      <c r="J996" s="28">
        <v>14298972</v>
      </c>
      <c r="K996" s="34">
        <v>-1.1399999999999999</v>
      </c>
      <c r="L996" s="34">
        <v>-6.89</v>
      </c>
      <c r="M996" s="34">
        <v>5.47</v>
      </c>
      <c r="N996" s="24">
        <v>992</v>
      </c>
      <c r="O996" s="29">
        <v>43096.561886574076</v>
      </c>
    </row>
    <row r="997" spans="2:15" x14ac:dyDescent="0.25">
      <c r="B997" s="24" t="s">
        <v>2583</v>
      </c>
      <c r="C997" s="23" t="s">
        <v>633</v>
      </c>
      <c r="D997" s="24" t="s">
        <v>1593</v>
      </c>
      <c r="E997" s="25">
        <v>4.0000000000000001E-8</v>
      </c>
      <c r="F997" s="26">
        <v>6.3195099999999995E-4</v>
      </c>
      <c r="G997" s="27">
        <v>221.38</v>
      </c>
      <c r="H997" s="27">
        <v>70949</v>
      </c>
      <c r="I997" s="28">
        <v>112270425</v>
      </c>
      <c r="J997" s="28">
        <v>112270425</v>
      </c>
      <c r="K997" s="34">
        <v>97.73</v>
      </c>
      <c r="L997" s="34">
        <v>2.87</v>
      </c>
      <c r="M997" s="34">
        <v>85.5</v>
      </c>
      <c r="N997" s="24">
        <v>993</v>
      </c>
      <c r="O997" s="29">
        <v>43096.561921296299</v>
      </c>
    </row>
    <row r="998" spans="2:15" x14ac:dyDescent="0.25">
      <c r="B998" s="24" t="s">
        <v>2417</v>
      </c>
      <c r="C998" s="23" t="s">
        <v>657</v>
      </c>
      <c r="D998" s="24" t="s">
        <v>1616</v>
      </c>
      <c r="E998" s="25">
        <v>1.397E-5</v>
      </c>
      <c r="F998" s="26">
        <v>0.22070899999999999</v>
      </c>
      <c r="G998" s="27">
        <v>44.141800000000003</v>
      </c>
      <c r="H998" s="27">
        <v>69783</v>
      </c>
      <c r="I998" s="28">
        <v>316179</v>
      </c>
      <c r="J998" s="28">
        <v>1316179</v>
      </c>
      <c r="K998" s="34">
        <v>-1.29</v>
      </c>
      <c r="L998" s="34">
        <v>6.99</v>
      </c>
      <c r="M998" s="34">
        <v>59.02</v>
      </c>
      <c r="N998" s="24">
        <v>994</v>
      </c>
      <c r="O998" s="29">
        <v>43096.561932870369</v>
      </c>
    </row>
    <row r="999" spans="2:15" x14ac:dyDescent="0.25">
      <c r="B999" s="24" t="s">
        <v>2622</v>
      </c>
      <c r="C999" s="23" t="s">
        <v>693</v>
      </c>
      <c r="D999" s="24" t="s">
        <v>1651</v>
      </c>
      <c r="E999" s="25">
        <v>2.1E-7</v>
      </c>
      <c r="F999" s="26">
        <v>3.31775E-3</v>
      </c>
      <c r="G999" s="27">
        <v>3.4172799999999999</v>
      </c>
      <c r="H999" s="27">
        <v>69335</v>
      </c>
      <c r="I999" s="28">
        <v>20898106</v>
      </c>
      <c r="J999" s="28">
        <v>20898106</v>
      </c>
      <c r="K999" s="34">
        <v>-1.1399999999999999</v>
      </c>
      <c r="L999" s="34">
        <v>2.84</v>
      </c>
      <c r="M999" s="34">
        <v>-0.67</v>
      </c>
      <c r="N999" s="24">
        <v>995</v>
      </c>
      <c r="O999" s="29">
        <v>43096.561886574076</v>
      </c>
    </row>
    <row r="1000" spans="2:15" x14ac:dyDescent="0.25">
      <c r="B1000" s="24" t="s">
        <v>3281</v>
      </c>
      <c r="C1000" s="23" t="s">
        <v>3282</v>
      </c>
      <c r="D1000" s="24" t="s">
        <v>3283</v>
      </c>
      <c r="E1000" s="25">
        <v>8.5000000000000001E-7</v>
      </c>
      <c r="F1000" s="26">
        <v>1.34734E-2</v>
      </c>
      <c r="G1000" s="27">
        <v>295.21499999999997</v>
      </c>
      <c r="H1000" s="27">
        <v>68714</v>
      </c>
      <c r="I1000" s="28">
        <v>5100000</v>
      </c>
      <c r="J1000" s="28">
        <v>10000000</v>
      </c>
      <c r="K1000" s="34">
        <v>-1.17</v>
      </c>
      <c r="L1000" s="34">
        <v>10.76</v>
      </c>
      <c r="M1000" s="34">
        <v>-19.45</v>
      </c>
      <c r="N1000" s="24">
        <v>996</v>
      </c>
      <c r="O1000" s="29">
        <v>43096.561990740738</v>
      </c>
    </row>
    <row r="1001" spans="2:15" x14ac:dyDescent="0.25">
      <c r="B1001" s="24" t="s">
        <v>2567</v>
      </c>
      <c r="C1001" s="23" t="s">
        <v>620</v>
      </c>
      <c r="D1001" s="24" t="s">
        <v>1581</v>
      </c>
      <c r="E1001" s="25">
        <v>1.0899999999999999E-6</v>
      </c>
      <c r="F1001" s="26">
        <v>1.72531E-2</v>
      </c>
      <c r="G1001" s="27">
        <v>357.91500000000002</v>
      </c>
      <c r="H1001" s="27">
        <v>68421</v>
      </c>
      <c r="I1001" s="28">
        <v>3965716</v>
      </c>
      <c r="J1001" s="28">
        <v>3965716</v>
      </c>
      <c r="K1001" s="34">
        <v>20.32</v>
      </c>
      <c r="L1001" s="34">
        <v>4.5599999999999996</v>
      </c>
      <c r="M1001" s="34">
        <v>65.03</v>
      </c>
      <c r="N1001" s="24">
        <v>997</v>
      </c>
      <c r="O1001" s="29">
        <v>43096.561944444446</v>
      </c>
    </row>
    <row r="1002" spans="2:15" x14ac:dyDescent="0.25">
      <c r="B1002" s="24" t="s">
        <v>2656</v>
      </c>
      <c r="C1002" s="23" t="s">
        <v>727</v>
      </c>
      <c r="D1002" s="24" t="s">
        <v>1682</v>
      </c>
      <c r="E1002" s="25">
        <v>8.8999999999999995E-7</v>
      </c>
      <c r="F1002" s="26">
        <v>1.4060899999999999E-2</v>
      </c>
      <c r="G1002" s="27">
        <v>19.116499999999998</v>
      </c>
      <c r="H1002" s="27">
        <v>67913</v>
      </c>
      <c r="I1002" s="28">
        <v>4829945</v>
      </c>
      <c r="J1002" s="28">
        <v>4829945</v>
      </c>
      <c r="K1002" s="34">
        <v>-1.1399999999999999</v>
      </c>
      <c r="L1002" s="34">
        <v>2.84</v>
      </c>
      <c r="M1002" s="34">
        <v>9.0299999999999994</v>
      </c>
      <c r="N1002" s="24">
        <v>998</v>
      </c>
      <c r="O1002" s="29">
        <v>43096.561898148146</v>
      </c>
    </row>
    <row r="1003" spans="2:15" x14ac:dyDescent="0.25">
      <c r="B1003" s="24" t="s">
        <v>3567</v>
      </c>
      <c r="C1003" s="23" t="s">
        <v>3568</v>
      </c>
      <c r="D1003" s="24" t="s">
        <v>3569</v>
      </c>
      <c r="E1003" s="25">
        <v>5.9999999999999995E-8</v>
      </c>
      <c r="F1003" s="26">
        <v>9.8417399999999999E-4</v>
      </c>
      <c r="G1003" s="27">
        <v>81.014300000000006</v>
      </c>
      <c r="H1003" s="27">
        <v>67359</v>
      </c>
      <c r="I1003" s="28">
        <v>68441802</v>
      </c>
      <c r="J1003" s="28">
        <v>207000000</v>
      </c>
      <c r="K1003" s="34">
        <v>-0.59</v>
      </c>
      <c r="L1003" s="34">
        <v>-11.95</v>
      </c>
      <c r="M1003" s="34">
        <v>21.54</v>
      </c>
      <c r="N1003" s="24">
        <v>999</v>
      </c>
      <c r="O1003" s="29">
        <v>43096.561990740738</v>
      </c>
    </row>
    <row r="1004" spans="2:15" x14ac:dyDescent="0.25">
      <c r="B1004" s="24" t="s">
        <v>2621</v>
      </c>
      <c r="C1004" s="23" t="s">
        <v>694</v>
      </c>
      <c r="D1004" s="24" t="s">
        <v>1652</v>
      </c>
      <c r="E1004" s="25">
        <v>6.6000000000000003E-7</v>
      </c>
      <c r="F1004" s="26">
        <v>1.0427199999999999E-2</v>
      </c>
      <c r="G1004" s="27">
        <v>6.5479700000000003</v>
      </c>
      <c r="H1004" s="27">
        <v>65106</v>
      </c>
      <c r="I1004" s="28">
        <v>6243840</v>
      </c>
      <c r="J1004" s="28">
        <v>6243840</v>
      </c>
      <c r="K1004" s="34">
        <v>-1.1399999999999999</v>
      </c>
      <c r="L1004" s="34">
        <v>-3.01</v>
      </c>
      <c r="M1004" s="34">
        <v>35.56</v>
      </c>
      <c r="N1004" s="24">
        <v>1000</v>
      </c>
      <c r="O1004" s="29">
        <v>43096.561898148146</v>
      </c>
    </row>
    <row r="1005" spans="2:15" x14ac:dyDescent="0.25">
      <c r="B1005" s="24" t="s">
        <v>2652</v>
      </c>
      <c r="C1005" s="23" t="s">
        <v>718</v>
      </c>
      <c r="D1005" s="24" t="s">
        <v>1675</v>
      </c>
      <c r="E1005" s="25">
        <v>4.0000000000000001E-8</v>
      </c>
      <c r="F1005" s="26">
        <v>6.3195099999999995E-4</v>
      </c>
      <c r="G1005" s="27">
        <v>41.959800000000001</v>
      </c>
      <c r="H1005" s="27">
        <v>63195</v>
      </c>
      <c r="I1005" s="28">
        <v>100000000</v>
      </c>
      <c r="J1005" s="28">
        <v>100000000</v>
      </c>
      <c r="K1005" s="34">
        <v>-1.0900000000000001</v>
      </c>
      <c r="L1005" s="34"/>
      <c r="M1005" s="34">
        <v>57.48</v>
      </c>
      <c r="N1005" s="24">
        <v>1001</v>
      </c>
      <c r="O1005" s="29">
        <v>43096.561886574076</v>
      </c>
    </row>
    <row r="1006" spans="2:15" x14ac:dyDescent="0.25">
      <c r="B1006" s="24" t="s">
        <v>2359</v>
      </c>
      <c r="C1006" s="23" t="s">
        <v>423</v>
      </c>
      <c r="D1006" s="24" t="s">
        <v>1387</v>
      </c>
      <c r="E1006" s="25">
        <v>8.0000000000000002E-8</v>
      </c>
      <c r="F1006" s="26">
        <v>1.22197E-3</v>
      </c>
      <c r="G1006" s="27"/>
      <c r="H1006" s="27">
        <v>63025</v>
      </c>
      <c r="I1006" s="28">
        <v>51576383</v>
      </c>
      <c r="J1006" s="28">
        <v>196426384</v>
      </c>
      <c r="K1006" s="34"/>
      <c r="L1006" s="34"/>
      <c r="M1006" s="34">
        <v>43.97</v>
      </c>
      <c r="N1006" s="24">
        <v>1002</v>
      </c>
      <c r="O1006" s="29">
        <v>43095.461111111108</v>
      </c>
    </row>
    <row r="1007" spans="2:15" x14ac:dyDescent="0.25">
      <c r="B1007" s="24" t="s">
        <v>2601</v>
      </c>
      <c r="C1007" s="23" t="s">
        <v>668</v>
      </c>
      <c r="D1007" s="24" t="s">
        <v>668</v>
      </c>
      <c r="E1007" s="25">
        <v>5.0999999999999999E-7</v>
      </c>
      <c r="F1007" s="26">
        <v>8.0573799999999994E-3</v>
      </c>
      <c r="G1007" s="27">
        <v>49.526499999999999</v>
      </c>
      <c r="H1007" s="27">
        <v>60929</v>
      </c>
      <c r="I1007" s="28">
        <v>7561891</v>
      </c>
      <c r="J1007" s="28">
        <v>7561891</v>
      </c>
      <c r="K1007" s="34">
        <v>-1.0900000000000001</v>
      </c>
      <c r="L1007" s="34"/>
      <c r="M1007" s="34">
        <v>26.36</v>
      </c>
      <c r="N1007" s="24">
        <v>1003</v>
      </c>
      <c r="O1007" s="29">
        <v>43096.561863425923</v>
      </c>
    </row>
    <row r="1008" spans="2:15" x14ac:dyDescent="0.25">
      <c r="B1008" s="24" t="s">
        <v>2666</v>
      </c>
      <c r="C1008" s="23" t="s">
        <v>734</v>
      </c>
      <c r="D1008" s="24" t="s">
        <v>1688</v>
      </c>
      <c r="E1008" s="25">
        <v>6.8999999999999996E-7</v>
      </c>
      <c r="F1008" s="26">
        <v>1.09012E-2</v>
      </c>
      <c r="G1008" s="27">
        <v>6.2381500000000001</v>
      </c>
      <c r="H1008" s="27">
        <v>60503</v>
      </c>
      <c r="I1008" s="28">
        <v>5550102</v>
      </c>
      <c r="J1008" s="28">
        <v>5550102</v>
      </c>
      <c r="K1008" s="34">
        <v>-1.0900000000000001</v>
      </c>
      <c r="L1008" s="34"/>
      <c r="M1008" s="34"/>
      <c r="N1008" s="24">
        <v>1004</v>
      </c>
      <c r="O1008" s="29">
        <v>43096.561863425923</v>
      </c>
    </row>
    <row r="1009" spans="2:15" x14ac:dyDescent="0.25">
      <c r="B1009" s="24" t="s">
        <v>2619</v>
      </c>
      <c r="C1009" s="23" t="s">
        <v>686</v>
      </c>
      <c r="D1009" s="24" t="s">
        <v>1644</v>
      </c>
      <c r="E1009" s="25">
        <v>1.8E-7</v>
      </c>
      <c r="F1009" s="26">
        <v>2.8437800000000002E-3</v>
      </c>
      <c r="G1009" s="27">
        <v>1.9472</v>
      </c>
      <c r="H1009" s="27">
        <v>60467</v>
      </c>
      <c r="I1009" s="28">
        <v>21262780</v>
      </c>
      <c r="J1009" s="28">
        <v>22262780</v>
      </c>
      <c r="K1009" s="34">
        <v>-1.0900000000000001</v>
      </c>
      <c r="L1009" s="34"/>
      <c r="M1009" s="34">
        <v>66.83</v>
      </c>
      <c r="N1009" s="24">
        <v>1005</v>
      </c>
      <c r="O1009" s="29">
        <v>43096.561874999999</v>
      </c>
    </row>
    <row r="1010" spans="2:15" x14ac:dyDescent="0.25">
      <c r="B1010" s="24" t="s">
        <v>2671</v>
      </c>
      <c r="C1010" s="23" t="s">
        <v>736</v>
      </c>
      <c r="D1010" s="24" t="s">
        <v>1690</v>
      </c>
      <c r="E1010" s="25">
        <v>4.8000000000000001E-5</v>
      </c>
      <c r="F1010" s="26">
        <v>0.75834199999999996</v>
      </c>
      <c r="G1010" s="27">
        <v>31.6158</v>
      </c>
      <c r="H1010" s="27">
        <v>60114</v>
      </c>
      <c r="I1010" s="28">
        <v>79270</v>
      </c>
      <c r="J1010" s="28">
        <v>10079270</v>
      </c>
      <c r="K1010" s="34">
        <v>-1.0900000000000001</v>
      </c>
      <c r="L1010" s="34">
        <v>2.84</v>
      </c>
      <c r="M1010" s="34">
        <v>-7.31</v>
      </c>
      <c r="N1010" s="24">
        <v>1006</v>
      </c>
      <c r="O1010" s="29">
        <v>43096.561840277776</v>
      </c>
    </row>
    <row r="1011" spans="2:15" x14ac:dyDescent="0.25">
      <c r="B1011" s="24" t="s">
        <v>2580</v>
      </c>
      <c r="C1011" s="23" t="s">
        <v>643</v>
      </c>
      <c r="D1011" s="24" t="s">
        <v>1603</v>
      </c>
      <c r="E1011" s="25">
        <v>4.3900000000000003E-6</v>
      </c>
      <c r="F1011" s="26">
        <v>6.9356699999999993E-2</v>
      </c>
      <c r="G1011" s="27">
        <v>53.290399999999998</v>
      </c>
      <c r="H1011" s="27">
        <v>59723</v>
      </c>
      <c r="I1011" s="28">
        <v>861099</v>
      </c>
      <c r="J1011" s="28">
        <v>861099</v>
      </c>
      <c r="K1011" s="34">
        <v>-1.0900000000000001</v>
      </c>
      <c r="L1011" s="34">
        <v>15.2</v>
      </c>
      <c r="M1011" s="34">
        <v>12.58</v>
      </c>
      <c r="N1011" s="24">
        <v>1007</v>
      </c>
      <c r="O1011" s="29">
        <v>43096.561886574076</v>
      </c>
    </row>
    <row r="1012" spans="2:15" x14ac:dyDescent="0.25">
      <c r="B1012" s="24" t="s">
        <v>2665</v>
      </c>
      <c r="C1012" s="23" t="s">
        <v>722</v>
      </c>
      <c r="D1012" s="24" t="s">
        <v>722</v>
      </c>
      <c r="E1012" s="25">
        <v>5.9999999999999995E-8</v>
      </c>
      <c r="F1012" s="26">
        <v>9.4792699999999999E-4</v>
      </c>
      <c r="G1012" s="27">
        <v>11.417299999999999</v>
      </c>
      <c r="H1012" s="27">
        <v>56876</v>
      </c>
      <c r="I1012" s="28">
        <v>60000001</v>
      </c>
      <c r="J1012" s="28">
        <v>60000001</v>
      </c>
      <c r="K1012" s="34">
        <v>-1.1399999999999999</v>
      </c>
      <c r="L1012" s="34"/>
      <c r="M1012" s="34">
        <v>0.7</v>
      </c>
      <c r="N1012" s="24">
        <v>1008</v>
      </c>
      <c r="O1012" s="29">
        <v>43096.561898148146</v>
      </c>
    </row>
    <row r="1013" spans="2:15" x14ac:dyDescent="0.25">
      <c r="B1013" s="24" t="s">
        <v>2629</v>
      </c>
      <c r="C1013" s="23" t="s">
        <v>696</v>
      </c>
      <c r="D1013" s="24" t="s">
        <v>1654</v>
      </c>
      <c r="E1013" s="25">
        <v>5.9999999999999995E-8</v>
      </c>
      <c r="F1013" s="26">
        <v>9.4792699999999999E-4</v>
      </c>
      <c r="G1013" s="27">
        <v>110.58</v>
      </c>
      <c r="H1013" s="27">
        <v>56525</v>
      </c>
      <c r="I1013" s="28">
        <v>59630200</v>
      </c>
      <c r="J1013" s="28">
        <v>59630200</v>
      </c>
      <c r="K1013" s="34">
        <v>-1.1399999999999999</v>
      </c>
      <c r="L1013" s="34">
        <v>-11.85</v>
      </c>
      <c r="M1013" s="34">
        <v>-22.73</v>
      </c>
      <c r="N1013" s="24">
        <v>1009</v>
      </c>
      <c r="O1013" s="29">
        <v>43096.561921296299</v>
      </c>
    </row>
    <row r="1014" spans="2:15" x14ac:dyDescent="0.25">
      <c r="B1014" s="24" t="s">
        <v>2253</v>
      </c>
      <c r="C1014" s="23" t="s">
        <v>323</v>
      </c>
      <c r="D1014" s="24" t="s">
        <v>1291</v>
      </c>
      <c r="E1014" s="25">
        <v>3.1E-7</v>
      </c>
      <c r="F1014" s="26">
        <v>4.8976200000000001E-3</v>
      </c>
      <c r="G1014" s="27">
        <v>93.131799999999998</v>
      </c>
      <c r="H1014" s="27">
        <v>54858</v>
      </c>
      <c r="I1014" s="28">
        <v>11200860</v>
      </c>
      <c r="J1014" s="28">
        <v>11200860</v>
      </c>
      <c r="K1014" s="34">
        <v>3.88</v>
      </c>
      <c r="L1014" s="34">
        <v>6.3</v>
      </c>
      <c r="M1014" s="34">
        <v>22.27</v>
      </c>
      <c r="N1014" s="24">
        <v>1010</v>
      </c>
      <c r="O1014" s="29">
        <v>43096.561921296299</v>
      </c>
    </row>
    <row r="1015" spans="2:15" x14ac:dyDescent="0.25">
      <c r="B1015" s="24" t="s">
        <v>2626</v>
      </c>
      <c r="C1015" s="23" t="s">
        <v>689</v>
      </c>
      <c r="D1015" s="24" t="s">
        <v>1647</v>
      </c>
      <c r="E1015" s="25">
        <v>8.9999999999999999E-8</v>
      </c>
      <c r="F1015" s="26">
        <v>1.41541E-3</v>
      </c>
      <c r="G1015" s="27"/>
      <c r="H1015" s="27">
        <v>54733</v>
      </c>
      <c r="I1015" s="28">
        <v>38669634</v>
      </c>
      <c r="J1015" s="28">
        <v>38669634</v>
      </c>
      <c r="K1015" s="34"/>
      <c r="L1015" s="34">
        <v>2.4</v>
      </c>
      <c r="M1015" s="34">
        <v>38.08</v>
      </c>
      <c r="N1015" s="24">
        <v>1011</v>
      </c>
      <c r="O1015" s="29">
        <v>43095.982002314813</v>
      </c>
    </row>
    <row r="1016" spans="2:15" x14ac:dyDescent="0.25">
      <c r="B1016" s="24" t="s">
        <v>2646</v>
      </c>
      <c r="C1016" s="23" t="s">
        <v>711</v>
      </c>
      <c r="D1016" s="24" t="s">
        <v>1669</v>
      </c>
      <c r="E1016" s="25">
        <v>8.9999999999999999E-8</v>
      </c>
      <c r="F1016" s="30">
        <v>1.44546E-3</v>
      </c>
      <c r="G1016" s="27"/>
      <c r="H1016" s="27">
        <v>52971</v>
      </c>
      <c r="I1016" s="28">
        <v>36646779</v>
      </c>
      <c r="J1016" s="28">
        <v>36646779</v>
      </c>
      <c r="K1016" s="34"/>
      <c r="L1016" s="34">
        <v>4.54</v>
      </c>
      <c r="M1016" s="34">
        <v>-22.91</v>
      </c>
      <c r="N1016" s="24">
        <v>1012</v>
      </c>
      <c r="O1016" s="29">
        <v>43095.929942129631</v>
      </c>
    </row>
    <row r="1017" spans="2:15" x14ac:dyDescent="0.25">
      <c r="B1017" s="24" t="s">
        <v>2184</v>
      </c>
      <c r="C1017" s="23" t="s">
        <v>258</v>
      </c>
      <c r="D1017" s="24" t="s">
        <v>1227</v>
      </c>
      <c r="E1017" s="25">
        <v>1.9049999999999999E-5</v>
      </c>
      <c r="F1017" s="26">
        <v>0.30096699999999998</v>
      </c>
      <c r="G1017" s="27">
        <v>188.59</v>
      </c>
      <c r="H1017" s="27">
        <v>52851</v>
      </c>
      <c r="I1017" s="28">
        <v>175603</v>
      </c>
      <c r="J1017" s="28">
        <v>175603</v>
      </c>
      <c r="K1017" s="34">
        <v>-0.61</v>
      </c>
      <c r="L1017" s="34">
        <v>-25.75</v>
      </c>
      <c r="M1017" s="34">
        <v>5.0599999999999996</v>
      </c>
      <c r="N1017" s="24">
        <v>1013</v>
      </c>
      <c r="O1017" s="29">
        <v>43096.561851851853</v>
      </c>
    </row>
    <row r="1018" spans="2:15" x14ac:dyDescent="0.25">
      <c r="B1018" s="24" t="s">
        <v>2420</v>
      </c>
      <c r="C1018" s="23" t="s">
        <v>661</v>
      </c>
      <c r="D1018" s="24" t="s">
        <v>1620</v>
      </c>
      <c r="E1018" s="25">
        <v>1.9000000000000001E-7</v>
      </c>
      <c r="F1018" s="26">
        <v>3.00177E-3</v>
      </c>
      <c r="G1018" s="27">
        <v>25.5959</v>
      </c>
      <c r="H1018" s="27">
        <v>51299</v>
      </c>
      <c r="I1018" s="28">
        <v>17089600</v>
      </c>
      <c r="J1018" s="28">
        <v>19089600</v>
      </c>
      <c r="K1018" s="34">
        <v>-1.0900000000000001</v>
      </c>
      <c r="L1018" s="34">
        <v>3.41</v>
      </c>
      <c r="M1018" s="34">
        <v>-7.2</v>
      </c>
      <c r="N1018" s="24">
        <v>1014</v>
      </c>
      <c r="O1018" s="29">
        <v>43096.561828703707</v>
      </c>
    </row>
    <row r="1019" spans="2:15" x14ac:dyDescent="0.25">
      <c r="B1019" s="24" t="s">
        <v>2565</v>
      </c>
      <c r="C1019" s="23" t="s">
        <v>549</v>
      </c>
      <c r="D1019" s="24" t="s">
        <v>1513</v>
      </c>
      <c r="E1019" s="25">
        <v>2.9999999999999999E-7</v>
      </c>
      <c r="F1019" s="26">
        <v>4.7396399999999998E-3</v>
      </c>
      <c r="G1019" s="27">
        <v>65.679699999999997</v>
      </c>
      <c r="H1019" s="27">
        <v>51140</v>
      </c>
      <c r="I1019" s="28">
        <v>10789954</v>
      </c>
      <c r="J1019" s="28">
        <v>10789954</v>
      </c>
      <c r="K1019" s="34">
        <v>-1.1399999999999999</v>
      </c>
      <c r="L1019" s="34">
        <v>11.21</v>
      </c>
      <c r="M1019" s="34">
        <v>14.3</v>
      </c>
      <c r="N1019" s="24">
        <v>1015</v>
      </c>
      <c r="O1019" s="29">
        <v>43096.561932870369</v>
      </c>
    </row>
    <row r="1020" spans="2:15" x14ac:dyDescent="0.25">
      <c r="B1020" s="24" t="s">
        <v>2657</v>
      </c>
      <c r="C1020" s="23" t="s">
        <v>724</v>
      </c>
      <c r="D1020" s="24" t="s">
        <v>724</v>
      </c>
      <c r="E1020" s="25">
        <v>4.0000000000000001E-8</v>
      </c>
      <c r="F1020" s="26">
        <v>6.3195099999999995E-4</v>
      </c>
      <c r="G1020" s="27">
        <v>1.9279299999999999</v>
      </c>
      <c r="H1020" s="27">
        <v>50266</v>
      </c>
      <c r="I1020" s="28">
        <v>79541001</v>
      </c>
      <c r="J1020" s="28">
        <v>79541001</v>
      </c>
      <c r="K1020" s="34">
        <v>-1.1399999999999999</v>
      </c>
      <c r="L1020" s="34">
        <v>-17.73</v>
      </c>
      <c r="M1020" s="34">
        <v>-0.94</v>
      </c>
      <c r="N1020" s="24">
        <v>1016</v>
      </c>
      <c r="O1020" s="29">
        <v>43096.561909722222</v>
      </c>
    </row>
    <row r="1021" spans="2:15" x14ac:dyDescent="0.25">
      <c r="B1021" s="24" t="s">
        <v>2676</v>
      </c>
      <c r="C1021" s="23" t="s">
        <v>744</v>
      </c>
      <c r="D1021" s="24" t="s">
        <v>1698</v>
      </c>
      <c r="E1021" s="25">
        <v>2.9999999999999997E-8</v>
      </c>
      <c r="F1021" s="26">
        <v>4.73964E-4</v>
      </c>
      <c r="G1021" s="27">
        <v>327.09199999999998</v>
      </c>
      <c r="H1021" s="27">
        <v>50249</v>
      </c>
      <c r="I1021" s="28">
        <v>106019270</v>
      </c>
      <c r="J1021" s="28">
        <v>200019300</v>
      </c>
      <c r="K1021" s="34">
        <v>-1.1399999999999999</v>
      </c>
      <c r="L1021" s="34">
        <v>54.26</v>
      </c>
      <c r="M1021" s="34">
        <v>39.03</v>
      </c>
      <c r="N1021" s="24">
        <v>1017</v>
      </c>
      <c r="O1021" s="29">
        <v>43096.561909722222</v>
      </c>
    </row>
    <row r="1022" spans="2:15" x14ac:dyDescent="0.25">
      <c r="B1022" s="24" t="s">
        <v>3451</v>
      </c>
      <c r="C1022" s="23" t="s">
        <v>3452</v>
      </c>
      <c r="D1022" s="24" t="s">
        <v>3453</v>
      </c>
      <c r="E1022" s="25">
        <v>8.9999999999999999E-8</v>
      </c>
      <c r="F1022" s="26">
        <v>1.4218900000000001E-3</v>
      </c>
      <c r="G1022" s="27">
        <v>171.637</v>
      </c>
      <c r="H1022" s="27">
        <v>49937</v>
      </c>
      <c r="I1022" s="28">
        <v>35120000</v>
      </c>
      <c r="J1022" s="28">
        <v>100120000</v>
      </c>
      <c r="K1022" s="34">
        <v>-1.1399999999999999</v>
      </c>
      <c r="L1022" s="34">
        <v>-11.12</v>
      </c>
      <c r="M1022" s="34">
        <v>38.65</v>
      </c>
      <c r="N1022" s="24">
        <v>1018</v>
      </c>
      <c r="O1022" s="29">
        <v>43096.562002314815</v>
      </c>
    </row>
    <row r="1023" spans="2:15" x14ac:dyDescent="0.25">
      <c r="B1023" s="24" t="s">
        <v>2634</v>
      </c>
      <c r="C1023" s="23" t="s">
        <v>698</v>
      </c>
      <c r="D1023" s="24" t="s">
        <v>1656</v>
      </c>
      <c r="E1023" s="25">
        <v>1.86E-6</v>
      </c>
      <c r="F1023" s="26">
        <v>2.9385700000000001E-2</v>
      </c>
      <c r="G1023" s="27">
        <v>58.932000000000002</v>
      </c>
      <c r="H1023" s="27">
        <v>47017</v>
      </c>
      <c r="I1023" s="28">
        <v>1600000</v>
      </c>
      <c r="J1023" s="28">
        <v>1600000</v>
      </c>
      <c r="K1023" s="34">
        <v>-1.0900000000000001</v>
      </c>
      <c r="L1023" s="34">
        <v>1.02</v>
      </c>
      <c r="M1023" s="34">
        <v>-10.53</v>
      </c>
      <c r="N1023" s="24">
        <v>1019</v>
      </c>
      <c r="O1023" s="29">
        <v>43096.561874999999</v>
      </c>
    </row>
    <row r="1024" spans="2:15" x14ac:dyDescent="0.25">
      <c r="B1024" s="24" t="s">
        <v>2607</v>
      </c>
      <c r="C1024" s="23" t="s">
        <v>672</v>
      </c>
      <c r="D1024" s="24" t="s">
        <v>1630</v>
      </c>
      <c r="E1024" s="25">
        <v>3.5999999999999999E-7</v>
      </c>
      <c r="F1024" s="26">
        <v>5.6875600000000004E-3</v>
      </c>
      <c r="G1024" s="27">
        <v>0.947295</v>
      </c>
      <c r="H1024" s="27">
        <v>45431</v>
      </c>
      <c r="I1024" s="28">
        <v>7987730</v>
      </c>
      <c r="J1024" s="28">
        <v>7987730</v>
      </c>
      <c r="K1024" s="34">
        <v>-1.1399999999999999</v>
      </c>
      <c r="L1024" s="34">
        <v>3.04</v>
      </c>
      <c r="M1024" s="34"/>
      <c r="N1024" s="24">
        <v>1020</v>
      </c>
      <c r="O1024" s="29">
        <v>43096.561863425923</v>
      </c>
    </row>
    <row r="1025" spans="2:15" x14ac:dyDescent="0.25">
      <c r="B1025" s="24" t="s">
        <v>2660</v>
      </c>
      <c r="C1025" s="23" t="s">
        <v>726</v>
      </c>
      <c r="D1025" s="24" t="s">
        <v>1681</v>
      </c>
      <c r="E1025" s="25">
        <v>3.01E-6</v>
      </c>
      <c r="F1025" s="26">
        <v>4.7942400000000003E-2</v>
      </c>
      <c r="G1025" s="27"/>
      <c r="H1025" s="27">
        <v>42862</v>
      </c>
      <c r="I1025" s="28">
        <v>894026</v>
      </c>
      <c r="J1025" s="28">
        <v>894026</v>
      </c>
      <c r="K1025" s="34"/>
      <c r="L1025" s="34">
        <v>3.68</v>
      </c>
      <c r="M1025" s="34">
        <v>-6.84</v>
      </c>
      <c r="N1025" s="24">
        <v>1021</v>
      </c>
      <c r="O1025" s="29">
        <v>43096.096585648149</v>
      </c>
    </row>
    <row r="1026" spans="2:15" x14ac:dyDescent="0.25">
      <c r="B1026" s="24" t="s">
        <v>2611</v>
      </c>
      <c r="C1026" s="23" t="s">
        <v>677</v>
      </c>
      <c r="D1026" s="24" t="s">
        <v>1635</v>
      </c>
      <c r="E1026" s="25">
        <v>1.3E-7</v>
      </c>
      <c r="F1026" s="26">
        <v>2.0538399999999999E-3</v>
      </c>
      <c r="G1026" s="27">
        <v>7.5121700000000002</v>
      </c>
      <c r="H1026" s="27">
        <v>42764</v>
      </c>
      <c r="I1026" s="28">
        <v>20821709</v>
      </c>
      <c r="J1026" s="28">
        <v>20821709</v>
      </c>
      <c r="K1026" s="34">
        <v>-1.1399999999999999</v>
      </c>
      <c r="L1026" s="34">
        <v>-16.420000000000002</v>
      </c>
      <c r="M1026" s="34">
        <v>17.920000000000002</v>
      </c>
      <c r="N1026" s="24">
        <v>1022</v>
      </c>
      <c r="O1026" s="29">
        <v>43096.561863425923</v>
      </c>
    </row>
    <row r="1027" spans="2:15" x14ac:dyDescent="0.25">
      <c r="B1027" s="24" t="s">
        <v>2674</v>
      </c>
      <c r="C1027" s="23" t="s">
        <v>742</v>
      </c>
      <c r="D1027" s="24" t="s">
        <v>1696</v>
      </c>
      <c r="E1027" s="25">
        <v>1.3E-7</v>
      </c>
      <c r="F1027" s="26">
        <v>2.0753400000000002E-3</v>
      </c>
      <c r="G1027" s="27"/>
      <c r="H1027" s="27">
        <v>42016</v>
      </c>
      <c r="I1027" s="28">
        <v>20245510</v>
      </c>
      <c r="J1027" s="28">
        <v>20245510</v>
      </c>
      <c r="K1027" s="34"/>
      <c r="L1027" s="34">
        <v>3.95</v>
      </c>
      <c r="M1027" s="34">
        <v>-11.59</v>
      </c>
      <c r="N1027" s="24">
        <v>1023</v>
      </c>
      <c r="O1027" s="29">
        <v>43096.402175925927</v>
      </c>
    </row>
    <row r="1028" spans="2:15" x14ac:dyDescent="0.25">
      <c r="B1028" s="24" t="s">
        <v>2618</v>
      </c>
      <c r="C1028" s="23" t="s">
        <v>681</v>
      </c>
      <c r="D1028" s="24" t="s">
        <v>1639</v>
      </c>
      <c r="E1028" s="25">
        <v>1.4000000000000001E-7</v>
      </c>
      <c r="F1028" s="26">
        <v>2.2118300000000001E-3</v>
      </c>
      <c r="G1028" s="27">
        <v>18.723500000000001</v>
      </c>
      <c r="H1028" s="27">
        <v>41195</v>
      </c>
      <c r="I1028" s="28">
        <v>18625017</v>
      </c>
      <c r="J1028" s="28">
        <v>18625017</v>
      </c>
      <c r="K1028" s="34">
        <v>-1.1399999999999999</v>
      </c>
      <c r="L1028" s="34">
        <v>-27.99</v>
      </c>
      <c r="M1028" s="34">
        <v>-13.72</v>
      </c>
      <c r="N1028" s="24">
        <v>1024</v>
      </c>
      <c r="O1028" s="29">
        <v>43096.561874999999</v>
      </c>
    </row>
    <row r="1029" spans="2:15" x14ac:dyDescent="0.25">
      <c r="B1029" s="24" t="s">
        <v>3553</v>
      </c>
      <c r="C1029" s="23" t="s">
        <v>3554</v>
      </c>
      <c r="D1029" s="24" t="s">
        <v>3555</v>
      </c>
      <c r="E1029" s="25">
        <v>2E-8</v>
      </c>
      <c r="F1029" s="26">
        <v>3.15667E-4</v>
      </c>
      <c r="G1029" s="27">
        <v>358.11700000000002</v>
      </c>
      <c r="H1029" s="27">
        <v>41037</v>
      </c>
      <c r="I1029" s="28">
        <v>130000000</v>
      </c>
      <c r="J1029" s="28">
        <v>600000000</v>
      </c>
      <c r="K1029" s="34">
        <v>-1.1299999999999999</v>
      </c>
      <c r="L1029" s="34">
        <v>45.31</v>
      </c>
      <c r="M1029" s="34">
        <v>85.19</v>
      </c>
      <c r="N1029" s="24">
        <v>1025</v>
      </c>
      <c r="O1029" s="29">
        <v>43096.561990740738</v>
      </c>
    </row>
    <row r="1030" spans="2:15" x14ac:dyDescent="0.25">
      <c r="B1030" s="24" t="s">
        <v>2670</v>
      </c>
      <c r="C1030" s="23" t="s">
        <v>738</v>
      </c>
      <c r="D1030" s="24" t="s">
        <v>1692</v>
      </c>
      <c r="E1030" s="25">
        <v>1.0300000000000001E-6</v>
      </c>
      <c r="F1030" s="26">
        <v>1.6272700000000001E-2</v>
      </c>
      <c r="G1030" s="27">
        <v>1.9472</v>
      </c>
      <c r="H1030" s="27">
        <v>39921</v>
      </c>
      <c r="I1030" s="28">
        <v>2453240</v>
      </c>
      <c r="J1030" s="28">
        <v>2453240</v>
      </c>
      <c r="K1030" s="34">
        <v>-1.1399999999999999</v>
      </c>
      <c r="L1030" s="34">
        <v>65.56</v>
      </c>
      <c r="M1030" s="34">
        <v>-3</v>
      </c>
      <c r="N1030" s="24">
        <v>1026</v>
      </c>
      <c r="O1030" s="29">
        <v>43096.561886574076</v>
      </c>
    </row>
    <row r="1031" spans="2:15" x14ac:dyDescent="0.25">
      <c r="B1031" s="24" t="s">
        <v>2645</v>
      </c>
      <c r="C1031" s="23" t="s">
        <v>712</v>
      </c>
      <c r="D1031" s="24" t="s">
        <v>1670</v>
      </c>
      <c r="E1031" s="25">
        <v>3.3400000000000002E-6</v>
      </c>
      <c r="F1031" s="26">
        <v>5.27679E-2</v>
      </c>
      <c r="G1031" s="27">
        <v>273.74700000000001</v>
      </c>
      <c r="H1031" s="27">
        <v>39775</v>
      </c>
      <c r="I1031" s="28">
        <v>753776</v>
      </c>
      <c r="J1031" s="28">
        <v>9601412</v>
      </c>
      <c r="K1031" s="34">
        <v>-1.0900000000000001</v>
      </c>
      <c r="L1031" s="34">
        <v>-1.1000000000000001</v>
      </c>
      <c r="M1031" s="34">
        <v>3.51</v>
      </c>
      <c r="N1031" s="24">
        <v>1027</v>
      </c>
      <c r="O1031" s="29">
        <v>43096.561909722222</v>
      </c>
    </row>
    <row r="1032" spans="2:15" x14ac:dyDescent="0.25">
      <c r="B1032" s="24" t="s">
        <v>2612</v>
      </c>
      <c r="C1032" s="23" t="s">
        <v>667</v>
      </c>
      <c r="D1032" s="24" t="s">
        <v>1626</v>
      </c>
      <c r="E1032" s="25">
        <v>2.1E-7</v>
      </c>
      <c r="F1032" s="26">
        <v>3.33621E-3</v>
      </c>
      <c r="G1032" s="27">
        <v>236.274</v>
      </c>
      <c r="H1032" s="27">
        <v>37905</v>
      </c>
      <c r="I1032" s="28">
        <v>11361817</v>
      </c>
      <c r="J1032" s="28">
        <v>11361817</v>
      </c>
      <c r="K1032" s="34">
        <v>0</v>
      </c>
      <c r="L1032" s="34">
        <v>180.35</v>
      </c>
      <c r="M1032" s="34">
        <v>140.11000000000001</v>
      </c>
      <c r="N1032" s="24">
        <v>1028</v>
      </c>
      <c r="O1032" s="29">
        <v>43096.561874999999</v>
      </c>
    </row>
    <row r="1033" spans="2:15" x14ac:dyDescent="0.25">
      <c r="B1033" s="24" t="s">
        <v>2659</v>
      </c>
      <c r="C1033" s="23" t="s">
        <v>715</v>
      </c>
      <c r="D1033" s="24" t="s">
        <v>1673</v>
      </c>
      <c r="E1033" s="25">
        <v>1.57E-6</v>
      </c>
      <c r="F1033" s="26">
        <v>2.49061E-2</v>
      </c>
      <c r="G1033" s="27"/>
      <c r="H1033" s="27">
        <v>37214</v>
      </c>
      <c r="I1033" s="28">
        <v>1494171</v>
      </c>
      <c r="J1033" s="28">
        <v>1694171</v>
      </c>
      <c r="K1033" s="34"/>
      <c r="L1033" s="34">
        <v>3.29</v>
      </c>
      <c r="M1033" s="34">
        <v>-4.3899999999999997</v>
      </c>
      <c r="N1033" s="24">
        <v>1029</v>
      </c>
      <c r="O1033" s="29">
        <v>43095.673009259262</v>
      </c>
    </row>
    <row r="1034" spans="2:15" x14ac:dyDescent="0.25">
      <c r="B1034" s="24" t="s">
        <v>2675</v>
      </c>
      <c r="C1034" s="23" t="s">
        <v>739</v>
      </c>
      <c r="D1034" s="24" t="s">
        <v>1693</v>
      </c>
      <c r="E1034" s="25">
        <v>8.8999999999999995E-7</v>
      </c>
      <c r="F1034" s="26">
        <v>1.4060899999999999E-2</v>
      </c>
      <c r="G1034" s="27">
        <v>58.611800000000002</v>
      </c>
      <c r="H1034" s="27">
        <v>36305</v>
      </c>
      <c r="I1034" s="28">
        <v>2581970</v>
      </c>
      <c r="J1034" s="28">
        <v>2581970</v>
      </c>
      <c r="K1034" s="34">
        <v>-1.1399999999999999</v>
      </c>
      <c r="L1034" s="34">
        <v>31.73</v>
      </c>
      <c r="M1034" s="34"/>
      <c r="N1034" s="24">
        <v>1030</v>
      </c>
      <c r="O1034" s="29">
        <v>43096.561898148146</v>
      </c>
    </row>
    <row r="1035" spans="2:15" x14ac:dyDescent="0.25">
      <c r="B1035" s="24" t="s">
        <v>2661</v>
      </c>
      <c r="C1035" s="23" t="s">
        <v>705</v>
      </c>
      <c r="D1035" s="24" t="s">
        <v>1663</v>
      </c>
      <c r="E1035" s="25">
        <v>2.8999999999999998E-7</v>
      </c>
      <c r="F1035" s="30">
        <v>4.5816499999999996E-3</v>
      </c>
      <c r="G1035" s="27">
        <v>241.84800000000001</v>
      </c>
      <c r="H1035" s="27">
        <v>36019</v>
      </c>
      <c r="I1035" s="28">
        <v>7861655</v>
      </c>
      <c r="J1035" s="28">
        <v>207861655</v>
      </c>
      <c r="K1035" s="34">
        <v>-1.1399999999999999</v>
      </c>
      <c r="L1035" s="34">
        <v>-43.71</v>
      </c>
      <c r="M1035" s="34">
        <v>27.99</v>
      </c>
      <c r="N1035" s="24">
        <v>1031</v>
      </c>
      <c r="O1035" s="29">
        <v>43096.561898148146</v>
      </c>
    </row>
    <row r="1036" spans="2:15" x14ac:dyDescent="0.25">
      <c r="B1036" s="24" t="s">
        <v>2639</v>
      </c>
      <c r="C1036" s="23" t="s">
        <v>702</v>
      </c>
      <c r="D1036" s="24" t="s">
        <v>1660</v>
      </c>
      <c r="E1036" s="25">
        <v>2E-8</v>
      </c>
      <c r="F1036" s="26">
        <v>3.1597599999999998E-4</v>
      </c>
      <c r="G1036" s="27">
        <v>120.02500000000001</v>
      </c>
      <c r="H1036" s="27">
        <v>32001</v>
      </c>
      <c r="I1036" s="28">
        <v>101276976</v>
      </c>
      <c r="J1036" s="28">
        <v>101276976</v>
      </c>
      <c r="K1036" s="34">
        <v>97.73</v>
      </c>
      <c r="L1036" s="34">
        <v>2.84</v>
      </c>
      <c r="M1036" s="34">
        <v>-5.74</v>
      </c>
      <c r="N1036" s="24">
        <v>1032</v>
      </c>
      <c r="O1036" s="29">
        <v>43096.561921296299</v>
      </c>
    </row>
    <row r="1037" spans="2:15" x14ac:dyDescent="0.25">
      <c r="B1037" s="24" t="s">
        <v>2784</v>
      </c>
      <c r="C1037" s="23" t="s">
        <v>853</v>
      </c>
      <c r="D1037" s="24" t="s">
        <v>1802</v>
      </c>
      <c r="E1037" s="25">
        <v>1.9999999999999999E-7</v>
      </c>
      <c r="F1037" s="26">
        <v>3.1597600000000002E-3</v>
      </c>
      <c r="G1037" s="27">
        <v>73.849199999999996</v>
      </c>
      <c r="H1037" s="27">
        <v>31896</v>
      </c>
      <c r="I1037" s="28">
        <v>10094424</v>
      </c>
      <c r="J1037" s="28">
        <v>10094424</v>
      </c>
      <c r="K1037" s="34">
        <v>9.84</v>
      </c>
      <c r="L1037" s="34">
        <v>14.27</v>
      </c>
      <c r="M1037" s="34">
        <v>15.86</v>
      </c>
      <c r="N1037" s="24">
        <v>1033</v>
      </c>
      <c r="O1037" s="29">
        <v>43096.561898148146</v>
      </c>
    </row>
    <row r="1038" spans="2:15" x14ac:dyDescent="0.25">
      <c r="B1038" s="24" t="s">
        <v>2651</v>
      </c>
      <c r="C1038" s="23" t="s">
        <v>725</v>
      </c>
      <c r="D1038" s="24" t="s">
        <v>1680</v>
      </c>
      <c r="E1038" s="25">
        <v>4.4399999999999998E-6</v>
      </c>
      <c r="F1038" s="26">
        <v>7.0146600000000003E-2</v>
      </c>
      <c r="G1038" s="27">
        <v>80.400000000000006</v>
      </c>
      <c r="H1038" s="27">
        <v>29462</v>
      </c>
      <c r="I1038" s="28">
        <v>420000</v>
      </c>
      <c r="J1038" s="28">
        <v>420000</v>
      </c>
      <c r="K1038" s="34">
        <v>-1.1399999999999999</v>
      </c>
      <c r="L1038" s="34">
        <v>3.54</v>
      </c>
      <c r="M1038" s="34"/>
      <c r="N1038" s="24">
        <v>1034</v>
      </c>
      <c r="O1038" s="29">
        <v>43096.561898148146</v>
      </c>
    </row>
    <row r="1039" spans="2:15" x14ac:dyDescent="0.25">
      <c r="B1039" s="24" t="s">
        <v>2664</v>
      </c>
      <c r="C1039" s="23" t="s">
        <v>733</v>
      </c>
      <c r="D1039" s="24" t="s">
        <v>1687</v>
      </c>
      <c r="E1039" s="25">
        <v>4.9999999999999998E-8</v>
      </c>
      <c r="F1039" s="26">
        <v>7.8993900000000003E-4</v>
      </c>
      <c r="G1039" s="27">
        <v>64.238500000000002</v>
      </c>
      <c r="H1039" s="27">
        <v>28709</v>
      </c>
      <c r="I1039" s="28">
        <v>36343543</v>
      </c>
      <c r="J1039" s="28">
        <v>36343543</v>
      </c>
      <c r="K1039" s="34">
        <v>-1.0900000000000001</v>
      </c>
      <c r="L1039" s="34">
        <v>-26.52</v>
      </c>
      <c r="M1039" s="34">
        <v>-27.62</v>
      </c>
      <c r="N1039" s="24">
        <v>1035</v>
      </c>
      <c r="O1039" s="29">
        <v>43096.561886574076</v>
      </c>
    </row>
    <row r="1040" spans="2:15" x14ac:dyDescent="0.25">
      <c r="B1040" s="24" t="s">
        <v>2672</v>
      </c>
      <c r="C1040" s="23" t="s">
        <v>745</v>
      </c>
      <c r="D1040" s="24" t="s">
        <v>1700</v>
      </c>
      <c r="E1040" s="25">
        <v>5.3000000000000001E-7</v>
      </c>
      <c r="F1040" s="26">
        <v>8.3439800000000008E-3</v>
      </c>
      <c r="G1040" s="27">
        <v>4.1719900000000001</v>
      </c>
      <c r="H1040" s="27">
        <v>28039</v>
      </c>
      <c r="I1040" s="28">
        <v>3360417</v>
      </c>
      <c r="J1040" s="28">
        <v>6000000</v>
      </c>
      <c r="K1040" s="34">
        <v>2.44</v>
      </c>
      <c r="L1040" s="34">
        <v>120.82</v>
      </c>
      <c r="M1040" s="34">
        <v>95.97</v>
      </c>
      <c r="N1040" s="24">
        <v>1036</v>
      </c>
      <c r="O1040" s="29">
        <v>43096.561921296299</v>
      </c>
    </row>
    <row r="1041" spans="2:15" x14ac:dyDescent="0.25">
      <c r="B1041" s="24" t="s">
        <v>2358</v>
      </c>
      <c r="C1041" s="23" t="s">
        <v>422</v>
      </c>
      <c r="D1041" s="24" t="s">
        <v>1386</v>
      </c>
      <c r="E1041" s="25">
        <v>7.3900000000000004E-6</v>
      </c>
      <c r="F1041" s="26">
        <v>0.116756</v>
      </c>
      <c r="G1041" s="27">
        <v>34.6965</v>
      </c>
      <c r="H1041" s="27">
        <v>27487</v>
      </c>
      <c r="I1041" s="28">
        <v>235421</v>
      </c>
      <c r="J1041" s="28">
        <v>84000000</v>
      </c>
      <c r="K1041" s="34">
        <v>-1</v>
      </c>
      <c r="L1041" s="34">
        <v>-1.74</v>
      </c>
      <c r="M1041" s="34">
        <v>-50.65</v>
      </c>
      <c r="N1041" s="24">
        <v>1037</v>
      </c>
      <c r="O1041" s="29">
        <v>43096.561956018515</v>
      </c>
    </row>
    <row r="1042" spans="2:15" x14ac:dyDescent="0.25">
      <c r="B1042" s="24" t="s">
        <v>2508</v>
      </c>
      <c r="C1042" s="23" t="s">
        <v>572</v>
      </c>
      <c r="D1042" s="24" t="s">
        <v>1536</v>
      </c>
      <c r="E1042" s="25">
        <v>1.1000000000000001E-7</v>
      </c>
      <c r="F1042" s="26">
        <v>1.8356100000000001E-3</v>
      </c>
      <c r="G1042" s="27"/>
      <c r="H1042" s="27">
        <v>26985</v>
      </c>
      <c r="I1042" s="28">
        <v>14701000</v>
      </c>
      <c r="J1042" s="28">
        <v>14701000</v>
      </c>
      <c r="K1042" s="34"/>
      <c r="L1042" s="34">
        <v>1.56</v>
      </c>
      <c r="M1042" s="34">
        <v>-48.76</v>
      </c>
      <c r="N1042" s="24">
        <v>1038</v>
      </c>
      <c r="O1042" s="29">
        <v>43095.72859953704</v>
      </c>
    </row>
    <row r="1043" spans="2:15" x14ac:dyDescent="0.25">
      <c r="B1043" s="24" t="s">
        <v>2654</v>
      </c>
      <c r="C1043" s="23" t="s">
        <v>723</v>
      </c>
      <c r="D1043" s="24" t="s">
        <v>1679</v>
      </c>
      <c r="E1043" s="25">
        <v>6.37E-6</v>
      </c>
      <c r="F1043" s="26">
        <v>0.10063800000000001</v>
      </c>
      <c r="G1043" s="27">
        <v>50.691499999999998</v>
      </c>
      <c r="H1043" s="27">
        <v>26350</v>
      </c>
      <c r="I1043" s="28">
        <v>261831</v>
      </c>
      <c r="J1043" s="28">
        <v>476918</v>
      </c>
      <c r="K1043" s="34">
        <v>-1.0900000000000001</v>
      </c>
      <c r="L1043" s="34">
        <v>24.54</v>
      </c>
      <c r="M1043" s="34">
        <v>17.850000000000001</v>
      </c>
      <c r="N1043" s="24">
        <v>1039</v>
      </c>
      <c r="O1043" s="29">
        <v>43096.561932870369</v>
      </c>
    </row>
    <row r="1044" spans="2:15" x14ac:dyDescent="0.25">
      <c r="B1044" s="24" t="s">
        <v>2682</v>
      </c>
      <c r="C1044" s="23" t="s">
        <v>741</v>
      </c>
      <c r="D1044" s="24" t="s">
        <v>1695</v>
      </c>
      <c r="E1044" s="25">
        <v>4.9999999999999998E-8</v>
      </c>
      <c r="F1044" s="26">
        <v>7.8993900000000003E-4</v>
      </c>
      <c r="G1044" s="27">
        <v>119.072</v>
      </c>
      <c r="H1044" s="27">
        <v>24893</v>
      </c>
      <c r="I1044" s="28">
        <v>31512613</v>
      </c>
      <c r="J1044" s="28">
        <v>31512613</v>
      </c>
      <c r="K1044" s="34">
        <v>64.849999999999994</v>
      </c>
      <c r="L1044" s="34">
        <v>28.59</v>
      </c>
      <c r="M1044" s="34">
        <v>-7.31</v>
      </c>
      <c r="N1044" s="24">
        <v>1040</v>
      </c>
      <c r="O1044" s="29">
        <v>43096.561874999999</v>
      </c>
    </row>
    <row r="1045" spans="2:15" x14ac:dyDescent="0.25">
      <c r="B1045" s="24" t="s">
        <v>2628</v>
      </c>
      <c r="C1045" s="23" t="s">
        <v>691</v>
      </c>
      <c r="D1045" s="24" t="s">
        <v>1649</v>
      </c>
      <c r="E1045" s="25">
        <v>1E-8</v>
      </c>
      <c r="F1045" s="26">
        <v>1.5798799999999999E-4</v>
      </c>
      <c r="G1045" s="27">
        <v>17.404699999999998</v>
      </c>
      <c r="H1045" s="27">
        <v>22767</v>
      </c>
      <c r="I1045" s="28">
        <v>144105100</v>
      </c>
      <c r="J1045" s="28">
        <v>594105100</v>
      </c>
      <c r="K1045" s="34">
        <v>-1.0900000000000001</v>
      </c>
      <c r="L1045" s="34">
        <v>-11.27</v>
      </c>
      <c r="M1045" s="34">
        <v>-7.31</v>
      </c>
      <c r="N1045" s="24">
        <v>1041</v>
      </c>
      <c r="O1045" s="29">
        <v>43096.561828703707</v>
      </c>
    </row>
    <row r="1046" spans="2:15" x14ac:dyDescent="0.25">
      <c r="B1046" s="24" t="s">
        <v>2688</v>
      </c>
      <c r="C1046" s="23" t="s">
        <v>758</v>
      </c>
      <c r="D1046" s="24" t="s">
        <v>1713</v>
      </c>
      <c r="E1046" s="24">
        <v>4.0000000000000001E-8</v>
      </c>
      <c r="F1046" s="24">
        <v>6.3195099999999995E-4</v>
      </c>
      <c r="G1046" s="24">
        <v>5.42293</v>
      </c>
      <c r="H1046" s="24">
        <v>22257</v>
      </c>
      <c r="I1046" s="28">
        <v>35220238</v>
      </c>
      <c r="J1046" s="28">
        <v>35220238</v>
      </c>
      <c r="K1046" s="34">
        <v>-1.1399999999999999</v>
      </c>
      <c r="L1046" s="34">
        <v>37.159999999999997</v>
      </c>
      <c r="M1046" s="34">
        <v>26.3</v>
      </c>
      <c r="N1046" s="24">
        <v>1042</v>
      </c>
      <c r="O1046" s="29">
        <v>43096.561863425923</v>
      </c>
    </row>
    <row r="1047" spans="2:15" x14ac:dyDescent="0.25">
      <c r="B1047" s="24" t="s">
        <v>2648</v>
      </c>
      <c r="C1047" s="23" t="s">
        <v>719</v>
      </c>
      <c r="D1047" s="24" t="s">
        <v>1676</v>
      </c>
      <c r="E1047" s="25">
        <v>6.9187000000000003E-4</v>
      </c>
      <c r="F1047" s="26">
        <v>10.9307</v>
      </c>
      <c r="G1047" s="27">
        <v>217.69300000000001</v>
      </c>
      <c r="H1047" s="27">
        <v>21950</v>
      </c>
      <c r="I1047" s="28">
        <v>2008</v>
      </c>
      <c r="J1047" s="28">
        <v>2508</v>
      </c>
      <c r="K1047" s="34">
        <v>-1.1399999999999999</v>
      </c>
      <c r="L1047" s="34">
        <v>-20.16</v>
      </c>
      <c r="M1047" s="34">
        <v>-28.16</v>
      </c>
      <c r="N1047" s="24">
        <v>1043</v>
      </c>
      <c r="O1047" s="29">
        <v>43096.561944444446</v>
      </c>
    </row>
    <row r="1048" spans="2:15" x14ac:dyDescent="0.25">
      <c r="B1048" s="24" t="s">
        <v>2425</v>
      </c>
      <c r="C1048" s="23" t="s">
        <v>486</v>
      </c>
      <c r="D1048" s="24" t="s">
        <v>1452</v>
      </c>
      <c r="E1048" s="25">
        <v>1.4000000000000001E-7</v>
      </c>
      <c r="F1048" s="26">
        <v>2.2118300000000001E-3</v>
      </c>
      <c r="G1048" s="27">
        <v>263.91000000000003</v>
      </c>
      <c r="H1048" s="27">
        <v>20899</v>
      </c>
      <c r="I1048" s="28">
        <v>9448698</v>
      </c>
      <c r="J1048" s="28">
        <v>9648698</v>
      </c>
      <c r="K1048" s="34">
        <v>-1.1399999999999999</v>
      </c>
      <c r="L1048" s="34">
        <v>4.76</v>
      </c>
      <c r="M1048" s="34">
        <v>65.63</v>
      </c>
      <c r="N1048" s="24">
        <v>1044</v>
      </c>
      <c r="O1048" s="29">
        <v>43096.561967592592</v>
      </c>
    </row>
    <row r="1049" spans="2:15" x14ac:dyDescent="0.25">
      <c r="B1049" s="24" t="s">
        <v>2681</v>
      </c>
      <c r="C1049" s="23" t="s">
        <v>750</v>
      </c>
      <c r="D1049" s="24" t="s">
        <v>1705</v>
      </c>
      <c r="E1049" s="25">
        <v>8.0700000000000007E-6</v>
      </c>
      <c r="F1049" s="26">
        <v>0.127496</v>
      </c>
      <c r="G1049" s="27">
        <v>98.439700000000002</v>
      </c>
      <c r="H1049" s="27">
        <v>20389</v>
      </c>
      <c r="I1049" s="28">
        <v>159920</v>
      </c>
      <c r="J1049" s="28">
        <v>159920</v>
      </c>
      <c r="K1049" s="34">
        <v>-1.07</v>
      </c>
      <c r="L1049" s="34">
        <v>-27.75</v>
      </c>
      <c r="M1049" s="34">
        <v>-33.94</v>
      </c>
      <c r="N1049" s="24">
        <v>1045</v>
      </c>
      <c r="O1049" s="29">
        <v>43096.561863425923</v>
      </c>
    </row>
    <row r="1050" spans="2:15" x14ac:dyDescent="0.25">
      <c r="B1050" s="24" t="s">
        <v>2677</v>
      </c>
      <c r="C1050" s="23" t="s">
        <v>740</v>
      </c>
      <c r="D1050" s="24" t="s">
        <v>1694</v>
      </c>
      <c r="E1050" s="25">
        <v>6.8999999999999997E-4</v>
      </c>
      <c r="F1050" s="26">
        <v>10.901199999999999</v>
      </c>
      <c r="G1050" s="27">
        <v>33.566099999999999</v>
      </c>
      <c r="H1050" s="27">
        <v>18834</v>
      </c>
      <c r="I1050" s="28">
        <v>1728</v>
      </c>
      <c r="J1050" s="28">
        <v>2157</v>
      </c>
      <c r="K1050" s="34">
        <v>-1.1399999999999999</v>
      </c>
      <c r="L1050" s="34">
        <v>-11.15</v>
      </c>
      <c r="M1050" s="34">
        <v>4.5199999999999996</v>
      </c>
      <c r="N1050" s="24">
        <v>1046</v>
      </c>
      <c r="O1050" s="29">
        <v>43096.561967592592</v>
      </c>
    </row>
    <row r="1051" spans="2:15" x14ac:dyDescent="0.25">
      <c r="B1051" s="24" t="s">
        <v>3733</v>
      </c>
      <c r="C1051" s="23" t="s">
        <v>3734</v>
      </c>
      <c r="D1051" s="24" t="s">
        <v>3735</v>
      </c>
      <c r="E1051" s="25">
        <v>4.7E-7</v>
      </c>
      <c r="F1051" s="26">
        <v>7.5013299999999996E-3</v>
      </c>
      <c r="G1051" s="27">
        <v>425.32499999999999</v>
      </c>
      <c r="H1051" s="27">
        <v>18753</v>
      </c>
      <c r="I1051" s="28">
        <v>2500000</v>
      </c>
      <c r="J1051" s="28">
        <v>3000000</v>
      </c>
      <c r="K1051" s="34">
        <v>3.69</v>
      </c>
      <c r="L1051" s="34">
        <v>11.82</v>
      </c>
      <c r="M1051" s="34">
        <v>-15.18</v>
      </c>
      <c r="N1051" s="24">
        <v>1047</v>
      </c>
      <c r="O1051" s="29">
        <v>43096.562013888892</v>
      </c>
    </row>
    <row r="1052" spans="2:15" x14ac:dyDescent="0.25">
      <c r="B1052" s="24" t="s">
        <v>2636</v>
      </c>
      <c r="C1052" s="23" t="s">
        <v>700</v>
      </c>
      <c r="D1052" s="24" t="s">
        <v>1658</v>
      </c>
      <c r="E1052" s="25">
        <v>2.4999999999999999E-7</v>
      </c>
      <c r="F1052" s="26">
        <v>3.9497000000000004E-3</v>
      </c>
      <c r="G1052" s="27">
        <v>64.208200000000005</v>
      </c>
      <c r="H1052" s="27">
        <v>17878</v>
      </c>
      <c r="I1052" s="28">
        <v>4526324</v>
      </c>
      <c r="J1052" s="28">
        <v>4526324</v>
      </c>
      <c r="K1052" s="34">
        <v>-1.1399999999999999</v>
      </c>
      <c r="L1052" s="34">
        <v>-32.97</v>
      </c>
      <c r="M1052" s="34">
        <v>-12.12</v>
      </c>
      <c r="N1052" s="24">
        <v>1048</v>
      </c>
      <c r="O1052" s="29">
        <v>43096.561921296299</v>
      </c>
    </row>
    <row r="1053" spans="2:15" x14ac:dyDescent="0.25">
      <c r="B1053" s="24" t="s">
        <v>2692</v>
      </c>
      <c r="C1053" s="23" t="s">
        <v>761</v>
      </c>
      <c r="D1053" s="24" t="s">
        <v>1716</v>
      </c>
      <c r="E1053" s="25">
        <v>1E-8</v>
      </c>
      <c r="F1053" s="26">
        <v>1.5798799999999999E-4</v>
      </c>
      <c r="G1053" s="27">
        <v>36.337200000000003</v>
      </c>
      <c r="H1053" s="27">
        <v>17036</v>
      </c>
      <c r="I1053" s="28">
        <v>107829281</v>
      </c>
      <c r="J1053" s="28">
        <v>107829281</v>
      </c>
      <c r="K1053" s="34">
        <v>-1.1399999999999999</v>
      </c>
      <c r="L1053" s="34"/>
      <c r="M1053" s="34">
        <v>-7.31</v>
      </c>
      <c r="N1053" s="24">
        <v>1049</v>
      </c>
      <c r="O1053" s="29">
        <v>43096.561863425923</v>
      </c>
    </row>
    <row r="1054" spans="2:15" x14ac:dyDescent="0.25">
      <c r="B1054" s="24" t="s">
        <v>2686</v>
      </c>
      <c r="C1054" s="23" t="s">
        <v>755</v>
      </c>
      <c r="D1054" s="24" t="s">
        <v>1710</v>
      </c>
      <c r="E1054" s="25">
        <v>1.06E-6</v>
      </c>
      <c r="F1054" s="26">
        <v>1.67467E-2</v>
      </c>
      <c r="G1054" s="27">
        <v>7.4595599999999997</v>
      </c>
      <c r="H1054" s="27">
        <v>14833</v>
      </c>
      <c r="I1054" s="28">
        <v>885756</v>
      </c>
      <c r="J1054" s="28">
        <v>985756</v>
      </c>
      <c r="K1054" s="34">
        <v>-1.1399999999999999</v>
      </c>
      <c r="L1054" s="34">
        <v>9.0399999999999991</v>
      </c>
      <c r="M1054" s="34">
        <v>-46.61</v>
      </c>
      <c r="N1054" s="24">
        <v>1050</v>
      </c>
      <c r="O1054" s="29">
        <v>43096.561921296299</v>
      </c>
    </row>
    <row r="1055" spans="2:15" x14ac:dyDescent="0.25">
      <c r="B1055" s="24" t="s">
        <v>2687</v>
      </c>
      <c r="C1055" s="23" t="s">
        <v>754</v>
      </c>
      <c r="D1055" s="24" t="s">
        <v>1709</v>
      </c>
      <c r="E1055" s="25">
        <v>5.9999999999999995E-8</v>
      </c>
      <c r="F1055" s="26">
        <v>9.4792699999999999E-4</v>
      </c>
      <c r="G1055" s="27">
        <v>267.61500000000001</v>
      </c>
      <c r="H1055" s="27">
        <v>14326</v>
      </c>
      <c r="I1055" s="28">
        <v>15112554</v>
      </c>
      <c r="J1055" s="28">
        <v>60132654</v>
      </c>
      <c r="K1055" s="34">
        <v>-1.1399999999999999</v>
      </c>
      <c r="L1055" s="34">
        <v>23.41</v>
      </c>
      <c r="M1055" s="34">
        <v>-7.24</v>
      </c>
      <c r="N1055" s="24">
        <v>1051</v>
      </c>
      <c r="O1055" s="29">
        <v>43096.561932870369</v>
      </c>
    </row>
    <row r="1056" spans="2:15" x14ac:dyDescent="0.25">
      <c r="B1056" s="24" t="s">
        <v>2610</v>
      </c>
      <c r="C1056" s="23" t="s">
        <v>675</v>
      </c>
      <c r="D1056" s="24" t="s">
        <v>1633</v>
      </c>
      <c r="E1056" s="25">
        <v>8.0000000000000002E-8</v>
      </c>
      <c r="F1056" s="26">
        <v>1.2639000000000001E-3</v>
      </c>
      <c r="G1056" s="27">
        <v>24.4848</v>
      </c>
      <c r="H1056" s="27">
        <v>13271</v>
      </c>
      <c r="I1056" s="28">
        <v>10499996</v>
      </c>
      <c r="J1056" s="28">
        <v>10499996</v>
      </c>
      <c r="K1056" s="34">
        <v>-1.0900000000000001</v>
      </c>
      <c r="L1056" s="34">
        <v>-24.69</v>
      </c>
      <c r="M1056" s="34">
        <v>-23.76</v>
      </c>
      <c r="N1056" s="24">
        <v>1052</v>
      </c>
      <c r="O1056" s="29">
        <v>43096.561874999999</v>
      </c>
    </row>
    <row r="1057" spans="2:15" x14ac:dyDescent="0.25">
      <c r="B1057" s="24" t="s">
        <v>2380</v>
      </c>
      <c r="C1057" s="23" t="s">
        <v>3006</v>
      </c>
      <c r="D1057" s="24" t="s">
        <v>3007</v>
      </c>
      <c r="E1057" s="25">
        <v>9.9999999999999995E-8</v>
      </c>
      <c r="F1057" s="26">
        <v>1.6005800000000001E-3</v>
      </c>
      <c r="G1057" s="27"/>
      <c r="H1057" s="27">
        <v>13208</v>
      </c>
      <c r="I1057" s="28">
        <v>8251804</v>
      </c>
      <c r="J1057" s="28">
        <v>8251804</v>
      </c>
      <c r="K1057" s="34"/>
      <c r="L1057" s="34">
        <v>4.1900000000000004</v>
      </c>
      <c r="M1057" s="34"/>
      <c r="N1057" s="24">
        <v>1053</v>
      </c>
      <c r="O1057" s="29">
        <v>43095.72861111111</v>
      </c>
    </row>
    <row r="1058" spans="2:15" x14ac:dyDescent="0.25">
      <c r="B1058" s="24" t="s">
        <v>2433</v>
      </c>
      <c r="C1058" s="23" t="s">
        <v>495</v>
      </c>
      <c r="D1058" s="24" t="s">
        <v>1461</v>
      </c>
      <c r="E1058" s="25">
        <v>5.4000000000000002E-7</v>
      </c>
      <c r="F1058" s="26">
        <v>8.53135E-3</v>
      </c>
      <c r="G1058" s="27">
        <v>285.80099999999999</v>
      </c>
      <c r="H1058" s="27">
        <v>13205</v>
      </c>
      <c r="I1058" s="28">
        <v>1547876</v>
      </c>
      <c r="J1058" s="28">
        <v>92547876</v>
      </c>
      <c r="K1058" s="34">
        <v>-1.1399999999999999</v>
      </c>
      <c r="L1058" s="34">
        <v>18.63</v>
      </c>
      <c r="M1058" s="34">
        <v>-26.83</v>
      </c>
      <c r="N1058" s="24">
        <v>1054</v>
      </c>
      <c r="O1058" s="29">
        <v>43096.561932870369</v>
      </c>
    </row>
    <row r="1059" spans="2:15" x14ac:dyDescent="0.25">
      <c r="B1059" s="24" t="s">
        <v>2894</v>
      </c>
      <c r="C1059" s="23" t="s">
        <v>945</v>
      </c>
      <c r="D1059" s="24" t="s">
        <v>1891</v>
      </c>
      <c r="E1059" s="25">
        <v>2.9999999999999997E-8</v>
      </c>
      <c r="F1059" s="26">
        <v>4.3536900000000001E-4</v>
      </c>
      <c r="G1059" s="27"/>
      <c r="H1059" s="27">
        <v>11798</v>
      </c>
      <c r="I1059" s="28">
        <v>27100000</v>
      </c>
      <c r="J1059" s="28">
        <v>27100000</v>
      </c>
      <c r="K1059" s="34"/>
      <c r="L1059" s="34"/>
      <c r="M1059" s="34">
        <v>-4.9400000000000004</v>
      </c>
      <c r="N1059" s="24">
        <v>1055</v>
      </c>
      <c r="O1059" s="29">
        <v>43094.860497685186</v>
      </c>
    </row>
    <row r="1060" spans="2:15" x14ac:dyDescent="0.25">
      <c r="B1060" s="24" t="s">
        <v>2436</v>
      </c>
      <c r="C1060" s="23" t="s">
        <v>497</v>
      </c>
      <c r="D1060" s="24" t="s">
        <v>1463</v>
      </c>
      <c r="E1060" s="25">
        <v>3.1999999999999999E-6</v>
      </c>
      <c r="F1060" s="26">
        <v>5.05561E-2</v>
      </c>
      <c r="G1060" s="27">
        <v>335.34300000000002</v>
      </c>
      <c r="H1060" s="27">
        <v>10124</v>
      </c>
      <c r="I1060" s="28">
        <v>200261</v>
      </c>
      <c r="J1060" s="28">
        <v>54200261</v>
      </c>
      <c r="K1060" s="34">
        <v>6.16</v>
      </c>
      <c r="L1060" s="34">
        <v>242.9</v>
      </c>
      <c r="M1060" s="34">
        <v>106.71</v>
      </c>
      <c r="N1060" s="24">
        <v>1056</v>
      </c>
      <c r="O1060" s="29">
        <v>43096.561967592592</v>
      </c>
    </row>
    <row r="1061" spans="2:15" x14ac:dyDescent="0.25">
      <c r="B1061" s="24" t="s">
        <v>2691</v>
      </c>
      <c r="C1061" s="23" t="s">
        <v>753</v>
      </c>
      <c r="D1061" s="24" t="s">
        <v>1708</v>
      </c>
      <c r="E1061" s="25">
        <v>5.9999999999999997E-7</v>
      </c>
      <c r="F1061" s="26">
        <v>9.4396500000000008E-3</v>
      </c>
      <c r="G1061" s="27">
        <v>0.52861999999999998</v>
      </c>
      <c r="H1061" s="27">
        <v>9440</v>
      </c>
      <c r="I1061" s="28">
        <v>1000000</v>
      </c>
      <c r="J1061" s="28">
        <v>5000000</v>
      </c>
      <c r="K1061" s="34">
        <v>2.44</v>
      </c>
      <c r="L1061" s="34">
        <v>42.48</v>
      </c>
      <c r="M1061" s="34"/>
      <c r="N1061" s="24">
        <v>1057</v>
      </c>
      <c r="O1061" s="29">
        <v>43096.561921296299</v>
      </c>
    </row>
    <row r="1062" spans="2:15" x14ac:dyDescent="0.25">
      <c r="B1062" s="24" t="s">
        <v>2683</v>
      </c>
      <c r="C1062" s="23" t="s">
        <v>756</v>
      </c>
      <c r="D1062" s="24" t="s">
        <v>1711</v>
      </c>
      <c r="E1062" s="25">
        <v>2.6699999999999998E-6</v>
      </c>
      <c r="F1062" s="26">
        <v>4.2225600000000002E-2</v>
      </c>
      <c r="G1062" s="27">
        <v>4.6448099999999997</v>
      </c>
      <c r="H1062" s="27">
        <v>8945</v>
      </c>
      <c r="I1062" s="28">
        <v>211827</v>
      </c>
      <c r="J1062" s="28">
        <v>1000000</v>
      </c>
      <c r="K1062" s="34">
        <v>2.44</v>
      </c>
      <c r="L1062" s="34">
        <v>42.48</v>
      </c>
      <c r="M1062" s="34">
        <v>-20.170000000000002</v>
      </c>
      <c r="N1062" s="24">
        <v>1058</v>
      </c>
      <c r="O1062" s="29">
        <v>43096.561921296299</v>
      </c>
    </row>
    <row r="1063" spans="2:15" x14ac:dyDescent="0.25">
      <c r="B1063" s="24" t="s">
        <v>2679</v>
      </c>
      <c r="C1063" s="23" t="s">
        <v>746</v>
      </c>
      <c r="D1063" s="24" t="s">
        <v>1701</v>
      </c>
      <c r="E1063" s="25">
        <v>7.6000000000000003E-7</v>
      </c>
      <c r="F1063" s="26">
        <v>1.20071E-2</v>
      </c>
      <c r="G1063" s="27">
        <v>162.59299999999999</v>
      </c>
      <c r="H1063" s="27">
        <v>8936</v>
      </c>
      <c r="I1063" s="28">
        <v>744266</v>
      </c>
      <c r="J1063" s="28">
        <v>1595266</v>
      </c>
      <c r="K1063" s="34">
        <v>-1.0900000000000001</v>
      </c>
      <c r="L1063" s="34">
        <v>72.760000000000005</v>
      </c>
      <c r="M1063" s="34">
        <v>74.5</v>
      </c>
      <c r="N1063" s="24">
        <v>1059</v>
      </c>
      <c r="O1063" s="29">
        <v>43096.561921296299</v>
      </c>
    </row>
    <row r="1064" spans="2:15" x14ac:dyDescent="0.25">
      <c r="B1064" s="24" t="s">
        <v>2680</v>
      </c>
      <c r="C1064" s="23" t="s">
        <v>748</v>
      </c>
      <c r="D1064" s="24" t="s">
        <v>1703</v>
      </c>
      <c r="E1064" s="25">
        <v>1.8E-7</v>
      </c>
      <c r="F1064" s="26">
        <v>2.8883300000000002E-3</v>
      </c>
      <c r="G1064" s="27"/>
      <c r="H1064" s="27">
        <v>8852</v>
      </c>
      <c r="I1064" s="28">
        <v>3064800</v>
      </c>
      <c r="J1064" s="28">
        <v>3064800</v>
      </c>
      <c r="K1064" s="34"/>
      <c r="L1064" s="34">
        <v>4.4800000000000004</v>
      </c>
      <c r="M1064" s="34">
        <v>-17.14</v>
      </c>
      <c r="N1064" s="24">
        <v>1060</v>
      </c>
      <c r="O1064" s="29">
        <v>43095.912569444445</v>
      </c>
    </row>
    <row r="1065" spans="2:15" x14ac:dyDescent="0.25">
      <c r="B1065" s="24" t="s">
        <v>2593</v>
      </c>
      <c r="C1065" s="23" t="s">
        <v>642</v>
      </c>
      <c r="D1065" s="24" t="s">
        <v>1602</v>
      </c>
      <c r="E1065" s="25">
        <v>3.3999999999999997E-7</v>
      </c>
      <c r="F1065" s="26">
        <v>5.3715899999999999E-3</v>
      </c>
      <c r="G1065" s="27">
        <v>14.609500000000001</v>
      </c>
      <c r="H1065" s="27">
        <v>7439</v>
      </c>
      <c r="I1065" s="28">
        <v>1384879</v>
      </c>
      <c r="J1065" s="28">
        <v>1384879</v>
      </c>
      <c r="K1065" s="34">
        <v>-1.1399999999999999</v>
      </c>
      <c r="L1065" s="34">
        <v>20.61</v>
      </c>
      <c r="M1065" s="34">
        <v>-57.67</v>
      </c>
      <c r="N1065" s="24">
        <v>1061</v>
      </c>
      <c r="O1065" s="29">
        <v>43096.561944444446</v>
      </c>
    </row>
    <row r="1066" spans="2:15" x14ac:dyDescent="0.25">
      <c r="B1066" s="24" t="s">
        <v>2694</v>
      </c>
      <c r="C1066" s="23" t="s">
        <v>762</v>
      </c>
      <c r="D1066" s="24" t="s">
        <v>1717</v>
      </c>
      <c r="E1066" s="25">
        <v>2.6E-7</v>
      </c>
      <c r="F1066" s="26">
        <v>4.1076799999999998E-3</v>
      </c>
      <c r="G1066" s="27">
        <v>7.0124500000000003</v>
      </c>
      <c r="H1066" s="27">
        <v>6894</v>
      </c>
      <c r="I1066" s="28">
        <v>1678439</v>
      </c>
      <c r="J1066" s="28">
        <v>5878439</v>
      </c>
      <c r="K1066" s="34"/>
      <c r="L1066" s="34">
        <v>6.99</v>
      </c>
      <c r="M1066" s="34">
        <v>-15.13</v>
      </c>
      <c r="N1066" s="24">
        <v>1062</v>
      </c>
      <c r="O1066" s="29">
        <v>43096.561909722222</v>
      </c>
    </row>
    <row r="1067" spans="2:15" x14ac:dyDescent="0.25">
      <c r="B1067" s="24" t="s">
        <v>2418</v>
      </c>
      <c r="C1067" s="23" t="s">
        <v>752</v>
      </c>
      <c r="D1067" s="24" t="s">
        <v>1707</v>
      </c>
      <c r="E1067" s="25">
        <v>8.0000000000000002E-8</v>
      </c>
      <c r="F1067" s="26">
        <v>1.2639000000000001E-3</v>
      </c>
      <c r="G1067" s="27">
        <v>148.21799999999999</v>
      </c>
      <c r="H1067" s="27">
        <v>6355</v>
      </c>
      <c r="I1067" s="28">
        <v>5027857</v>
      </c>
      <c r="J1067" s="28">
        <v>255027857</v>
      </c>
      <c r="K1067" s="34">
        <v>97.73</v>
      </c>
      <c r="L1067" s="34">
        <v>64.59</v>
      </c>
      <c r="M1067" s="34">
        <v>147.16</v>
      </c>
      <c r="N1067" s="24">
        <v>1063</v>
      </c>
      <c r="O1067" s="29">
        <v>43096.561921296299</v>
      </c>
    </row>
    <row r="1068" spans="2:15" x14ac:dyDescent="0.25">
      <c r="B1068" s="24" t="s">
        <v>2408</v>
      </c>
      <c r="C1068" s="23" t="s">
        <v>471</v>
      </c>
      <c r="D1068" s="24" t="s">
        <v>1435</v>
      </c>
      <c r="E1068" s="25">
        <v>5.5000000000000003E-7</v>
      </c>
      <c r="F1068" s="26">
        <v>8.6893300000000003E-3</v>
      </c>
      <c r="G1068" s="27">
        <v>21.243200000000002</v>
      </c>
      <c r="H1068" s="27">
        <v>4216</v>
      </c>
      <c r="I1068" s="28">
        <v>485214</v>
      </c>
      <c r="J1068" s="28">
        <v>852366</v>
      </c>
      <c r="K1068" s="34">
        <v>-1.1399999999999999</v>
      </c>
      <c r="L1068" s="34">
        <v>708.32</v>
      </c>
      <c r="M1068" s="34">
        <v>-21.09</v>
      </c>
      <c r="N1068" s="24">
        <v>1064</v>
      </c>
      <c r="O1068" s="29">
        <v>43096.561967592592</v>
      </c>
    </row>
    <row r="1069" spans="2:15" x14ac:dyDescent="0.25">
      <c r="B1069" s="24" t="s">
        <v>2697</v>
      </c>
      <c r="C1069" s="23" t="s">
        <v>765</v>
      </c>
      <c r="D1069" s="24" t="s">
        <v>1720</v>
      </c>
      <c r="E1069" s="25">
        <v>1.9000000000000001E-7</v>
      </c>
      <c r="F1069" s="26">
        <v>3.00177E-3</v>
      </c>
      <c r="G1069" s="27">
        <v>3.4231199999999999</v>
      </c>
      <c r="H1069" s="27">
        <v>4136</v>
      </c>
      <c r="I1069" s="28">
        <v>1377917</v>
      </c>
      <c r="J1069" s="28">
        <v>10127917</v>
      </c>
      <c r="K1069" s="34">
        <v>-1.1399999999999999</v>
      </c>
      <c r="L1069" s="34"/>
      <c r="M1069" s="34">
        <v>10.06</v>
      </c>
      <c r="N1069" s="24">
        <v>1065</v>
      </c>
      <c r="O1069" s="29">
        <v>43096.561898148146</v>
      </c>
    </row>
    <row r="1070" spans="2:15" x14ac:dyDescent="0.25">
      <c r="B1070" s="24" t="s">
        <v>3029</v>
      </c>
      <c r="C1070" s="23" t="s">
        <v>3030</v>
      </c>
      <c r="D1070" s="24" t="s">
        <v>3031</v>
      </c>
      <c r="E1070" s="25">
        <v>6E-9</v>
      </c>
      <c r="F1070" s="26">
        <v>9.4792700000000005E-5</v>
      </c>
      <c r="G1070" s="27">
        <v>412.10599999999999</v>
      </c>
      <c r="H1070" s="27">
        <v>3111</v>
      </c>
      <c r="I1070" s="28">
        <v>32820913</v>
      </c>
      <c r="J1070" s="28">
        <v>32820913</v>
      </c>
      <c r="K1070" s="34">
        <v>-1.1399999999999999</v>
      </c>
      <c r="L1070" s="34">
        <v>-43.91</v>
      </c>
      <c r="M1070" s="34">
        <v>-70.56</v>
      </c>
      <c r="N1070" s="24">
        <v>1066</v>
      </c>
      <c r="O1070" s="29">
        <v>43096.561979166669</v>
      </c>
    </row>
    <row r="1071" spans="2:15" x14ac:dyDescent="0.25">
      <c r="B1071" s="24" t="s">
        <v>2700</v>
      </c>
      <c r="C1071" s="23" t="s">
        <v>769</v>
      </c>
      <c r="D1071" s="24" t="s">
        <v>1723</v>
      </c>
      <c r="E1071" s="25">
        <v>2.9999999999999997E-8</v>
      </c>
      <c r="F1071" s="26">
        <v>4.73964E-4</v>
      </c>
      <c r="G1071" s="27">
        <v>5.4153500000000001</v>
      </c>
      <c r="H1071" s="27">
        <v>2761</v>
      </c>
      <c r="I1071" s="28">
        <v>5826388</v>
      </c>
      <c r="J1071" s="28">
        <v>201284316</v>
      </c>
      <c r="K1071" s="34">
        <v>-1.1399999999999999</v>
      </c>
      <c r="L1071" s="34">
        <v>2.87</v>
      </c>
      <c r="M1071" s="34"/>
      <c r="N1071" s="24">
        <v>1067</v>
      </c>
      <c r="O1071" s="29">
        <v>43096.561874999999</v>
      </c>
    </row>
    <row r="1072" spans="2:15" x14ac:dyDescent="0.25">
      <c r="B1072" s="24" t="s">
        <v>2434</v>
      </c>
      <c r="C1072" s="23" t="s">
        <v>760</v>
      </c>
      <c r="D1072" s="24" t="s">
        <v>1715</v>
      </c>
      <c r="E1072" s="25">
        <v>1.22E-6</v>
      </c>
      <c r="F1072" s="26">
        <v>1.92745E-2</v>
      </c>
      <c r="G1072" s="27">
        <v>141.261</v>
      </c>
      <c r="H1072" s="27">
        <v>1305</v>
      </c>
      <c r="I1072" s="28">
        <v>67700</v>
      </c>
      <c r="J1072" s="28">
        <v>4734367</v>
      </c>
      <c r="K1072" s="34">
        <v>-1.1399999999999999</v>
      </c>
      <c r="L1072" s="34">
        <v>23.43</v>
      </c>
      <c r="M1072" s="34">
        <v>23.52</v>
      </c>
      <c r="N1072" s="24">
        <v>1068</v>
      </c>
      <c r="O1072" s="29">
        <v>43096.561909722222</v>
      </c>
    </row>
    <row r="1073" spans="2:15" x14ac:dyDescent="0.25">
      <c r="B1073" s="24" t="s">
        <v>2693</v>
      </c>
      <c r="C1073" s="23" t="s">
        <v>759</v>
      </c>
      <c r="D1073" s="24" t="s">
        <v>1714</v>
      </c>
      <c r="E1073" s="25">
        <v>2.0000000000000001E-10</v>
      </c>
      <c r="F1073" s="26">
        <v>2.8067000000000002E-6</v>
      </c>
      <c r="G1073" s="27"/>
      <c r="H1073" s="27">
        <v>373</v>
      </c>
      <c r="I1073" s="28">
        <v>132717518</v>
      </c>
      <c r="J1073" s="28">
        <v>932717518</v>
      </c>
      <c r="K1073" s="34"/>
      <c r="L1073" s="34">
        <v>1.58</v>
      </c>
      <c r="M1073" s="34">
        <v>-98.25</v>
      </c>
      <c r="N1073" s="24">
        <v>1069</v>
      </c>
      <c r="O1073" s="29">
        <v>43095.728587962964</v>
      </c>
    </row>
    <row r="1074" spans="2:15" x14ac:dyDescent="0.25">
      <c r="B1074" s="24" t="s">
        <v>2720</v>
      </c>
      <c r="C1074" s="23" t="s">
        <v>789</v>
      </c>
      <c r="D1074" s="24" t="s">
        <v>1744</v>
      </c>
      <c r="E1074" s="25">
        <v>1E-8</v>
      </c>
      <c r="F1074" s="26">
        <v>1.5409500000000001E-4</v>
      </c>
      <c r="G1074" s="27"/>
      <c r="H1074" s="27">
        <v>30</v>
      </c>
      <c r="I1074" s="28">
        <v>196766</v>
      </c>
      <c r="J1074" s="28">
        <v>170196766</v>
      </c>
      <c r="K1074" s="34"/>
      <c r="L1074" s="34">
        <v>2.4500000000000002</v>
      </c>
      <c r="M1074" s="34">
        <v>-9.35</v>
      </c>
      <c r="N1074" s="24">
        <v>1070</v>
      </c>
      <c r="O1074" s="29">
        <v>43095.728622685187</v>
      </c>
    </row>
    <row r="1075" spans="2:15" x14ac:dyDescent="0.25">
      <c r="B1075" s="24" t="s">
        <v>2699</v>
      </c>
      <c r="C1075" s="23" t="s">
        <v>767</v>
      </c>
      <c r="D1075" s="24" t="s">
        <v>1721</v>
      </c>
      <c r="E1075" s="25">
        <v>5.0000000000000003E-10</v>
      </c>
      <c r="F1075" s="26">
        <v>8.6727000000000008E-6</v>
      </c>
      <c r="G1075" s="27"/>
      <c r="H1075" s="27">
        <v>24</v>
      </c>
      <c r="I1075" s="28">
        <v>2753201</v>
      </c>
      <c r="J1075" s="28">
        <v>1002753201</v>
      </c>
      <c r="K1075" s="34"/>
      <c r="L1075" s="34">
        <v>-94.35</v>
      </c>
      <c r="M1075" s="34"/>
      <c r="N1075" s="24">
        <v>1071</v>
      </c>
      <c r="O1075" s="29">
        <v>43095.725104166668</v>
      </c>
    </row>
    <row r="1076" spans="2:15" x14ac:dyDescent="0.25">
      <c r="B1076" s="24" t="s">
        <v>2430</v>
      </c>
      <c r="C1076" s="23" t="s">
        <v>491</v>
      </c>
      <c r="D1076" s="24" t="s">
        <v>1457</v>
      </c>
      <c r="E1076" s="25">
        <v>1E-8</v>
      </c>
      <c r="F1076" s="26">
        <v>1.5798799999999999E-4</v>
      </c>
      <c r="G1076" s="27">
        <v>274.13600000000002</v>
      </c>
      <c r="H1076" s="27">
        <v>15</v>
      </c>
      <c r="I1076" s="28">
        <v>92469</v>
      </c>
      <c r="J1076" s="28">
        <v>1600092469</v>
      </c>
      <c r="K1076" s="34">
        <v>-1.1200000000000001</v>
      </c>
      <c r="L1076" s="34">
        <v>2.87</v>
      </c>
      <c r="M1076" s="34">
        <v>-7.31</v>
      </c>
      <c r="N1076" s="24">
        <v>1072</v>
      </c>
      <c r="O1076" s="29">
        <v>43096.561967592592</v>
      </c>
    </row>
    <row r="1077" spans="2:15" x14ac:dyDescent="0.25">
      <c r="B1077" s="24" t="s">
        <v>3564</v>
      </c>
      <c r="C1077" s="23" t="s">
        <v>3565</v>
      </c>
      <c r="D1077" s="24" t="s">
        <v>3566</v>
      </c>
      <c r="E1077" s="25">
        <v>3.2735000000000002E-4</v>
      </c>
      <c r="F1077" s="26">
        <v>5.1718099999999998</v>
      </c>
      <c r="G1077" s="27">
        <v>74282000</v>
      </c>
      <c r="H1077" s="27"/>
      <c r="I1077" s="28"/>
      <c r="J1077" s="28">
        <v>10000000000</v>
      </c>
      <c r="K1077" s="34">
        <v>2.0499999999999998</v>
      </c>
      <c r="L1077" s="34">
        <v>4.6100000000000003</v>
      </c>
      <c r="M1077" s="34">
        <v>2.16</v>
      </c>
      <c r="N1077" s="24">
        <v>1073</v>
      </c>
      <c r="O1077" s="29">
        <v>43096.561967592592</v>
      </c>
    </row>
    <row r="1078" spans="2:15" x14ac:dyDescent="0.25">
      <c r="B1078" s="24" t="s">
        <v>4062</v>
      </c>
      <c r="C1078" s="23" t="s">
        <v>4063</v>
      </c>
      <c r="D1078" s="24" t="s">
        <v>4064</v>
      </c>
      <c r="E1078" s="25">
        <v>3.7141000000000002E-4</v>
      </c>
      <c r="F1078" s="26">
        <v>5.8678999999999997</v>
      </c>
      <c r="G1078" s="27">
        <v>31382500</v>
      </c>
      <c r="H1078" s="27"/>
      <c r="I1078" s="28"/>
      <c r="J1078" s="28">
        <v>100000000</v>
      </c>
      <c r="K1078" s="34">
        <v>-1.21</v>
      </c>
      <c r="L1078" s="34">
        <v>8.58</v>
      </c>
      <c r="M1078" s="34"/>
      <c r="N1078" s="24">
        <v>1074</v>
      </c>
      <c r="O1078" s="29">
        <v>43096.561967592592</v>
      </c>
    </row>
    <row r="1079" spans="2:15" x14ac:dyDescent="0.25">
      <c r="B1079" s="24" t="s">
        <v>3954</v>
      </c>
      <c r="C1079" s="23" t="s">
        <v>3955</v>
      </c>
      <c r="D1079" s="24" t="s">
        <v>3956</v>
      </c>
      <c r="E1079" s="25">
        <v>3.6100000000000002E-6</v>
      </c>
      <c r="F1079" s="26">
        <v>5.69623E-2</v>
      </c>
      <c r="G1079" s="27">
        <v>26521200</v>
      </c>
      <c r="H1079" s="27"/>
      <c r="I1079" s="28"/>
      <c r="J1079" s="28">
        <v>3141592653</v>
      </c>
      <c r="K1079" s="34">
        <v>0.22</v>
      </c>
      <c r="L1079" s="34">
        <v>2.75</v>
      </c>
      <c r="M1079" s="34">
        <v>13.11</v>
      </c>
      <c r="N1079" s="24">
        <v>1075</v>
      </c>
      <c r="O1079" s="29">
        <v>43096.562013888892</v>
      </c>
    </row>
    <row r="1080" spans="2:15" x14ac:dyDescent="0.25">
      <c r="B1080" s="24" t="s">
        <v>3812</v>
      </c>
      <c r="C1080" s="23" t="s">
        <v>3813</v>
      </c>
      <c r="D1080" s="24" t="s">
        <v>3814</v>
      </c>
      <c r="E1080" s="25">
        <v>3.5204799999999999E-3</v>
      </c>
      <c r="F1080" s="26">
        <v>55.619300000000003</v>
      </c>
      <c r="G1080" s="27">
        <v>10913400</v>
      </c>
      <c r="H1080" s="27"/>
      <c r="I1080" s="28"/>
      <c r="J1080" s="28"/>
      <c r="K1080" s="34">
        <v>-5.24</v>
      </c>
      <c r="L1080" s="34">
        <v>-13.08</v>
      </c>
      <c r="M1080" s="34">
        <v>-0.25</v>
      </c>
      <c r="N1080" s="24">
        <v>1076</v>
      </c>
      <c r="O1080" s="29">
        <v>43096.562013888892</v>
      </c>
    </row>
    <row r="1081" spans="2:15" x14ac:dyDescent="0.25">
      <c r="B1081" s="24" t="s">
        <v>4048</v>
      </c>
      <c r="C1081" s="23" t="s">
        <v>4049</v>
      </c>
      <c r="D1081" s="24" t="s">
        <v>4050</v>
      </c>
      <c r="E1081" s="25">
        <v>4.0899999999999998E-6</v>
      </c>
      <c r="F1081" s="26">
        <v>6.4677200000000004E-2</v>
      </c>
      <c r="G1081" s="27">
        <v>10806400</v>
      </c>
      <c r="H1081" s="27"/>
      <c r="I1081" s="28"/>
      <c r="J1081" s="28">
        <v>10000000000</v>
      </c>
      <c r="K1081" s="34">
        <v>-1.45</v>
      </c>
      <c r="L1081" s="34">
        <v>35.07</v>
      </c>
      <c r="M1081" s="34"/>
      <c r="N1081" s="24">
        <v>1077</v>
      </c>
      <c r="O1081" s="29">
        <v>43096.562025462961</v>
      </c>
    </row>
    <row r="1082" spans="2:15" x14ac:dyDescent="0.25">
      <c r="B1082" s="24" t="s">
        <v>3337</v>
      </c>
      <c r="C1082" s="23" t="s">
        <v>3350</v>
      </c>
      <c r="D1082" s="24" t="s">
        <v>3338</v>
      </c>
      <c r="E1082" s="25">
        <v>7.1146600000000004E-2</v>
      </c>
      <c r="F1082" s="26">
        <v>1124.03</v>
      </c>
      <c r="G1082" s="27">
        <v>10195600</v>
      </c>
      <c r="H1082" s="27"/>
      <c r="I1082" s="28"/>
      <c r="J1082" s="28"/>
      <c r="K1082" s="34">
        <v>5.87</v>
      </c>
      <c r="L1082" s="34">
        <v>90.52</v>
      </c>
      <c r="M1082" s="34">
        <v>53.16</v>
      </c>
      <c r="N1082" s="24">
        <v>1078</v>
      </c>
      <c r="O1082" s="29">
        <v>43096.561990740738</v>
      </c>
    </row>
    <row r="1083" spans="2:15" x14ac:dyDescent="0.25">
      <c r="B1083" s="24" t="s">
        <v>2325</v>
      </c>
      <c r="C1083" s="23" t="s">
        <v>393</v>
      </c>
      <c r="D1083" s="24" t="s">
        <v>1356</v>
      </c>
      <c r="E1083" s="25">
        <v>7.0010000000000002E-5</v>
      </c>
      <c r="F1083" s="26">
        <v>1.1060700000000001</v>
      </c>
      <c r="G1083" s="27">
        <v>6470290</v>
      </c>
      <c r="H1083" s="27"/>
      <c r="I1083" s="28"/>
      <c r="J1083" s="28">
        <v>6348108</v>
      </c>
      <c r="K1083" s="34">
        <v>-1.83</v>
      </c>
      <c r="L1083" s="34">
        <v>1.02</v>
      </c>
      <c r="M1083" s="34">
        <v>11.72</v>
      </c>
      <c r="N1083" s="24">
        <v>1079</v>
      </c>
      <c r="O1083" s="29">
        <v>43096.561851851853</v>
      </c>
    </row>
    <row r="1084" spans="2:15" x14ac:dyDescent="0.25">
      <c r="B1084" s="24" t="s">
        <v>3463</v>
      </c>
      <c r="C1084" s="23" t="s">
        <v>3464</v>
      </c>
      <c r="D1084" s="24" t="s">
        <v>3465</v>
      </c>
      <c r="E1084" s="25">
        <v>1.93323E-2</v>
      </c>
      <c r="F1084" s="26">
        <v>305.42700000000002</v>
      </c>
      <c r="G1084" s="27">
        <v>5591800</v>
      </c>
      <c r="H1084" s="27"/>
      <c r="I1084" s="28"/>
      <c r="J1084" s="28"/>
      <c r="K1084" s="34">
        <v>13.78</v>
      </c>
      <c r="L1084" s="34">
        <v>11.61</v>
      </c>
      <c r="M1084" s="34">
        <v>10.64</v>
      </c>
      <c r="N1084" s="24">
        <v>1080</v>
      </c>
      <c r="O1084" s="29">
        <v>43096.562002314815</v>
      </c>
    </row>
    <row r="1085" spans="2:15" x14ac:dyDescent="0.25">
      <c r="B1085" s="24" t="s">
        <v>3995</v>
      </c>
      <c r="C1085" s="23" t="s">
        <v>3996</v>
      </c>
      <c r="D1085" s="24" t="s">
        <v>3996</v>
      </c>
      <c r="E1085" s="25">
        <v>5.3059999999999997E-5</v>
      </c>
      <c r="F1085" s="26">
        <v>0.838252</v>
      </c>
      <c r="G1085" s="27">
        <v>5402880</v>
      </c>
      <c r="H1085" s="27"/>
      <c r="I1085" s="28"/>
      <c r="J1085" s="28">
        <v>1850000000</v>
      </c>
      <c r="K1085" s="34">
        <v>-0.68</v>
      </c>
      <c r="L1085" s="34">
        <v>-13.09</v>
      </c>
      <c r="M1085" s="34"/>
      <c r="N1085" s="24">
        <v>1081</v>
      </c>
      <c r="O1085" s="29">
        <v>43096.562025462961</v>
      </c>
    </row>
    <row r="1086" spans="2:15" x14ac:dyDescent="0.25">
      <c r="B1086" s="24" t="s">
        <v>4058</v>
      </c>
      <c r="C1086" s="23" t="s">
        <v>4059</v>
      </c>
      <c r="D1086" s="24" t="s">
        <v>4060</v>
      </c>
      <c r="E1086" s="25">
        <v>3.4430000000000001E-5</v>
      </c>
      <c r="F1086" s="26">
        <v>0.54395000000000004</v>
      </c>
      <c r="G1086" s="27">
        <v>3725200</v>
      </c>
      <c r="H1086" s="27"/>
      <c r="I1086" s="28"/>
      <c r="J1086" s="28">
        <v>271520349</v>
      </c>
      <c r="K1086" s="34">
        <v>-1.37</v>
      </c>
      <c r="L1086" s="34">
        <v>3.94</v>
      </c>
      <c r="M1086" s="34"/>
      <c r="N1086" s="24">
        <v>1082</v>
      </c>
      <c r="O1086" s="29">
        <v>43096.562025462961</v>
      </c>
    </row>
    <row r="1087" spans="2:15" x14ac:dyDescent="0.25">
      <c r="B1087" s="24" t="s">
        <v>3997</v>
      </c>
      <c r="C1087" s="23" t="s">
        <v>3998</v>
      </c>
      <c r="D1087" s="24" t="s">
        <v>3999</v>
      </c>
      <c r="E1087" s="25">
        <v>1.719E-5</v>
      </c>
      <c r="F1087" s="26">
        <v>0.271507</v>
      </c>
      <c r="G1087" s="27">
        <v>3400970</v>
      </c>
      <c r="H1087" s="27"/>
      <c r="I1087" s="28"/>
      <c r="J1087" s="28">
        <v>1000000000</v>
      </c>
      <c r="K1087" s="34">
        <v>2.83</v>
      </c>
      <c r="L1087" s="34">
        <v>7.77</v>
      </c>
      <c r="M1087" s="34">
        <v>-4.1500000000000004</v>
      </c>
      <c r="N1087" s="24">
        <v>1083</v>
      </c>
      <c r="O1087" s="29">
        <v>43096.562025462961</v>
      </c>
    </row>
    <row r="1088" spans="2:15" x14ac:dyDescent="0.25">
      <c r="B1088" s="24" t="s">
        <v>3947</v>
      </c>
      <c r="C1088" s="23" t="s">
        <v>3948</v>
      </c>
      <c r="D1088" s="24" t="s">
        <v>3949</v>
      </c>
      <c r="E1088" s="25">
        <v>1.7255999999999999E-4</v>
      </c>
      <c r="F1088" s="26">
        <v>2.7262</v>
      </c>
      <c r="G1088" s="27">
        <v>2994160</v>
      </c>
      <c r="H1088" s="27"/>
      <c r="I1088" s="28"/>
      <c r="J1088" s="28">
        <v>219042298</v>
      </c>
      <c r="K1088" s="34">
        <v>-1.36</v>
      </c>
      <c r="L1088" s="34">
        <v>-0.17</v>
      </c>
      <c r="M1088" s="34">
        <v>-21.27</v>
      </c>
      <c r="N1088" s="24">
        <v>1084</v>
      </c>
      <c r="O1088" s="29">
        <v>43096.562013888892</v>
      </c>
    </row>
    <row r="1089" spans="2:15" x14ac:dyDescent="0.25">
      <c r="B1089" s="24" t="s">
        <v>4081</v>
      </c>
      <c r="C1089" s="23" t="s">
        <v>4082</v>
      </c>
      <c r="D1089" s="24" t="s">
        <v>4083</v>
      </c>
      <c r="E1089" s="25">
        <v>1.9939999999999999E-5</v>
      </c>
      <c r="F1089" s="26">
        <v>0.31499100000000002</v>
      </c>
      <c r="G1089" s="27">
        <v>2899890</v>
      </c>
      <c r="H1089" s="27"/>
      <c r="I1089" s="28"/>
      <c r="J1089" s="28">
        <v>10000000</v>
      </c>
      <c r="K1089" s="34">
        <v>-5.0999999999999996</v>
      </c>
      <c r="L1089" s="34"/>
      <c r="M1089" s="34"/>
      <c r="N1089" s="24">
        <v>1085</v>
      </c>
      <c r="O1089" s="29">
        <v>43096.562025462961</v>
      </c>
    </row>
    <row r="1090" spans="2:15" x14ac:dyDescent="0.25">
      <c r="B1090" s="24" t="s">
        <v>3815</v>
      </c>
      <c r="C1090" s="23" t="s">
        <v>3816</v>
      </c>
      <c r="D1090" s="24" t="s">
        <v>3817</v>
      </c>
      <c r="E1090" s="25">
        <v>7.9390999999999999E-4</v>
      </c>
      <c r="F1090" s="26">
        <v>12.5427</v>
      </c>
      <c r="G1090" s="27">
        <v>2521570</v>
      </c>
      <c r="H1090" s="27"/>
      <c r="I1090" s="28"/>
      <c r="J1090" s="28">
        <v>29000000</v>
      </c>
      <c r="K1090" s="34">
        <v>-2.64</v>
      </c>
      <c r="L1090" s="34">
        <v>-2.82</v>
      </c>
      <c r="M1090" s="34">
        <v>-25.44</v>
      </c>
      <c r="N1090" s="24">
        <v>1086</v>
      </c>
      <c r="O1090" s="29">
        <v>43096.562013888892</v>
      </c>
    </row>
    <row r="1091" spans="2:15" x14ac:dyDescent="0.25">
      <c r="B1091" s="24" t="s">
        <v>3975</v>
      </c>
      <c r="C1091" s="23" t="s">
        <v>3976</v>
      </c>
      <c r="D1091" s="24" t="s">
        <v>3977</v>
      </c>
      <c r="E1091" s="25">
        <v>3.4699999999999998E-6</v>
      </c>
      <c r="F1091" s="26">
        <v>5.4856599999999998E-2</v>
      </c>
      <c r="G1091" s="27">
        <v>2168460</v>
      </c>
      <c r="H1091" s="27"/>
      <c r="I1091" s="28"/>
      <c r="J1091" s="28"/>
      <c r="K1091" s="34">
        <v>0.53</v>
      </c>
      <c r="L1091" s="34">
        <v>-3.39</v>
      </c>
      <c r="M1091" s="34">
        <v>-18.84</v>
      </c>
      <c r="N1091" s="24">
        <v>1087</v>
      </c>
      <c r="O1091" s="29">
        <v>43096.562025462961</v>
      </c>
    </row>
    <row r="1092" spans="2:15" x14ac:dyDescent="0.25">
      <c r="B1092" s="24" t="s">
        <v>3788</v>
      </c>
      <c r="C1092" s="23" t="s">
        <v>3789</v>
      </c>
      <c r="D1092" s="24" t="s">
        <v>3790</v>
      </c>
      <c r="E1092" s="25">
        <v>9.5999999999999996E-6</v>
      </c>
      <c r="F1092" s="26">
        <v>0.15171000000000001</v>
      </c>
      <c r="G1092" s="27">
        <v>2051290</v>
      </c>
      <c r="H1092" s="27"/>
      <c r="I1092" s="28"/>
      <c r="J1092" s="28">
        <v>1000000000</v>
      </c>
      <c r="K1092" s="34">
        <v>0.89</v>
      </c>
      <c r="L1092" s="34">
        <v>-2.7</v>
      </c>
      <c r="M1092" s="34">
        <v>-34.65</v>
      </c>
      <c r="N1092" s="24">
        <v>1088</v>
      </c>
      <c r="O1092" s="29">
        <v>43096.562013888892</v>
      </c>
    </row>
    <row r="1093" spans="2:15" x14ac:dyDescent="0.25">
      <c r="B1093" s="24" t="s">
        <v>3950</v>
      </c>
      <c r="C1093" s="23" t="s">
        <v>3951</v>
      </c>
      <c r="D1093" s="24" t="s">
        <v>3949</v>
      </c>
      <c r="E1093" s="25">
        <v>1.7257000000000001E-4</v>
      </c>
      <c r="F1093" s="26">
        <v>2.7264599999999999</v>
      </c>
      <c r="G1093" s="27">
        <v>1859610</v>
      </c>
      <c r="H1093" s="27"/>
      <c r="I1093" s="28"/>
      <c r="J1093" s="28"/>
      <c r="K1093" s="34">
        <v>-3.67</v>
      </c>
      <c r="L1093" s="34">
        <v>-1.02</v>
      </c>
      <c r="M1093" s="34">
        <v>-24.52</v>
      </c>
      <c r="N1093" s="24">
        <v>1089</v>
      </c>
      <c r="O1093" s="29">
        <v>43096.562025462961</v>
      </c>
    </row>
    <row r="1094" spans="2:15" x14ac:dyDescent="0.25">
      <c r="B1094" s="24" t="s">
        <v>4046</v>
      </c>
      <c r="C1094" s="23" t="s">
        <v>4047</v>
      </c>
      <c r="D1094" s="24" t="s">
        <v>4047</v>
      </c>
      <c r="E1094" s="25">
        <v>1.6741999999999999E-4</v>
      </c>
      <c r="F1094" s="26">
        <v>2.6451199999999999</v>
      </c>
      <c r="G1094" s="27">
        <v>1833520</v>
      </c>
      <c r="H1094" s="27"/>
      <c r="I1094" s="28"/>
      <c r="J1094" s="28">
        <v>200000000</v>
      </c>
      <c r="K1094" s="34">
        <v>-2.74</v>
      </c>
      <c r="L1094" s="34">
        <v>-1.98</v>
      </c>
      <c r="M1094" s="34"/>
      <c r="N1094" s="24">
        <v>1090</v>
      </c>
      <c r="O1094" s="29">
        <v>43096.562025462961</v>
      </c>
    </row>
    <row r="1095" spans="2:15" x14ac:dyDescent="0.25">
      <c r="B1095" s="24" t="s">
        <v>3978</v>
      </c>
      <c r="C1095" s="23" t="s">
        <v>4006</v>
      </c>
      <c r="D1095" s="24" t="s">
        <v>3979</v>
      </c>
      <c r="E1095" s="25">
        <v>2.0689800000000001E-2</v>
      </c>
      <c r="F1095" s="26">
        <v>326.87400000000002</v>
      </c>
      <c r="G1095" s="27">
        <v>1614170</v>
      </c>
      <c r="H1095" s="27"/>
      <c r="I1095" s="28"/>
      <c r="J1095" s="28"/>
      <c r="K1095" s="34">
        <v>-1.1599999999999999</v>
      </c>
      <c r="L1095" s="34">
        <v>-2.14</v>
      </c>
      <c r="M1095" s="34">
        <v>7.14</v>
      </c>
      <c r="N1095" s="24">
        <v>1091</v>
      </c>
      <c r="O1095" s="29">
        <v>43096.562013888892</v>
      </c>
    </row>
    <row r="1096" spans="2:15" x14ac:dyDescent="0.25">
      <c r="B1096" s="24" t="s">
        <v>2713</v>
      </c>
      <c r="C1096" s="23" t="s">
        <v>775</v>
      </c>
      <c r="D1096" s="24" t="s">
        <v>1729</v>
      </c>
      <c r="E1096" s="25">
        <v>6.6471E-4</v>
      </c>
      <c r="F1096" s="26">
        <v>10.5017</v>
      </c>
      <c r="G1096" s="27">
        <v>1556900</v>
      </c>
      <c r="H1096" s="27"/>
      <c r="I1096" s="28"/>
      <c r="J1096" s="28">
        <v>479106404</v>
      </c>
      <c r="K1096" s="34">
        <v>-1.94</v>
      </c>
      <c r="L1096" s="34">
        <v>-3.74</v>
      </c>
      <c r="M1096" s="34">
        <v>-3.6</v>
      </c>
      <c r="N1096" s="24">
        <v>1092</v>
      </c>
      <c r="O1096" s="29">
        <v>43096.561909722222</v>
      </c>
    </row>
    <row r="1097" spans="2:15" x14ac:dyDescent="0.25">
      <c r="B1097" s="24" t="s">
        <v>4065</v>
      </c>
      <c r="C1097" s="23" t="s">
        <v>4066</v>
      </c>
      <c r="D1097" s="24" t="s">
        <v>4067</v>
      </c>
      <c r="E1097" s="25">
        <v>2.739E-5</v>
      </c>
      <c r="F1097" s="26">
        <v>0.43278899999999998</v>
      </c>
      <c r="G1097" s="27">
        <v>1514680</v>
      </c>
      <c r="H1097" s="27"/>
      <c r="I1097" s="28"/>
      <c r="J1097" s="28">
        <v>350000000</v>
      </c>
      <c r="K1097" s="34">
        <v>-1.66</v>
      </c>
      <c r="L1097" s="34">
        <v>0.92</v>
      </c>
      <c r="M1097" s="34"/>
      <c r="N1097" s="24">
        <v>1093</v>
      </c>
      <c r="O1097" s="29">
        <v>43096.562025462961</v>
      </c>
    </row>
    <row r="1098" spans="2:15" x14ac:dyDescent="0.25">
      <c r="B1098" s="24" t="s">
        <v>3923</v>
      </c>
      <c r="C1098" s="23" t="s">
        <v>3924</v>
      </c>
      <c r="D1098" s="24" t="s">
        <v>3925</v>
      </c>
      <c r="E1098" s="24">
        <v>3.1200000000000002E-6</v>
      </c>
      <c r="F1098" s="24">
        <v>4.9335900000000002E-2</v>
      </c>
      <c r="G1098" s="24">
        <v>1384180</v>
      </c>
      <c r="I1098" s="28"/>
      <c r="J1098" s="28">
        <v>651129644</v>
      </c>
      <c r="K1098" s="34">
        <v>0.85</v>
      </c>
      <c r="L1098" s="34">
        <v>37.96</v>
      </c>
      <c r="M1098" s="34">
        <v>668.29</v>
      </c>
      <c r="N1098" s="24">
        <v>1094</v>
      </c>
      <c r="O1098" s="29">
        <v>43096.562025462961</v>
      </c>
    </row>
    <row r="1099" spans="2:15" x14ac:dyDescent="0.25">
      <c r="B1099" s="24" t="s">
        <v>4000</v>
      </c>
      <c r="C1099" s="23" t="s">
        <v>4001</v>
      </c>
      <c r="D1099" s="24" t="s">
        <v>4002</v>
      </c>
      <c r="E1099" s="25">
        <v>1.7079999999999999E-5</v>
      </c>
      <c r="F1099" s="26">
        <v>0.26985199999999998</v>
      </c>
      <c r="G1099" s="27">
        <v>1346160</v>
      </c>
      <c r="H1099" s="27"/>
      <c r="I1099" s="28"/>
      <c r="J1099" s="28">
        <v>675000000</v>
      </c>
      <c r="K1099" s="34">
        <v>-10.97</v>
      </c>
      <c r="L1099" s="34">
        <v>-17.079999999999998</v>
      </c>
      <c r="M1099" s="34">
        <v>-45.55</v>
      </c>
      <c r="N1099" s="24">
        <v>1095</v>
      </c>
      <c r="O1099" s="29">
        <v>43096.562025462961</v>
      </c>
    </row>
    <row r="1100" spans="2:15" x14ac:dyDescent="0.25">
      <c r="B1100" s="24" t="s">
        <v>3957</v>
      </c>
      <c r="C1100" s="23" t="s">
        <v>3958</v>
      </c>
      <c r="D1100" s="24" t="s">
        <v>3959</v>
      </c>
      <c r="E1100" s="25">
        <v>1.13806E-3</v>
      </c>
      <c r="F1100" s="26">
        <v>17.98</v>
      </c>
      <c r="G1100" s="27">
        <v>1144600</v>
      </c>
      <c r="H1100" s="27"/>
      <c r="I1100" s="28"/>
      <c r="J1100" s="28">
        <v>19745726</v>
      </c>
      <c r="K1100" s="34">
        <v>-1.1399999999999999</v>
      </c>
      <c r="L1100" s="34">
        <v>3.35</v>
      </c>
      <c r="M1100" s="34">
        <v>-9.76</v>
      </c>
      <c r="N1100" s="24">
        <v>1096</v>
      </c>
      <c r="O1100" s="29">
        <v>43096.562013888892</v>
      </c>
    </row>
    <row r="1101" spans="2:15" x14ac:dyDescent="0.25">
      <c r="B1101" s="24" t="s">
        <v>3155</v>
      </c>
      <c r="C1101" s="23" t="s">
        <v>3156</v>
      </c>
      <c r="D1101" s="24" t="s">
        <v>3157</v>
      </c>
      <c r="E1101" s="25">
        <v>2.4719E-4</v>
      </c>
      <c r="F1101" s="26">
        <v>3.9053</v>
      </c>
      <c r="G1101" s="27">
        <v>1134530</v>
      </c>
      <c r="H1101" s="27"/>
      <c r="I1101" s="28"/>
      <c r="J1101" s="28"/>
      <c r="K1101" s="34">
        <v>1.02</v>
      </c>
      <c r="L1101" s="34">
        <v>-5.51</v>
      </c>
      <c r="M1101" s="34">
        <v>-34.14</v>
      </c>
      <c r="N1101" s="24">
        <v>1097</v>
      </c>
      <c r="O1101" s="29">
        <v>43096.561979166669</v>
      </c>
    </row>
    <row r="1102" spans="2:15" x14ac:dyDescent="0.25">
      <c r="B1102" s="24" t="s">
        <v>2731</v>
      </c>
      <c r="C1102" s="23" t="s">
        <v>796</v>
      </c>
      <c r="D1102" s="24" t="s">
        <v>1752</v>
      </c>
      <c r="E1102" s="25">
        <v>1.9871999999999999E-4</v>
      </c>
      <c r="F1102" s="26">
        <v>3.1395599999999999</v>
      </c>
      <c r="G1102" s="27">
        <v>1056880</v>
      </c>
      <c r="H1102" s="27"/>
      <c r="I1102" s="28"/>
      <c r="J1102" s="28">
        <v>98060189</v>
      </c>
      <c r="K1102" s="34">
        <v>-1.55</v>
      </c>
      <c r="L1102" s="34">
        <v>-1.1599999999999999</v>
      </c>
      <c r="M1102" s="34">
        <v>7.82</v>
      </c>
      <c r="N1102" s="24">
        <v>1098</v>
      </c>
      <c r="O1102" s="29">
        <v>43096.561874999999</v>
      </c>
    </row>
    <row r="1103" spans="2:15" x14ac:dyDescent="0.25">
      <c r="B1103" s="24" t="s">
        <v>3737</v>
      </c>
      <c r="C1103" s="23" t="s">
        <v>3738</v>
      </c>
      <c r="D1103" s="24" t="s">
        <v>3739</v>
      </c>
      <c r="E1103" s="25">
        <v>1.3E-6</v>
      </c>
      <c r="F1103" s="26">
        <v>2.0531299999999999E-2</v>
      </c>
      <c r="G1103" s="27">
        <v>1014270</v>
      </c>
      <c r="H1103" s="27"/>
      <c r="I1103" s="28"/>
      <c r="J1103" s="28">
        <v>1000000000</v>
      </c>
      <c r="K1103" s="34">
        <v>-3.29</v>
      </c>
      <c r="L1103" s="34">
        <v>-1.31</v>
      </c>
      <c r="M1103" s="34">
        <v>18.670000000000002</v>
      </c>
      <c r="N1103" s="24">
        <v>1099</v>
      </c>
      <c r="O1103" s="29">
        <v>43096.562002314815</v>
      </c>
    </row>
    <row r="1104" spans="2:15" x14ac:dyDescent="0.25">
      <c r="B1104" s="24" t="s">
        <v>3755</v>
      </c>
      <c r="C1104" s="23" t="s">
        <v>3756</v>
      </c>
      <c r="D1104" s="24" t="s">
        <v>3757</v>
      </c>
      <c r="E1104" s="25">
        <v>6.7882999999999999E-2</v>
      </c>
      <c r="F1104" s="26">
        <v>1072.47</v>
      </c>
      <c r="G1104" s="27">
        <v>923331</v>
      </c>
      <c r="H1104" s="27"/>
      <c r="I1104" s="28"/>
      <c r="J1104" s="28">
        <v>1000000</v>
      </c>
      <c r="K1104" s="34">
        <v>-0.13</v>
      </c>
      <c r="L1104" s="34">
        <v>-0.05</v>
      </c>
      <c r="M1104" s="34">
        <v>-13.5</v>
      </c>
      <c r="N1104" s="24">
        <v>1100</v>
      </c>
      <c r="O1104" s="29">
        <v>43096.561909722222</v>
      </c>
    </row>
    <row r="1105" spans="2:15" x14ac:dyDescent="0.25">
      <c r="B1105" s="24" t="s">
        <v>3875</v>
      </c>
      <c r="C1105" s="23" t="s">
        <v>3876</v>
      </c>
      <c r="D1105" s="24" t="s">
        <v>1851</v>
      </c>
      <c r="E1105" s="25">
        <v>4.3350000000000003E-5</v>
      </c>
      <c r="F1105" s="26">
        <v>0.68492799999999998</v>
      </c>
      <c r="G1105" s="27">
        <v>897281</v>
      </c>
      <c r="H1105" s="27"/>
      <c r="I1105" s="28"/>
      <c r="J1105" s="28">
        <v>100000000</v>
      </c>
      <c r="K1105" s="34">
        <v>2.0699999999999998</v>
      </c>
      <c r="L1105" s="34">
        <v>-0.78</v>
      </c>
      <c r="M1105" s="34">
        <v>-30.71</v>
      </c>
      <c r="N1105" s="24">
        <v>1101</v>
      </c>
      <c r="O1105" s="29">
        <v>43096.562025462961</v>
      </c>
    </row>
    <row r="1106" spans="2:15" x14ac:dyDescent="0.25">
      <c r="B1106" s="24" t="s">
        <v>3893</v>
      </c>
      <c r="C1106" s="23" t="s">
        <v>3894</v>
      </c>
      <c r="D1106" s="24" t="s">
        <v>3895</v>
      </c>
      <c r="E1106" s="25">
        <v>2.4000000000000001E-5</v>
      </c>
      <c r="F1106" s="26">
        <v>0.37917099999999998</v>
      </c>
      <c r="G1106" s="27">
        <v>831539</v>
      </c>
      <c r="H1106" s="27"/>
      <c r="I1106" s="28"/>
      <c r="J1106" s="28"/>
      <c r="K1106" s="34">
        <v>1.68</v>
      </c>
      <c r="L1106" s="34">
        <v>-39.479999999999997</v>
      </c>
      <c r="M1106" s="34">
        <v>-45.86</v>
      </c>
      <c r="N1106" s="24">
        <v>1102</v>
      </c>
      <c r="O1106" s="29">
        <v>43096.562025462961</v>
      </c>
    </row>
    <row r="1107" spans="2:15" x14ac:dyDescent="0.25">
      <c r="B1107" s="24" t="s">
        <v>3910</v>
      </c>
      <c r="C1107" s="23" t="s">
        <v>3911</v>
      </c>
      <c r="D1107" s="24" t="s">
        <v>3912</v>
      </c>
      <c r="E1107" s="25">
        <v>2.0127E-4</v>
      </c>
      <c r="F1107" s="26">
        <v>3.1797900000000001</v>
      </c>
      <c r="G1107" s="27">
        <v>826721</v>
      </c>
      <c r="H1107" s="27"/>
      <c r="I1107" s="28"/>
      <c r="J1107" s="28">
        <v>11008243</v>
      </c>
      <c r="K1107" s="34">
        <v>-21.12</v>
      </c>
      <c r="L1107" s="34">
        <v>-29.39</v>
      </c>
      <c r="M1107" s="34"/>
      <c r="N1107" s="24">
        <v>1103</v>
      </c>
      <c r="O1107" s="29">
        <v>43096.562013888892</v>
      </c>
    </row>
    <row r="1108" spans="2:15" x14ac:dyDescent="0.25">
      <c r="B1108" s="24" t="s">
        <v>4010</v>
      </c>
      <c r="C1108" s="23" t="s">
        <v>4011</v>
      </c>
      <c r="D1108" s="24" t="s">
        <v>4012</v>
      </c>
      <c r="E1108" s="25">
        <v>3.2849999999999999E-5</v>
      </c>
      <c r="F1108" s="26">
        <v>0.51893100000000003</v>
      </c>
      <c r="G1108" s="27">
        <v>797357</v>
      </c>
      <c r="H1108" s="27"/>
      <c r="I1108" s="28"/>
      <c r="J1108" s="28">
        <v>17532943</v>
      </c>
      <c r="K1108" s="34">
        <v>0.4</v>
      </c>
      <c r="L1108" s="34">
        <v>-3.2</v>
      </c>
      <c r="M1108" s="34">
        <v>-13.9</v>
      </c>
      <c r="N1108" s="24">
        <v>1104</v>
      </c>
      <c r="O1108" s="29">
        <v>43096.562025462961</v>
      </c>
    </row>
    <row r="1109" spans="2:15" x14ac:dyDescent="0.25">
      <c r="B1109" s="24" t="s">
        <v>4003</v>
      </c>
      <c r="C1109" s="23" t="s">
        <v>4004</v>
      </c>
      <c r="D1109" s="24" t="s">
        <v>4005</v>
      </c>
      <c r="E1109" s="25">
        <v>2.4499999999999998E-6</v>
      </c>
      <c r="F1109" s="26">
        <v>3.8646300000000001E-2</v>
      </c>
      <c r="G1109" s="27">
        <v>792833</v>
      </c>
      <c r="H1109" s="27"/>
      <c r="I1109" s="28"/>
      <c r="J1109" s="28">
        <v>2653841598</v>
      </c>
      <c r="K1109" s="34">
        <v>1.22</v>
      </c>
      <c r="L1109" s="34">
        <v>1.74</v>
      </c>
      <c r="M1109" s="34">
        <v>-10.199999999999999</v>
      </c>
      <c r="N1109" s="24">
        <v>1105</v>
      </c>
      <c r="O1109" s="29">
        <v>43096.562025462961</v>
      </c>
    </row>
    <row r="1110" spans="2:15" x14ac:dyDescent="0.25">
      <c r="B1110" s="24" t="s">
        <v>3724</v>
      </c>
      <c r="C1110" s="23" t="s">
        <v>3725</v>
      </c>
      <c r="D1110" s="24" t="s">
        <v>3726</v>
      </c>
      <c r="E1110" s="25">
        <v>1.3839000000000001E-4</v>
      </c>
      <c r="F1110" s="26">
        <v>2.1864599999999998</v>
      </c>
      <c r="G1110" s="27">
        <v>705194</v>
      </c>
      <c r="H1110" s="27"/>
      <c r="I1110" s="28"/>
      <c r="J1110" s="28">
        <v>28000000</v>
      </c>
      <c r="K1110" s="34">
        <v>-5.0599999999999996</v>
      </c>
      <c r="L1110" s="34">
        <v>-12.13</v>
      </c>
      <c r="M1110" s="34">
        <v>-63.04</v>
      </c>
      <c r="N1110" s="24">
        <v>1106</v>
      </c>
      <c r="O1110" s="29">
        <v>43096.562013888892</v>
      </c>
    </row>
    <row r="1111" spans="2:15" x14ac:dyDescent="0.25">
      <c r="B1111" s="24" t="s">
        <v>2706</v>
      </c>
      <c r="C1111" s="23" t="s">
        <v>773</v>
      </c>
      <c r="D1111" s="24" t="s">
        <v>1727</v>
      </c>
      <c r="E1111" s="25">
        <v>4.5040000000000002E-5</v>
      </c>
      <c r="F1111" s="26">
        <v>0.71161300000000005</v>
      </c>
      <c r="G1111" s="27">
        <v>672892</v>
      </c>
      <c r="H1111" s="27"/>
      <c r="I1111" s="28"/>
      <c r="J1111" s="28"/>
      <c r="K1111" s="34">
        <v>-0.6</v>
      </c>
      <c r="L1111" s="34">
        <v>0.84</v>
      </c>
      <c r="M1111" s="34">
        <v>-6.5</v>
      </c>
      <c r="N1111" s="24">
        <v>1107</v>
      </c>
      <c r="O1111" s="29">
        <v>43096.561967592592</v>
      </c>
    </row>
    <row r="1112" spans="2:15" x14ac:dyDescent="0.25">
      <c r="B1112" s="24" t="s">
        <v>3752</v>
      </c>
      <c r="C1112" s="23" t="s">
        <v>3753</v>
      </c>
      <c r="D1112" s="24" t="s">
        <v>3754</v>
      </c>
      <c r="E1112" s="24">
        <v>7.0790000000000005E-5</v>
      </c>
      <c r="F1112" s="24">
        <v>1.11839</v>
      </c>
      <c r="G1112" s="24">
        <v>665389</v>
      </c>
      <c r="I1112" s="28"/>
      <c r="J1112" s="28">
        <v>500948015</v>
      </c>
      <c r="K1112" s="34">
        <v>-1.23</v>
      </c>
      <c r="L1112" s="34">
        <v>1.45</v>
      </c>
      <c r="M1112" s="34">
        <v>-17.579999999999998</v>
      </c>
      <c r="N1112" s="24">
        <v>1108</v>
      </c>
      <c r="O1112" s="29">
        <v>43096.562013888892</v>
      </c>
    </row>
    <row r="1113" spans="2:15" x14ac:dyDescent="0.25">
      <c r="B1113" s="24" t="s">
        <v>4052</v>
      </c>
      <c r="C1113" s="23" t="s">
        <v>4053</v>
      </c>
      <c r="D1113" s="24" t="s">
        <v>4054</v>
      </c>
      <c r="E1113" s="24">
        <v>8.5779999999999995E-5</v>
      </c>
      <c r="F1113" s="24">
        <v>1.3552200000000001</v>
      </c>
      <c r="G1113" s="24">
        <v>662337</v>
      </c>
      <c r="I1113" s="28"/>
      <c r="J1113" s="28">
        <v>50784107</v>
      </c>
      <c r="K1113" s="34">
        <v>0.06</v>
      </c>
      <c r="L1113" s="34">
        <v>4.46</v>
      </c>
      <c r="M1113" s="34"/>
      <c r="N1113" s="24">
        <v>1109</v>
      </c>
      <c r="O1113" s="29">
        <v>43096.562025462961</v>
      </c>
    </row>
    <row r="1114" spans="2:15" x14ac:dyDescent="0.25">
      <c r="B1114" s="24" t="s">
        <v>4071</v>
      </c>
      <c r="C1114" s="23" t="s">
        <v>4072</v>
      </c>
      <c r="D1114" s="24" t="s">
        <v>4073</v>
      </c>
      <c r="E1114" s="24">
        <v>6.0090000000000002E-5</v>
      </c>
      <c r="F1114" s="24">
        <v>0.94932300000000003</v>
      </c>
      <c r="G1114" s="24">
        <v>632221</v>
      </c>
      <c r="I1114" s="28"/>
      <c r="J1114" s="28"/>
      <c r="K1114" s="34">
        <v>0.04</v>
      </c>
      <c r="L1114" s="34"/>
      <c r="M1114" s="34"/>
      <c r="N1114" s="24">
        <v>1110</v>
      </c>
      <c r="O1114" s="29">
        <v>43096.562025462961</v>
      </c>
    </row>
    <row r="1115" spans="2:15" x14ac:dyDescent="0.25">
      <c r="B1115" s="24" t="s">
        <v>3890</v>
      </c>
      <c r="C1115" s="23" t="s">
        <v>3891</v>
      </c>
      <c r="D1115" s="24" t="s">
        <v>3892</v>
      </c>
      <c r="E1115" s="24">
        <v>4.0400000000000003E-6</v>
      </c>
      <c r="F1115" s="24">
        <v>6.3893800000000001E-2</v>
      </c>
      <c r="G1115" s="24">
        <v>586175</v>
      </c>
      <c r="I1115" s="28"/>
      <c r="J1115" s="28">
        <v>438686537</v>
      </c>
      <c r="K1115" s="34">
        <v>8.06</v>
      </c>
      <c r="L1115" s="34">
        <v>82.92</v>
      </c>
      <c r="M1115" s="34">
        <v>170.81</v>
      </c>
      <c r="N1115" s="24">
        <v>1111</v>
      </c>
      <c r="O1115" s="29">
        <v>43096.562013888892</v>
      </c>
    </row>
    <row r="1116" spans="2:15" x14ac:dyDescent="0.25">
      <c r="B1116" s="24" t="s">
        <v>2726</v>
      </c>
      <c r="C1116" s="23" t="s">
        <v>793</v>
      </c>
      <c r="D1116" s="24" t="s">
        <v>1749</v>
      </c>
      <c r="E1116" s="24">
        <v>1.26841E-2</v>
      </c>
      <c r="F1116" s="24">
        <v>200.393</v>
      </c>
      <c r="G1116" s="24">
        <v>577112</v>
      </c>
      <c r="I1116" s="28"/>
      <c r="J1116" s="28"/>
      <c r="K1116" s="34">
        <v>-0.43</v>
      </c>
      <c r="L1116" s="34">
        <v>-7.1</v>
      </c>
      <c r="M1116" s="34">
        <v>-23.27</v>
      </c>
      <c r="N1116" s="24">
        <v>1112</v>
      </c>
      <c r="O1116" s="29">
        <v>43096.561921296299</v>
      </c>
    </row>
    <row r="1117" spans="2:15" x14ac:dyDescent="0.25">
      <c r="B1117" s="24" t="s">
        <v>3952</v>
      </c>
      <c r="C1117" s="23" t="s">
        <v>3953</v>
      </c>
      <c r="D1117" s="24" t="s">
        <v>3018</v>
      </c>
      <c r="E1117" s="24">
        <v>2.281E-5</v>
      </c>
      <c r="F1117" s="24">
        <v>0.36043700000000001</v>
      </c>
      <c r="G1117" s="24">
        <v>505038</v>
      </c>
      <c r="I1117" s="28"/>
      <c r="J1117" s="28">
        <v>100000000</v>
      </c>
      <c r="K1117" s="34">
        <v>-0.59</v>
      </c>
      <c r="L1117" s="34">
        <v>3.61</v>
      </c>
      <c r="M1117" s="34">
        <v>-15.04</v>
      </c>
      <c r="N1117" s="24">
        <v>1113</v>
      </c>
      <c r="O1117" s="29">
        <v>43096.562013888892</v>
      </c>
    </row>
    <row r="1118" spans="2:15" x14ac:dyDescent="0.25">
      <c r="B1118" s="24" t="s">
        <v>3963</v>
      </c>
      <c r="C1118" s="23" t="s">
        <v>3964</v>
      </c>
      <c r="D1118" s="24" t="s">
        <v>3965</v>
      </c>
      <c r="E1118" s="24">
        <v>1.4888799999999999E-3</v>
      </c>
      <c r="F1118" s="24">
        <v>23.522600000000001</v>
      </c>
      <c r="G1118" s="24">
        <v>495894</v>
      </c>
      <c r="I1118" s="28"/>
      <c r="J1118" s="28"/>
      <c r="K1118" s="34">
        <v>-1.47</v>
      </c>
      <c r="L1118" s="34">
        <v>0.34</v>
      </c>
      <c r="M1118" s="34">
        <v>28.33</v>
      </c>
      <c r="N1118" s="24">
        <v>1114</v>
      </c>
      <c r="O1118" s="29">
        <v>43096.562025462961</v>
      </c>
    </row>
    <row r="1119" spans="2:15" x14ac:dyDescent="0.25">
      <c r="B1119" s="24" t="s">
        <v>2705</v>
      </c>
      <c r="C1119" s="23" t="s">
        <v>778</v>
      </c>
      <c r="D1119" s="24" t="s">
        <v>1732</v>
      </c>
      <c r="E1119" s="24">
        <v>1.6199999999999999E-6</v>
      </c>
      <c r="F1119" s="24">
        <v>2.56511E-2</v>
      </c>
      <c r="G1119" s="24">
        <v>420638</v>
      </c>
      <c r="I1119" s="28"/>
      <c r="J1119" s="28"/>
      <c r="K1119" s="34">
        <v>-1.76</v>
      </c>
      <c r="L1119" s="34">
        <v>-0.36</v>
      </c>
      <c r="M1119" s="34">
        <v>-7.45</v>
      </c>
      <c r="N1119" s="24">
        <v>1115</v>
      </c>
      <c r="O1119" s="29">
        <v>43096.561967592592</v>
      </c>
    </row>
    <row r="1120" spans="2:15" x14ac:dyDescent="0.25">
      <c r="B1120" s="24" t="s">
        <v>3715</v>
      </c>
      <c r="C1120" s="23" t="s">
        <v>3716</v>
      </c>
      <c r="D1120" s="24" t="s">
        <v>3717</v>
      </c>
      <c r="E1120" s="24">
        <v>1.2316000000000001E-4</v>
      </c>
      <c r="F1120" s="24">
        <v>1.9457500000000001</v>
      </c>
      <c r="G1120" s="24">
        <v>407379</v>
      </c>
      <c r="I1120" s="28"/>
      <c r="J1120" s="28">
        <v>20000000</v>
      </c>
      <c r="K1120" s="34">
        <v>-0.63</v>
      </c>
      <c r="L1120" s="34">
        <v>10.43</v>
      </c>
      <c r="M1120" s="34">
        <v>-10.1</v>
      </c>
      <c r="N1120" s="24">
        <v>1116</v>
      </c>
      <c r="O1120" s="29">
        <v>43096.562002314815</v>
      </c>
    </row>
    <row r="1121" spans="2:15" x14ac:dyDescent="0.25">
      <c r="B1121" s="24" t="s">
        <v>3316</v>
      </c>
      <c r="C1121" s="23" t="s">
        <v>3317</v>
      </c>
      <c r="D1121" s="24" t="s">
        <v>3318</v>
      </c>
      <c r="E1121" s="24">
        <v>1.8470000000000001E-5</v>
      </c>
      <c r="F1121" s="24">
        <v>0.29184199999999999</v>
      </c>
      <c r="G1121" s="24">
        <v>397039</v>
      </c>
      <c r="I1121" s="28"/>
      <c r="J1121" s="28">
        <v>1000000000</v>
      </c>
      <c r="K1121" s="34">
        <v>-0.3</v>
      </c>
      <c r="L1121" s="34">
        <v>-2.57</v>
      </c>
      <c r="M1121" s="34">
        <v>-21.74</v>
      </c>
      <c r="N1121" s="24">
        <v>1117</v>
      </c>
      <c r="O1121" s="29">
        <v>43096.561979166669</v>
      </c>
    </row>
    <row r="1122" spans="2:15" x14ac:dyDescent="0.25">
      <c r="B1122" s="24" t="s">
        <v>4024</v>
      </c>
      <c r="C1122" s="23" t="s">
        <v>4025</v>
      </c>
      <c r="D1122" s="24" t="s">
        <v>4026</v>
      </c>
      <c r="E1122" s="24">
        <v>3.0800000000000002E-6</v>
      </c>
      <c r="F1122" s="24">
        <v>4.8659399999999998E-2</v>
      </c>
      <c r="G1122" s="24">
        <v>367792</v>
      </c>
      <c r="I1122" s="28"/>
      <c r="J1122" s="28">
        <v>3750000000</v>
      </c>
      <c r="K1122" s="34">
        <v>7.3</v>
      </c>
      <c r="L1122" s="34">
        <v>63.55</v>
      </c>
      <c r="M1122" s="34"/>
      <c r="N1122" s="24">
        <v>1118</v>
      </c>
      <c r="O1122" s="29">
        <v>43096.562025462961</v>
      </c>
    </row>
    <row r="1123" spans="2:15" x14ac:dyDescent="0.25">
      <c r="B1123" s="24" t="s">
        <v>3887</v>
      </c>
      <c r="C1123" s="23" t="s">
        <v>3888</v>
      </c>
      <c r="D1123" s="24" t="s">
        <v>3889</v>
      </c>
      <c r="E1123" s="24">
        <v>7.08E-6</v>
      </c>
      <c r="F1123" s="24">
        <v>0.111901</v>
      </c>
      <c r="G1123" s="24">
        <v>351859</v>
      </c>
      <c r="I1123" s="28"/>
      <c r="J1123" s="28">
        <v>240000000</v>
      </c>
      <c r="K1123" s="34">
        <v>5.49</v>
      </c>
      <c r="L1123" s="34">
        <v>2.99</v>
      </c>
      <c r="M1123" s="34">
        <v>-7.24</v>
      </c>
      <c r="N1123" s="24">
        <v>1119</v>
      </c>
      <c r="O1123" s="29">
        <v>43096.562013888892</v>
      </c>
    </row>
    <row r="1124" spans="2:15" x14ac:dyDescent="0.25">
      <c r="B1124" s="24" t="s">
        <v>3960</v>
      </c>
      <c r="C1124" s="23" t="s">
        <v>3961</v>
      </c>
      <c r="D1124" s="24" t="s">
        <v>3962</v>
      </c>
      <c r="E1124" s="24">
        <v>3.0599999999999999E-6</v>
      </c>
      <c r="F1124" s="24">
        <v>4.8379600000000002E-2</v>
      </c>
      <c r="G1124" s="24">
        <v>324831</v>
      </c>
      <c r="I1124" s="28"/>
      <c r="J1124" s="28">
        <v>2000000000</v>
      </c>
      <c r="K1124" s="34">
        <v>2.29</v>
      </c>
      <c r="L1124" s="34">
        <v>-1.35</v>
      </c>
      <c r="M1124" s="34">
        <v>-23.31</v>
      </c>
      <c r="N1124" s="24">
        <v>1120</v>
      </c>
      <c r="O1124" s="29">
        <v>43096.562025462961</v>
      </c>
    </row>
    <row r="1125" spans="2:15" x14ac:dyDescent="0.25">
      <c r="B1125" s="24" t="s">
        <v>2715</v>
      </c>
      <c r="C1125" s="23" t="s">
        <v>782</v>
      </c>
      <c r="D1125" s="24" t="s">
        <v>1737</v>
      </c>
      <c r="E1125" s="24">
        <v>1.8340000000000001E-5</v>
      </c>
      <c r="F1125" s="24">
        <v>0.28974299999999997</v>
      </c>
      <c r="G1125" s="24">
        <v>279682</v>
      </c>
      <c r="I1125" s="28"/>
      <c r="J1125" s="28">
        <v>30820620</v>
      </c>
      <c r="K1125" s="34">
        <v>-0.55000000000000004</v>
      </c>
      <c r="L1125" s="34">
        <v>-0.5</v>
      </c>
      <c r="M1125" s="34">
        <v>26.5</v>
      </c>
      <c r="N1125" s="24">
        <v>1121</v>
      </c>
      <c r="O1125" s="29">
        <v>43096.561956018515</v>
      </c>
    </row>
    <row r="1126" spans="2:15" x14ac:dyDescent="0.25">
      <c r="B1126" s="24" t="s">
        <v>2780</v>
      </c>
      <c r="C1126" s="23" t="s">
        <v>858</v>
      </c>
      <c r="D1126" s="24" t="s">
        <v>1807</v>
      </c>
      <c r="E1126" s="24">
        <v>4.5999999999999999E-7</v>
      </c>
      <c r="F1126" s="24">
        <v>7.2145100000000004E-3</v>
      </c>
      <c r="G1126" s="24">
        <v>244101</v>
      </c>
      <c r="I1126" s="28"/>
      <c r="J1126" s="28">
        <v>49312080</v>
      </c>
      <c r="K1126" s="34">
        <v>-2.73</v>
      </c>
      <c r="L1126" s="34">
        <v>-1.04</v>
      </c>
      <c r="M1126" s="34">
        <v>277.14</v>
      </c>
      <c r="N1126" s="24">
        <v>1122</v>
      </c>
      <c r="O1126" s="29">
        <v>43096.561921296299</v>
      </c>
    </row>
    <row r="1127" spans="2:15" x14ac:dyDescent="0.25">
      <c r="B1127" s="24" t="s">
        <v>3482</v>
      </c>
      <c r="C1127" s="23" t="s">
        <v>3483</v>
      </c>
      <c r="D1127" s="24" t="s">
        <v>3484</v>
      </c>
      <c r="E1127" s="24">
        <v>0.96826999999999996</v>
      </c>
      <c r="F1127" s="24">
        <v>15297.5</v>
      </c>
      <c r="G1127" s="24">
        <v>231084</v>
      </c>
      <c r="I1127" s="28"/>
      <c r="J1127" s="28"/>
      <c r="K1127" s="34">
        <v>-0.28999999999999998</v>
      </c>
      <c r="L1127" s="34">
        <v>-11.71</v>
      </c>
      <c r="M1127" s="34">
        <v>-15.2</v>
      </c>
      <c r="N1127" s="24">
        <v>1123</v>
      </c>
      <c r="O1127" s="29">
        <v>43096.562002314815</v>
      </c>
    </row>
    <row r="1128" spans="2:15" x14ac:dyDescent="0.25">
      <c r="B1128" s="24" t="s">
        <v>4021</v>
      </c>
      <c r="C1128" s="23" t="s">
        <v>4022</v>
      </c>
      <c r="D1128" s="24" t="s">
        <v>4023</v>
      </c>
      <c r="E1128" s="24">
        <v>9.8300000000000008E-6</v>
      </c>
      <c r="F1128" s="24">
        <v>0.15526300000000001</v>
      </c>
      <c r="G1128" s="24">
        <v>223959</v>
      </c>
      <c r="I1128" s="28"/>
      <c r="J1128" s="28">
        <v>245209299</v>
      </c>
      <c r="K1128" s="34">
        <v>-1.8</v>
      </c>
      <c r="L1128" s="34">
        <v>12.72</v>
      </c>
      <c r="M1128" s="34">
        <v>18.559999999999999</v>
      </c>
      <c r="N1128" s="24">
        <v>1124</v>
      </c>
      <c r="O1128" s="29">
        <v>43096.562013888892</v>
      </c>
    </row>
    <row r="1129" spans="2:15" x14ac:dyDescent="0.25">
      <c r="B1129" s="24" t="s">
        <v>4007</v>
      </c>
      <c r="C1129" s="23" t="s">
        <v>4008</v>
      </c>
      <c r="D1129" s="24" t="s">
        <v>4009</v>
      </c>
      <c r="E1129" s="24">
        <v>2.2537100000000001E-2</v>
      </c>
      <c r="F1129" s="24">
        <v>356.05799999999999</v>
      </c>
      <c r="G1129" s="24">
        <v>202922</v>
      </c>
      <c r="I1129" s="28"/>
      <c r="J1129" s="28"/>
      <c r="K1129" s="34">
        <v>0.02</v>
      </c>
      <c r="L1129" s="34">
        <v>-36.28</v>
      </c>
      <c r="M1129" s="34">
        <v>-16.57</v>
      </c>
      <c r="N1129" s="24">
        <v>1125</v>
      </c>
      <c r="O1129" s="29">
        <v>43096.562025462961</v>
      </c>
    </row>
    <row r="1130" spans="2:15" x14ac:dyDescent="0.25">
      <c r="B1130" s="24" t="s">
        <v>4019</v>
      </c>
      <c r="C1130" s="23" t="s">
        <v>4020</v>
      </c>
      <c r="D1130" s="24" t="s">
        <v>3475</v>
      </c>
      <c r="E1130" s="24">
        <v>2.9817E-4</v>
      </c>
      <c r="F1130" s="24">
        <v>4.7106700000000004</v>
      </c>
      <c r="G1130" s="24">
        <v>200978</v>
      </c>
      <c r="I1130" s="28"/>
      <c r="J1130" s="28"/>
      <c r="K1130" s="34">
        <v>-0.39</v>
      </c>
      <c r="L1130" s="34">
        <v>-9.1</v>
      </c>
      <c r="M1130" s="34"/>
      <c r="N1130" s="24">
        <v>1126</v>
      </c>
      <c r="O1130" s="29">
        <v>43096.562025462961</v>
      </c>
    </row>
    <row r="1131" spans="2:15" x14ac:dyDescent="0.25">
      <c r="B1131" s="24" t="s">
        <v>4016</v>
      </c>
      <c r="C1131" s="23" t="s">
        <v>4017</v>
      </c>
      <c r="D1131" s="24" t="s">
        <v>4018</v>
      </c>
      <c r="E1131" s="24">
        <v>1.0100000000000001E-6</v>
      </c>
      <c r="F1131" s="24">
        <v>1.5936200000000001E-2</v>
      </c>
      <c r="G1131" s="24">
        <v>195726</v>
      </c>
      <c r="I1131" s="28"/>
      <c r="J1131" s="28">
        <v>1000000000</v>
      </c>
      <c r="K1131" s="34">
        <v>6.09</v>
      </c>
      <c r="L1131" s="34">
        <v>28.3</v>
      </c>
      <c r="M1131" s="34">
        <v>-29.25</v>
      </c>
      <c r="N1131" s="24">
        <v>1127</v>
      </c>
      <c r="O1131" s="29">
        <v>43096.562025462961</v>
      </c>
    </row>
    <row r="1132" spans="2:15" x14ac:dyDescent="0.25">
      <c r="B1132" s="24" t="s">
        <v>3161</v>
      </c>
      <c r="C1132" s="23" t="s">
        <v>3162</v>
      </c>
      <c r="D1132" s="24" t="s">
        <v>3163</v>
      </c>
      <c r="E1132" s="24">
        <v>1.59E-6</v>
      </c>
      <c r="F1132" s="24">
        <v>2.5120099999999999E-2</v>
      </c>
      <c r="G1132" s="24">
        <v>193247</v>
      </c>
      <c r="I1132" s="28"/>
      <c r="J1132" s="28">
        <v>9000000000</v>
      </c>
      <c r="K1132" s="34">
        <v>0.12</v>
      </c>
      <c r="L1132" s="34">
        <v>-2.34</v>
      </c>
      <c r="M1132" s="34">
        <v>-0.59</v>
      </c>
      <c r="N1132" s="24">
        <v>1128</v>
      </c>
      <c r="O1132" s="29">
        <v>43096.561990740738</v>
      </c>
    </row>
    <row r="1133" spans="2:15" x14ac:dyDescent="0.25">
      <c r="B1133" s="24" t="s">
        <v>2044</v>
      </c>
      <c r="C1133" s="23" t="s">
        <v>121</v>
      </c>
      <c r="D1133" s="24" t="s">
        <v>1088</v>
      </c>
      <c r="E1133" s="24">
        <v>2.2500000000000001E-6</v>
      </c>
      <c r="F1133" s="24">
        <v>3.55235E-2</v>
      </c>
      <c r="G1133" s="24">
        <v>186354</v>
      </c>
      <c r="I1133" s="28"/>
      <c r="J1133" s="28">
        <v>2147483647</v>
      </c>
      <c r="K1133" s="34">
        <v>9.83</v>
      </c>
      <c r="L1133" s="34">
        <v>-4.16</v>
      </c>
      <c r="M1133" s="34"/>
      <c r="N1133" s="24">
        <v>1129</v>
      </c>
      <c r="O1133" s="29">
        <v>43096.561874999999</v>
      </c>
    </row>
    <row r="1134" spans="2:15" x14ac:dyDescent="0.25">
      <c r="B1134" s="24" t="s">
        <v>3966</v>
      </c>
      <c r="C1134" s="23" t="s">
        <v>3967</v>
      </c>
      <c r="D1134" s="24" t="s">
        <v>3968</v>
      </c>
      <c r="E1134" s="24">
        <v>9.0379999999999999E-5</v>
      </c>
      <c r="F1134" s="24">
        <v>1.4278500000000001</v>
      </c>
      <c r="G1134" s="24">
        <v>176839</v>
      </c>
      <c r="I1134" s="28"/>
      <c r="J1134" s="28">
        <v>40000000</v>
      </c>
      <c r="K1134" s="34">
        <v>-0.63</v>
      </c>
      <c r="L1134" s="34">
        <v>12.6</v>
      </c>
      <c r="M1134" s="34">
        <v>4.25</v>
      </c>
      <c r="N1134" s="24">
        <v>1130</v>
      </c>
      <c r="O1134" s="29">
        <v>43096.562013888892</v>
      </c>
    </row>
    <row r="1135" spans="2:15" x14ac:dyDescent="0.25">
      <c r="B1135" s="24" t="s">
        <v>2730</v>
      </c>
      <c r="C1135" s="23" t="s">
        <v>805</v>
      </c>
      <c r="D1135" s="24" t="s">
        <v>1760</v>
      </c>
      <c r="E1135" s="24">
        <v>1.3550000000000001E-5</v>
      </c>
      <c r="F1135" s="24">
        <v>0.21412800000000001</v>
      </c>
      <c r="G1135" s="24">
        <v>175246</v>
      </c>
      <c r="I1135" s="28"/>
      <c r="J1135" s="28"/>
      <c r="K1135" s="34">
        <v>-0.74</v>
      </c>
      <c r="L1135" s="34">
        <v>1.36</v>
      </c>
      <c r="M1135" s="34">
        <v>32.17</v>
      </c>
      <c r="N1135" s="24">
        <v>1131</v>
      </c>
      <c r="O1135" s="29">
        <v>43096.561921296299</v>
      </c>
    </row>
    <row r="1136" spans="2:15" x14ac:dyDescent="0.25">
      <c r="B1136" s="24" t="s">
        <v>3300</v>
      </c>
      <c r="C1136" s="23" t="s">
        <v>3301</v>
      </c>
      <c r="D1136" s="24" t="s">
        <v>3302</v>
      </c>
      <c r="E1136" s="24">
        <v>1.1790000000000001E-5</v>
      </c>
      <c r="F1136" s="24">
        <v>0.18626799999999999</v>
      </c>
      <c r="G1136" s="24">
        <v>162177</v>
      </c>
      <c r="I1136" s="28"/>
      <c r="J1136" s="28">
        <v>3680091532</v>
      </c>
      <c r="K1136" s="34">
        <v>-1.1399999999999999</v>
      </c>
      <c r="L1136" s="34">
        <v>0.79</v>
      </c>
      <c r="M1136" s="34">
        <v>4.1900000000000004</v>
      </c>
      <c r="N1136" s="24">
        <v>1132</v>
      </c>
      <c r="O1136" s="29">
        <v>43096.561990740738</v>
      </c>
    </row>
    <row r="1137" spans="2:15" x14ac:dyDescent="0.25">
      <c r="B1137" s="24" t="s">
        <v>4027</v>
      </c>
      <c r="C1137" s="23" t="s">
        <v>4028</v>
      </c>
      <c r="D1137" s="24" t="s">
        <v>4029</v>
      </c>
      <c r="E1137" s="24">
        <v>1.8503599999999999E-3</v>
      </c>
      <c r="F1137" s="24">
        <v>29.2334</v>
      </c>
      <c r="G1137" s="24">
        <v>144090</v>
      </c>
      <c r="I1137" s="28"/>
      <c r="J1137" s="28">
        <v>10438849</v>
      </c>
      <c r="K1137" s="34">
        <v>1.2</v>
      </c>
      <c r="L1137" s="34">
        <v>41.35</v>
      </c>
      <c r="M1137" s="34">
        <v>48.05</v>
      </c>
      <c r="N1137" s="24">
        <v>1133</v>
      </c>
      <c r="O1137" s="29">
        <v>43096.562025462961</v>
      </c>
    </row>
    <row r="1138" spans="2:15" x14ac:dyDescent="0.25">
      <c r="B1138" s="24" t="s">
        <v>3920</v>
      </c>
      <c r="C1138" s="23" t="s">
        <v>3921</v>
      </c>
      <c r="D1138" s="24" t="s">
        <v>3922</v>
      </c>
      <c r="E1138" s="24">
        <v>2.6270000000000001E-5</v>
      </c>
      <c r="F1138" s="24">
        <v>0.41503400000000001</v>
      </c>
      <c r="G1138" s="24">
        <v>131258</v>
      </c>
      <c r="I1138" s="28"/>
      <c r="J1138" s="28">
        <v>195247235</v>
      </c>
      <c r="K1138" s="34">
        <v>-6.9</v>
      </c>
      <c r="L1138" s="34">
        <v>-4.28</v>
      </c>
      <c r="M1138" s="34">
        <v>-28.14</v>
      </c>
      <c r="N1138" s="24">
        <v>1134</v>
      </c>
      <c r="O1138" s="29">
        <v>43096.562013888892</v>
      </c>
    </row>
    <row r="1139" spans="2:15" x14ac:dyDescent="0.25">
      <c r="B1139" s="24" t="s">
        <v>4030</v>
      </c>
      <c r="C1139" s="23" t="s">
        <v>4031</v>
      </c>
      <c r="D1139" s="24" t="s">
        <v>4032</v>
      </c>
      <c r="E1139" s="24">
        <v>5.605E-5</v>
      </c>
      <c r="F1139" s="24">
        <v>0.88557399999999997</v>
      </c>
      <c r="G1139" s="24">
        <v>117509</v>
      </c>
      <c r="I1139" s="28"/>
      <c r="J1139" s="28">
        <v>19893268</v>
      </c>
      <c r="K1139" s="34">
        <v>-1.73</v>
      </c>
      <c r="L1139" s="34">
        <v>3.76</v>
      </c>
      <c r="M1139" s="34">
        <v>63.48</v>
      </c>
      <c r="N1139" s="24">
        <v>1135</v>
      </c>
      <c r="O1139" s="29">
        <v>43096.562025462961</v>
      </c>
    </row>
    <row r="1140" spans="2:15" x14ac:dyDescent="0.25">
      <c r="B1140" s="24" t="s">
        <v>3901</v>
      </c>
      <c r="C1140" s="23" t="s">
        <v>3902</v>
      </c>
      <c r="D1140" s="24" t="s">
        <v>3903</v>
      </c>
      <c r="E1140" s="24">
        <v>1.471E-5</v>
      </c>
      <c r="F1140" s="24">
        <v>0.232408</v>
      </c>
      <c r="G1140" s="24">
        <v>102073</v>
      </c>
      <c r="I1140" s="28"/>
      <c r="J1140" s="28">
        <v>1000000000</v>
      </c>
      <c r="K1140" s="34">
        <v>-4.08</v>
      </c>
      <c r="L1140" s="34">
        <v>-6.78</v>
      </c>
      <c r="M1140" s="34">
        <v>68.56</v>
      </c>
      <c r="N1140" s="24">
        <v>1136</v>
      </c>
      <c r="O1140" s="29">
        <v>43096.562013888892</v>
      </c>
    </row>
    <row r="1141" spans="2:15" x14ac:dyDescent="0.25">
      <c r="B1141" s="24" t="s">
        <v>3688</v>
      </c>
      <c r="C1141" s="23" t="s">
        <v>3689</v>
      </c>
      <c r="D1141" s="24" t="s">
        <v>3690</v>
      </c>
      <c r="E1141" s="24">
        <v>1.1527E-4</v>
      </c>
      <c r="F1141" s="24">
        <v>1.82117</v>
      </c>
      <c r="G1141" s="24">
        <v>77115</v>
      </c>
      <c r="I1141" s="28"/>
      <c r="J1141" s="28">
        <v>75206327</v>
      </c>
      <c r="K1141" s="34">
        <v>-3.82</v>
      </c>
      <c r="L1141" s="34">
        <v>-2.3199999999999998</v>
      </c>
      <c r="M1141" s="34">
        <v>-38.51</v>
      </c>
      <c r="N1141" s="24">
        <v>1137</v>
      </c>
      <c r="O1141" s="29">
        <v>43096.562002314815</v>
      </c>
    </row>
    <row r="1142" spans="2:15" x14ac:dyDescent="0.25">
      <c r="B1142" s="24" t="s">
        <v>2708</v>
      </c>
      <c r="C1142" s="23" t="s">
        <v>794</v>
      </c>
      <c r="D1142" s="24" t="s">
        <v>1750</v>
      </c>
      <c r="E1142" s="24">
        <v>3.6860000000000003E-5</v>
      </c>
      <c r="F1142" s="24">
        <v>0.58236399999999999</v>
      </c>
      <c r="G1142" s="24">
        <v>65297.599999999999</v>
      </c>
      <c r="I1142" s="28"/>
      <c r="J1142" s="28">
        <v>646359158</v>
      </c>
      <c r="K1142" s="34">
        <v>3.69</v>
      </c>
      <c r="L1142" s="34">
        <v>-3.08</v>
      </c>
      <c r="M1142" s="34">
        <v>-4.42</v>
      </c>
      <c r="N1142" s="24">
        <v>1138</v>
      </c>
      <c r="O1142" s="29">
        <v>43096.561898148146</v>
      </c>
    </row>
    <row r="1143" spans="2:15" x14ac:dyDescent="0.25">
      <c r="B1143" s="24" t="s">
        <v>3404</v>
      </c>
      <c r="C1143" s="23" t="s">
        <v>3405</v>
      </c>
      <c r="D1143" s="24" t="s">
        <v>3406</v>
      </c>
      <c r="E1143" s="24">
        <v>1.7100000000000001E-4</v>
      </c>
      <c r="F1143" s="24">
        <v>2.7015899999999999</v>
      </c>
      <c r="G1143" s="24">
        <v>63007.6</v>
      </c>
      <c r="I1143" s="28"/>
      <c r="J1143" s="28">
        <v>500000000</v>
      </c>
      <c r="K1143" s="34">
        <v>-5.03</v>
      </c>
      <c r="L1143" s="34">
        <v>-5.32</v>
      </c>
      <c r="M1143" s="34">
        <v>-16.48</v>
      </c>
      <c r="N1143" s="24">
        <v>1139</v>
      </c>
      <c r="O1143" s="29">
        <v>43096.561990740738</v>
      </c>
    </row>
    <row r="1144" spans="2:15" x14ac:dyDescent="0.25">
      <c r="B1144" s="24" t="s">
        <v>2778</v>
      </c>
      <c r="C1144" s="23" t="s">
        <v>851</v>
      </c>
      <c r="D1144" s="24" t="s">
        <v>1800</v>
      </c>
      <c r="E1144" s="24">
        <v>9.9999999999999994E-12</v>
      </c>
      <c r="F1144" s="24">
        <v>2.3160000000000001E-7</v>
      </c>
      <c r="G1144" s="24">
        <v>49482.5</v>
      </c>
      <c r="I1144" s="28"/>
      <c r="J1144" s="28">
        <v>12390920701</v>
      </c>
      <c r="K1144" s="34">
        <v>1.88</v>
      </c>
      <c r="L1144" s="34">
        <v>2.15</v>
      </c>
      <c r="M1144" s="34">
        <v>-24.48</v>
      </c>
      <c r="N1144" s="24">
        <v>1140</v>
      </c>
      <c r="O1144" s="29">
        <v>43096.561874999999</v>
      </c>
    </row>
    <row r="1145" spans="2:15" x14ac:dyDescent="0.25">
      <c r="B1145" s="24" t="s">
        <v>4033</v>
      </c>
      <c r="C1145" s="23" t="s">
        <v>4034</v>
      </c>
      <c r="D1145" s="24" t="s">
        <v>4035</v>
      </c>
      <c r="E1145" s="24">
        <v>4.9200000000000003E-6</v>
      </c>
      <c r="F1145" s="24">
        <v>7.7790300000000007E-2</v>
      </c>
      <c r="G1145" s="24">
        <v>42187.5</v>
      </c>
      <c r="I1145" s="28"/>
      <c r="J1145" s="28">
        <v>1000000000</v>
      </c>
      <c r="K1145" s="34">
        <v>-0.64</v>
      </c>
      <c r="L1145" s="34">
        <v>-14.23</v>
      </c>
      <c r="M1145" s="34"/>
      <c r="N1145" s="24">
        <v>1141</v>
      </c>
      <c r="O1145" s="29">
        <v>43096.562025462961</v>
      </c>
    </row>
    <row r="1146" spans="2:15" x14ac:dyDescent="0.25">
      <c r="B1146" s="24" t="s">
        <v>2139</v>
      </c>
      <c r="C1146" s="23" t="s">
        <v>213</v>
      </c>
      <c r="D1146" s="24" t="s">
        <v>1181</v>
      </c>
      <c r="E1146" s="24">
        <v>1E-8</v>
      </c>
      <c r="F1146" s="24">
        <v>1.5798799999999999E-4</v>
      </c>
      <c r="G1146" s="24">
        <v>41356.5</v>
      </c>
      <c r="I1146" s="28"/>
      <c r="J1146" s="28">
        <v>90596274910</v>
      </c>
      <c r="K1146" s="34">
        <v>-1.1399999999999999</v>
      </c>
      <c r="L1146" s="34">
        <v>2.87</v>
      </c>
      <c r="M1146" s="34">
        <v>-6.96</v>
      </c>
      <c r="N1146" s="24">
        <v>1142</v>
      </c>
      <c r="O1146" s="29">
        <v>43096.56181712963</v>
      </c>
    </row>
    <row r="1147" spans="2:15" x14ac:dyDescent="0.25">
      <c r="B1147" s="24" t="s">
        <v>3938</v>
      </c>
      <c r="C1147" s="23" t="s">
        <v>3939</v>
      </c>
      <c r="D1147" s="24" t="s">
        <v>3940</v>
      </c>
      <c r="E1147" s="24">
        <v>6.3079999999999999E-5</v>
      </c>
      <c r="F1147" s="24">
        <v>0.996587</v>
      </c>
      <c r="G1147" s="24">
        <v>39905.699999999997</v>
      </c>
      <c r="I1147" s="28"/>
      <c r="J1147" s="28">
        <v>1021644</v>
      </c>
      <c r="K1147" s="34">
        <v>-1.65</v>
      </c>
      <c r="L1147" s="34">
        <v>5.12</v>
      </c>
      <c r="M1147" s="34">
        <v>-49.7</v>
      </c>
      <c r="N1147" s="24">
        <v>1143</v>
      </c>
      <c r="O1147" s="29">
        <v>43096.562013888892</v>
      </c>
    </row>
    <row r="1148" spans="2:15" x14ac:dyDescent="0.25">
      <c r="B1148" s="24" t="s">
        <v>3898</v>
      </c>
      <c r="C1148" s="23" t="s">
        <v>3899</v>
      </c>
      <c r="D1148" s="24" t="s">
        <v>3900</v>
      </c>
      <c r="E1148" s="24">
        <v>4.2799999999999997E-6</v>
      </c>
      <c r="F1148" s="24">
        <v>6.7618800000000007E-2</v>
      </c>
      <c r="G1148" s="24">
        <v>39684.300000000003</v>
      </c>
      <c r="I1148" s="28"/>
      <c r="J1148" s="28">
        <v>33256867</v>
      </c>
      <c r="K1148" s="34">
        <v>0.27</v>
      </c>
      <c r="L1148" s="34">
        <v>-7.7</v>
      </c>
      <c r="M1148" s="34">
        <v>-40.94</v>
      </c>
      <c r="N1148" s="24">
        <v>1144</v>
      </c>
      <c r="O1148" s="29">
        <v>43096.562013888892</v>
      </c>
    </row>
    <row r="1149" spans="2:15" x14ac:dyDescent="0.25">
      <c r="B1149" s="24" t="s">
        <v>3494</v>
      </c>
      <c r="C1149" s="23" t="s">
        <v>3495</v>
      </c>
      <c r="D1149" s="24" t="s">
        <v>3496</v>
      </c>
      <c r="E1149" s="24">
        <v>1.1000000000000001E-6</v>
      </c>
      <c r="F1149" s="24">
        <v>1.74261E-2</v>
      </c>
      <c r="G1149" s="24">
        <v>38754.6</v>
      </c>
      <c r="I1149" s="28"/>
      <c r="J1149" s="28">
        <v>107014475</v>
      </c>
      <c r="K1149" s="34">
        <v>-1.07</v>
      </c>
      <c r="L1149" s="34">
        <v>-3.14</v>
      </c>
      <c r="M1149" s="34">
        <v>58.96</v>
      </c>
      <c r="N1149" s="24">
        <v>1145</v>
      </c>
      <c r="O1149" s="29">
        <v>43096.562002314815</v>
      </c>
    </row>
    <row r="1150" spans="2:15" x14ac:dyDescent="0.25">
      <c r="B1150" s="24" t="s">
        <v>2157</v>
      </c>
      <c r="C1150" s="23" t="s">
        <v>232</v>
      </c>
      <c r="D1150" s="24" t="s">
        <v>1200</v>
      </c>
      <c r="E1150" s="24">
        <v>4.8999999999999997E-7</v>
      </c>
      <c r="F1150" s="24">
        <v>7.7414099999999998E-3</v>
      </c>
      <c r="G1150" s="24">
        <v>35045.300000000003</v>
      </c>
      <c r="I1150" s="28"/>
      <c r="J1150" s="28">
        <v>400339746</v>
      </c>
      <c r="K1150" s="34">
        <v>0.67</v>
      </c>
      <c r="L1150" s="34">
        <v>-0.67</v>
      </c>
      <c r="M1150" s="34">
        <v>-11.95</v>
      </c>
      <c r="N1150" s="24">
        <v>1146</v>
      </c>
      <c r="O1150" s="29">
        <v>43096.561840277776</v>
      </c>
    </row>
    <row r="1151" spans="2:15" x14ac:dyDescent="0.25">
      <c r="B1151" s="24" t="s">
        <v>3709</v>
      </c>
      <c r="C1151" s="23" t="s">
        <v>3710</v>
      </c>
      <c r="D1151" s="24" t="s">
        <v>3710</v>
      </c>
      <c r="E1151" s="24">
        <v>1.8899999999999999E-6</v>
      </c>
      <c r="F1151" s="24">
        <v>2.9788200000000001E-2</v>
      </c>
      <c r="G1151" s="24">
        <v>33150.199999999997</v>
      </c>
      <c r="I1151" s="28"/>
      <c r="J1151" s="28">
        <v>50000000</v>
      </c>
      <c r="K1151" s="34">
        <v>1.47</v>
      </c>
      <c r="L1151" s="34">
        <v>90.09</v>
      </c>
      <c r="M1151" s="34">
        <v>58.72</v>
      </c>
      <c r="N1151" s="24">
        <v>1147</v>
      </c>
      <c r="O1151" s="29">
        <v>43096.562013888892</v>
      </c>
    </row>
    <row r="1152" spans="2:15" x14ac:dyDescent="0.25">
      <c r="B1152" s="24" t="s">
        <v>3935</v>
      </c>
      <c r="C1152" s="23" t="s">
        <v>3936</v>
      </c>
      <c r="D1152" s="24" t="s">
        <v>3937</v>
      </c>
      <c r="E1152" s="24">
        <v>5.0000000000000004E-6</v>
      </c>
      <c r="F1152" s="24">
        <v>7.8993900000000006E-2</v>
      </c>
      <c r="G1152" s="24">
        <v>27855.599999999999</v>
      </c>
      <c r="I1152" s="28"/>
      <c r="J1152" s="28">
        <v>1162102077</v>
      </c>
      <c r="K1152" s="34">
        <v>-1.1399999999999999</v>
      </c>
      <c r="L1152" s="34">
        <v>-11.82</v>
      </c>
      <c r="M1152" s="34">
        <v>-14.65</v>
      </c>
      <c r="N1152" s="24">
        <v>1148</v>
      </c>
      <c r="O1152" s="29">
        <v>43096.562013888892</v>
      </c>
    </row>
    <row r="1153" spans="2:15" x14ac:dyDescent="0.25">
      <c r="B1153" s="24" t="s">
        <v>3153</v>
      </c>
      <c r="C1153" s="23" t="s">
        <v>3154</v>
      </c>
      <c r="D1153" s="24" t="s">
        <v>3154</v>
      </c>
      <c r="E1153" s="24">
        <v>3.4999999999999998E-7</v>
      </c>
      <c r="F1153" s="24">
        <v>5.5278000000000002E-3</v>
      </c>
      <c r="G1153" s="24">
        <v>27441.7</v>
      </c>
      <c r="I1153" s="28"/>
      <c r="J1153" s="28">
        <v>6088400259</v>
      </c>
      <c r="K1153" s="34">
        <v>7.0000000000000007E-2</v>
      </c>
      <c r="L1153" s="34">
        <v>5.86</v>
      </c>
      <c r="M1153" s="34">
        <v>-5.85</v>
      </c>
      <c r="N1153" s="24">
        <v>1149</v>
      </c>
      <c r="O1153" s="29">
        <v>43096.561979166669</v>
      </c>
    </row>
    <row r="1154" spans="2:15" x14ac:dyDescent="0.25">
      <c r="B1154" s="24" t="s">
        <v>2776</v>
      </c>
      <c r="C1154" s="23" t="s">
        <v>845</v>
      </c>
      <c r="D1154" s="24" t="s">
        <v>1795</v>
      </c>
      <c r="E1154" s="24">
        <v>1.44718E-3</v>
      </c>
      <c r="F1154" s="24">
        <v>22.863600000000002</v>
      </c>
      <c r="G1154" s="24">
        <v>27248.5</v>
      </c>
      <c r="I1154" s="28"/>
      <c r="J1154" s="28">
        <v>966101</v>
      </c>
      <c r="K1154" s="34">
        <v>-5.6</v>
      </c>
      <c r="L1154" s="34">
        <v>38.44</v>
      </c>
      <c r="M1154" s="34">
        <v>119.21</v>
      </c>
      <c r="N1154" s="24">
        <v>1150</v>
      </c>
      <c r="O1154" s="29">
        <v>43096.561956018515</v>
      </c>
    </row>
    <row r="1155" spans="2:15" x14ac:dyDescent="0.25">
      <c r="B1155" s="24" t="s">
        <v>2752</v>
      </c>
      <c r="C1155" s="23" t="s">
        <v>821</v>
      </c>
      <c r="D1155" s="24" t="s">
        <v>1776</v>
      </c>
      <c r="E1155" s="24">
        <v>1.022E-5</v>
      </c>
      <c r="F1155" s="24">
        <v>0.161387</v>
      </c>
      <c r="G1155" s="24">
        <v>27118.3</v>
      </c>
      <c r="I1155" s="28"/>
      <c r="J1155" s="28">
        <v>70318225</v>
      </c>
      <c r="K1155" s="34">
        <v>-7.43</v>
      </c>
      <c r="L1155" s="34">
        <v>67.11</v>
      </c>
      <c r="M1155" s="34">
        <v>99.81</v>
      </c>
      <c r="N1155" s="24">
        <v>1151</v>
      </c>
      <c r="O1155" s="29">
        <v>43096.561967592592</v>
      </c>
    </row>
    <row r="1156" spans="2:15" x14ac:dyDescent="0.25">
      <c r="B1156" s="24" t="s">
        <v>2761</v>
      </c>
      <c r="C1156" s="23" t="s">
        <v>843</v>
      </c>
      <c r="D1156" s="24" t="s">
        <v>1793</v>
      </c>
      <c r="E1156" s="24">
        <v>7.9999999999999996E-7</v>
      </c>
      <c r="F1156" s="24">
        <v>1.2638999999999999E-2</v>
      </c>
      <c r="G1156" s="24">
        <v>26875.9</v>
      </c>
      <c r="I1156" s="28"/>
      <c r="J1156" s="28"/>
      <c r="K1156" s="34">
        <v>101.08</v>
      </c>
      <c r="L1156" s="34">
        <v>-71.709999999999994</v>
      </c>
      <c r="M1156" s="34">
        <v>-74.64</v>
      </c>
      <c r="N1156" s="24">
        <v>1152</v>
      </c>
      <c r="O1156" s="29">
        <v>43096.561898148146</v>
      </c>
    </row>
    <row r="1157" spans="2:15" x14ac:dyDescent="0.25">
      <c r="B1157" s="24" t="s">
        <v>2712</v>
      </c>
      <c r="C1157" s="23" t="s">
        <v>781</v>
      </c>
      <c r="D1157" s="24" t="s">
        <v>1736</v>
      </c>
      <c r="E1157" s="24">
        <v>9.7070000000000004E-5</v>
      </c>
      <c r="F1157" s="24">
        <v>1.5336399999999999</v>
      </c>
      <c r="G1157" s="24">
        <v>22550.6</v>
      </c>
      <c r="I1157" s="28"/>
      <c r="J1157" s="28">
        <v>500000000</v>
      </c>
      <c r="K1157" s="34">
        <v>1.03</v>
      </c>
      <c r="L1157" s="34">
        <v>8.19</v>
      </c>
      <c r="M1157" s="34"/>
      <c r="N1157" s="24">
        <v>1153</v>
      </c>
      <c r="O1157" s="29">
        <v>43096.561840277776</v>
      </c>
    </row>
    <row r="1158" spans="2:15" x14ac:dyDescent="0.25">
      <c r="B1158" s="24" t="s">
        <v>2792</v>
      </c>
      <c r="C1158" s="23" t="s">
        <v>857</v>
      </c>
      <c r="D1158" s="24" t="s">
        <v>1806</v>
      </c>
      <c r="E1158" s="24">
        <v>5.0000000000000001E-9</v>
      </c>
      <c r="F1158" s="24">
        <v>7.1658999999999999E-5</v>
      </c>
      <c r="G1158" s="24">
        <v>21343.9</v>
      </c>
      <c r="I1158" s="28"/>
      <c r="J1158" s="28">
        <v>18446748239</v>
      </c>
      <c r="K1158" s="34">
        <v>-2.68</v>
      </c>
      <c r="L1158" s="34">
        <v>-36.840000000000003</v>
      </c>
      <c r="M1158" s="34">
        <v>49.08</v>
      </c>
      <c r="N1158" s="24">
        <v>1154</v>
      </c>
      <c r="O1158" s="29">
        <v>43096.561956018515</v>
      </c>
    </row>
    <row r="1159" spans="2:15" x14ac:dyDescent="0.25">
      <c r="B1159" s="24" t="s">
        <v>2723</v>
      </c>
      <c r="C1159" s="23" t="s">
        <v>795</v>
      </c>
      <c r="D1159" s="24" t="s">
        <v>1751</v>
      </c>
      <c r="E1159" s="24">
        <v>2.4409999999999998E-5</v>
      </c>
      <c r="F1159" s="24">
        <v>0.38564799999999999</v>
      </c>
      <c r="G1159" s="24">
        <v>20218.2</v>
      </c>
      <c r="I1159" s="28"/>
      <c r="J1159" s="28">
        <v>25251211</v>
      </c>
      <c r="K1159" s="34">
        <v>-2.87</v>
      </c>
      <c r="L1159" s="34">
        <v>17.43</v>
      </c>
      <c r="M1159" s="34">
        <v>-16.82</v>
      </c>
      <c r="N1159" s="24">
        <v>1155</v>
      </c>
      <c r="O1159" s="29">
        <v>43096.561932870369</v>
      </c>
    </row>
    <row r="1160" spans="2:15" x14ac:dyDescent="0.25">
      <c r="B1160" s="24" t="s">
        <v>2823</v>
      </c>
      <c r="C1160" s="23" t="s">
        <v>960</v>
      </c>
      <c r="D1160" s="24" t="s">
        <v>1903</v>
      </c>
      <c r="E1160" s="24">
        <v>5.22E-6</v>
      </c>
      <c r="F1160" s="24">
        <v>8.2469799999999996E-2</v>
      </c>
      <c r="G1160" s="24">
        <v>20137.099999999999</v>
      </c>
      <c r="I1160" s="28"/>
      <c r="J1160" s="28"/>
      <c r="K1160" s="34">
        <v>8.5</v>
      </c>
      <c r="L1160" s="34">
        <v>-2.69</v>
      </c>
      <c r="M1160" s="34">
        <v>-3.57</v>
      </c>
      <c r="N1160" s="24">
        <v>1156</v>
      </c>
      <c r="O1160" s="29">
        <v>43096.561932870369</v>
      </c>
    </row>
    <row r="1161" spans="2:15" x14ac:dyDescent="0.25">
      <c r="B1161" s="24" t="s">
        <v>2154</v>
      </c>
      <c r="C1161" s="23" t="s">
        <v>228</v>
      </c>
      <c r="D1161" s="24" t="s">
        <v>1196</v>
      </c>
      <c r="E1161" s="24">
        <v>1.48E-6</v>
      </c>
      <c r="F1161" s="24">
        <v>2.3382199999999999E-2</v>
      </c>
      <c r="G1161" s="24">
        <v>18870.900000000001</v>
      </c>
      <c r="I1161" s="28"/>
      <c r="J1161" s="28">
        <v>100000000</v>
      </c>
      <c r="K1161" s="34">
        <v>-2.2400000000000002</v>
      </c>
      <c r="L1161" s="34">
        <v>21.54</v>
      </c>
      <c r="M1161" s="34">
        <v>8.74</v>
      </c>
      <c r="N1161" s="24">
        <v>1157</v>
      </c>
      <c r="O1161" s="29">
        <v>43096.561932870369</v>
      </c>
    </row>
    <row r="1162" spans="2:15" x14ac:dyDescent="0.25">
      <c r="B1162" s="24" t="s">
        <v>3972</v>
      </c>
      <c r="C1162" s="23" t="s">
        <v>3973</v>
      </c>
      <c r="D1162" s="24" t="s">
        <v>3974</v>
      </c>
      <c r="E1162" s="24">
        <v>3.1176000000000001E-4</v>
      </c>
      <c r="F1162" s="24">
        <v>4.92537</v>
      </c>
      <c r="G1162" s="24">
        <v>17531</v>
      </c>
      <c r="I1162" s="28"/>
      <c r="J1162" s="28">
        <v>1000000000</v>
      </c>
      <c r="K1162" s="34">
        <v>0.02</v>
      </c>
      <c r="L1162" s="34">
        <v>35.31</v>
      </c>
      <c r="M1162" s="34">
        <v>87.92</v>
      </c>
      <c r="N1162" s="24">
        <v>1158</v>
      </c>
      <c r="O1162" s="29">
        <v>43096.562025462961</v>
      </c>
    </row>
    <row r="1163" spans="2:15" x14ac:dyDescent="0.25">
      <c r="B1163" s="24" t="s">
        <v>2884</v>
      </c>
      <c r="C1163" s="23" t="s">
        <v>932</v>
      </c>
      <c r="D1163" s="24" t="s">
        <v>1878</v>
      </c>
      <c r="E1163" s="24">
        <v>1E-8</v>
      </c>
      <c r="F1163" s="24">
        <v>1.5798799999999999E-4</v>
      </c>
      <c r="G1163" s="24">
        <v>13891.6</v>
      </c>
      <c r="I1163" s="28"/>
      <c r="J1163" s="28"/>
      <c r="K1163" s="34">
        <v>-1.1399999999999999</v>
      </c>
      <c r="L1163" s="34">
        <v>2.84</v>
      </c>
      <c r="M1163" s="34">
        <v>-7.31</v>
      </c>
      <c r="N1163" s="24">
        <v>1159</v>
      </c>
      <c r="O1163" s="29">
        <v>43096.561909722222</v>
      </c>
    </row>
    <row r="1164" spans="2:15" x14ac:dyDescent="0.25">
      <c r="B1164" s="24" t="s">
        <v>2735</v>
      </c>
      <c r="C1164" s="23" t="s">
        <v>810</v>
      </c>
      <c r="D1164" s="24" t="s">
        <v>1765</v>
      </c>
      <c r="E1164" s="24">
        <v>2.4570000000000001E-4</v>
      </c>
      <c r="F1164" s="24">
        <v>3.8817200000000001</v>
      </c>
      <c r="G1164" s="24">
        <v>11034.2</v>
      </c>
      <c r="I1164" s="28"/>
      <c r="J1164" s="28">
        <v>237614</v>
      </c>
      <c r="K1164" s="34">
        <v>0.01</v>
      </c>
      <c r="L1164" s="34">
        <v>2.4</v>
      </c>
      <c r="M1164" s="34">
        <v>-1.29</v>
      </c>
      <c r="N1164" s="24">
        <v>1160</v>
      </c>
      <c r="O1164" s="29">
        <v>43096.561967592592</v>
      </c>
    </row>
    <row r="1165" spans="2:15" x14ac:dyDescent="0.25">
      <c r="B1165" s="24" t="s">
        <v>3508</v>
      </c>
      <c r="C1165" s="23" t="s">
        <v>3509</v>
      </c>
      <c r="D1165" s="24" t="s">
        <v>3510</v>
      </c>
      <c r="E1165" s="24">
        <v>1.6999999999999999E-7</v>
      </c>
      <c r="F1165" s="24">
        <v>2.6787199999999999E-3</v>
      </c>
      <c r="G1165" s="24">
        <v>11013.4</v>
      </c>
      <c r="I1165" s="28"/>
      <c r="J1165" s="28">
        <v>21000000</v>
      </c>
      <c r="K1165" s="34">
        <v>-74.38</v>
      </c>
      <c r="L1165" s="34">
        <v>-88.63</v>
      </c>
      <c r="M1165" s="34">
        <v>-75.599999999999994</v>
      </c>
      <c r="N1165" s="24">
        <v>1161</v>
      </c>
      <c r="O1165" s="29">
        <v>43096.562002314815</v>
      </c>
    </row>
    <row r="1166" spans="2:15" x14ac:dyDescent="0.25">
      <c r="B1166" s="24" t="s">
        <v>2820</v>
      </c>
      <c r="C1166" s="23" t="s">
        <v>829</v>
      </c>
      <c r="D1166" s="24" t="s">
        <v>1782</v>
      </c>
      <c r="E1166" s="24">
        <v>4.0000000000000001E-8</v>
      </c>
      <c r="F1166" s="24">
        <v>6.3195099999999995E-4</v>
      </c>
      <c r="G1166" s="24">
        <v>10441</v>
      </c>
      <c r="I1166" s="28"/>
      <c r="J1166" s="28"/>
      <c r="K1166" s="34">
        <v>7.87</v>
      </c>
      <c r="L1166" s="34">
        <v>21.34</v>
      </c>
      <c r="M1166" s="34">
        <v>88.68</v>
      </c>
      <c r="N1166" s="24">
        <v>1162</v>
      </c>
      <c r="O1166" s="29">
        <v>43096.561828703707</v>
      </c>
    </row>
    <row r="1167" spans="2:15" x14ac:dyDescent="0.25">
      <c r="B1167" s="24" t="s">
        <v>3824</v>
      </c>
      <c r="C1167" s="23" t="s">
        <v>3825</v>
      </c>
      <c r="D1167" s="24" t="s">
        <v>3826</v>
      </c>
      <c r="E1167" s="24">
        <v>2.1799999999999999E-6</v>
      </c>
      <c r="F1167" s="24">
        <v>3.4493000000000003E-2</v>
      </c>
      <c r="G1167" s="24">
        <v>10113.4</v>
      </c>
      <c r="I1167" s="28"/>
      <c r="J1167" s="28">
        <v>1000000000</v>
      </c>
      <c r="K1167" s="34">
        <v>8.25</v>
      </c>
      <c r="L1167" s="34">
        <v>-28</v>
      </c>
      <c r="M1167" s="34">
        <v>61.87</v>
      </c>
      <c r="N1167" s="24">
        <v>1163</v>
      </c>
      <c r="O1167" s="29">
        <v>43096.562013888892</v>
      </c>
    </row>
    <row r="1168" spans="2:15" x14ac:dyDescent="0.25">
      <c r="B1168" s="24" t="s">
        <v>3550</v>
      </c>
      <c r="C1168" s="23" t="s">
        <v>3551</v>
      </c>
      <c r="D1168" s="24" t="s">
        <v>3552</v>
      </c>
      <c r="E1168" s="24">
        <v>7.8000000000000005E-7</v>
      </c>
      <c r="F1168" s="24">
        <v>1.2386599999999999E-2</v>
      </c>
      <c r="G1168" s="24">
        <v>9338.6</v>
      </c>
      <c r="I1168" s="28"/>
      <c r="J1168" s="28">
        <v>21000000</v>
      </c>
      <c r="K1168" s="34">
        <v>-12.15</v>
      </c>
      <c r="L1168" s="34">
        <v>-5.76</v>
      </c>
      <c r="M1168" s="34">
        <v>-42.41</v>
      </c>
      <c r="N1168" s="24">
        <v>1164</v>
      </c>
      <c r="O1168" s="29">
        <v>43096.562002314815</v>
      </c>
    </row>
    <row r="1169" spans="2:15" x14ac:dyDescent="0.25">
      <c r="B1169" s="24" t="s">
        <v>2869</v>
      </c>
      <c r="C1169" s="23" t="s">
        <v>894</v>
      </c>
      <c r="D1169" s="24" t="s">
        <v>1737</v>
      </c>
      <c r="E1169" s="24">
        <v>4.8999999999999997E-7</v>
      </c>
      <c r="F1169" s="24">
        <v>7.7414099999999998E-3</v>
      </c>
      <c r="G1169" s="24">
        <v>8350.93</v>
      </c>
      <c r="I1169" s="28"/>
      <c r="J1169" s="28"/>
      <c r="K1169" s="34">
        <v>-1.1399999999999999</v>
      </c>
      <c r="L1169" s="34">
        <v>0.18</v>
      </c>
      <c r="M1169" s="34">
        <v>13.54</v>
      </c>
      <c r="N1169" s="24">
        <v>1165</v>
      </c>
      <c r="O1169" s="29">
        <v>43096.561898148146</v>
      </c>
    </row>
    <row r="1170" spans="2:15" x14ac:dyDescent="0.25">
      <c r="B1170" s="24" t="s">
        <v>3167</v>
      </c>
      <c r="C1170" s="23" t="s">
        <v>3168</v>
      </c>
      <c r="D1170" s="24" t="s">
        <v>3169</v>
      </c>
      <c r="E1170" s="24">
        <v>1E-4</v>
      </c>
      <c r="F1170" s="24">
        <v>1.57988</v>
      </c>
      <c r="G1170" s="24">
        <v>8196.14</v>
      </c>
      <c r="I1170" s="28"/>
      <c r="J1170" s="28">
        <v>2500000</v>
      </c>
      <c r="K1170" s="34">
        <v>-1.1399999999999999</v>
      </c>
      <c r="L1170" s="34">
        <v>1.1399999999999999</v>
      </c>
      <c r="M1170" s="34">
        <v>1.22</v>
      </c>
      <c r="N1170" s="24">
        <v>1166</v>
      </c>
      <c r="O1170" s="29">
        <v>43096.561990740738</v>
      </c>
    </row>
    <row r="1171" spans="2:15" x14ac:dyDescent="0.25">
      <c r="B1171" s="24" t="s">
        <v>2749</v>
      </c>
      <c r="C1171" s="23" t="s">
        <v>841</v>
      </c>
      <c r="D1171" s="24" t="s">
        <v>998</v>
      </c>
      <c r="E1171" s="24">
        <v>5.0000000000000003E-10</v>
      </c>
      <c r="F1171" s="24">
        <v>8.2926999999999994E-6</v>
      </c>
      <c r="G1171" s="24">
        <v>8032.05</v>
      </c>
      <c r="I1171" s="28"/>
      <c r="J1171" s="28"/>
      <c r="K1171" s="34">
        <v>16.8</v>
      </c>
      <c r="L1171" s="34">
        <v>1.27</v>
      </c>
      <c r="M1171" s="34">
        <v>-7.73</v>
      </c>
      <c r="N1171" s="24">
        <v>1167</v>
      </c>
      <c r="O1171" s="29">
        <v>43096.561828703707</v>
      </c>
    </row>
    <row r="1172" spans="2:15" x14ac:dyDescent="0.25">
      <c r="B1172" s="24" t="s">
        <v>3212</v>
      </c>
      <c r="C1172" s="23" t="s">
        <v>3213</v>
      </c>
      <c r="D1172" s="24" t="s">
        <v>3214</v>
      </c>
      <c r="E1172" s="24">
        <v>2.2580000000000001E-5</v>
      </c>
      <c r="F1172" s="24">
        <v>0.35681099999999999</v>
      </c>
      <c r="G1172" s="24">
        <v>7741.36</v>
      </c>
      <c r="I1172" s="28"/>
      <c r="J1172" s="28">
        <v>100000000</v>
      </c>
      <c r="K1172" s="34">
        <v>3.6</v>
      </c>
      <c r="L1172" s="34">
        <v>11.24</v>
      </c>
      <c r="M1172" s="34">
        <v>2.0099999999999998</v>
      </c>
      <c r="N1172" s="24">
        <v>1168</v>
      </c>
      <c r="O1172" s="29">
        <v>43096.562002314815</v>
      </c>
    </row>
    <row r="1173" spans="2:15" x14ac:dyDescent="0.25">
      <c r="B1173" s="24" t="s">
        <v>2733</v>
      </c>
      <c r="C1173" s="23" t="s">
        <v>800</v>
      </c>
      <c r="D1173" s="24" t="s">
        <v>1756</v>
      </c>
      <c r="E1173" s="24">
        <v>2.9999999999999997E-8</v>
      </c>
      <c r="F1173" s="24">
        <v>4.04323E-4</v>
      </c>
      <c r="G1173" s="24">
        <v>7632.39</v>
      </c>
      <c r="I1173" s="28"/>
      <c r="J1173" s="28">
        <v>501237839</v>
      </c>
      <c r="K1173" s="34">
        <v>-9.33</v>
      </c>
      <c r="L1173" s="34">
        <v>53.9</v>
      </c>
      <c r="M1173" s="34">
        <v>702.36</v>
      </c>
      <c r="N1173" s="24">
        <v>1169</v>
      </c>
      <c r="O1173" s="29">
        <v>43096.561967592592</v>
      </c>
    </row>
    <row r="1174" spans="2:15" x14ac:dyDescent="0.25">
      <c r="B1174" s="24" t="s">
        <v>3270</v>
      </c>
      <c r="C1174" s="23" t="s">
        <v>3271</v>
      </c>
      <c r="D1174" s="24" t="s">
        <v>3272</v>
      </c>
      <c r="E1174" s="24">
        <v>4.1529999999999997E-5</v>
      </c>
      <c r="F1174" s="24">
        <v>0.65617099999999995</v>
      </c>
      <c r="G1174" s="24">
        <v>7614.3</v>
      </c>
      <c r="I1174" s="28"/>
      <c r="J1174" s="28">
        <v>9136859</v>
      </c>
      <c r="K1174" s="34">
        <v>-1.1399999999999999</v>
      </c>
      <c r="L1174" s="34">
        <v>3.2</v>
      </c>
      <c r="M1174" s="34">
        <v>1.78</v>
      </c>
      <c r="N1174" s="24">
        <v>1170</v>
      </c>
      <c r="O1174" s="29">
        <v>43096.562002314815</v>
      </c>
    </row>
    <row r="1175" spans="2:15" x14ac:dyDescent="0.25">
      <c r="B1175" s="24" t="s">
        <v>3395</v>
      </c>
      <c r="C1175" s="23" t="s">
        <v>3396</v>
      </c>
      <c r="D1175" s="24" t="s">
        <v>3397</v>
      </c>
      <c r="E1175" s="24">
        <v>5.0000000000000003E-10</v>
      </c>
      <c r="F1175" s="24">
        <v>7.5012999999999997E-6</v>
      </c>
      <c r="G1175" s="24">
        <v>6892.22</v>
      </c>
      <c r="J1175" s="24">
        <v>100000000000</v>
      </c>
      <c r="K1175" s="34">
        <v>-0.64</v>
      </c>
      <c r="L1175" s="34">
        <v>83.07</v>
      </c>
      <c r="M1175" s="34">
        <v>98.66</v>
      </c>
      <c r="N1175" s="24">
        <v>1171</v>
      </c>
      <c r="O1175" s="29">
        <v>43096.561990740738</v>
      </c>
    </row>
    <row r="1176" spans="2:15" x14ac:dyDescent="0.25">
      <c r="B1176" s="24" t="s">
        <v>3859</v>
      </c>
      <c r="C1176" s="23" t="s">
        <v>3860</v>
      </c>
      <c r="D1176" s="24" t="s">
        <v>3880</v>
      </c>
      <c r="E1176" s="24">
        <v>1E-8</v>
      </c>
      <c r="F1176" s="24">
        <v>1.50777E-4</v>
      </c>
      <c r="G1176" s="24">
        <v>6753.44</v>
      </c>
      <c r="J1176" s="24">
        <v>1000000000</v>
      </c>
      <c r="K1176" s="34">
        <v>-1.78</v>
      </c>
      <c r="L1176" s="34">
        <v>103.83</v>
      </c>
      <c r="M1176" s="34">
        <v>56.79</v>
      </c>
      <c r="N1176" s="24">
        <v>1172</v>
      </c>
      <c r="O1176" s="29">
        <v>43096.562013888892</v>
      </c>
    </row>
    <row r="1177" spans="2:15" x14ac:dyDescent="0.25">
      <c r="B1177" s="24" t="s">
        <v>2709</v>
      </c>
      <c r="C1177" s="23" t="s">
        <v>776</v>
      </c>
      <c r="D1177" s="24" t="s">
        <v>1730</v>
      </c>
      <c r="E1177" s="24">
        <v>3.8E-6</v>
      </c>
      <c r="F1177" s="24">
        <v>6.0010599999999997E-2</v>
      </c>
      <c r="G1177" s="24">
        <v>5928.45</v>
      </c>
      <c r="K1177" s="34">
        <v>-0.64</v>
      </c>
      <c r="L1177" s="34">
        <v>-13.2</v>
      </c>
      <c r="M1177" s="34">
        <v>-9.92</v>
      </c>
      <c r="N1177" s="24">
        <v>1173</v>
      </c>
      <c r="O1177" s="29">
        <v>43096.561967592592</v>
      </c>
    </row>
    <row r="1178" spans="2:15" x14ac:dyDescent="0.25">
      <c r="B1178" s="24" t="s">
        <v>2793</v>
      </c>
      <c r="C1178" s="23" t="s">
        <v>861</v>
      </c>
      <c r="D1178" s="24" t="s">
        <v>1810</v>
      </c>
      <c r="E1178" s="24">
        <v>1.6999999999999999E-7</v>
      </c>
      <c r="F1178" s="24">
        <v>2.67432E-3</v>
      </c>
      <c r="G1178" s="24">
        <v>5906.81</v>
      </c>
      <c r="K1178" s="34">
        <v>1.39</v>
      </c>
      <c r="L1178" s="34">
        <v>-17.239999999999998</v>
      </c>
      <c r="M1178" s="34">
        <v>170.56</v>
      </c>
      <c r="N1178" s="24">
        <v>1174</v>
      </c>
      <c r="O1178" s="29">
        <v>43096.561840277776</v>
      </c>
    </row>
    <row r="1179" spans="2:15" x14ac:dyDescent="0.25">
      <c r="B1179" s="24" t="s">
        <v>2762</v>
      </c>
      <c r="C1179" s="23" t="s">
        <v>824</v>
      </c>
      <c r="D1179" s="24" t="s">
        <v>1777</v>
      </c>
      <c r="E1179" s="24">
        <v>2E-8</v>
      </c>
      <c r="F1179" s="24">
        <v>3.1222800000000001E-4</v>
      </c>
      <c r="G1179" s="24">
        <v>5806.04</v>
      </c>
      <c r="K1179" s="34">
        <v>-1.1399999999999999</v>
      </c>
      <c r="L1179" s="34">
        <v>1.99</v>
      </c>
      <c r="M1179" s="34">
        <v>77.02</v>
      </c>
      <c r="N1179" s="24">
        <v>1175</v>
      </c>
      <c r="O1179" s="29">
        <v>43096.561909722222</v>
      </c>
    </row>
    <row r="1180" spans="2:15" x14ac:dyDescent="0.25">
      <c r="B1180" s="24" t="s">
        <v>3377</v>
      </c>
      <c r="C1180" s="23" t="s">
        <v>3378</v>
      </c>
      <c r="D1180" s="24" t="s">
        <v>3379</v>
      </c>
      <c r="E1180" s="24">
        <v>4.2E-7</v>
      </c>
      <c r="F1180" s="24">
        <v>6.6953999999999998E-3</v>
      </c>
      <c r="G1180" s="24">
        <v>5685.47</v>
      </c>
      <c r="J1180" s="24">
        <v>84000000</v>
      </c>
      <c r="K1180" s="34">
        <v>9.5399999999999991</v>
      </c>
      <c r="L1180" s="34">
        <v>12.77</v>
      </c>
      <c r="M1180" s="34">
        <v>-24.85</v>
      </c>
      <c r="N1180" s="24">
        <v>1176</v>
      </c>
      <c r="O1180" s="29">
        <v>43096.561990740738</v>
      </c>
    </row>
    <row r="1181" spans="2:15" x14ac:dyDescent="0.25">
      <c r="B1181" s="24" t="s">
        <v>3209</v>
      </c>
      <c r="C1181" s="23" t="s">
        <v>3210</v>
      </c>
      <c r="D1181" s="24" t="s">
        <v>3211</v>
      </c>
      <c r="E1181" s="24">
        <v>3.9169999999999999E-5</v>
      </c>
      <c r="F1181" s="24">
        <v>0.61891200000000002</v>
      </c>
      <c r="G1181" s="24">
        <v>5454.47</v>
      </c>
      <c r="J1181" s="24">
        <v>2684319</v>
      </c>
      <c r="K1181" s="34">
        <v>-13.1</v>
      </c>
      <c r="L1181" s="34">
        <v>-7.98</v>
      </c>
      <c r="M1181" s="34">
        <v>-8.89</v>
      </c>
      <c r="N1181" s="24">
        <v>1177</v>
      </c>
      <c r="O1181" s="29">
        <v>43096.561990740738</v>
      </c>
    </row>
    <row r="1182" spans="2:15" x14ac:dyDescent="0.25">
      <c r="B1182" s="24" t="s">
        <v>2856</v>
      </c>
      <c r="C1182" s="23" t="s">
        <v>917</v>
      </c>
      <c r="D1182" s="24" t="s">
        <v>1864</v>
      </c>
      <c r="E1182" s="24">
        <v>2.3199999999999998E-6</v>
      </c>
      <c r="F1182" s="24">
        <v>3.6653199999999997E-2</v>
      </c>
      <c r="G1182" s="24">
        <v>5251.06</v>
      </c>
      <c r="K1182" s="34">
        <v>10.08</v>
      </c>
      <c r="L1182" s="34">
        <v>39.57</v>
      </c>
      <c r="M1182" s="34">
        <v>1.94</v>
      </c>
      <c r="N1182" s="24">
        <v>1178</v>
      </c>
      <c r="O1182" s="29">
        <v>43096.561828703707</v>
      </c>
    </row>
    <row r="1183" spans="2:15" x14ac:dyDescent="0.25">
      <c r="B1183" s="24" t="s">
        <v>2811</v>
      </c>
      <c r="C1183" s="23" t="s">
        <v>868</v>
      </c>
      <c r="D1183" s="24" t="s">
        <v>868</v>
      </c>
      <c r="E1183" s="24">
        <v>1.0000000000000001E-9</v>
      </c>
      <c r="F1183" s="24">
        <v>1.5798799999999999E-5</v>
      </c>
      <c r="G1183" s="24">
        <v>5025.17</v>
      </c>
      <c r="K1183" s="34">
        <v>-1.0900000000000001</v>
      </c>
      <c r="L1183" s="34">
        <v>2.87</v>
      </c>
      <c r="M1183" s="34">
        <v>-93.66</v>
      </c>
      <c r="N1183" s="24">
        <v>1179</v>
      </c>
      <c r="O1183" s="29">
        <v>43096.561874999999</v>
      </c>
    </row>
    <row r="1184" spans="2:15" x14ac:dyDescent="0.25">
      <c r="B1184" s="24" t="s">
        <v>2831</v>
      </c>
      <c r="C1184" s="23" t="s">
        <v>897</v>
      </c>
      <c r="D1184" s="24" t="s">
        <v>1844</v>
      </c>
      <c r="E1184" s="24">
        <v>3.0000000000000001E-6</v>
      </c>
      <c r="F1184" s="24">
        <v>4.7396399999999998E-2</v>
      </c>
      <c r="G1184" s="24">
        <v>4707.8900000000003</v>
      </c>
      <c r="K1184" s="34">
        <v>0.32</v>
      </c>
      <c r="L1184" s="34">
        <v>-12.66</v>
      </c>
      <c r="M1184" s="34">
        <v>-62.43</v>
      </c>
      <c r="N1184" s="24">
        <v>1180</v>
      </c>
      <c r="O1184" s="29">
        <v>43096.561909722222</v>
      </c>
    </row>
    <row r="1185" spans="2:15" x14ac:dyDescent="0.25">
      <c r="B1185" s="24" t="s">
        <v>4039</v>
      </c>
      <c r="C1185" s="23" t="s">
        <v>4040</v>
      </c>
      <c r="D1185" s="24" t="s">
        <v>4041</v>
      </c>
      <c r="E1185" s="24">
        <v>6.8600000000000004E-6</v>
      </c>
      <c r="F1185" s="24">
        <v>0.10842599999999999</v>
      </c>
      <c r="G1185" s="24">
        <v>4458.28</v>
      </c>
      <c r="J1185" s="24">
        <v>1839750</v>
      </c>
      <c r="K1185" s="34">
        <v>-1.88</v>
      </c>
      <c r="L1185" s="34">
        <v>-2.95</v>
      </c>
      <c r="M1185" s="34">
        <v>-49.68</v>
      </c>
      <c r="N1185" s="24">
        <v>1181</v>
      </c>
      <c r="O1185" s="29">
        <v>43096.562025462961</v>
      </c>
    </row>
    <row r="1186" spans="2:15" x14ac:dyDescent="0.25">
      <c r="B1186" s="24" t="s">
        <v>2868</v>
      </c>
      <c r="C1186" s="23" t="s">
        <v>889</v>
      </c>
      <c r="D1186" s="24" t="s">
        <v>1837</v>
      </c>
      <c r="E1186" s="24">
        <v>1E-8</v>
      </c>
      <c r="F1186" s="24">
        <v>1.5798799999999999E-4</v>
      </c>
      <c r="G1186" s="24">
        <v>4314.3</v>
      </c>
      <c r="K1186" s="34">
        <v>-1.1399999999999999</v>
      </c>
      <c r="L1186" s="34">
        <v>2.87</v>
      </c>
      <c r="M1186" s="34">
        <v>-7.31</v>
      </c>
      <c r="N1186" s="24">
        <v>1182</v>
      </c>
      <c r="O1186" s="29">
        <v>43096.561956018515</v>
      </c>
    </row>
    <row r="1187" spans="2:15" x14ac:dyDescent="0.25">
      <c r="B1187" s="24" t="s">
        <v>3533</v>
      </c>
      <c r="C1187" s="23" t="s">
        <v>3534</v>
      </c>
      <c r="D1187" s="24" t="s">
        <v>3535</v>
      </c>
      <c r="E1187" s="24">
        <v>1.999E-5</v>
      </c>
      <c r="F1187" s="24">
        <v>0.31588699999999997</v>
      </c>
      <c r="G1187" s="24">
        <v>4245</v>
      </c>
      <c r="J1187" s="24">
        <v>1000000</v>
      </c>
      <c r="K1187" s="34">
        <v>6.59</v>
      </c>
      <c r="L1187" s="34">
        <v>-7.09</v>
      </c>
      <c r="M1187" s="34">
        <v>-18.48</v>
      </c>
      <c r="N1187" s="24">
        <v>1183</v>
      </c>
      <c r="O1187" s="29">
        <v>43096.561990740738</v>
      </c>
    </row>
    <row r="1188" spans="2:15" x14ac:dyDescent="0.25">
      <c r="B1188" s="24" t="s">
        <v>3667</v>
      </c>
      <c r="C1188" s="23" t="s">
        <v>3668</v>
      </c>
      <c r="D1188" s="24" t="s">
        <v>3669</v>
      </c>
      <c r="E1188" s="24">
        <v>2.1E-7</v>
      </c>
      <c r="F1188" s="24">
        <v>3.3047599999999999E-3</v>
      </c>
      <c r="G1188" s="24">
        <v>4069.31</v>
      </c>
      <c r="J1188" s="24">
        <v>75000000</v>
      </c>
      <c r="K1188" s="34">
        <v>-2.19</v>
      </c>
      <c r="L1188" s="34">
        <v>36.46</v>
      </c>
      <c r="M1188" s="34">
        <v>-19.52</v>
      </c>
      <c r="N1188" s="24">
        <v>1184</v>
      </c>
      <c r="O1188" s="29">
        <v>43096.562013888892</v>
      </c>
    </row>
    <row r="1189" spans="2:15" x14ac:dyDescent="0.25">
      <c r="B1189" s="24" t="s">
        <v>3861</v>
      </c>
      <c r="C1189" s="23" t="s">
        <v>3862</v>
      </c>
      <c r="D1189" s="24" t="s">
        <v>3863</v>
      </c>
      <c r="E1189" s="24">
        <v>9.0100000000000001E-6</v>
      </c>
      <c r="F1189" s="24">
        <v>0.14240800000000001</v>
      </c>
      <c r="G1189" s="24">
        <v>4063.87</v>
      </c>
      <c r="J1189" s="24">
        <v>84000000</v>
      </c>
      <c r="K1189" s="34">
        <v>-1.6</v>
      </c>
      <c r="L1189" s="34">
        <v>-25.13</v>
      </c>
      <c r="M1189" s="34">
        <v>-19.829999999999998</v>
      </c>
      <c r="N1189" s="24">
        <v>1185</v>
      </c>
      <c r="O1189" s="29">
        <v>43096.562013888892</v>
      </c>
    </row>
    <row r="1190" spans="2:15" x14ac:dyDescent="0.25">
      <c r="B1190" s="24" t="s">
        <v>2804</v>
      </c>
      <c r="C1190" s="23" t="s">
        <v>860</v>
      </c>
      <c r="D1190" s="24" t="s">
        <v>1809</v>
      </c>
      <c r="E1190" s="24">
        <v>4.9999999999999998E-8</v>
      </c>
      <c r="F1190" s="24">
        <v>7.2846599999999999E-4</v>
      </c>
      <c r="G1190" s="24">
        <v>3858.86</v>
      </c>
      <c r="K1190" s="34">
        <v>-4.8499999999999996</v>
      </c>
      <c r="L1190" s="34">
        <v>34.21</v>
      </c>
      <c r="M1190" s="34">
        <v>24.82</v>
      </c>
      <c r="N1190" s="24">
        <v>1186</v>
      </c>
      <c r="O1190" s="29">
        <v>43096.561909722222</v>
      </c>
    </row>
    <row r="1191" spans="2:15" x14ac:dyDescent="0.25">
      <c r="B1191" s="24" t="s">
        <v>3541</v>
      </c>
      <c r="C1191" s="23" t="s">
        <v>3542</v>
      </c>
      <c r="D1191" s="24" t="s">
        <v>3543</v>
      </c>
      <c r="E1191" s="24">
        <v>2.8999999999999998E-7</v>
      </c>
      <c r="F1191" s="24">
        <v>4.6160899999999998E-3</v>
      </c>
      <c r="G1191" s="24">
        <v>3708.99</v>
      </c>
      <c r="J1191" s="24">
        <v>35162767</v>
      </c>
      <c r="K1191" s="34">
        <v>-4.92</v>
      </c>
      <c r="L1191" s="34">
        <v>18.97</v>
      </c>
      <c r="M1191" s="34">
        <v>33.5</v>
      </c>
      <c r="N1191" s="24">
        <v>1187</v>
      </c>
      <c r="O1191" s="29">
        <v>43096.562002314815</v>
      </c>
    </row>
    <row r="1192" spans="2:15" x14ac:dyDescent="0.25">
      <c r="B1192" s="24" t="s">
        <v>2755</v>
      </c>
      <c r="C1192" s="23" t="s">
        <v>852</v>
      </c>
      <c r="D1192" s="24" t="s">
        <v>1801</v>
      </c>
      <c r="E1192" s="24">
        <v>8.0000000000000005E-9</v>
      </c>
      <c r="F1192" s="24">
        <v>1.2450499999999999E-4</v>
      </c>
      <c r="G1192" s="24">
        <v>3564.15</v>
      </c>
      <c r="J1192" s="24">
        <v>8001599000</v>
      </c>
      <c r="K1192" s="34">
        <v>-1.72</v>
      </c>
      <c r="L1192" s="34">
        <v>23.95</v>
      </c>
      <c r="M1192" s="34">
        <v>108.58</v>
      </c>
      <c r="N1192" s="24">
        <v>1188</v>
      </c>
      <c r="O1192" s="29">
        <v>43096.561944444446</v>
      </c>
    </row>
    <row r="1193" spans="2:15" x14ac:dyDescent="0.25">
      <c r="B1193" s="24" t="s">
        <v>2775</v>
      </c>
      <c r="C1193" s="23" t="s">
        <v>838</v>
      </c>
      <c r="D1193" s="24" t="s">
        <v>1789</v>
      </c>
      <c r="E1193" s="24">
        <v>5.0000000000000003E-10</v>
      </c>
      <c r="F1193" s="24">
        <v>7.8839999999999994E-6</v>
      </c>
      <c r="G1193" s="24">
        <v>3515.56</v>
      </c>
      <c r="K1193" s="34">
        <v>-0.84</v>
      </c>
      <c r="L1193" s="34">
        <v>37.11</v>
      </c>
      <c r="M1193" s="34">
        <v>47.95</v>
      </c>
      <c r="N1193" s="24">
        <v>1189</v>
      </c>
      <c r="O1193" s="29">
        <v>43096.561851851853</v>
      </c>
    </row>
    <row r="1194" spans="2:15" x14ac:dyDescent="0.25">
      <c r="B1194" s="24" t="s">
        <v>2742</v>
      </c>
      <c r="C1194" s="23" t="s">
        <v>797</v>
      </c>
      <c r="D1194" s="24" t="s">
        <v>1753</v>
      </c>
      <c r="E1194" s="24">
        <v>2.1500000000000001E-5</v>
      </c>
      <c r="F1194" s="24">
        <v>0.33967399999999998</v>
      </c>
      <c r="G1194" s="24">
        <v>3451.21</v>
      </c>
      <c r="J1194" s="24">
        <v>3415923</v>
      </c>
      <c r="K1194" s="34">
        <v>-1.1399999999999999</v>
      </c>
      <c r="L1194" s="34">
        <v>158.91</v>
      </c>
      <c r="M1194" s="34">
        <v>207.05</v>
      </c>
      <c r="N1194" s="24">
        <v>1190</v>
      </c>
      <c r="O1194" s="29">
        <v>43096.561967592592</v>
      </c>
    </row>
    <row r="1195" spans="2:15" x14ac:dyDescent="0.25">
      <c r="B1195" s="24" t="s">
        <v>2216</v>
      </c>
      <c r="C1195" s="23" t="s">
        <v>278</v>
      </c>
      <c r="D1195" s="24" t="s">
        <v>1247</v>
      </c>
      <c r="E1195" s="24">
        <v>8.8101E-4</v>
      </c>
      <c r="F1195" s="24">
        <v>13.918900000000001</v>
      </c>
      <c r="G1195" s="24">
        <v>3449.91</v>
      </c>
      <c r="J1195" s="24">
        <v>6412789</v>
      </c>
      <c r="K1195" s="34">
        <v>-1.1399999999999999</v>
      </c>
      <c r="L1195" s="34">
        <v>4.09</v>
      </c>
      <c r="M1195" s="34">
        <v>17.03</v>
      </c>
      <c r="N1195" s="24">
        <v>1191</v>
      </c>
      <c r="O1195" s="29">
        <v>43096.561967592592</v>
      </c>
    </row>
    <row r="1196" spans="2:15" x14ac:dyDescent="0.25">
      <c r="B1196" s="24" t="s">
        <v>2845</v>
      </c>
      <c r="C1196" s="23" t="s">
        <v>884</v>
      </c>
      <c r="D1196" s="24" t="s">
        <v>1833</v>
      </c>
      <c r="E1196" s="24">
        <v>2E-8</v>
      </c>
      <c r="F1196" s="24">
        <v>2.8637200000000002E-4</v>
      </c>
      <c r="G1196" s="24">
        <v>3441.59</v>
      </c>
      <c r="K1196" s="34">
        <v>6.83</v>
      </c>
      <c r="L1196" s="34">
        <v>4.32</v>
      </c>
      <c r="M1196" s="34">
        <v>68.489999999999995</v>
      </c>
      <c r="N1196" s="24">
        <v>1192</v>
      </c>
      <c r="O1196" s="29">
        <v>43096.561909722222</v>
      </c>
    </row>
    <row r="1197" spans="2:15" x14ac:dyDescent="0.25">
      <c r="B1197" s="24" t="s">
        <v>3780</v>
      </c>
      <c r="C1197" s="23" t="s">
        <v>3781</v>
      </c>
      <c r="D1197" s="24" t="s">
        <v>3782</v>
      </c>
      <c r="E1197" s="24">
        <v>1.95E-6</v>
      </c>
      <c r="F1197" s="24">
        <v>3.0822200000000001E-2</v>
      </c>
      <c r="G1197" s="24">
        <v>3424.48</v>
      </c>
      <c r="J1197" s="24">
        <v>10793135</v>
      </c>
      <c r="K1197" s="34">
        <v>13.32</v>
      </c>
      <c r="L1197" s="34">
        <v>34.380000000000003</v>
      </c>
      <c r="M1197" s="34">
        <v>32.67</v>
      </c>
      <c r="N1197" s="24">
        <v>1193</v>
      </c>
      <c r="O1197" s="29">
        <v>43096.562013888892</v>
      </c>
    </row>
    <row r="1198" spans="2:15" x14ac:dyDescent="0.25">
      <c r="B1198" s="24" t="s">
        <v>3079</v>
      </c>
      <c r="C1198" s="23" t="s">
        <v>3080</v>
      </c>
      <c r="D1198" s="24" t="s">
        <v>3081</v>
      </c>
      <c r="E1198" s="24">
        <v>1.7086E-4</v>
      </c>
      <c r="F1198" s="24">
        <v>2.6993100000000001</v>
      </c>
      <c r="G1198" s="24">
        <v>3309.45</v>
      </c>
      <c r="J1198" s="24">
        <v>763931</v>
      </c>
      <c r="K1198" s="34">
        <v>-0.88</v>
      </c>
      <c r="L1198" s="34">
        <v>-4.1500000000000004</v>
      </c>
      <c r="M1198" s="34">
        <v>-10.93</v>
      </c>
      <c r="N1198" s="24">
        <v>1194</v>
      </c>
      <c r="O1198" s="29">
        <v>43096.561979166669</v>
      </c>
    </row>
    <row r="1199" spans="2:15" x14ac:dyDescent="0.25">
      <c r="B1199" s="24" t="s">
        <v>3319</v>
      </c>
      <c r="C1199" s="23" t="s">
        <v>3320</v>
      </c>
      <c r="D1199" s="24" t="s">
        <v>3321</v>
      </c>
      <c r="E1199" s="24">
        <v>3.0729999999999999E-5</v>
      </c>
      <c r="F1199" s="24">
        <v>0.48547000000000001</v>
      </c>
      <c r="G1199" s="24">
        <v>3251.48</v>
      </c>
      <c r="J1199" s="24">
        <v>1000000000</v>
      </c>
      <c r="K1199" s="34">
        <v>-0.2</v>
      </c>
      <c r="L1199" s="34">
        <v>15.06</v>
      </c>
      <c r="M1199" s="34">
        <v>-33.54</v>
      </c>
      <c r="N1199" s="24">
        <v>1195</v>
      </c>
      <c r="O1199" s="29">
        <v>43096.562002314815</v>
      </c>
    </row>
    <row r="1200" spans="2:15" x14ac:dyDescent="0.25">
      <c r="B1200" s="24" t="s">
        <v>2850</v>
      </c>
      <c r="C1200" s="23" t="s">
        <v>922</v>
      </c>
      <c r="D1200" s="24" t="s">
        <v>1868</v>
      </c>
      <c r="E1200" s="24">
        <v>2.7000000000000001E-7</v>
      </c>
      <c r="F1200" s="24">
        <v>4.2656700000000001E-3</v>
      </c>
      <c r="G1200" s="24">
        <v>3213.97</v>
      </c>
      <c r="J1200" s="24">
        <v>39275649</v>
      </c>
      <c r="K1200" s="34">
        <v>2.67</v>
      </c>
      <c r="L1200" s="34">
        <v>-15.99</v>
      </c>
      <c r="M1200" s="34">
        <v>37.11</v>
      </c>
      <c r="N1200" s="24">
        <v>1196</v>
      </c>
      <c r="O1200" s="29">
        <v>43096.561874999999</v>
      </c>
    </row>
    <row r="1201" spans="2:15" x14ac:dyDescent="0.25">
      <c r="B1201" s="24" t="s">
        <v>2858</v>
      </c>
      <c r="C1201" s="23" t="s">
        <v>898</v>
      </c>
      <c r="D1201" s="24" t="s">
        <v>1845</v>
      </c>
      <c r="E1201" s="24">
        <v>1.4500000000000001E-6</v>
      </c>
      <c r="F1201" s="24">
        <v>2.2980199999999999E-2</v>
      </c>
      <c r="G1201" s="24">
        <v>3127.41</v>
      </c>
      <c r="J1201" s="24">
        <v>6794076</v>
      </c>
      <c r="K1201" s="34">
        <v>1.86</v>
      </c>
      <c r="L1201" s="34">
        <v>16.22</v>
      </c>
      <c r="M1201" s="34">
        <v>33.369999999999997</v>
      </c>
      <c r="N1201" s="24">
        <v>1197</v>
      </c>
      <c r="O1201" s="29">
        <v>43096.561921296299</v>
      </c>
    </row>
    <row r="1202" spans="2:15" x14ac:dyDescent="0.25">
      <c r="B1202" s="24" t="s">
        <v>3183</v>
      </c>
      <c r="C1202" s="23" t="s">
        <v>3184</v>
      </c>
      <c r="D1202" s="24" t="s">
        <v>1228</v>
      </c>
      <c r="E1202" s="24">
        <v>8.6400000000000003E-6</v>
      </c>
      <c r="F1202" s="24">
        <v>0.13653599999999999</v>
      </c>
      <c r="G1202" s="24">
        <v>2760.31</v>
      </c>
      <c r="K1202" s="34">
        <v>-1.1100000000000001</v>
      </c>
      <c r="L1202" s="34">
        <v>5.58</v>
      </c>
      <c r="M1202" s="34">
        <v>62.13</v>
      </c>
      <c r="N1202" s="24">
        <v>1198</v>
      </c>
      <c r="O1202" s="29">
        <v>43096.561979166669</v>
      </c>
    </row>
    <row r="1203" spans="2:15" x14ac:dyDescent="0.25">
      <c r="B1203" s="24" t="s">
        <v>3502</v>
      </c>
      <c r="C1203" s="23" t="s">
        <v>3503</v>
      </c>
      <c r="D1203" s="24" t="s">
        <v>3504</v>
      </c>
      <c r="E1203" s="24">
        <v>3.5300000000000001E-6</v>
      </c>
      <c r="F1203" s="24">
        <v>5.5768400000000003E-2</v>
      </c>
      <c r="G1203" s="24">
        <v>2688.28</v>
      </c>
      <c r="J1203" s="24">
        <v>35000000</v>
      </c>
      <c r="K1203" s="34">
        <v>-1.1000000000000001</v>
      </c>
      <c r="L1203" s="34">
        <v>110.23</v>
      </c>
      <c r="M1203" s="34">
        <v>-2.33</v>
      </c>
      <c r="N1203" s="24">
        <v>1199</v>
      </c>
      <c r="O1203" s="29">
        <v>43096.562002314815</v>
      </c>
    </row>
    <row r="1204" spans="2:15" x14ac:dyDescent="0.25">
      <c r="B1204" s="24" t="s">
        <v>2882</v>
      </c>
      <c r="C1204" s="23" t="s">
        <v>955</v>
      </c>
      <c r="D1204" s="24" t="s">
        <v>1899</v>
      </c>
      <c r="E1204" s="24">
        <v>6.4999999999999996E-6</v>
      </c>
      <c r="F1204" s="24">
        <v>0.10269200000000001</v>
      </c>
      <c r="G1204" s="24">
        <v>2649.9</v>
      </c>
      <c r="J1204" s="24">
        <v>15005722</v>
      </c>
      <c r="K1204" s="34">
        <v>-17.57</v>
      </c>
      <c r="L1204" s="34">
        <v>-7.2</v>
      </c>
      <c r="M1204" s="34">
        <v>-69.739999999999995</v>
      </c>
      <c r="N1204" s="24">
        <v>1200</v>
      </c>
      <c r="O1204" s="29">
        <v>43096.561921296299</v>
      </c>
    </row>
    <row r="1205" spans="2:15" x14ac:dyDescent="0.25">
      <c r="B1205" s="24" t="s">
        <v>3884</v>
      </c>
      <c r="C1205" s="23" t="s">
        <v>3852</v>
      </c>
      <c r="D1205" s="24" t="s">
        <v>3820</v>
      </c>
      <c r="E1205" s="24">
        <v>1.3743099999999999E-3</v>
      </c>
      <c r="F1205" s="24">
        <v>21.712399999999999</v>
      </c>
      <c r="G1205" s="24">
        <v>2579.71</v>
      </c>
      <c r="J1205" s="24">
        <v>276001</v>
      </c>
      <c r="K1205" s="34">
        <v>19.829999999999998</v>
      </c>
      <c r="L1205" s="34">
        <v>16.91</v>
      </c>
      <c r="M1205" s="34">
        <v>52.27</v>
      </c>
      <c r="N1205" s="24">
        <v>1201</v>
      </c>
      <c r="O1205" s="29">
        <v>43096.562013888892</v>
      </c>
    </row>
    <row r="1206" spans="2:15" x14ac:dyDescent="0.25">
      <c r="B1206" s="24" t="s">
        <v>2772</v>
      </c>
      <c r="C1206" s="23" t="s">
        <v>820</v>
      </c>
      <c r="D1206" s="24" t="s">
        <v>1775</v>
      </c>
      <c r="E1206" s="24">
        <v>3.9999999999999998E-7</v>
      </c>
      <c r="F1206" s="24">
        <v>6.3008500000000002E-3</v>
      </c>
      <c r="G1206" s="24">
        <v>2529.6</v>
      </c>
      <c r="K1206" s="34">
        <v>-1.07</v>
      </c>
      <c r="L1206" s="34">
        <v>13.57</v>
      </c>
      <c r="M1206" s="34">
        <v>13.62</v>
      </c>
      <c r="N1206" s="24">
        <v>1202</v>
      </c>
      <c r="O1206" s="29">
        <v>43096.561898148146</v>
      </c>
    </row>
    <row r="1207" spans="2:15" x14ac:dyDescent="0.25">
      <c r="B1207" s="24" t="s">
        <v>2889</v>
      </c>
      <c r="C1207" s="23" t="s">
        <v>938</v>
      </c>
      <c r="D1207" s="24" t="s">
        <v>1884</v>
      </c>
      <c r="E1207" s="24">
        <v>1.4000000000000001E-7</v>
      </c>
      <c r="F1207" s="24">
        <v>2.2118300000000001E-3</v>
      </c>
      <c r="G1207" s="24">
        <v>2516.29</v>
      </c>
      <c r="K1207" s="34">
        <v>-1.0900000000000001</v>
      </c>
      <c r="L1207" s="34">
        <v>-44.61</v>
      </c>
      <c r="M1207" s="34">
        <v>-37.04</v>
      </c>
      <c r="N1207" s="24">
        <v>1203</v>
      </c>
      <c r="O1207" s="29">
        <v>43096.561874999999</v>
      </c>
    </row>
    <row r="1208" spans="2:15" x14ac:dyDescent="0.25">
      <c r="B1208" s="24" t="s">
        <v>3511</v>
      </c>
      <c r="C1208" s="23" t="s">
        <v>3512</v>
      </c>
      <c r="D1208" s="24" t="s">
        <v>1526</v>
      </c>
      <c r="E1208" s="24">
        <v>2.3999999999999998E-7</v>
      </c>
      <c r="F1208" s="24">
        <v>3.74166E-3</v>
      </c>
      <c r="G1208" s="24">
        <v>2414.6799999999998</v>
      </c>
      <c r="J1208" s="24">
        <v>50000000</v>
      </c>
      <c r="K1208" s="34">
        <v>-3.45</v>
      </c>
      <c r="L1208" s="34">
        <v>0.74</v>
      </c>
      <c r="M1208" s="34">
        <v>-6.35</v>
      </c>
      <c r="N1208" s="24">
        <v>1204</v>
      </c>
      <c r="O1208" s="29">
        <v>43096.561990740738</v>
      </c>
    </row>
    <row r="1209" spans="2:15" x14ac:dyDescent="0.25">
      <c r="B1209" s="24" t="s">
        <v>3856</v>
      </c>
      <c r="C1209" s="23" t="s">
        <v>3857</v>
      </c>
      <c r="D1209" s="24" t="s">
        <v>3858</v>
      </c>
      <c r="E1209" s="24">
        <v>4.002E-5</v>
      </c>
      <c r="F1209" s="24">
        <v>0.63226700000000002</v>
      </c>
      <c r="G1209" s="24">
        <v>2359.31</v>
      </c>
      <c r="J1209" s="24">
        <v>5323524</v>
      </c>
      <c r="K1209" s="34">
        <v>-1.1399999999999999</v>
      </c>
      <c r="L1209" s="34">
        <v>-12.93</v>
      </c>
      <c r="M1209" s="34">
        <v>10.6</v>
      </c>
      <c r="N1209" s="24">
        <v>1205</v>
      </c>
      <c r="O1209" s="29">
        <v>43096.562013888892</v>
      </c>
    </row>
    <row r="1210" spans="2:15" x14ac:dyDescent="0.25">
      <c r="B1210" s="24" t="s">
        <v>3762</v>
      </c>
      <c r="C1210" s="23" t="s">
        <v>3763</v>
      </c>
      <c r="D1210" s="24" t="s">
        <v>3764</v>
      </c>
      <c r="E1210" s="24">
        <v>2.8000000000000002E-7</v>
      </c>
      <c r="F1210" s="24">
        <v>4.5008000000000001E-3</v>
      </c>
      <c r="G1210" s="24">
        <v>2278.9</v>
      </c>
      <c r="J1210" s="24">
        <v>21000000</v>
      </c>
      <c r="K1210" s="34">
        <v>-3.38</v>
      </c>
      <c r="L1210" s="34">
        <v>21.14</v>
      </c>
      <c r="M1210" s="34">
        <v>45.14</v>
      </c>
      <c r="N1210" s="24">
        <v>1206</v>
      </c>
      <c r="O1210" s="29">
        <v>43096.562013888892</v>
      </c>
    </row>
    <row r="1211" spans="2:15" x14ac:dyDescent="0.25">
      <c r="B1211" s="24" t="s">
        <v>3703</v>
      </c>
      <c r="C1211" s="23" t="s">
        <v>3704</v>
      </c>
      <c r="D1211" s="24" t="s">
        <v>3705</v>
      </c>
      <c r="E1211" s="24">
        <v>4.9999999999999998E-8</v>
      </c>
      <c r="F1211" s="24">
        <v>7.1262599999999995E-4</v>
      </c>
      <c r="G1211" s="24">
        <v>2274.4</v>
      </c>
      <c r="J1211" s="24">
        <v>82500000000</v>
      </c>
      <c r="K1211" s="34">
        <v>-0.64</v>
      </c>
      <c r="L1211" s="34">
        <v>8.49</v>
      </c>
      <c r="M1211" s="34">
        <v>-18.05</v>
      </c>
      <c r="N1211" s="24">
        <v>1207</v>
      </c>
      <c r="O1211" s="29">
        <v>43096.562013888892</v>
      </c>
    </row>
    <row r="1212" spans="2:15" x14ac:dyDescent="0.25">
      <c r="B1212" s="24" t="s">
        <v>2722</v>
      </c>
      <c r="C1212" s="23" t="s">
        <v>815</v>
      </c>
      <c r="D1212" s="24" t="s">
        <v>1770</v>
      </c>
      <c r="E1212" s="24">
        <v>2.0600000000000002E-6</v>
      </c>
      <c r="F1212" s="24">
        <v>3.2480000000000002E-2</v>
      </c>
      <c r="G1212" s="24">
        <v>2264.46</v>
      </c>
      <c r="J1212" s="24">
        <v>9096003</v>
      </c>
      <c r="K1212" s="34">
        <v>-0.8</v>
      </c>
      <c r="L1212" s="34">
        <v>-6.72</v>
      </c>
      <c r="M1212" s="34">
        <v>-4</v>
      </c>
      <c r="N1212" s="24">
        <v>1208</v>
      </c>
      <c r="O1212" s="29">
        <v>43096.561909722222</v>
      </c>
    </row>
    <row r="1213" spans="2:15" x14ac:dyDescent="0.25">
      <c r="B1213" s="24" t="s">
        <v>2750</v>
      </c>
      <c r="C1213" s="23" t="s">
        <v>835</v>
      </c>
      <c r="D1213" s="24" t="s">
        <v>1787</v>
      </c>
      <c r="E1213" s="24">
        <v>3.3000000000000002E-7</v>
      </c>
      <c r="F1213" s="24">
        <v>5.1953499999999996E-3</v>
      </c>
      <c r="G1213" s="24">
        <v>2260.9899999999998</v>
      </c>
      <c r="J1213" s="24">
        <v>900000000</v>
      </c>
      <c r="K1213" s="34">
        <v>-1.02</v>
      </c>
      <c r="L1213" s="34">
        <v>5.16</v>
      </c>
      <c r="M1213" s="34">
        <v>-24.85</v>
      </c>
      <c r="N1213" s="24">
        <v>1209</v>
      </c>
      <c r="O1213" s="29">
        <v>43096.561944444446</v>
      </c>
    </row>
    <row r="1214" spans="2:15" x14ac:dyDescent="0.25">
      <c r="B1214" s="24" t="s">
        <v>3559</v>
      </c>
      <c r="C1214" s="23" t="s">
        <v>3560</v>
      </c>
      <c r="D1214" s="24" t="s">
        <v>1683</v>
      </c>
      <c r="E1214" s="24">
        <v>5.6999999999999996E-6</v>
      </c>
      <c r="F1214" s="24">
        <v>9.0015899999999996E-2</v>
      </c>
      <c r="G1214" s="24">
        <v>2183.64</v>
      </c>
      <c r="J1214" s="24">
        <v>100000000</v>
      </c>
      <c r="K1214" s="34">
        <v>-0.64</v>
      </c>
      <c r="L1214" s="34">
        <v>59.44</v>
      </c>
      <c r="M1214" s="34">
        <v>104.16</v>
      </c>
      <c r="N1214" s="24">
        <v>1210</v>
      </c>
      <c r="O1214" s="29">
        <v>43096.561990740738</v>
      </c>
    </row>
    <row r="1215" spans="2:15" x14ac:dyDescent="0.25">
      <c r="B1215" s="24" t="s">
        <v>2756</v>
      </c>
      <c r="C1215" s="23" t="s">
        <v>816</v>
      </c>
      <c r="D1215" s="24" t="s">
        <v>1771</v>
      </c>
      <c r="E1215" s="24">
        <v>5.6000000000000004E-7</v>
      </c>
      <c r="F1215" s="24">
        <v>8.9058799999999997E-3</v>
      </c>
      <c r="G1215" s="24">
        <v>2125.94</v>
      </c>
      <c r="J1215" s="24">
        <v>81337486</v>
      </c>
      <c r="K1215" s="34">
        <v>-1.1399999999999999</v>
      </c>
      <c r="L1215" s="34">
        <v>96.69</v>
      </c>
      <c r="M1215" s="34">
        <v>94.4</v>
      </c>
      <c r="N1215" s="24">
        <v>1211</v>
      </c>
      <c r="O1215" s="29">
        <v>43096.561863425923</v>
      </c>
    </row>
    <row r="1216" spans="2:15" x14ac:dyDescent="0.25">
      <c r="B1216" s="24" t="s">
        <v>2819</v>
      </c>
      <c r="C1216" s="23" t="s">
        <v>854</v>
      </c>
      <c r="D1216" s="24" t="s">
        <v>1803</v>
      </c>
      <c r="E1216" s="24">
        <v>3.89E-6</v>
      </c>
      <c r="F1216" s="24">
        <v>6.1479100000000002E-2</v>
      </c>
      <c r="G1216" s="24">
        <v>1901.77</v>
      </c>
      <c r="J1216" s="24">
        <v>3407292</v>
      </c>
      <c r="K1216" s="34">
        <v>-5.63</v>
      </c>
      <c r="L1216" s="34">
        <v>-13.85</v>
      </c>
      <c r="M1216" s="34">
        <v>-30.03</v>
      </c>
      <c r="N1216" s="24">
        <v>1212</v>
      </c>
      <c r="O1216" s="29">
        <v>43096.561874999999</v>
      </c>
    </row>
    <row r="1217" spans="2:15" x14ac:dyDescent="0.25">
      <c r="B1217" s="24" t="s">
        <v>3849</v>
      </c>
      <c r="C1217" s="23" t="s">
        <v>3850</v>
      </c>
      <c r="D1217" s="24" t="s">
        <v>3851</v>
      </c>
      <c r="E1217" s="24">
        <v>2.3999999999999998E-7</v>
      </c>
      <c r="F1217" s="24">
        <v>3.8249299999999998E-3</v>
      </c>
      <c r="G1217" s="24">
        <v>1824.32</v>
      </c>
      <c r="J1217" s="24">
        <v>20000000</v>
      </c>
      <c r="K1217" s="34">
        <v>-0.64</v>
      </c>
      <c r="L1217" s="34">
        <v>28.72</v>
      </c>
      <c r="M1217" s="34">
        <v>63.55</v>
      </c>
      <c r="N1217" s="24">
        <v>1213</v>
      </c>
      <c r="O1217" s="29">
        <v>43096.562013888892</v>
      </c>
    </row>
    <row r="1218" spans="2:15" x14ac:dyDescent="0.25">
      <c r="B1218" s="24" t="s">
        <v>2736</v>
      </c>
      <c r="C1218" s="23" t="s">
        <v>802</v>
      </c>
      <c r="D1218" s="24" t="s">
        <v>1740</v>
      </c>
      <c r="E1218" s="24">
        <v>5.5034999999999997E-3</v>
      </c>
      <c r="F1218" s="24">
        <v>86.948599999999999</v>
      </c>
      <c r="G1218" s="24">
        <v>1733.03</v>
      </c>
      <c r="J1218" s="24">
        <v>210000000</v>
      </c>
      <c r="K1218" s="34">
        <v>-0.05</v>
      </c>
      <c r="L1218" s="34">
        <v>73.290000000000006</v>
      </c>
      <c r="M1218" s="34">
        <v>13.55</v>
      </c>
      <c r="N1218" s="24">
        <v>1214</v>
      </c>
      <c r="O1218" s="29">
        <v>43096.561886574076</v>
      </c>
    </row>
    <row r="1219" spans="2:15" x14ac:dyDescent="0.25">
      <c r="B1219" s="24" t="s">
        <v>3561</v>
      </c>
      <c r="C1219" s="23" t="s">
        <v>3562</v>
      </c>
      <c r="D1219" s="24" t="s">
        <v>3563</v>
      </c>
      <c r="E1219" s="24">
        <v>7.0000000000000005E-8</v>
      </c>
      <c r="F1219" s="24">
        <v>1.1152200000000001E-3</v>
      </c>
      <c r="G1219" s="24">
        <v>1730.02</v>
      </c>
      <c r="J1219" s="24">
        <v>400022341</v>
      </c>
      <c r="K1219" s="34">
        <v>-1.46</v>
      </c>
      <c r="L1219" s="34">
        <v>10.77</v>
      </c>
      <c r="M1219" s="34">
        <v>-18.03</v>
      </c>
      <c r="N1219" s="24">
        <v>1215</v>
      </c>
      <c r="O1219" s="29">
        <v>43096.562002314815</v>
      </c>
    </row>
    <row r="1220" spans="2:15" x14ac:dyDescent="0.25">
      <c r="B1220" s="24" t="s">
        <v>3896</v>
      </c>
      <c r="C1220" s="23" t="s">
        <v>3897</v>
      </c>
      <c r="D1220" s="24" t="s">
        <v>3897</v>
      </c>
      <c r="E1220" s="24">
        <v>3.5999999999999998E-6</v>
      </c>
      <c r="F1220" s="24">
        <v>5.6907199999999998E-2</v>
      </c>
      <c r="G1220" s="24">
        <v>1690.03</v>
      </c>
      <c r="J1220" s="24">
        <v>164589</v>
      </c>
      <c r="K1220" s="34">
        <v>-3.33</v>
      </c>
      <c r="L1220" s="34">
        <v>23.16</v>
      </c>
      <c r="M1220" s="34"/>
      <c r="N1220" s="24">
        <v>1216</v>
      </c>
      <c r="O1220" s="29">
        <v>43096.562013888892</v>
      </c>
    </row>
    <row r="1221" spans="2:15" x14ac:dyDescent="0.25">
      <c r="B1221" s="24" t="s">
        <v>2774</v>
      </c>
      <c r="C1221" s="23" t="s">
        <v>846</v>
      </c>
      <c r="D1221" s="24" t="s">
        <v>1796</v>
      </c>
      <c r="E1221" s="24">
        <v>1.77E-6</v>
      </c>
      <c r="F1221" s="24">
        <v>2.7931899999999999E-2</v>
      </c>
      <c r="G1221" s="24">
        <v>1552.22</v>
      </c>
      <c r="J1221" s="24">
        <v>5664255706</v>
      </c>
      <c r="K1221" s="34">
        <v>-1.1000000000000001</v>
      </c>
      <c r="L1221" s="34">
        <v>-27</v>
      </c>
      <c r="M1221" s="34">
        <v>44.73</v>
      </c>
      <c r="N1221" s="24">
        <v>1217</v>
      </c>
      <c r="O1221" s="29">
        <v>43096.561909722222</v>
      </c>
    </row>
    <row r="1222" spans="2:15" x14ac:dyDescent="0.25">
      <c r="B1222" s="24" t="s">
        <v>2824</v>
      </c>
      <c r="C1222" s="23" t="s">
        <v>856</v>
      </c>
      <c r="D1222" s="24" t="s">
        <v>1805</v>
      </c>
      <c r="E1222" s="24">
        <v>1.3E-7</v>
      </c>
      <c r="F1222" s="24">
        <v>2.0538399999999999E-3</v>
      </c>
      <c r="G1222" s="24">
        <v>1523.61</v>
      </c>
      <c r="K1222" s="34">
        <v>7.15</v>
      </c>
      <c r="L1222" s="34">
        <v>32.549999999999997</v>
      </c>
      <c r="M1222" s="34">
        <v>97.04</v>
      </c>
      <c r="N1222" s="24">
        <v>1218</v>
      </c>
      <c r="O1222" s="29">
        <v>43096.561874999999</v>
      </c>
    </row>
    <row r="1223" spans="2:15" x14ac:dyDescent="0.25">
      <c r="B1223" s="24" t="s">
        <v>2786</v>
      </c>
      <c r="C1223" s="23" t="s">
        <v>833</v>
      </c>
      <c r="D1223" s="24" t="s">
        <v>1786</v>
      </c>
      <c r="E1223" s="24">
        <v>1.0000000000000001E-9</v>
      </c>
      <c r="F1223" s="24">
        <v>2.2860299999999999E-5</v>
      </c>
      <c r="G1223" s="24">
        <v>1469.14</v>
      </c>
      <c r="K1223" s="34">
        <v>12.41</v>
      </c>
      <c r="L1223" s="34">
        <v>57.59</v>
      </c>
      <c r="M1223" s="34">
        <v>-78.13</v>
      </c>
      <c r="N1223" s="24">
        <v>1219</v>
      </c>
      <c r="O1223" s="29">
        <v>43096.561979166669</v>
      </c>
    </row>
    <row r="1224" spans="2:15" x14ac:dyDescent="0.25">
      <c r="B1224" s="24" t="s">
        <v>2763</v>
      </c>
      <c r="C1224" s="23" t="s">
        <v>819</v>
      </c>
      <c r="D1224" s="24" t="s">
        <v>1774</v>
      </c>
      <c r="E1224" s="24">
        <v>8.8799999999999997E-6</v>
      </c>
      <c r="F1224" s="24">
        <v>0.140293</v>
      </c>
      <c r="G1224" s="24">
        <v>1428.14</v>
      </c>
      <c r="J1224" s="24">
        <v>57968072167</v>
      </c>
      <c r="K1224" s="34">
        <v>-1.1399999999999999</v>
      </c>
      <c r="L1224" s="34"/>
      <c r="M1224" s="34"/>
      <c r="N1224" s="24">
        <v>1220</v>
      </c>
      <c r="O1224" s="29">
        <v>43096.561898148146</v>
      </c>
    </row>
    <row r="1225" spans="2:15" x14ac:dyDescent="0.25">
      <c r="B1225" s="24" t="s">
        <v>4036</v>
      </c>
      <c r="C1225" s="23" t="s">
        <v>4037</v>
      </c>
      <c r="D1225" s="24" t="s">
        <v>4038</v>
      </c>
      <c r="E1225" s="24">
        <v>1.258E-5</v>
      </c>
      <c r="F1225" s="24">
        <v>0.19878499999999999</v>
      </c>
      <c r="G1225" s="24">
        <v>1387.75</v>
      </c>
      <c r="J1225" s="24">
        <v>60000000</v>
      </c>
      <c r="K1225" s="34">
        <v>-0.64</v>
      </c>
      <c r="L1225" s="34">
        <v>30.53</v>
      </c>
      <c r="M1225" s="34"/>
      <c r="N1225" s="24">
        <v>1221</v>
      </c>
      <c r="O1225" s="29">
        <v>43096.562013888892</v>
      </c>
    </row>
    <row r="1226" spans="2:15" x14ac:dyDescent="0.25">
      <c r="B1226" s="24" t="s">
        <v>3830</v>
      </c>
      <c r="C1226" s="23" t="s">
        <v>3831</v>
      </c>
      <c r="D1226" s="24" t="s">
        <v>3832</v>
      </c>
      <c r="E1226" s="24">
        <v>6.9999999999999996E-10</v>
      </c>
      <c r="F1226" s="24">
        <v>1.1252E-5</v>
      </c>
      <c r="G1226" s="24">
        <v>1376.49</v>
      </c>
      <c r="J1226" s="24">
        <v>100000000</v>
      </c>
      <c r="K1226" s="34">
        <v>-0.64</v>
      </c>
      <c r="L1226" s="34">
        <v>-17.45</v>
      </c>
      <c r="M1226" s="34">
        <v>-87.14</v>
      </c>
      <c r="N1226" s="24">
        <v>1222</v>
      </c>
      <c r="O1226" s="29">
        <v>43096.562013888892</v>
      </c>
    </row>
    <row r="1227" spans="2:15" x14ac:dyDescent="0.25">
      <c r="B1227" s="24" t="s">
        <v>2918</v>
      </c>
      <c r="C1227" s="23" t="s">
        <v>2919</v>
      </c>
      <c r="D1227" s="24" t="s">
        <v>2920</v>
      </c>
      <c r="E1227" s="24">
        <v>3.5086999999999998E-4</v>
      </c>
      <c r="F1227" s="24">
        <v>5.5433300000000001</v>
      </c>
      <c r="G1227" s="24">
        <v>1368.24</v>
      </c>
      <c r="J1227" s="24">
        <v>509016</v>
      </c>
      <c r="K1227" s="34">
        <v>-0.64</v>
      </c>
      <c r="L1227" s="34">
        <v>0.99</v>
      </c>
      <c r="M1227" s="34">
        <v>3.55</v>
      </c>
      <c r="N1227" s="24">
        <v>1223</v>
      </c>
      <c r="O1227" s="29">
        <v>43096.561979166669</v>
      </c>
    </row>
    <row r="1228" spans="2:15" x14ac:dyDescent="0.25">
      <c r="B1228" s="24" t="s">
        <v>2788</v>
      </c>
      <c r="C1228" s="23" t="s">
        <v>839</v>
      </c>
      <c r="D1228" s="24" t="s">
        <v>1790</v>
      </c>
      <c r="E1228" s="24">
        <v>1.3948000000000001E-4</v>
      </c>
      <c r="F1228" s="24">
        <v>2.2036099999999998</v>
      </c>
      <c r="G1228" s="24">
        <v>1329.64</v>
      </c>
      <c r="J1228" s="24">
        <v>100000000</v>
      </c>
      <c r="K1228" s="34">
        <v>-1.1399999999999999</v>
      </c>
      <c r="L1228" s="34">
        <v>29.77</v>
      </c>
      <c r="M1228" s="34">
        <v>115.43</v>
      </c>
      <c r="N1228" s="24">
        <v>1224</v>
      </c>
      <c r="O1228" s="29">
        <v>43096.561886574076</v>
      </c>
    </row>
    <row r="1229" spans="2:15" x14ac:dyDescent="0.25">
      <c r="B1229" s="24" t="s">
        <v>2760</v>
      </c>
      <c r="C1229" s="23" t="s">
        <v>784</v>
      </c>
      <c r="D1229" s="24" t="s">
        <v>1739</v>
      </c>
      <c r="E1229" s="24">
        <v>6E-9</v>
      </c>
      <c r="F1229" s="24">
        <v>8.7415200000000003E-5</v>
      </c>
      <c r="G1229" s="24">
        <v>1267.49</v>
      </c>
      <c r="J1229" s="24">
        <v>560211620</v>
      </c>
      <c r="K1229" s="34">
        <v>0.79</v>
      </c>
      <c r="L1229" s="34">
        <v>-21.98</v>
      </c>
      <c r="M1229" s="34">
        <v>1.55</v>
      </c>
      <c r="N1229" s="24">
        <v>1225</v>
      </c>
      <c r="O1229" s="29">
        <v>43096.561967592592</v>
      </c>
    </row>
    <row r="1230" spans="2:15" x14ac:dyDescent="0.25">
      <c r="B1230" s="24" t="s">
        <v>2779</v>
      </c>
      <c r="C1230" s="23" t="s">
        <v>831</v>
      </c>
      <c r="D1230" s="24" t="s">
        <v>1784</v>
      </c>
      <c r="E1230" s="24">
        <v>9.99998E-2</v>
      </c>
      <c r="F1230" s="24">
        <v>1579.88</v>
      </c>
      <c r="G1230" s="24">
        <v>1231.02</v>
      </c>
      <c r="J1230" s="24">
        <v>21000000</v>
      </c>
      <c r="K1230" s="34">
        <v>-1.1399999999999999</v>
      </c>
      <c r="L1230" s="34">
        <v>2.87</v>
      </c>
      <c r="M1230" s="34">
        <v>-26.74</v>
      </c>
      <c r="N1230" s="24">
        <v>1226</v>
      </c>
      <c r="O1230" s="29">
        <v>43096.561932870369</v>
      </c>
    </row>
    <row r="1231" spans="2:15" x14ac:dyDescent="0.25">
      <c r="B1231" s="24" t="s">
        <v>3837</v>
      </c>
      <c r="C1231" s="23" t="s">
        <v>3838</v>
      </c>
      <c r="D1231" s="24" t="s">
        <v>3839</v>
      </c>
      <c r="E1231" s="24">
        <v>1.4899999999999999E-6</v>
      </c>
      <c r="F1231" s="24">
        <v>2.3596499999999999E-2</v>
      </c>
      <c r="G1231" s="24">
        <v>1217.6300000000001</v>
      </c>
      <c r="J1231" s="24">
        <v>112500000</v>
      </c>
      <c r="K1231" s="34">
        <v>-1.17</v>
      </c>
      <c r="L1231" s="34">
        <v>-12.22</v>
      </c>
      <c r="M1231" s="34">
        <v>15.15</v>
      </c>
      <c r="N1231" s="24">
        <v>1227</v>
      </c>
      <c r="O1231" s="29">
        <v>43096.562013888892</v>
      </c>
    </row>
    <row r="1232" spans="2:15" x14ac:dyDescent="0.25">
      <c r="B1232" s="24" t="s">
        <v>3359</v>
      </c>
      <c r="C1232" s="23" t="s">
        <v>3360</v>
      </c>
      <c r="D1232" s="24" t="s">
        <v>3361</v>
      </c>
      <c r="E1232" s="24">
        <v>2E-8</v>
      </c>
      <c r="F1232" s="24">
        <v>3.1597599999999998E-4</v>
      </c>
      <c r="G1232" s="24">
        <v>1206.29</v>
      </c>
      <c r="K1232" s="34">
        <v>-1.1399999999999999</v>
      </c>
      <c r="L1232" s="34">
        <v>24.86</v>
      </c>
      <c r="M1232" s="34">
        <v>85.37</v>
      </c>
      <c r="N1232" s="24">
        <v>1228</v>
      </c>
      <c r="O1232" s="29">
        <v>43096.561990740738</v>
      </c>
    </row>
    <row r="1233" spans="2:15" x14ac:dyDescent="0.25">
      <c r="B1233" s="24" t="s">
        <v>2890</v>
      </c>
      <c r="C1233" s="23" t="s">
        <v>954</v>
      </c>
      <c r="D1233" s="24" t="s">
        <v>1898</v>
      </c>
      <c r="E1233" s="24">
        <v>1.4000000000000001E-7</v>
      </c>
      <c r="F1233" s="24">
        <v>2.2118300000000001E-3</v>
      </c>
      <c r="G1233" s="24">
        <v>1160.77</v>
      </c>
      <c r="J1233" s="24">
        <v>42402552</v>
      </c>
      <c r="K1233" s="34">
        <v>-1.1399999999999999</v>
      </c>
      <c r="L1233" s="34">
        <v>1.01</v>
      </c>
      <c r="M1233" s="34">
        <v>30.47</v>
      </c>
      <c r="N1233" s="24">
        <v>1229</v>
      </c>
      <c r="O1233" s="29">
        <v>43096.561898148146</v>
      </c>
    </row>
    <row r="1234" spans="2:15" x14ac:dyDescent="0.25">
      <c r="B1234" s="24" t="s">
        <v>2827</v>
      </c>
      <c r="C1234" s="23" t="s">
        <v>866</v>
      </c>
      <c r="D1234" s="24" t="s">
        <v>1815</v>
      </c>
      <c r="E1234" s="24">
        <v>1.8E-7</v>
      </c>
      <c r="F1234" s="24">
        <v>2.82023E-3</v>
      </c>
      <c r="G1234" s="24">
        <v>1058.24</v>
      </c>
      <c r="J1234" s="24">
        <v>41643721</v>
      </c>
      <c r="K1234" s="34">
        <v>4.5199999999999996</v>
      </c>
      <c r="L1234" s="34">
        <v>20.72</v>
      </c>
      <c r="M1234" s="34">
        <v>251.9</v>
      </c>
      <c r="N1234" s="24">
        <v>1230</v>
      </c>
      <c r="O1234" s="29">
        <v>43096.56181712963</v>
      </c>
    </row>
    <row r="1235" spans="2:15" x14ac:dyDescent="0.25">
      <c r="B1235" s="24" t="s">
        <v>3288</v>
      </c>
      <c r="C1235" s="23" t="s">
        <v>3289</v>
      </c>
      <c r="D1235" s="24" t="s">
        <v>3290</v>
      </c>
      <c r="E1235" s="24">
        <v>2.34E-6</v>
      </c>
      <c r="F1235" s="24">
        <v>3.6969200000000001E-2</v>
      </c>
      <c r="G1235" s="24">
        <v>1052.03</v>
      </c>
      <c r="J1235" s="24">
        <v>5202901</v>
      </c>
      <c r="K1235" s="34">
        <v>-1.42</v>
      </c>
      <c r="L1235" s="34">
        <v>-3.42</v>
      </c>
      <c r="M1235" s="34">
        <v>-55.4</v>
      </c>
      <c r="N1235" s="24">
        <v>1231</v>
      </c>
      <c r="O1235" s="29">
        <v>43096.561990740738</v>
      </c>
    </row>
    <row r="1236" spans="2:15" x14ac:dyDescent="0.25">
      <c r="B1236" s="24" t="s">
        <v>3025</v>
      </c>
      <c r="C1236" s="23" t="s">
        <v>3026</v>
      </c>
      <c r="D1236" s="24" t="s">
        <v>3027</v>
      </c>
      <c r="E1236" s="24">
        <v>1.084E-5</v>
      </c>
      <c r="F1236" s="24">
        <v>0.17127800000000001</v>
      </c>
      <c r="G1236" s="24">
        <v>1028.26</v>
      </c>
      <c r="J1236" s="24">
        <v>100000000</v>
      </c>
      <c r="K1236" s="34">
        <v>-1.1399999999999999</v>
      </c>
      <c r="L1236" s="34">
        <v>36.340000000000003</v>
      </c>
      <c r="M1236" s="34">
        <v>-0.2</v>
      </c>
      <c r="N1236" s="24">
        <v>1232</v>
      </c>
      <c r="O1236" s="29">
        <v>43096.561979166669</v>
      </c>
    </row>
    <row r="1237" spans="2:15" x14ac:dyDescent="0.25">
      <c r="B1237" s="24" t="s">
        <v>3175</v>
      </c>
      <c r="C1237" s="23" t="s">
        <v>3176</v>
      </c>
      <c r="D1237" s="24" t="s">
        <v>3177</v>
      </c>
      <c r="E1237" s="24">
        <v>1.6899999999999999E-6</v>
      </c>
      <c r="F1237" s="24">
        <v>2.67177E-2</v>
      </c>
      <c r="G1237" s="24">
        <v>1020.41</v>
      </c>
      <c r="J1237" s="24">
        <v>30000000</v>
      </c>
      <c r="K1237" s="34">
        <v>-0.41</v>
      </c>
      <c r="L1237" s="34">
        <v>9.2200000000000006</v>
      </c>
      <c r="M1237" s="34">
        <v>36.119999999999997</v>
      </c>
      <c r="N1237" s="24">
        <v>1233</v>
      </c>
      <c r="O1237" s="29">
        <v>43096.561967592592</v>
      </c>
    </row>
    <row r="1238" spans="2:15" x14ac:dyDescent="0.25">
      <c r="B1238" s="24" t="s">
        <v>2781</v>
      </c>
      <c r="C1238" s="23" t="s">
        <v>891</v>
      </c>
      <c r="D1238" s="24" t="s">
        <v>1839</v>
      </c>
      <c r="E1238" s="24">
        <v>2.9999999999999997E-8</v>
      </c>
      <c r="F1238" s="24">
        <v>4.27253E-4</v>
      </c>
      <c r="G1238" s="24">
        <v>1013.88</v>
      </c>
      <c r="K1238" s="34">
        <v>33.68</v>
      </c>
      <c r="L1238" s="34">
        <v>-20.07</v>
      </c>
      <c r="M1238" s="34">
        <v>117.36</v>
      </c>
      <c r="N1238" s="24">
        <v>1234</v>
      </c>
      <c r="O1238" s="29">
        <v>43096.561898148146</v>
      </c>
    </row>
    <row r="1239" spans="2:15" x14ac:dyDescent="0.25">
      <c r="B1239" s="24" t="s">
        <v>2734</v>
      </c>
      <c r="C1239" s="23" t="s">
        <v>801</v>
      </c>
      <c r="D1239" s="24" t="s">
        <v>1757</v>
      </c>
      <c r="E1239" s="24">
        <v>2.12E-6</v>
      </c>
      <c r="F1239" s="24">
        <v>3.34934E-2</v>
      </c>
      <c r="G1239" s="24">
        <v>988.55100000000004</v>
      </c>
      <c r="K1239" s="34">
        <v>-10.43</v>
      </c>
      <c r="L1239" s="34">
        <v>69.06</v>
      </c>
      <c r="M1239" s="34">
        <v>67.94</v>
      </c>
      <c r="N1239" s="24">
        <v>1235</v>
      </c>
      <c r="O1239" s="29">
        <v>43096.561909722222</v>
      </c>
    </row>
    <row r="1240" spans="2:15" x14ac:dyDescent="0.25">
      <c r="B1240" s="24" t="s">
        <v>2790</v>
      </c>
      <c r="C1240" s="23" t="s">
        <v>826</v>
      </c>
      <c r="D1240" s="24" t="s">
        <v>1779</v>
      </c>
      <c r="E1240" s="24">
        <v>3.4999999999999998E-7</v>
      </c>
      <c r="F1240" s="24">
        <v>5.5976100000000003E-3</v>
      </c>
      <c r="G1240" s="24">
        <v>984.28800000000001</v>
      </c>
      <c r="J1240" s="24">
        <v>57968072167</v>
      </c>
      <c r="K1240" s="34">
        <v>0.5</v>
      </c>
      <c r="L1240" s="34">
        <v>-28.53</v>
      </c>
      <c r="M1240" s="34">
        <v>12.11</v>
      </c>
      <c r="N1240" s="24">
        <v>1236</v>
      </c>
      <c r="O1240" s="29">
        <v>43096.561898148146</v>
      </c>
    </row>
    <row r="1241" spans="2:15" x14ac:dyDescent="0.25">
      <c r="B1241" s="24" t="s">
        <v>3009</v>
      </c>
      <c r="C1241" s="23" t="s">
        <v>3010</v>
      </c>
      <c r="D1241" s="24" t="s">
        <v>3011</v>
      </c>
      <c r="E1241" s="24">
        <v>7.8999999999999995E-7</v>
      </c>
      <c r="F1241" s="24">
        <v>1.2481000000000001E-2</v>
      </c>
      <c r="G1241" s="24">
        <v>808.77200000000005</v>
      </c>
      <c r="J1241" s="24">
        <v>768753</v>
      </c>
      <c r="K1241" s="34">
        <v>-1.1399999999999999</v>
      </c>
      <c r="L1241" s="34">
        <v>-34.99</v>
      </c>
      <c r="M1241" s="34">
        <v>-46.96</v>
      </c>
      <c r="N1241" s="24">
        <v>1237</v>
      </c>
      <c r="O1241" s="29">
        <v>43096.561863425923</v>
      </c>
    </row>
    <row r="1242" spans="2:15" x14ac:dyDescent="0.25">
      <c r="B1242" s="24" t="s">
        <v>2739</v>
      </c>
      <c r="C1242" s="23" t="s">
        <v>859</v>
      </c>
      <c r="D1242" s="24" t="s">
        <v>1808</v>
      </c>
      <c r="E1242" s="24">
        <v>3.3000000000000002E-7</v>
      </c>
      <c r="F1242" s="24">
        <v>5.2135999999999997E-3</v>
      </c>
      <c r="G1242" s="24">
        <v>793.99599999999998</v>
      </c>
      <c r="K1242" s="34">
        <v>-18.440000000000001</v>
      </c>
      <c r="L1242" s="34">
        <v>-15.13</v>
      </c>
      <c r="M1242" s="34">
        <v>-11.09</v>
      </c>
      <c r="N1242" s="24">
        <v>1238</v>
      </c>
      <c r="O1242" s="29">
        <v>43096.561874999999</v>
      </c>
    </row>
    <row r="1243" spans="2:15" x14ac:dyDescent="0.25">
      <c r="B1243" s="24" t="s">
        <v>2834</v>
      </c>
      <c r="C1243" s="23" t="s">
        <v>900</v>
      </c>
      <c r="D1243" s="24" t="s">
        <v>1847</v>
      </c>
      <c r="E1243" s="24">
        <v>3.2000000000000001E-7</v>
      </c>
      <c r="F1243" s="24">
        <v>5.0252600000000001E-3</v>
      </c>
      <c r="G1243" s="24">
        <v>786.66600000000005</v>
      </c>
      <c r="J1243" s="24">
        <v>20147876</v>
      </c>
      <c r="K1243" s="34">
        <v>24.61</v>
      </c>
      <c r="L1243" s="34">
        <v>18.95</v>
      </c>
      <c r="M1243" s="34">
        <v>8</v>
      </c>
      <c r="N1243" s="24">
        <v>1239</v>
      </c>
      <c r="O1243" s="29">
        <v>43096.561932870369</v>
      </c>
    </row>
    <row r="1244" spans="2:15" x14ac:dyDescent="0.25">
      <c r="B1244" s="24" t="s">
        <v>2369</v>
      </c>
      <c r="C1244" s="23" t="s">
        <v>433</v>
      </c>
      <c r="D1244" s="24" t="s">
        <v>1397</v>
      </c>
      <c r="E1244" s="24">
        <v>2.17E-6</v>
      </c>
      <c r="F1244" s="24">
        <v>3.4307799999999999E-2</v>
      </c>
      <c r="G1244" s="24">
        <v>786.61099999999999</v>
      </c>
      <c r="J1244" s="24">
        <v>4980007</v>
      </c>
      <c r="K1244" s="34">
        <v>-4.7699999999999996</v>
      </c>
      <c r="L1244" s="34">
        <v>-3.29</v>
      </c>
      <c r="M1244" s="34">
        <v>30.81</v>
      </c>
      <c r="N1244" s="24">
        <v>1240</v>
      </c>
      <c r="O1244" s="29">
        <v>43096.561874999999</v>
      </c>
    </row>
    <row r="1245" spans="2:15" x14ac:dyDescent="0.25">
      <c r="B1245" s="24" t="s">
        <v>3325</v>
      </c>
      <c r="C1245" s="23" t="s">
        <v>3326</v>
      </c>
      <c r="D1245" s="24" t="s">
        <v>3327</v>
      </c>
      <c r="E1245" s="24">
        <v>4.9999999999999998E-8</v>
      </c>
      <c r="F1245" s="24">
        <v>7.8993900000000003E-4</v>
      </c>
      <c r="G1245" s="24">
        <v>779.44899999999996</v>
      </c>
      <c r="K1245" s="34">
        <v>5.91</v>
      </c>
      <c r="L1245" s="34">
        <v>14.72</v>
      </c>
      <c r="M1245" s="34">
        <v>33.04</v>
      </c>
      <c r="N1245" s="24">
        <v>1241</v>
      </c>
      <c r="O1245" s="29">
        <v>43096.561990740738</v>
      </c>
    </row>
    <row r="1246" spans="2:15" x14ac:dyDescent="0.25">
      <c r="B1246" s="24" t="s">
        <v>2710</v>
      </c>
      <c r="C1246" s="23" t="s">
        <v>777</v>
      </c>
      <c r="D1246" s="24" t="s">
        <v>1731</v>
      </c>
      <c r="E1246" s="24">
        <v>1.1999999999999999E-7</v>
      </c>
      <c r="F1246" s="24">
        <v>1.86309E-3</v>
      </c>
      <c r="G1246" s="24">
        <v>720.149</v>
      </c>
      <c r="J1246" s="24">
        <v>10541442931</v>
      </c>
      <c r="K1246" s="34">
        <v>8.51</v>
      </c>
      <c r="L1246" s="34">
        <v>24.75</v>
      </c>
      <c r="M1246" s="34">
        <v>10</v>
      </c>
      <c r="N1246" s="24">
        <v>1242</v>
      </c>
      <c r="O1246" s="29">
        <v>43096.561909722222</v>
      </c>
    </row>
    <row r="1247" spans="2:15" x14ac:dyDescent="0.25">
      <c r="B1247" s="24" t="s">
        <v>2810</v>
      </c>
      <c r="C1247" s="23" t="s">
        <v>885</v>
      </c>
      <c r="D1247" s="24" t="s">
        <v>1734</v>
      </c>
      <c r="E1247" s="24">
        <v>1.9919999999999999E-5</v>
      </c>
      <c r="F1247" s="24">
        <v>0.31470999999999999</v>
      </c>
      <c r="G1247" s="24">
        <v>638.21199999999999</v>
      </c>
      <c r="K1247" s="34">
        <v>18.87</v>
      </c>
      <c r="L1247" s="34">
        <v>-12.85</v>
      </c>
      <c r="M1247" s="34">
        <v>182.82</v>
      </c>
      <c r="N1247" s="24">
        <v>1243</v>
      </c>
      <c r="O1247" s="29">
        <v>43096.561805555553</v>
      </c>
    </row>
    <row r="1248" spans="2:15" x14ac:dyDescent="0.25">
      <c r="B1248" s="24" t="s">
        <v>2796</v>
      </c>
      <c r="C1248" s="23" t="s">
        <v>906</v>
      </c>
      <c r="D1248" s="24" t="s">
        <v>1853</v>
      </c>
      <c r="E1248" s="24">
        <v>4.0000000000000002E-9</v>
      </c>
      <c r="F1248" s="24">
        <v>6.1289899999999997E-5</v>
      </c>
      <c r="G1248" s="24">
        <v>625.76700000000005</v>
      </c>
      <c r="K1248" s="34">
        <v>-0.96</v>
      </c>
      <c r="L1248" s="34">
        <v>6.48</v>
      </c>
      <c r="M1248" s="34">
        <v>37.659999999999997</v>
      </c>
      <c r="N1248" s="24">
        <v>1244</v>
      </c>
      <c r="O1248" s="29">
        <v>43096.561921296299</v>
      </c>
    </row>
    <row r="1249" spans="2:15" x14ac:dyDescent="0.25">
      <c r="B1249" s="24" t="s">
        <v>3133</v>
      </c>
      <c r="C1249" s="23" t="s">
        <v>3134</v>
      </c>
      <c r="D1249" s="24" t="s">
        <v>3135</v>
      </c>
      <c r="E1249" s="24">
        <v>2.9999999999999997E-8</v>
      </c>
      <c r="F1249" s="24">
        <v>4.73964E-4</v>
      </c>
      <c r="G1249" s="24">
        <v>543.351</v>
      </c>
      <c r="K1249" s="34">
        <v>-1.0900000000000001</v>
      </c>
      <c r="L1249" s="34">
        <v>2.84</v>
      </c>
      <c r="M1249" s="34">
        <v>35.33</v>
      </c>
      <c r="N1249" s="24">
        <v>1245</v>
      </c>
      <c r="O1249" s="29">
        <v>43096.561979166669</v>
      </c>
    </row>
    <row r="1250" spans="2:15" x14ac:dyDescent="0.25">
      <c r="B1250" s="24" t="s">
        <v>2795</v>
      </c>
      <c r="C1250" s="23" t="s">
        <v>869</v>
      </c>
      <c r="D1250" s="24" t="s">
        <v>1817</v>
      </c>
      <c r="E1250" s="24">
        <v>2.8000000000000002E-7</v>
      </c>
      <c r="F1250" s="24">
        <v>4.43306E-3</v>
      </c>
      <c r="G1250" s="24">
        <v>510.18299999999999</v>
      </c>
      <c r="K1250" s="34">
        <v>-6.29</v>
      </c>
      <c r="L1250" s="34">
        <v>-6.27</v>
      </c>
      <c r="M1250" s="34">
        <v>-12.26</v>
      </c>
      <c r="N1250" s="24">
        <v>1246</v>
      </c>
      <c r="O1250" s="29">
        <v>43096.561863425923</v>
      </c>
    </row>
    <row r="1251" spans="2:15" x14ac:dyDescent="0.25">
      <c r="B1251" s="24" t="s">
        <v>2821</v>
      </c>
      <c r="C1251" s="23" t="s">
        <v>837</v>
      </c>
      <c r="D1251" s="24" t="s">
        <v>837</v>
      </c>
      <c r="E1251" s="24">
        <v>1.4000000000000001E-7</v>
      </c>
      <c r="F1251" s="24">
        <v>2.2639700000000001E-3</v>
      </c>
      <c r="G1251" s="24">
        <v>509.37099999999998</v>
      </c>
      <c r="K1251" s="34">
        <v>-1.1399999999999999</v>
      </c>
      <c r="L1251" s="34">
        <v>21.9</v>
      </c>
      <c r="M1251" s="34">
        <v>204.99</v>
      </c>
      <c r="N1251" s="24">
        <v>1247</v>
      </c>
      <c r="O1251" s="29">
        <v>43096.561932870369</v>
      </c>
    </row>
    <row r="1252" spans="2:15" x14ac:dyDescent="0.25">
      <c r="B1252" s="24" t="s">
        <v>3479</v>
      </c>
      <c r="C1252" s="23" t="s">
        <v>3480</v>
      </c>
      <c r="D1252" s="24" t="s">
        <v>3481</v>
      </c>
      <c r="E1252" s="24">
        <v>1.9000000000000001E-7</v>
      </c>
      <c r="F1252" s="24">
        <v>3.00177E-3</v>
      </c>
      <c r="G1252" s="24">
        <v>493.34800000000001</v>
      </c>
      <c r="J1252" s="24">
        <v>20257950</v>
      </c>
      <c r="K1252" s="34">
        <v>-1.1399999999999999</v>
      </c>
      <c r="L1252" s="34">
        <v>-2.2999999999999998</v>
      </c>
      <c r="M1252" s="34">
        <v>-24.68</v>
      </c>
      <c r="N1252" s="24">
        <v>1248</v>
      </c>
      <c r="O1252" s="29">
        <v>43096.562002314815</v>
      </c>
    </row>
    <row r="1253" spans="2:15" x14ac:dyDescent="0.25">
      <c r="B1253" s="24" t="s">
        <v>2863</v>
      </c>
      <c r="C1253" s="23" t="s">
        <v>951</v>
      </c>
      <c r="D1253" s="24" t="s">
        <v>1895</v>
      </c>
      <c r="E1253" s="24">
        <v>2.9999999999999997E-8</v>
      </c>
      <c r="F1253" s="24">
        <v>4.73964E-4</v>
      </c>
      <c r="G1253" s="24">
        <v>458.59800000000001</v>
      </c>
      <c r="K1253" s="34">
        <v>48.3</v>
      </c>
      <c r="L1253" s="34">
        <v>26.68</v>
      </c>
      <c r="M1253" s="34">
        <v>136.80000000000001</v>
      </c>
      <c r="N1253" s="24">
        <v>1249</v>
      </c>
      <c r="O1253" s="29">
        <v>43096.561921296299</v>
      </c>
    </row>
    <row r="1254" spans="2:15" x14ac:dyDescent="0.25">
      <c r="B1254" s="24" t="s">
        <v>3250</v>
      </c>
      <c r="C1254" s="23" t="s">
        <v>3251</v>
      </c>
      <c r="D1254" s="24" t="s">
        <v>3252</v>
      </c>
      <c r="E1254" s="24">
        <v>3E-9</v>
      </c>
      <c r="F1254" s="24">
        <v>4.2877299999999997E-5</v>
      </c>
      <c r="G1254" s="24">
        <v>432.01</v>
      </c>
      <c r="J1254" s="24">
        <v>80055713804</v>
      </c>
      <c r="K1254" s="34">
        <v>8.82</v>
      </c>
      <c r="L1254" s="34">
        <v>-2.4300000000000002</v>
      </c>
      <c r="M1254" s="34">
        <v>-25.51</v>
      </c>
      <c r="N1254" s="24">
        <v>1250</v>
      </c>
      <c r="O1254" s="29">
        <v>43096.561828703707</v>
      </c>
    </row>
    <row r="1255" spans="2:15" x14ac:dyDescent="0.25">
      <c r="B1255" s="24" t="s">
        <v>2767</v>
      </c>
      <c r="C1255" s="23" t="s">
        <v>836</v>
      </c>
      <c r="D1255" s="24" t="s">
        <v>1788</v>
      </c>
      <c r="E1255" s="24">
        <v>4.2E-7</v>
      </c>
      <c r="F1255" s="24">
        <v>6.5995999999999997E-3</v>
      </c>
      <c r="G1255" s="24">
        <v>425.97899999999998</v>
      </c>
      <c r="J1255" s="24">
        <v>19003881978</v>
      </c>
      <c r="K1255" s="34">
        <v>15.53</v>
      </c>
      <c r="L1255" s="34">
        <v>0.41</v>
      </c>
      <c r="M1255" s="34">
        <v>132.46</v>
      </c>
      <c r="N1255" s="24">
        <v>1251</v>
      </c>
      <c r="O1255" s="29">
        <v>43096.561909722222</v>
      </c>
    </row>
    <row r="1256" spans="2:15" x14ac:dyDescent="0.25">
      <c r="B1256" s="24" t="s">
        <v>3547</v>
      </c>
      <c r="C1256" s="23" t="s">
        <v>3548</v>
      </c>
      <c r="D1256" s="24" t="s">
        <v>3549</v>
      </c>
      <c r="E1256" s="24">
        <v>1.4999999999999999E-7</v>
      </c>
      <c r="F1256" s="24">
        <v>2.42968E-3</v>
      </c>
      <c r="G1256" s="24">
        <v>396.82</v>
      </c>
      <c r="J1256" s="24">
        <v>21000000</v>
      </c>
      <c r="K1256" s="34">
        <v>44.84</v>
      </c>
      <c r="L1256" s="34">
        <v>-46.56</v>
      </c>
      <c r="M1256" s="34">
        <v>-11.06</v>
      </c>
      <c r="N1256" s="24">
        <v>1252</v>
      </c>
      <c r="O1256" s="29">
        <v>43096.562002314815</v>
      </c>
    </row>
    <row r="1257" spans="2:15" x14ac:dyDescent="0.25">
      <c r="B1257" s="24" t="s">
        <v>2953</v>
      </c>
      <c r="C1257" s="23" t="s">
        <v>2954</v>
      </c>
      <c r="D1257" s="24" t="s">
        <v>2955</v>
      </c>
      <c r="E1257" s="24">
        <v>7.3679999999999999E-5</v>
      </c>
      <c r="F1257" s="24">
        <v>1.16401</v>
      </c>
      <c r="G1257" s="24">
        <v>393.72800000000001</v>
      </c>
      <c r="J1257" s="24">
        <v>5664251</v>
      </c>
      <c r="K1257" s="34">
        <v>6.82</v>
      </c>
      <c r="L1257" s="34">
        <v>-0.68</v>
      </c>
      <c r="M1257" s="34">
        <v>76.489999999999995</v>
      </c>
      <c r="N1257" s="24">
        <v>1253</v>
      </c>
      <c r="O1257" s="29">
        <v>43096.561979166669</v>
      </c>
    </row>
    <row r="1258" spans="2:15" x14ac:dyDescent="0.25">
      <c r="B1258" s="24" t="s">
        <v>2859</v>
      </c>
      <c r="C1258" s="23" t="s">
        <v>893</v>
      </c>
      <c r="D1258" s="24" t="s">
        <v>1841</v>
      </c>
      <c r="E1258" s="24">
        <v>1E-8</v>
      </c>
      <c r="F1258" s="24">
        <v>1.5798799999999999E-4</v>
      </c>
      <c r="G1258" s="24">
        <v>370.07799999999997</v>
      </c>
      <c r="K1258" s="34">
        <v>-1.1399999999999999</v>
      </c>
      <c r="L1258" s="34">
        <v>2.87</v>
      </c>
      <c r="M1258" s="34">
        <v>-7.16</v>
      </c>
      <c r="N1258" s="24">
        <v>1254</v>
      </c>
      <c r="O1258" s="29">
        <v>43096.561909722222</v>
      </c>
    </row>
    <row r="1259" spans="2:15" x14ac:dyDescent="0.25">
      <c r="B1259" s="24" t="s">
        <v>2815</v>
      </c>
      <c r="C1259" s="23" t="s">
        <v>883</v>
      </c>
      <c r="D1259" s="24" t="s">
        <v>1832</v>
      </c>
      <c r="E1259" s="24">
        <v>2.9999999999999997E-8</v>
      </c>
      <c r="F1259" s="24">
        <v>4.73964E-4</v>
      </c>
      <c r="G1259" s="24">
        <v>366.58800000000002</v>
      </c>
      <c r="K1259" s="34">
        <v>-1.1399999999999999</v>
      </c>
      <c r="L1259" s="34">
        <v>24.29</v>
      </c>
      <c r="M1259" s="34">
        <v>-5.59</v>
      </c>
      <c r="N1259" s="24">
        <v>1255</v>
      </c>
      <c r="O1259" s="29">
        <v>43096.561921296299</v>
      </c>
    </row>
    <row r="1260" spans="2:15" x14ac:dyDescent="0.25">
      <c r="B1260" s="24" t="s">
        <v>2758</v>
      </c>
      <c r="C1260" s="23" t="s">
        <v>817</v>
      </c>
      <c r="D1260" s="24" t="s">
        <v>1772</v>
      </c>
      <c r="E1260" s="24">
        <v>1.22E-6</v>
      </c>
      <c r="F1260" s="24">
        <v>1.9329099999999998E-2</v>
      </c>
      <c r="G1260" s="24">
        <v>360.755</v>
      </c>
      <c r="K1260" s="34">
        <v>-1.01</v>
      </c>
      <c r="L1260" s="34">
        <v>4.17</v>
      </c>
      <c r="M1260" s="34">
        <v>-19.43</v>
      </c>
      <c r="N1260" s="24">
        <v>1256</v>
      </c>
      <c r="O1260" s="29">
        <v>43096.561874999999</v>
      </c>
    </row>
    <row r="1261" spans="2:15" x14ac:dyDescent="0.25">
      <c r="B1261" s="24" t="s">
        <v>2848</v>
      </c>
      <c r="C1261" s="23" t="s">
        <v>935</v>
      </c>
      <c r="D1261" s="24" t="s">
        <v>1881</v>
      </c>
      <c r="E1261" s="24">
        <v>6.0180000000000003E-5</v>
      </c>
      <c r="F1261" s="24">
        <v>0.95077100000000003</v>
      </c>
      <c r="G1261" s="24">
        <v>344.19</v>
      </c>
      <c r="J1261" s="24">
        <v>76682</v>
      </c>
      <c r="K1261" s="34">
        <v>-1.1399999999999999</v>
      </c>
      <c r="L1261" s="34">
        <v>54.77</v>
      </c>
      <c r="M1261" s="34">
        <v>37.56</v>
      </c>
      <c r="N1261" s="24">
        <v>1257</v>
      </c>
      <c r="O1261" s="29">
        <v>43096.561932870369</v>
      </c>
    </row>
    <row r="1262" spans="2:15" x14ac:dyDescent="0.25">
      <c r="B1262" s="24" t="s">
        <v>3342</v>
      </c>
      <c r="C1262" s="23" t="s">
        <v>3343</v>
      </c>
      <c r="D1262" s="24" t="s">
        <v>3344</v>
      </c>
      <c r="E1262" s="24">
        <v>1E-8</v>
      </c>
      <c r="F1262" s="24">
        <v>1.5752799999999999E-4</v>
      </c>
      <c r="G1262" s="24">
        <v>341.31</v>
      </c>
      <c r="J1262" s="24">
        <v>324459463</v>
      </c>
      <c r="K1262" s="34">
        <v>-0.64</v>
      </c>
      <c r="L1262" s="34">
        <v>2.93</v>
      </c>
      <c r="M1262" s="34">
        <v>-52.07</v>
      </c>
      <c r="N1262" s="24">
        <v>1258</v>
      </c>
      <c r="O1262" s="29">
        <v>43096.562002314815</v>
      </c>
    </row>
    <row r="1263" spans="2:15" x14ac:dyDescent="0.25">
      <c r="B1263" s="24" t="s">
        <v>2803</v>
      </c>
      <c r="C1263" s="23" t="s">
        <v>929</v>
      </c>
      <c r="D1263" s="24" t="s">
        <v>1875</v>
      </c>
      <c r="E1263" s="24">
        <v>2E-8</v>
      </c>
      <c r="F1263" s="24">
        <v>3.1597599999999998E-4</v>
      </c>
      <c r="G1263" s="24">
        <v>325.01600000000002</v>
      </c>
      <c r="K1263" s="34">
        <v>-1.1399999999999999</v>
      </c>
      <c r="L1263" s="34"/>
      <c r="M1263" s="34">
        <v>85.26</v>
      </c>
      <c r="N1263" s="24">
        <v>1259</v>
      </c>
      <c r="O1263" s="29">
        <v>43096.561898148146</v>
      </c>
    </row>
    <row r="1264" spans="2:15" x14ac:dyDescent="0.25">
      <c r="B1264" s="24" t="s">
        <v>2806</v>
      </c>
      <c r="C1264" s="23" t="s">
        <v>887</v>
      </c>
      <c r="D1264" s="24" t="s">
        <v>1835</v>
      </c>
      <c r="E1264" s="24">
        <v>2E-8</v>
      </c>
      <c r="F1264" s="24">
        <v>3.1597599999999998E-4</v>
      </c>
      <c r="G1264" s="24">
        <v>323.642</v>
      </c>
      <c r="K1264" s="34">
        <v>-1.1399999999999999</v>
      </c>
      <c r="L1264" s="34">
        <v>2.84</v>
      </c>
      <c r="M1264" s="34">
        <v>-24.27</v>
      </c>
      <c r="N1264" s="24">
        <v>1260</v>
      </c>
      <c r="O1264" s="29">
        <v>43096.561898148146</v>
      </c>
    </row>
    <row r="1265" spans="2:15" x14ac:dyDescent="0.25">
      <c r="B1265" s="24" t="s">
        <v>2873</v>
      </c>
      <c r="C1265" s="23" t="s">
        <v>926</v>
      </c>
      <c r="D1265" s="24" t="s">
        <v>1872</v>
      </c>
      <c r="E1265" s="24">
        <v>1.6999999999999999E-7</v>
      </c>
      <c r="F1265" s="24">
        <v>2.68579E-3</v>
      </c>
      <c r="G1265" s="24">
        <v>317.27699999999999</v>
      </c>
      <c r="K1265" s="34">
        <v>12.05</v>
      </c>
      <c r="L1265" s="34">
        <v>16.59</v>
      </c>
      <c r="M1265" s="34">
        <v>59.86</v>
      </c>
      <c r="N1265" s="24">
        <v>1261</v>
      </c>
      <c r="O1265" s="29">
        <v>43096.561840277776</v>
      </c>
    </row>
    <row r="1266" spans="2:15" x14ac:dyDescent="0.25">
      <c r="B1266" s="24" t="s">
        <v>2794</v>
      </c>
      <c r="C1266" s="23" t="s">
        <v>864</v>
      </c>
      <c r="D1266" s="24" t="s">
        <v>1813</v>
      </c>
      <c r="E1266" s="24">
        <v>8.0000000000000007E-5</v>
      </c>
      <c r="F1266" s="24">
        <v>1.2639</v>
      </c>
      <c r="G1266" s="24">
        <v>311.71199999999999</v>
      </c>
      <c r="K1266" s="34">
        <v>-4.68</v>
      </c>
      <c r="L1266" s="34">
        <v>-1.6</v>
      </c>
      <c r="M1266" s="34">
        <v>4.87</v>
      </c>
      <c r="N1266" s="24">
        <v>1262</v>
      </c>
      <c r="O1266" s="29">
        <v>43096.561851851853</v>
      </c>
    </row>
    <row r="1267" spans="2:15" x14ac:dyDescent="0.25">
      <c r="B1267" s="24" t="s">
        <v>2748</v>
      </c>
      <c r="C1267" s="23" t="s">
        <v>813</v>
      </c>
      <c r="D1267" s="24" t="s">
        <v>1768</v>
      </c>
      <c r="E1267" s="24">
        <v>2.5299999999999999E-6</v>
      </c>
      <c r="F1267" s="24">
        <v>3.9922699999999998E-2</v>
      </c>
      <c r="G1267" s="24">
        <v>308.346</v>
      </c>
      <c r="J1267" s="24">
        <v>30993751760</v>
      </c>
      <c r="K1267" s="34">
        <v>-4.8099999999999996</v>
      </c>
      <c r="L1267" s="34">
        <v>-39.979999999999997</v>
      </c>
      <c r="M1267" s="34">
        <v>-29.45</v>
      </c>
      <c r="N1267" s="24">
        <v>1263</v>
      </c>
      <c r="O1267" s="29">
        <v>43096.561909722222</v>
      </c>
    </row>
    <row r="1268" spans="2:15" x14ac:dyDescent="0.25">
      <c r="B1268" s="24" t="s">
        <v>3765</v>
      </c>
      <c r="C1268" s="23" t="s">
        <v>3766</v>
      </c>
      <c r="D1268" s="24" t="s">
        <v>3767</v>
      </c>
      <c r="E1268" s="24">
        <v>1.6E-7</v>
      </c>
      <c r="F1268" s="24">
        <v>2.5272900000000002E-3</v>
      </c>
      <c r="G1268" s="24">
        <v>301.01100000000002</v>
      </c>
      <c r="J1268" s="24">
        <v>8000000</v>
      </c>
      <c r="K1268" s="34">
        <v>0.76</v>
      </c>
      <c r="L1268" s="34">
        <v>89.23</v>
      </c>
      <c r="M1268" s="34">
        <v>-20.76</v>
      </c>
      <c r="N1268" s="24">
        <v>1264</v>
      </c>
      <c r="O1268" s="29">
        <v>43096.527280092596</v>
      </c>
    </row>
    <row r="1269" spans="2:15" x14ac:dyDescent="0.25">
      <c r="B1269" s="24" t="s">
        <v>2765</v>
      </c>
      <c r="C1269" s="23" t="s">
        <v>873</v>
      </c>
      <c r="D1269" s="24" t="s">
        <v>1822</v>
      </c>
      <c r="E1269" s="24">
        <v>1E-8</v>
      </c>
      <c r="F1269" s="24">
        <v>1.87018E-4</v>
      </c>
      <c r="G1269" s="24">
        <v>263.66699999999997</v>
      </c>
      <c r="J1269" s="24">
        <v>264664651</v>
      </c>
      <c r="K1269" s="34">
        <v>11.02</v>
      </c>
      <c r="L1269" s="34">
        <v>-46.39</v>
      </c>
      <c r="M1269" s="34">
        <v>-43.42</v>
      </c>
      <c r="N1269" s="24">
        <v>1265</v>
      </c>
      <c r="O1269" s="29">
        <v>43096.561932870369</v>
      </c>
    </row>
    <row r="1270" spans="2:15" x14ac:dyDescent="0.25">
      <c r="B1270" s="24" t="s">
        <v>2837</v>
      </c>
      <c r="C1270" s="23" t="s">
        <v>903</v>
      </c>
      <c r="D1270" s="24" t="s">
        <v>1850</v>
      </c>
      <c r="E1270" s="24">
        <v>2.3999999999999998E-7</v>
      </c>
      <c r="F1270" s="24">
        <v>3.7917099999999998E-3</v>
      </c>
      <c r="G1270" s="24">
        <v>258.04199999999997</v>
      </c>
      <c r="K1270" s="34">
        <v>3.21</v>
      </c>
      <c r="L1270" s="34">
        <v>13.72</v>
      </c>
      <c r="M1270" s="34">
        <v>10.92</v>
      </c>
      <c r="N1270" s="24">
        <v>1266</v>
      </c>
      <c r="O1270" s="29">
        <v>43096.561851851853</v>
      </c>
    </row>
    <row r="1271" spans="2:15" x14ac:dyDescent="0.25">
      <c r="B1271" s="24" t="s">
        <v>2782</v>
      </c>
      <c r="C1271" s="23" t="s">
        <v>870</v>
      </c>
      <c r="D1271" s="24" t="s">
        <v>1818</v>
      </c>
      <c r="E1271" s="24">
        <v>3.3699999999999999E-6</v>
      </c>
      <c r="F1271" s="24">
        <v>5.3241900000000002E-2</v>
      </c>
      <c r="G1271" s="24">
        <v>256.49799999999999</v>
      </c>
      <c r="J1271" s="24">
        <v>210000000</v>
      </c>
      <c r="K1271" s="34">
        <v>-1.1399999999999999</v>
      </c>
      <c r="L1271" s="34">
        <v>145.87</v>
      </c>
      <c r="M1271" s="34">
        <v>38.82</v>
      </c>
      <c r="N1271" s="24">
        <v>1267</v>
      </c>
      <c r="O1271" s="29">
        <v>43096.561932870369</v>
      </c>
    </row>
    <row r="1272" spans="2:15" x14ac:dyDescent="0.25">
      <c r="B1272" s="24" t="s">
        <v>3063</v>
      </c>
      <c r="C1272" s="23" t="s">
        <v>3064</v>
      </c>
      <c r="D1272" s="24" t="s">
        <v>3065</v>
      </c>
      <c r="E1272" s="24">
        <v>1.8E-7</v>
      </c>
      <c r="F1272" s="24">
        <v>2.8164700000000002E-3</v>
      </c>
      <c r="G1272" s="24">
        <v>237.10599999999999</v>
      </c>
      <c r="J1272" s="24">
        <v>100000000</v>
      </c>
      <c r="K1272" s="34">
        <v>-1.1100000000000001</v>
      </c>
      <c r="L1272" s="34">
        <v>2.33</v>
      </c>
      <c r="M1272" s="34">
        <v>16.649999999999999</v>
      </c>
      <c r="N1272" s="24">
        <v>1268</v>
      </c>
      <c r="O1272" s="29">
        <v>43096.561979166669</v>
      </c>
    </row>
    <row r="1273" spans="2:15" x14ac:dyDescent="0.25">
      <c r="B1273" s="24" t="s">
        <v>2743</v>
      </c>
      <c r="C1273" s="23" t="s">
        <v>962</v>
      </c>
      <c r="D1273" s="24" t="s">
        <v>1905</v>
      </c>
      <c r="E1273" s="24">
        <v>5.9999999999999995E-8</v>
      </c>
      <c r="F1273" s="24">
        <v>9.5891900000000003E-4</v>
      </c>
      <c r="G1273" s="24">
        <v>218.10599999999999</v>
      </c>
      <c r="K1273" s="34">
        <v>-1.32</v>
      </c>
      <c r="L1273" s="34">
        <v>3.45</v>
      </c>
      <c r="M1273" s="34">
        <v>28.43</v>
      </c>
      <c r="N1273" s="24">
        <v>1269</v>
      </c>
      <c r="O1273" s="29">
        <v>43096.561967592592</v>
      </c>
    </row>
    <row r="1274" spans="2:15" x14ac:dyDescent="0.25">
      <c r="B1274" s="24" t="s">
        <v>2853</v>
      </c>
      <c r="C1274" s="23" t="s">
        <v>901</v>
      </c>
      <c r="D1274" s="24" t="s">
        <v>1848</v>
      </c>
      <c r="E1274" s="24">
        <v>1.628E-5</v>
      </c>
      <c r="F1274" s="24">
        <v>0.25718400000000002</v>
      </c>
      <c r="G1274" s="24">
        <v>209.11699999999999</v>
      </c>
      <c r="J1274" s="24">
        <v>10000000000</v>
      </c>
      <c r="K1274" s="34">
        <v>-1.1399999999999999</v>
      </c>
      <c r="L1274" s="34">
        <v>-7.89</v>
      </c>
      <c r="M1274" s="34">
        <v>-15.25</v>
      </c>
      <c r="N1274" s="24">
        <v>1270</v>
      </c>
      <c r="O1274" s="29">
        <v>43096.561840277776</v>
      </c>
    </row>
    <row r="1275" spans="2:15" x14ac:dyDescent="0.25">
      <c r="B1275" s="24" t="s">
        <v>2886</v>
      </c>
      <c r="C1275" s="23" t="s">
        <v>949</v>
      </c>
      <c r="D1275" s="24" t="s">
        <v>949</v>
      </c>
      <c r="E1275" s="24">
        <v>2.1E-7</v>
      </c>
      <c r="F1275" s="24">
        <v>3.31775E-3</v>
      </c>
      <c r="G1275" s="24">
        <v>197.68199999999999</v>
      </c>
      <c r="K1275" s="34">
        <v>-1.0900000000000001</v>
      </c>
      <c r="L1275" s="34">
        <v>-1.56</v>
      </c>
      <c r="M1275" s="34">
        <v>-21.55</v>
      </c>
      <c r="N1275" s="24">
        <v>1271</v>
      </c>
      <c r="O1275" s="29">
        <v>43096.561874999999</v>
      </c>
    </row>
    <row r="1276" spans="2:15" x14ac:dyDescent="0.25">
      <c r="B1276" s="24" t="s">
        <v>2995</v>
      </c>
      <c r="C1276" s="23" t="s">
        <v>2996</v>
      </c>
      <c r="D1276" s="24" t="s">
        <v>2997</v>
      </c>
      <c r="E1276" s="24">
        <v>4.0000000000000001E-8</v>
      </c>
      <c r="F1276" s="24">
        <v>6.3195099999999995E-4</v>
      </c>
      <c r="G1276" s="24">
        <v>196.863</v>
      </c>
      <c r="K1276" s="34">
        <v>97.73</v>
      </c>
      <c r="L1276" s="34">
        <v>58.75</v>
      </c>
      <c r="M1276" s="34">
        <v>85.37</v>
      </c>
      <c r="N1276" s="24">
        <v>1272</v>
      </c>
      <c r="O1276" s="29">
        <v>43096.561979166669</v>
      </c>
    </row>
    <row r="1277" spans="2:15" x14ac:dyDescent="0.25">
      <c r="B1277" s="24" t="s">
        <v>2818</v>
      </c>
      <c r="C1277" s="23" t="s">
        <v>886</v>
      </c>
      <c r="D1277" s="24" t="s">
        <v>1834</v>
      </c>
      <c r="E1277" s="24">
        <v>3.1E-7</v>
      </c>
      <c r="F1277" s="24">
        <v>4.88186E-3</v>
      </c>
      <c r="G1277" s="24">
        <v>192.839</v>
      </c>
      <c r="K1277" s="34">
        <v>-1.1100000000000001</v>
      </c>
      <c r="L1277" s="34">
        <v>6.03</v>
      </c>
      <c r="M1277" s="34">
        <v>-7.45</v>
      </c>
      <c r="N1277" s="24">
        <v>1273</v>
      </c>
      <c r="O1277" s="29">
        <v>43096.561886574076</v>
      </c>
    </row>
    <row r="1278" spans="2:15" x14ac:dyDescent="0.25">
      <c r="B1278" s="24" t="s">
        <v>2888</v>
      </c>
      <c r="C1278" s="23" t="s">
        <v>952</v>
      </c>
      <c r="D1278" s="24" t="s">
        <v>1896</v>
      </c>
      <c r="E1278" s="24">
        <v>3.7419999999999997E-5</v>
      </c>
      <c r="F1278" s="24">
        <v>0.59119100000000002</v>
      </c>
      <c r="G1278" s="24">
        <v>189.21</v>
      </c>
      <c r="K1278" s="34">
        <v>-1.0900000000000001</v>
      </c>
      <c r="L1278" s="34">
        <v>-10.78</v>
      </c>
      <c r="M1278" s="34">
        <v>129.54</v>
      </c>
      <c r="N1278" s="24">
        <v>1274</v>
      </c>
      <c r="O1278" s="29">
        <v>43096.561863425923</v>
      </c>
    </row>
    <row r="1279" spans="2:15" x14ac:dyDescent="0.25">
      <c r="B1279" s="24" t="s">
        <v>2891</v>
      </c>
      <c r="C1279" s="23" t="s">
        <v>946</v>
      </c>
      <c r="D1279" s="24" t="s">
        <v>1892</v>
      </c>
      <c r="E1279" s="24">
        <v>1.73E-6</v>
      </c>
      <c r="F1279" s="24">
        <v>2.7331899999999999E-2</v>
      </c>
      <c r="G1279" s="24">
        <v>188.17500000000001</v>
      </c>
      <c r="K1279" s="34">
        <v>-1.1399999999999999</v>
      </c>
      <c r="L1279" s="34"/>
      <c r="M1279" s="34">
        <v>-5.25</v>
      </c>
      <c r="N1279" s="24">
        <v>1275</v>
      </c>
      <c r="O1279" s="29">
        <v>43096.561863425923</v>
      </c>
    </row>
    <row r="1280" spans="2:15" x14ac:dyDescent="0.25">
      <c r="B1280" s="24" t="s">
        <v>3636</v>
      </c>
      <c r="C1280" s="23" t="s">
        <v>3637</v>
      </c>
      <c r="D1280" s="24" t="s">
        <v>3638</v>
      </c>
      <c r="E1280" s="24">
        <v>6.4099999999999996E-6</v>
      </c>
      <c r="F1280" s="24">
        <v>0.101272</v>
      </c>
      <c r="G1280" s="24">
        <v>187.53299999999999</v>
      </c>
      <c r="J1280" s="24">
        <v>59251278</v>
      </c>
      <c r="K1280" s="34">
        <v>-0.64</v>
      </c>
      <c r="L1280" s="34">
        <v>-30.27</v>
      </c>
      <c r="M1280" s="34">
        <v>-20.79</v>
      </c>
      <c r="N1280" s="24">
        <v>1276</v>
      </c>
      <c r="O1280" s="29">
        <v>43096.562002314815</v>
      </c>
    </row>
    <row r="1281" spans="2:15" x14ac:dyDescent="0.25">
      <c r="B1281" s="24" t="s">
        <v>2817</v>
      </c>
      <c r="C1281" s="23" t="s">
        <v>876</v>
      </c>
      <c r="D1281" s="24" t="s">
        <v>1825</v>
      </c>
      <c r="E1281" s="24">
        <v>2.61E-6</v>
      </c>
      <c r="F1281" s="24">
        <v>4.1234800000000002E-2</v>
      </c>
      <c r="G1281" s="24">
        <v>183.072</v>
      </c>
      <c r="K1281" s="34">
        <v>-1.1399999999999999</v>
      </c>
      <c r="L1281" s="34">
        <v>-17.63</v>
      </c>
      <c r="M1281" s="34">
        <v>37.450000000000003</v>
      </c>
      <c r="N1281" s="24">
        <v>1277</v>
      </c>
      <c r="O1281" s="29">
        <v>43096.561840277776</v>
      </c>
    </row>
    <row r="1282" spans="2:15" x14ac:dyDescent="0.25">
      <c r="B1282" s="24" t="s">
        <v>2769</v>
      </c>
      <c r="C1282" s="23" t="s">
        <v>847</v>
      </c>
      <c r="D1282" s="24" t="s">
        <v>847</v>
      </c>
      <c r="E1282" s="24">
        <v>9.8270000000000006E-5</v>
      </c>
      <c r="F1282" s="24">
        <v>1.5526199999999999</v>
      </c>
      <c r="G1282" s="24">
        <v>172.85599999999999</v>
      </c>
      <c r="J1282" s="24">
        <v>100000000</v>
      </c>
      <c r="K1282" s="34">
        <v>-0.2</v>
      </c>
      <c r="L1282" s="34">
        <v>-51.06</v>
      </c>
      <c r="M1282" s="34">
        <v>-2.12</v>
      </c>
      <c r="N1282" s="24">
        <v>1278</v>
      </c>
      <c r="O1282" s="29">
        <v>43096.561944444446</v>
      </c>
    </row>
    <row r="1283" spans="2:15" x14ac:dyDescent="0.25">
      <c r="B1283" s="24" t="s">
        <v>2860</v>
      </c>
      <c r="C1283" s="23" t="s">
        <v>919</v>
      </c>
      <c r="D1283" s="24" t="s">
        <v>1146</v>
      </c>
      <c r="E1283" s="24">
        <v>1.8E-7</v>
      </c>
      <c r="F1283" s="24">
        <v>2.8437800000000002E-3</v>
      </c>
      <c r="G1283" s="24">
        <v>159.85400000000001</v>
      </c>
      <c r="K1283" s="34">
        <v>-17.45</v>
      </c>
      <c r="L1283" s="34">
        <v>-28.78</v>
      </c>
      <c r="M1283" s="34">
        <v>-49.69</v>
      </c>
      <c r="N1283" s="24">
        <v>1279</v>
      </c>
      <c r="O1283" s="29">
        <v>43096.56181712963</v>
      </c>
    </row>
    <row r="1284" spans="2:15" x14ac:dyDescent="0.25">
      <c r="B1284" s="24" t="s">
        <v>3576</v>
      </c>
      <c r="C1284" s="23" t="s">
        <v>3577</v>
      </c>
      <c r="D1284" s="24" t="s">
        <v>1410</v>
      </c>
      <c r="E1284" s="24">
        <v>1.6E-7</v>
      </c>
      <c r="F1284" s="24">
        <v>2.5528399999999998E-3</v>
      </c>
      <c r="G1284" s="24">
        <v>156.59</v>
      </c>
      <c r="K1284" s="34">
        <v>-1.1399999999999999</v>
      </c>
      <c r="L1284" s="34">
        <v>45.79</v>
      </c>
      <c r="M1284" s="34">
        <v>-26.55</v>
      </c>
      <c r="N1284" s="24">
        <v>1280</v>
      </c>
      <c r="O1284" s="29">
        <v>43096.562002314815</v>
      </c>
    </row>
    <row r="1285" spans="2:15" x14ac:dyDescent="0.25">
      <c r="B1285" s="24" t="s">
        <v>3264</v>
      </c>
      <c r="C1285" s="23" t="s">
        <v>3265</v>
      </c>
      <c r="D1285" s="24" t="s">
        <v>3266</v>
      </c>
      <c r="E1285" s="24">
        <v>8.0000000000000002E-8</v>
      </c>
      <c r="F1285" s="24">
        <v>1.2639000000000001E-3</v>
      </c>
      <c r="G1285" s="24">
        <v>154.72399999999999</v>
      </c>
      <c r="J1285" s="24">
        <v>50000000</v>
      </c>
      <c r="K1285" s="34">
        <v>-1.1399999999999999</v>
      </c>
      <c r="L1285" s="34">
        <v>-8.59</v>
      </c>
      <c r="M1285" s="34">
        <v>126.59</v>
      </c>
      <c r="N1285" s="24">
        <v>1281</v>
      </c>
      <c r="O1285" s="29">
        <v>43096.562002314815</v>
      </c>
    </row>
    <row r="1286" spans="2:15" x14ac:dyDescent="0.25">
      <c r="B1286" s="24" t="s">
        <v>2870</v>
      </c>
      <c r="C1286" s="23" t="s">
        <v>933</v>
      </c>
      <c r="D1286" s="24" t="s">
        <v>1879</v>
      </c>
      <c r="E1286" s="24">
        <v>4.4000000000000002E-7</v>
      </c>
      <c r="F1286" s="24">
        <v>6.97286E-3</v>
      </c>
      <c r="G1286" s="24">
        <v>147.346</v>
      </c>
      <c r="J1286" s="24">
        <v>84078950</v>
      </c>
      <c r="K1286" s="34">
        <v>-1.1399999999999999</v>
      </c>
      <c r="L1286" s="34">
        <v>-72.989999999999995</v>
      </c>
      <c r="M1286" s="34">
        <v>14.5</v>
      </c>
      <c r="N1286" s="24">
        <v>1282</v>
      </c>
      <c r="O1286" s="29">
        <v>43096.561886574076</v>
      </c>
    </row>
    <row r="1287" spans="2:15" x14ac:dyDescent="0.25">
      <c r="B1287" s="24" t="s">
        <v>3476</v>
      </c>
      <c r="C1287" s="23" t="s">
        <v>3477</v>
      </c>
      <c r="D1287" s="24" t="s">
        <v>3478</v>
      </c>
      <c r="E1287" s="24">
        <v>2.9999999999999997E-8</v>
      </c>
      <c r="F1287" s="24">
        <v>4.73964E-4</v>
      </c>
      <c r="G1287" s="24">
        <v>137.44999999999999</v>
      </c>
      <c r="K1287" s="34">
        <v>-1.1399999999999999</v>
      </c>
      <c r="L1287" s="34">
        <v>2.84</v>
      </c>
      <c r="M1287" s="34">
        <v>-44.01</v>
      </c>
      <c r="N1287" s="24">
        <v>1283</v>
      </c>
      <c r="O1287" s="29">
        <v>43096.562002314815</v>
      </c>
    </row>
    <row r="1288" spans="2:15" x14ac:dyDescent="0.25">
      <c r="B1288" s="24" t="s">
        <v>2826</v>
      </c>
      <c r="C1288" s="23" t="s">
        <v>844</v>
      </c>
      <c r="D1288" s="24" t="s">
        <v>1794</v>
      </c>
      <c r="E1288" s="24">
        <v>1.181E-5</v>
      </c>
      <c r="F1288" s="24">
        <v>0.186584</v>
      </c>
      <c r="G1288" s="24">
        <v>135.036</v>
      </c>
      <c r="J1288" s="24">
        <v>10140044</v>
      </c>
      <c r="K1288" s="34">
        <v>-0.46</v>
      </c>
      <c r="L1288" s="34">
        <v>4.5199999999999996</v>
      </c>
      <c r="M1288" s="34">
        <v>-23.99</v>
      </c>
      <c r="N1288" s="24">
        <v>1284</v>
      </c>
      <c r="O1288" s="29">
        <v>43096.561909722222</v>
      </c>
    </row>
    <row r="1289" spans="2:15" x14ac:dyDescent="0.25">
      <c r="B1289" s="24" t="s">
        <v>2836</v>
      </c>
      <c r="C1289" s="23" t="s">
        <v>895</v>
      </c>
      <c r="D1289" s="24" t="s">
        <v>1842</v>
      </c>
      <c r="E1289" s="24">
        <v>9.9999999999999995E-8</v>
      </c>
      <c r="F1289" s="24">
        <v>1.5798800000000001E-3</v>
      </c>
      <c r="G1289" s="24">
        <v>128.524</v>
      </c>
      <c r="J1289" s="24">
        <v>24523275</v>
      </c>
      <c r="K1289" s="34">
        <v>-1.1399999999999999</v>
      </c>
      <c r="L1289" s="34">
        <v>-10.5</v>
      </c>
      <c r="M1289" s="34">
        <v>-4.0199999999999996</v>
      </c>
      <c r="N1289" s="24">
        <v>1285</v>
      </c>
      <c r="O1289" s="29">
        <v>43096.561898148146</v>
      </c>
    </row>
    <row r="1290" spans="2:15" x14ac:dyDescent="0.25">
      <c r="B1290" s="24" t="s">
        <v>2764</v>
      </c>
      <c r="C1290" s="23" t="s">
        <v>848</v>
      </c>
      <c r="D1290" s="24" t="s">
        <v>1797</v>
      </c>
      <c r="E1290" s="24">
        <v>1.1999999999999999E-7</v>
      </c>
      <c r="F1290" s="24">
        <v>1.8495199999999999E-3</v>
      </c>
      <c r="G1290" s="24">
        <v>119.435</v>
      </c>
      <c r="K1290" s="34">
        <v>-1.32</v>
      </c>
      <c r="L1290" s="34">
        <v>9.48</v>
      </c>
      <c r="M1290" s="34">
        <v>-7.29</v>
      </c>
      <c r="N1290" s="24">
        <v>1286</v>
      </c>
      <c r="O1290" s="29">
        <v>43096.561944444446</v>
      </c>
    </row>
    <row r="1291" spans="2:15" x14ac:dyDescent="0.25">
      <c r="B1291" s="24" t="s">
        <v>2880</v>
      </c>
      <c r="C1291" s="23" t="s">
        <v>944</v>
      </c>
      <c r="D1291" s="24" t="s">
        <v>1890</v>
      </c>
      <c r="E1291" s="24">
        <v>8.9999999999999999E-8</v>
      </c>
      <c r="F1291" s="24">
        <v>1.4218900000000001E-3</v>
      </c>
      <c r="G1291" s="24">
        <v>107.795</v>
      </c>
      <c r="K1291" s="34">
        <v>-1.1399999999999999</v>
      </c>
      <c r="L1291" s="34">
        <v>4.3499999999999996</v>
      </c>
      <c r="M1291" s="34"/>
      <c r="N1291" s="24">
        <v>1287</v>
      </c>
      <c r="O1291" s="29">
        <v>43096.561898148146</v>
      </c>
    </row>
    <row r="1292" spans="2:15" x14ac:dyDescent="0.25">
      <c r="B1292" s="24" t="s">
        <v>2741</v>
      </c>
      <c r="C1292" s="23" t="s">
        <v>814</v>
      </c>
      <c r="D1292" s="24" t="s">
        <v>1769</v>
      </c>
      <c r="E1292" s="24">
        <v>1E-8</v>
      </c>
      <c r="F1292" s="24">
        <v>1.5798799999999999E-4</v>
      </c>
      <c r="G1292" s="24">
        <v>107.245</v>
      </c>
      <c r="J1292" s="24">
        <v>92233720369</v>
      </c>
      <c r="K1292" s="34">
        <v>-1.1399999999999999</v>
      </c>
      <c r="L1292" s="34"/>
      <c r="M1292" s="34">
        <v>-7.31</v>
      </c>
      <c r="N1292" s="24">
        <v>1288</v>
      </c>
      <c r="O1292" s="29">
        <v>43096.561921296299</v>
      </c>
    </row>
    <row r="1293" spans="2:15" x14ac:dyDescent="0.25">
      <c r="B1293" s="24" t="s">
        <v>3244</v>
      </c>
      <c r="C1293" s="23" t="s">
        <v>3234</v>
      </c>
      <c r="D1293" s="24" t="s">
        <v>3230</v>
      </c>
      <c r="E1293" s="24">
        <v>1E-8</v>
      </c>
      <c r="F1293" s="24">
        <v>1.66529E-4</v>
      </c>
      <c r="G1293" s="24">
        <v>103.518</v>
      </c>
      <c r="J1293" s="24">
        <v>84000000</v>
      </c>
      <c r="K1293" s="34">
        <v>-0.6</v>
      </c>
      <c r="L1293" s="34">
        <v>12.09</v>
      </c>
      <c r="M1293" s="34">
        <v>-30.98</v>
      </c>
      <c r="N1293" s="24">
        <v>1289</v>
      </c>
      <c r="O1293" s="29">
        <v>43096.561979166669</v>
      </c>
    </row>
    <row r="1294" spans="2:15" x14ac:dyDescent="0.25">
      <c r="B1294" s="24" t="s">
        <v>2822</v>
      </c>
      <c r="C1294" s="23" t="s">
        <v>830</v>
      </c>
      <c r="D1294" s="24" t="s">
        <v>1783</v>
      </c>
      <c r="E1294" s="24">
        <v>6.7000000000000004E-7</v>
      </c>
      <c r="F1294" s="24">
        <v>1.05428E-2</v>
      </c>
      <c r="G1294" s="24">
        <v>101.148</v>
      </c>
      <c r="J1294" s="24">
        <v>1052496944</v>
      </c>
      <c r="K1294" s="34">
        <v>-11.33</v>
      </c>
      <c r="L1294" s="34">
        <v>-5.16</v>
      </c>
      <c r="M1294" s="34">
        <v>40.770000000000003</v>
      </c>
      <c r="N1294" s="24">
        <v>1290</v>
      </c>
      <c r="O1294" s="29">
        <v>43096.561932870369</v>
      </c>
    </row>
    <row r="1295" spans="2:15" x14ac:dyDescent="0.25">
      <c r="B1295" s="24" t="s">
        <v>2766</v>
      </c>
      <c r="C1295" s="23" t="s">
        <v>827</v>
      </c>
      <c r="D1295" s="24" t="s">
        <v>1780</v>
      </c>
      <c r="E1295" s="24">
        <v>4.0000000000000001E-8</v>
      </c>
      <c r="F1295" s="24">
        <v>6.3195099999999995E-4</v>
      </c>
      <c r="G1295" s="24">
        <v>99.651600000000002</v>
      </c>
      <c r="K1295" s="34">
        <v>-1.1200000000000001</v>
      </c>
      <c r="L1295" s="34">
        <v>2.94</v>
      </c>
      <c r="M1295" s="34">
        <v>23.58</v>
      </c>
      <c r="N1295" s="24">
        <v>1291</v>
      </c>
      <c r="O1295" s="29">
        <v>43096.561874999999</v>
      </c>
    </row>
    <row r="1296" spans="2:15" x14ac:dyDescent="0.25">
      <c r="B1296" s="24" t="s">
        <v>2805</v>
      </c>
      <c r="C1296" s="23" t="s">
        <v>907</v>
      </c>
      <c r="D1296" s="24" t="s">
        <v>1854</v>
      </c>
      <c r="E1296" s="24">
        <v>2.1E-7</v>
      </c>
      <c r="F1296" s="24">
        <v>3.31775E-3</v>
      </c>
      <c r="G1296" s="24">
        <v>99.532399999999996</v>
      </c>
      <c r="K1296" s="34">
        <v>-1.0900000000000001</v>
      </c>
      <c r="L1296" s="34">
        <v>-1.81</v>
      </c>
      <c r="M1296" s="34">
        <v>-4.08</v>
      </c>
      <c r="N1296" s="24">
        <v>1292</v>
      </c>
      <c r="O1296" s="29">
        <v>43096.561886574076</v>
      </c>
    </row>
    <row r="1297" spans="2:15" x14ac:dyDescent="0.25">
      <c r="B1297" s="24" t="s">
        <v>2843</v>
      </c>
      <c r="C1297" s="23" t="s">
        <v>912</v>
      </c>
      <c r="D1297" s="24" t="s">
        <v>1859</v>
      </c>
      <c r="E1297" s="24">
        <v>1E-8</v>
      </c>
      <c r="F1297" s="24">
        <v>1.5798799999999999E-4</v>
      </c>
      <c r="G1297" s="24">
        <v>99.5197</v>
      </c>
      <c r="K1297" s="34">
        <v>-1.1399999999999999</v>
      </c>
      <c r="L1297" s="34">
        <v>2.93</v>
      </c>
      <c r="M1297" s="34">
        <v>-6.95</v>
      </c>
      <c r="N1297" s="24">
        <v>1293</v>
      </c>
      <c r="O1297" s="29">
        <v>43096.561921296299</v>
      </c>
    </row>
    <row r="1298" spans="2:15" x14ac:dyDescent="0.25">
      <c r="B1298" s="24" t="s">
        <v>2771</v>
      </c>
      <c r="C1298" s="23" t="s">
        <v>822</v>
      </c>
      <c r="D1298" s="24" t="s">
        <v>822</v>
      </c>
      <c r="E1298" s="24">
        <v>2.1E-7</v>
      </c>
      <c r="F1298" s="24">
        <v>3.31775E-3</v>
      </c>
      <c r="G1298" s="24">
        <v>98.294200000000004</v>
      </c>
      <c r="J1298" s="24">
        <v>350053400</v>
      </c>
      <c r="K1298" s="34">
        <v>-1.1399999999999999</v>
      </c>
      <c r="L1298" s="34">
        <v>13.66</v>
      </c>
      <c r="M1298" s="34">
        <v>-2.68</v>
      </c>
      <c r="N1298" s="24">
        <v>1294</v>
      </c>
      <c r="O1298" s="29">
        <v>43096.561944444446</v>
      </c>
    </row>
    <row r="1299" spans="2:15" x14ac:dyDescent="0.25">
      <c r="B1299" s="24" t="s">
        <v>2773</v>
      </c>
      <c r="C1299" s="23" t="s">
        <v>850</v>
      </c>
      <c r="D1299" s="24" t="s">
        <v>1799</v>
      </c>
      <c r="E1299" s="24">
        <v>2E-8</v>
      </c>
      <c r="F1299" s="24">
        <v>3.1597599999999998E-4</v>
      </c>
      <c r="G1299" s="24">
        <v>90.932100000000005</v>
      </c>
      <c r="K1299" s="34">
        <v>-1.0900000000000001</v>
      </c>
      <c r="L1299" s="34"/>
      <c r="M1299" s="34">
        <v>85.23</v>
      </c>
      <c r="N1299" s="24">
        <v>1295</v>
      </c>
      <c r="O1299" s="29">
        <v>43096.561851851853</v>
      </c>
    </row>
    <row r="1300" spans="2:15" x14ac:dyDescent="0.25">
      <c r="B1300" s="24" t="s">
        <v>2895</v>
      </c>
      <c r="C1300" s="23" t="s">
        <v>957</v>
      </c>
      <c r="D1300" s="24" t="s">
        <v>1318</v>
      </c>
      <c r="E1300" s="24">
        <v>9.9999999999999995E-8</v>
      </c>
      <c r="F1300" s="24">
        <v>1.5798800000000001E-3</v>
      </c>
      <c r="G1300" s="24">
        <v>79.518900000000002</v>
      </c>
      <c r="J1300" s="24">
        <v>35102272</v>
      </c>
      <c r="K1300" s="34">
        <v>-1.1399999999999999</v>
      </c>
      <c r="L1300" s="34">
        <v>-6.51</v>
      </c>
      <c r="M1300" s="34">
        <v>-16.989999999999998</v>
      </c>
      <c r="N1300" s="24">
        <v>1296</v>
      </c>
      <c r="O1300" s="29">
        <v>43096.561956018515</v>
      </c>
    </row>
    <row r="1301" spans="2:15" x14ac:dyDescent="0.25">
      <c r="B1301" s="24" t="s">
        <v>3530</v>
      </c>
      <c r="C1301" s="23" t="s">
        <v>3531</v>
      </c>
      <c r="D1301" s="24" t="s">
        <v>3532</v>
      </c>
      <c r="E1301" s="24">
        <v>1.33E-6</v>
      </c>
      <c r="F1301" s="24">
        <v>2.1041000000000001E-2</v>
      </c>
      <c r="G1301" s="24">
        <v>76.777500000000003</v>
      </c>
      <c r="J1301" s="24">
        <v>20000000</v>
      </c>
      <c r="K1301" s="34">
        <v>-1.1299999999999999</v>
      </c>
      <c r="L1301" s="34">
        <v>-15.56</v>
      </c>
      <c r="M1301" s="34">
        <v>0.49</v>
      </c>
      <c r="N1301" s="24">
        <v>1297</v>
      </c>
      <c r="O1301" s="29">
        <v>43096.562002314815</v>
      </c>
    </row>
    <row r="1302" spans="2:15" x14ac:dyDescent="0.25">
      <c r="B1302" s="24" t="s">
        <v>3127</v>
      </c>
      <c r="C1302" s="23" t="s">
        <v>3128</v>
      </c>
      <c r="D1302" s="24" t="s">
        <v>3129</v>
      </c>
      <c r="E1302" s="24">
        <v>7.79E-6</v>
      </c>
      <c r="F1302" s="24">
        <v>0.123073</v>
      </c>
      <c r="G1302" s="24">
        <v>76.545299999999997</v>
      </c>
      <c r="K1302" s="34">
        <v>-1.1399999999999999</v>
      </c>
      <c r="L1302" s="34">
        <v>-2.81</v>
      </c>
      <c r="M1302" s="34">
        <v>-34.299999999999997</v>
      </c>
      <c r="N1302" s="24">
        <v>1298</v>
      </c>
      <c r="O1302" s="29">
        <v>43096.561979166669</v>
      </c>
    </row>
    <row r="1303" spans="2:15" x14ac:dyDescent="0.25">
      <c r="B1303" s="24" t="s">
        <v>2829</v>
      </c>
      <c r="C1303" s="23" t="s">
        <v>916</v>
      </c>
      <c r="D1303" s="24" t="s">
        <v>1863</v>
      </c>
      <c r="E1303" s="24">
        <v>3.9999999999999998E-7</v>
      </c>
      <c r="F1303" s="24">
        <v>6.3195100000000004E-3</v>
      </c>
      <c r="G1303" s="24">
        <v>75.453100000000006</v>
      </c>
      <c r="K1303" s="34">
        <v>-1.0900000000000001</v>
      </c>
      <c r="L1303" s="34">
        <v>1.61</v>
      </c>
      <c r="M1303" s="34">
        <v>-17.22</v>
      </c>
      <c r="N1303" s="24">
        <v>1299</v>
      </c>
      <c r="O1303" s="29">
        <v>43096.561851851853</v>
      </c>
    </row>
    <row r="1304" spans="2:15" x14ac:dyDescent="0.25">
      <c r="B1304" s="24" t="s">
        <v>2865</v>
      </c>
      <c r="C1304" s="23" t="s">
        <v>923</v>
      </c>
      <c r="D1304" s="24" t="s">
        <v>1869</v>
      </c>
      <c r="E1304" s="24">
        <v>2.9999999999999997E-8</v>
      </c>
      <c r="F1304" s="24">
        <v>4.73964E-4</v>
      </c>
      <c r="G1304" s="24">
        <v>74.233099999999993</v>
      </c>
      <c r="J1304" s="24">
        <v>1068669648</v>
      </c>
      <c r="K1304" s="34">
        <v>-1.1399999999999999</v>
      </c>
      <c r="L1304" s="34">
        <v>-38.299999999999997</v>
      </c>
      <c r="M1304" s="34">
        <v>-7.31</v>
      </c>
      <c r="N1304" s="24">
        <v>1300</v>
      </c>
      <c r="O1304" s="29">
        <v>43096.561909722222</v>
      </c>
    </row>
    <row r="1305" spans="2:15" x14ac:dyDescent="0.25">
      <c r="B1305" s="24" t="s">
        <v>2871</v>
      </c>
      <c r="C1305" s="23" t="s">
        <v>961</v>
      </c>
      <c r="D1305" s="24" t="s">
        <v>1904</v>
      </c>
      <c r="E1305" s="24">
        <v>1.6002E-4</v>
      </c>
      <c r="F1305" s="24">
        <v>2.5281199999999999</v>
      </c>
      <c r="G1305" s="24">
        <v>73.713200000000001</v>
      </c>
      <c r="J1305" s="24">
        <v>42249</v>
      </c>
      <c r="K1305" s="34">
        <v>-1.0900000000000001</v>
      </c>
      <c r="L1305" s="34"/>
      <c r="M1305" s="34">
        <v>-3.84</v>
      </c>
      <c r="N1305" s="24">
        <v>1301</v>
      </c>
      <c r="O1305" s="29">
        <v>43096.561921296299</v>
      </c>
    </row>
    <row r="1306" spans="2:15" x14ac:dyDescent="0.25">
      <c r="B1306" s="24" t="s">
        <v>2900</v>
      </c>
      <c r="C1306" s="23" t="s">
        <v>964</v>
      </c>
      <c r="D1306" s="24" t="s">
        <v>1907</v>
      </c>
      <c r="E1306" s="24">
        <v>1E-8</v>
      </c>
      <c r="F1306" s="24">
        <v>1.5798799999999999E-4</v>
      </c>
      <c r="G1306" s="24">
        <v>65.670199999999994</v>
      </c>
      <c r="K1306" s="34">
        <v>-1.1399999999999999</v>
      </c>
      <c r="L1306" s="34">
        <v>2.87</v>
      </c>
      <c r="M1306" s="34">
        <v>-7.31</v>
      </c>
      <c r="N1306" s="24">
        <v>1302</v>
      </c>
      <c r="O1306" s="29">
        <v>43096.561886574076</v>
      </c>
    </row>
    <row r="1307" spans="2:15" x14ac:dyDescent="0.25">
      <c r="B1307" s="24" t="s">
        <v>2847</v>
      </c>
      <c r="C1307" s="23" t="s">
        <v>904</v>
      </c>
      <c r="D1307" s="24" t="s">
        <v>1851</v>
      </c>
      <c r="E1307" s="24">
        <v>2.7000000000000001E-7</v>
      </c>
      <c r="F1307" s="24">
        <v>4.2890000000000003E-3</v>
      </c>
      <c r="G1307" s="24">
        <v>63.7042</v>
      </c>
      <c r="K1307" s="34">
        <v>-7.18</v>
      </c>
      <c r="L1307" s="34">
        <v>1.22</v>
      </c>
      <c r="M1307" s="34">
        <v>-16.96</v>
      </c>
      <c r="N1307" s="24">
        <v>1303</v>
      </c>
      <c r="O1307" s="29">
        <v>43096.561909722222</v>
      </c>
    </row>
    <row r="1308" spans="2:15" x14ac:dyDescent="0.25">
      <c r="B1308" s="24" t="s">
        <v>2881</v>
      </c>
      <c r="C1308" s="23" t="s">
        <v>970</v>
      </c>
      <c r="D1308" s="24" t="s">
        <v>1913</v>
      </c>
      <c r="E1308" s="24">
        <v>2.9999999999999997E-8</v>
      </c>
      <c r="F1308" s="24">
        <v>4.73964E-4</v>
      </c>
      <c r="G1308" s="24">
        <v>63.417099999999998</v>
      </c>
      <c r="K1308" s="34">
        <v>48.3</v>
      </c>
      <c r="L1308" s="34">
        <v>17.88</v>
      </c>
      <c r="M1308" s="34">
        <v>39.03</v>
      </c>
      <c r="N1308" s="24">
        <v>1304</v>
      </c>
      <c r="O1308" s="29">
        <v>43096.561944444446</v>
      </c>
    </row>
    <row r="1309" spans="2:15" x14ac:dyDescent="0.25">
      <c r="B1309" s="24" t="s">
        <v>3374</v>
      </c>
      <c r="C1309" s="23" t="s">
        <v>3375</v>
      </c>
      <c r="D1309" s="24" t="s">
        <v>3376</v>
      </c>
      <c r="E1309" s="24">
        <v>7.0000000000000005E-8</v>
      </c>
      <c r="F1309" s="24">
        <v>1.05394E-3</v>
      </c>
      <c r="G1309" s="24">
        <v>57.010100000000001</v>
      </c>
      <c r="J1309" s="24">
        <v>10000000</v>
      </c>
      <c r="K1309" s="34">
        <v>-0.64</v>
      </c>
      <c r="L1309" s="34">
        <v>-68.540000000000006</v>
      </c>
      <c r="M1309" s="34">
        <v>-48.84</v>
      </c>
      <c r="N1309" s="24">
        <v>1305</v>
      </c>
      <c r="O1309" s="29">
        <v>43096.561990740738</v>
      </c>
    </row>
    <row r="1310" spans="2:15" x14ac:dyDescent="0.25">
      <c r="B1310" s="24" t="s">
        <v>2808</v>
      </c>
      <c r="C1310" s="23" t="s">
        <v>914</v>
      </c>
      <c r="D1310" s="24" t="s">
        <v>1861</v>
      </c>
      <c r="E1310" s="24">
        <v>7.0000000000000005E-8</v>
      </c>
      <c r="F1310" s="24">
        <v>1.1350900000000001E-3</v>
      </c>
      <c r="G1310" s="24">
        <v>55.067900000000002</v>
      </c>
      <c r="K1310" s="34">
        <v>-8.08</v>
      </c>
      <c r="L1310" s="34">
        <v>8.5299999999999994</v>
      </c>
      <c r="M1310" s="34">
        <v>-42.36</v>
      </c>
      <c r="N1310" s="24">
        <v>1306</v>
      </c>
      <c r="O1310" s="29">
        <v>43096.561932870369</v>
      </c>
    </row>
    <row r="1311" spans="2:15" x14ac:dyDescent="0.25">
      <c r="B1311" s="24" t="s">
        <v>2813</v>
      </c>
      <c r="C1311" s="23" t="s">
        <v>875</v>
      </c>
      <c r="D1311" s="24" t="s">
        <v>1824</v>
      </c>
      <c r="E1311" s="24">
        <v>1.0720000000000001E-5</v>
      </c>
      <c r="F1311" s="24">
        <v>0.169408</v>
      </c>
      <c r="G1311" s="24">
        <v>51.330599999999997</v>
      </c>
      <c r="J1311" s="24">
        <v>10000000</v>
      </c>
      <c r="K1311" s="34">
        <v>2.44</v>
      </c>
      <c r="L1311" s="34">
        <v>186.38</v>
      </c>
      <c r="M1311" s="34">
        <v>112.95</v>
      </c>
      <c r="N1311" s="24">
        <v>1307</v>
      </c>
      <c r="O1311" s="29">
        <v>43096.561932870369</v>
      </c>
    </row>
    <row r="1312" spans="2:15" x14ac:dyDescent="0.25">
      <c r="B1312" s="24" t="s">
        <v>2798</v>
      </c>
      <c r="C1312" s="23" t="s">
        <v>867</v>
      </c>
      <c r="D1312" s="24" t="s">
        <v>1816</v>
      </c>
      <c r="E1312" s="24">
        <v>1E-8</v>
      </c>
      <c r="F1312" s="24">
        <v>1.5798799999999999E-4</v>
      </c>
      <c r="G1312" s="24">
        <v>48.976199999999999</v>
      </c>
      <c r="K1312" s="34">
        <v>-1.1399999999999999</v>
      </c>
      <c r="L1312" s="34"/>
      <c r="M1312" s="34">
        <v>-5.79</v>
      </c>
      <c r="N1312" s="24">
        <v>1308</v>
      </c>
      <c r="O1312" s="29">
        <v>43096.561921296299</v>
      </c>
    </row>
    <row r="1313" spans="2:15" x14ac:dyDescent="0.25">
      <c r="B1313" s="24" t="s">
        <v>3706</v>
      </c>
      <c r="C1313" s="23" t="s">
        <v>3707</v>
      </c>
      <c r="D1313" s="24" t="s">
        <v>3708</v>
      </c>
      <c r="E1313" s="24">
        <v>2.2000000000000001E-7</v>
      </c>
      <c r="F1313" s="24">
        <v>3.5136199999999999E-3</v>
      </c>
      <c r="G1313" s="24">
        <v>48.758600000000001</v>
      </c>
      <c r="J1313" s="24">
        <v>10000000</v>
      </c>
      <c r="K1313" s="34">
        <v>-0.64</v>
      </c>
      <c r="L1313" s="34">
        <v>250.34</v>
      </c>
      <c r="M1313" s="34">
        <v>298.47000000000003</v>
      </c>
      <c r="N1313" s="24">
        <v>1309</v>
      </c>
      <c r="O1313" s="29">
        <v>43096.562002314815</v>
      </c>
    </row>
    <row r="1314" spans="2:15" x14ac:dyDescent="0.25">
      <c r="B1314" s="24" t="s">
        <v>3054</v>
      </c>
      <c r="C1314" s="23" t="s">
        <v>3055</v>
      </c>
      <c r="D1314" s="24" t="s">
        <v>3056</v>
      </c>
      <c r="E1314" s="24">
        <v>1.15E-6</v>
      </c>
      <c r="F1314" s="24">
        <v>1.81686E-2</v>
      </c>
      <c r="G1314" s="24">
        <v>48.610700000000001</v>
      </c>
      <c r="K1314" s="34">
        <v>-1.1399999999999999</v>
      </c>
      <c r="L1314" s="34">
        <v>1.08</v>
      </c>
      <c r="M1314" s="34">
        <v>3.75</v>
      </c>
      <c r="N1314" s="24">
        <v>1310</v>
      </c>
      <c r="O1314" s="29">
        <v>43096.561851851853</v>
      </c>
    </row>
    <row r="1315" spans="2:15" x14ac:dyDescent="0.25">
      <c r="B1315" s="24" t="s">
        <v>3556</v>
      </c>
      <c r="C1315" s="23" t="s">
        <v>3557</v>
      </c>
      <c r="D1315" s="24" t="s">
        <v>3558</v>
      </c>
      <c r="E1315" s="24">
        <v>4.0999999999999997E-6</v>
      </c>
      <c r="F1315" s="24">
        <v>6.4806100000000005E-2</v>
      </c>
      <c r="G1315" s="24">
        <v>47.195999999999998</v>
      </c>
      <c r="J1315" s="24">
        <v>100000000</v>
      </c>
      <c r="K1315" s="34">
        <v>-0.68</v>
      </c>
      <c r="L1315" s="34">
        <v>7.31</v>
      </c>
      <c r="M1315" s="34">
        <v>6.73</v>
      </c>
      <c r="N1315" s="24">
        <v>1311</v>
      </c>
      <c r="O1315" s="29">
        <v>43096.561979166669</v>
      </c>
    </row>
    <row r="1316" spans="2:15" x14ac:dyDescent="0.25">
      <c r="B1316" s="24" t="s">
        <v>2791</v>
      </c>
      <c r="C1316" s="23" t="s">
        <v>834</v>
      </c>
      <c r="D1316" s="24" t="s">
        <v>1726</v>
      </c>
      <c r="E1316" s="24">
        <v>2.9999999999999997E-8</v>
      </c>
      <c r="F1316" s="24">
        <v>4.73964E-4</v>
      </c>
      <c r="G1316" s="24">
        <v>46.805500000000002</v>
      </c>
      <c r="K1316" s="34">
        <v>-1.0900000000000001</v>
      </c>
      <c r="L1316" s="34">
        <v>-22.85</v>
      </c>
      <c r="M1316" s="34">
        <v>39.03</v>
      </c>
      <c r="N1316" s="24">
        <v>1312</v>
      </c>
      <c r="O1316" s="29">
        <v>43096.561886574076</v>
      </c>
    </row>
    <row r="1317" spans="2:15" x14ac:dyDescent="0.25">
      <c r="B1317" s="24" t="s">
        <v>2812</v>
      </c>
      <c r="C1317" s="23" t="s">
        <v>862</v>
      </c>
      <c r="D1317" s="24" t="s">
        <v>1811</v>
      </c>
      <c r="E1317" s="24">
        <v>1.1999999999999999E-7</v>
      </c>
      <c r="F1317" s="24">
        <v>1.8958499999999999E-3</v>
      </c>
      <c r="G1317" s="24">
        <v>35.743200000000002</v>
      </c>
      <c r="K1317" s="34">
        <v>-1.1399999999999999</v>
      </c>
      <c r="L1317" s="34">
        <v>37.159999999999997</v>
      </c>
      <c r="M1317" s="34">
        <v>-14.44</v>
      </c>
      <c r="N1317" s="24">
        <v>1313</v>
      </c>
      <c r="O1317" s="29">
        <v>43096.561921296299</v>
      </c>
    </row>
    <row r="1318" spans="2:15" x14ac:dyDescent="0.25">
      <c r="B1318" s="24" t="s">
        <v>2903</v>
      </c>
      <c r="C1318" s="23" t="s">
        <v>971</v>
      </c>
      <c r="D1318" s="24" t="s">
        <v>1914</v>
      </c>
      <c r="E1318" s="24">
        <v>4.0000000000000001E-8</v>
      </c>
      <c r="F1318" s="24">
        <v>6.3195099999999995E-4</v>
      </c>
      <c r="G1318" s="24">
        <v>35.220199999999998</v>
      </c>
      <c r="K1318" s="34">
        <v>-1.1399999999999999</v>
      </c>
      <c r="L1318" s="34">
        <v>18.82</v>
      </c>
      <c r="M1318" s="34">
        <v>22.86</v>
      </c>
      <c r="N1318" s="24">
        <v>1314</v>
      </c>
      <c r="O1318" s="29">
        <v>43096.561909722222</v>
      </c>
    </row>
    <row r="1319" spans="2:15" x14ac:dyDescent="0.25">
      <c r="B1319" s="24" t="s">
        <v>3331</v>
      </c>
      <c r="C1319" s="23" t="s">
        <v>3332</v>
      </c>
      <c r="D1319" s="24" t="s">
        <v>3333</v>
      </c>
      <c r="E1319" s="24">
        <v>8.0700000000000007E-6</v>
      </c>
      <c r="F1319" s="24">
        <v>0.127523</v>
      </c>
      <c r="G1319" s="24">
        <v>32.255699999999997</v>
      </c>
      <c r="J1319" s="24">
        <v>76403509</v>
      </c>
      <c r="K1319" s="34">
        <v>-0.64</v>
      </c>
      <c r="L1319" s="34">
        <v>1.04</v>
      </c>
      <c r="M1319" s="34">
        <v>-11.13</v>
      </c>
      <c r="N1319" s="24">
        <v>1315</v>
      </c>
      <c r="O1319" s="29">
        <v>43096.561990740738</v>
      </c>
    </row>
    <row r="1320" spans="2:15" x14ac:dyDescent="0.25">
      <c r="B1320" s="24" t="s">
        <v>2872</v>
      </c>
      <c r="C1320" s="23" t="s">
        <v>937</v>
      </c>
      <c r="D1320" s="24" t="s">
        <v>1883</v>
      </c>
      <c r="E1320" s="24">
        <v>1.9000000000000001E-7</v>
      </c>
      <c r="F1320" s="24">
        <v>3.00177E-3</v>
      </c>
      <c r="G1320" s="24">
        <v>31.755400000000002</v>
      </c>
      <c r="K1320" s="34">
        <v>-1.0900000000000001</v>
      </c>
      <c r="L1320" s="34">
        <v>-2.27</v>
      </c>
      <c r="M1320" s="34">
        <v>3.84</v>
      </c>
      <c r="N1320" s="24">
        <v>1316</v>
      </c>
      <c r="O1320" s="29">
        <v>43096.561828703707</v>
      </c>
    </row>
    <row r="1321" spans="2:15" x14ac:dyDescent="0.25">
      <c r="B1321" s="24" t="s">
        <v>2861</v>
      </c>
      <c r="C1321" s="23" t="s">
        <v>969</v>
      </c>
      <c r="D1321" s="24" t="s">
        <v>1912</v>
      </c>
      <c r="E1321" s="24">
        <v>1E-8</v>
      </c>
      <c r="F1321" s="24">
        <v>1.5798799999999999E-4</v>
      </c>
      <c r="G1321" s="24">
        <v>29.313199999999998</v>
      </c>
      <c r="J1321" s="24">
        <v>1352120000</v>
      </c>
      <c r="K1321" s="34">
        <v>-1.0900000000000001</v>
      </c>
      <c r="L1321" s="34">
        <v>2.87</v>
      </c>
      <c r="M1321" s="34">
        <v>-5.82</v>
      </c>
      <c r="N1321" s="24">
        <v>1317</v>
      </c>
      <c r="O1321" s="29">
        <v>43096.561898148146</v>
      </c>
    </row>
    <row r="1322" spans="2:15" x14ac:dyDescent="0.25">
      <c r="B1322" s="24" t="s">
        <v>2754</v>
      </c>
      <c r="C1322" s="23" t="s">
        <v>948</v>
      </c>
      <c r="D1322" s="24" t="s">
        <v>1893</v>
      </c>
      <c r="E1322" s="24">
        <v>1E-8</v>
      </c>
      <c r="F1322" s="24">
        <v>1.5798799999999999E-4</v>
      </c>
      <c r="G1322" s="24">
        <v>27.911100000000001</v>
      </c>
      <c r="K1322" s="34">
        <v>-1.1399999999999999</v>
      </c>
      <c r="L1322" s="34">
        <v>2.84</v>
      </c>
      <c r="M1322" s="34">
        <v>-7.31</v>
      </c>
      <c r="N1322" s="24">
        <v>1318</v>
      </c>
      <c r="O1322" s="29">
        <v>43096.561956018515</v>
      </c>
    </row>
    <row r="1323" spans="2:15" x14ac:dyDescent="0.25">
      <c r="B1323" s="24" t="s">
        <v>2800</v>
      </c>
      <c r="C1323" s="23" t="s">
        <v>913</v>
      </c>
      <c r="D1323" s="24" t="s">
        <v>1860</v>
      </c>
      <c r="E1323" s="24">
        <v>8.9999999999999999E-8</v>
      </c>
      <c r="F1323" s="24">
        <v>1.4218900000000001E-3</v>
      </c>
      <c r="G1323" s="24">
        <v>26.225200000000001</v>
      </c>
      <c r="J1323" s="24">
        <v>17888425</v>
      </c>
      <c r="K1323" s="34">
        <v>-1.1399999999999999</v>
      </c>
      <c r="L1323" s="34">
        <v>32.26</v>
      </c>
      <c r="M1323" s="34">
        <v>5.71</v>
      </c>
      <c r="N1323" s="24">
        <v>1319</v>
      </c>
      <c r="O1323" s="29">
        <v>43096.561886574076</v>
      </c>
    </row>
    <row r="1324" spans="2:15" x14ac:dyDescent="0.25">
      <c r="B1324" s="24" t="s">
        <v>2866</v>
      </c>
      <c r="C1324" s="23" t="s">
        <v>908</v>
      </c>
      <c r="D1324" s="24" t="s">
        <v>1855</v>
      </c>
      <c r="E1324" s="24">
        <v>2.0700000000000001E-6</v>
      </c>
      <c r="F1324" s="24">
        <v>3.2703500000000003E-2</v>
      </c>
      <c r="G1324" s="24">
        <v>26.095500000000001</v>
      </c>
      <c r="K1324" s="34">
        <v>-1.0900000000000001</v>
      </c>
      <c r="L1324" s="34">
        <v>1.45</v>
      </c>
      <c r="M1324" s="34"/>
      <c r="N1324" s="24">
        <v>1320</v>
      </c>
      <c r="O1324" s="29">
        <v>43096.561874999999</v>
      </c>
    </row>
    <row r="1325" spans="2:15" x14ac:dyDescent="0.25">
      <c r="B1325" s="24" t="s">
        <v>2809</v>
      </c>
      <c r="C1325" s="23" t="s">
        <v>871</v>
      </c>
      <c r="D1325" s="24" t="s">
        <v>1819</v>
      </c>
      <c r="E1325" s="24">
        <v>2.9999999999999997E-8</v>
      </c>
      <c r="F1325" s="24">
        <v>4.1847400000000001E-4</v>
      </c>
      <c r="G1325" s="24">
        <v>24.79</v>
      </c>
      <c r="K1325" s="34">
        <v>30.93</v>
      </c>
      <c r="L1325" s="34">
        <v>146.63</v>
      </c>
      <c r="M1325" s="34">
        <v>53.27</v>
      </c>
      <c r="N1325" s="24">
        <v>1321</v>
      </c>
      <c r="O1325" s="29">
        <v>43096.561956018515</v>
      </c>
    </row>
    <row r="1326" spans="2:15" x14ac:dyDescent="0.25">
      <c r="B1326" s="24" t="s">
        <v>2714</v>
      </c>
      <c r="C1326" s="23" t="s">
        <v>785</v>
      </c>
      <c r="D1326" s="24" t="s">
        <v>1741</v>
      </c>
      <c r="E1326" s="24">
        <v>1E-8</v>
      </c>
      <c r="F1326" s="24">
        <v>1.5798799999999999E-4</v>
      </c>
      <c r="G1326" s="24">
        <v>24.396000000000001</v>
      </c>
      <c r="J1326" s="24">
        <v>2000000000</v>
      </c>
      <c r="K1326" s="34">
        <v>-1.1399999999999999</v>
      </c>
      <c r="L1326" s="34">
        <v>2.87</v>
      </c>
      <c r="M1326" s="34">
        <v>-7.31</v>
      </c>
      <c r="N1326" s="24">
        <v>1322</v>
      </c>
      <c r="O1326" s="29">
        <v>43096.561944444446</v>
      </c>
    </row>
    <row r="1327" spans="2:15" x14ac:dyDescent="0.25">
      <c r="B1327" s="24" t="s">
        <v>2904</v>
      </c>
      <c r="C1327" s="23" t="s">
        <v>872</v>
      </c>
      <c r="D1327" s="24" t="s">
        <v>1820</v>
      </c>
      <c r="E1327" s="24">
        <v>1.4999999999999999E-7</v>
      </c>
      <c r="F1327" s="24">
        <v>2.3698199999999999E-3</v>
      </c>
      <c r="G1327" s="24">
        <v>23.909400000000002</v>
      </c>
      <c r="K1327" s="34">
        <v>-1.1399999999999999</v>
      </c>
      <c r="L1327" s="34">
        <v>-1.52</v>
      </c>
      <c r="M1327" s="34">
        <v>9.73</v>
      </c>
      <c r="N1327" s="24">
        <v>1323</v>
      </c>
      <c r="O1327" s="29">
        <v>43096.561886574076</v>
      </c>
    </row>
    <row r="1328" spans="2:15" x14ac:dyDescent="0.25">
      <c r="B1328" s="24" t="s">
        <v>2857</v>
      </c>
      <c r="C1328" s="23" t="s">
        <v>920</v>
      </c>
      <c r="D1328" s="24" t="s">
        <v>1866</v>
      </c>
      <c r="E1328" s="24">
        <v>2.4499999999999998E-6</v>
      </c>
      <c r="F1328" s="24">
        <v>3.8706999999999998E-2</v>
      </c>
      <c r="G1328" s="24">
        <v>23.226700000000001</v>
      </c>
      <c r="K1328" s="34">
        <v>-1.1399999999999999</v>
      </c>
      <c r="L1328" s="34">
        <v>-4.5599999999999996</v>
      </c>
      <c r="M1328" s="34">
        <v>-29.92</v>
      </c>
      <c r="N1328" s="24">
        <v>1324</v>
      </c>
      <c r="O1328" s="29">
        <v>43096.561944444446</v>
      </c>
    </row>
    <row r="1329" spans="2:15" x14ac:dyDescent="0.25">
      <c r="B1329" s="24" t="s">
        <v>2875</v>
      </c>
      <c r="C1329" s="23" t="s">
        <v>942</v>
      </c>
      <c r="D1329" s="24" t="s">
        <v>1888</v>
      </c>
      <c r="E1329" s="24">
        <v>1E-8</v>
      </c>
      <c r="F1329" s="24">
        <v>1.5798799999999999E-4</v>
      </c>
      <c r="G1329" s="24">
        <v>21.5916</v>
      </c>
      <c r="K1329" s="34">
        <v>-1.1399999999999999</v>
      </c>
      <c r="L1329" s="34">
        <v>2.87</v>
      </c>
      <c r="M1329" s="34">
        <v>-7.31</v>
      </c>
      <c r="N1329" s="24">
        <v>1325</v>
      </c>
      <c r="O1329" s="29">
        <v>43096.561944444446</v>
      </c>
    </row>
    <row r="1330" spans="2:15" x14ac:dyDescent="0.25">
      <c r="B1330" s="24" t="s">
        <v>2855</v>
      </c>
      <c r="C1330" s="23" t="s">
        <v>910</v>
      </c>
      <c r="D1330" s="24" t="s">
        <v>1857</v>
      </c>
      <c r="E1330" s="24">
        <v>4.0000000000000001E-8</v>
      </c>
      <c r="F1330" s="24">
        <v>5.6294299999999999E-4</v>
      </c>
      <c r="G1330" s="24">
        <v>18.700199999999999</v>
      </c>
      <c r="K1330" s="34">
        <v>17.420000000000002</v>
      </c>
      <c r="L1330" s="34">
        <v>80.62</v>
      </c>
      <c r="M1330" s="34">
        <v>10.09</v>
      </c>
      <c r="N1330" s="24">
        <v>1326</v>
      </c>
      <c r="O1330" s="29">
        <v>43096.562002314815</v>
      </c>
    </row>
    <row r="1331" spans="2:15" x14ac:dyDescent="0.25">
      <c r="B1331" s="24" t="s">
        <v>2807</v>
      </c>
      <c r="C1331" s="23" t="s">
        <v>863</v>
      </c>
      <c r="D1331" s="24" t="s">
        <v>1812</v>
      </c>
      <c r="E1331" s="24">
        <v>6.1999999999999999E-7</v>
      </c>
      <c r="F1331" s="24">
        <v>9.7952500000000001E-3</v>
      </c>
      <c r="G1331" s="24">
        <v>18.562000000000001</v>
      </c>
      <c r="J1331" s="24">
        <v>20707629255</v>
      </c>
      <c r="K1331" s="34">
        <v>-1.1399999999999999</v>
      </c>
      <c r="L1331" s="34">
        <v>-10.17</v>
      </c>
      <c r="M1331" s="34">
        <v>-3.67</v>
      </c>
      <c r="N1331" s="24">
        <v>1327</v>
      </c>
      <c r="O1331" s="29">
        <v>43096.561898148146</v>
      </c>
    </row>
    <row r="1332" spans="2:15" x14ac:dyDescent="0.25">
      <c r="B1332" s="24" t="s">
        <v>2849</v>
      </c>
      <c r="C1332" s="23" t="s">
        <v>921</v>
      </c>
      <c r="D1332" s="24" t="s">
        <v>1867</v>
      </c>
      <c r="E1332" s="24">
        <v>1.4300000000000001E-6</v>
      </c>
      <c r="F1332" s="24">
        <v>2.2592299999999999E-2</v>
      </c>
      <c r="G1332" s="24">
        <v>17.8705</v>
      </c>
      <c r="K1332" s="34">
        <v>-1.1399999999999999</v>
      </c>
      <c r="L1332" s="34">
        <v>2.87</v>
      </c>
      <c r="M1332" s="34">
        <v>-8.59</v>
      </c>
      <c r="N1332" s="24">
        <v>1328</v>
      </c>
      <c r="O1332" s="29">
        <v>43096.561874999999</v>
      </c>
    </row>
    <row r="1333" spans="2:15" x14ac:dyDescent="0.25">
      <c r="B1333" s="24" t="s">
        <v>2898</v>
      </c>
      <c r="C1333" s="23" t="s">
        <v>958</v>
      </c>
      <c r="D1333" s="24" t="s">
        <v>1901</v>
      </c>
      <c r="E1333" s="24">
        <v>3.7699999999999999E-6</v>
      </c>
      <c r="F1333" s="24">
        <v>5.95614E-2</v>
      </c>
      <c r="G1333" s="24">
        <v>17.129799999999999</v>
      </c>
      <c r="K1333" s="34">
        <v>-1.1399999999999999</v>
      </c>
      <c r="L1333" s="34">
        <v>11.06</v>
      </c>
      <c r="M1333" s="34"/>
      <c r="N1333" s="24">
        <v>1329</v>
      </c>
      <c r="O1333" s="29">
        <v>43096.561863425923</v>
      </c>
    </row>
    <row r="1334" spans="2:15" x14ac:dyDescent="0.25">
      <c r="B1334" s="24" t="s">
        <v>2899</v>
      </c>
      <c r="C1334" s="23" t="s">
        <v>963</v>
      </c>
      <c r="D1334" s="24" t="s">
        <v>1906</v>
      </c>
      <c r="E1334" s="24">
        <v>1E-8</v>
      </c>
      <c r="F1334" s="24">
        <v>1.5798799999999999E-4</v>
      </c>
      <c r="G1334" s="24">
        <v>16.583400000000001</v>
      </c>
      <c r="J1334" s="24">
        <v>604880000</v>
      </c>
      <c r="K1334" s="34">
        <v>-1.1399999999999999</v>
      </c>
      <c r="L1334" s="34">
        <v>2.84</v>
      </c>
      <c r="M1334" s="34">
        <v>-5.85</v>
      </c>
      <c r="N1334" s="24">
        <v>1330</v>
      </c>
      <c r="O1334" s="29">
        <v>43096.561921296299</v>
      </c>
    </row>
    <row r="1335" spans="2:15" x14ac:dyDescent="0.25">
      <c r="B1335" s="24" t="s">
        <v>2783</v>
      </c>
      <c r="C1335" s="23" t="s">
        <v>934</v>
      </c>
      <c r="D1335" s="24" t="s">
        <v>1880</v>
      </c>
      <c r="E1335" s="24">
        <v>1E-8</v>
      </c>
      <c r="F1335" s="24">
        <v>1.5798799999999999E-4</v>
      </c>
      <c r="G1335" s="24">
        <v>15.7988</v>
      </c>
      <c r="J1335" s="24">
        <v>78810504065</v>
      </c>
      <c r="K1335" s="34">
        <v>-1.0900000000000001</v>
      </c>
      <c r="L1335" s="34">
        <v>2.87</v>
      </c>
      <c r="M1335" s="34">
        <v>-7.31</v>
      </c>
      <c r="N1335" s="24">
        <v>1331</v>
      </c>
      <c r="O1335" s="29">
        <v>43096.56181712963</v>
      </c>
    </row>
    <row r="1336" spans="2:15" x14ac:dyDescent="0.25">
      <c r="B1336" s="24" t="s">
        <v>2777</v>
      </c>
      <c r="C1336" s="23" t="s">
        <v>879</v>
      </c>
      <c r="D1336" s="24" t="s">
        <v>1828</v>
      </c>
      <c r="E1336" s="24">
        <v>3.7000000000000002E-6</v>
      </c>
      <c r="F1336" s="24">
        <v>5.8455500000000001E-2</v>
      </c>
      <c r="G1336" s="24">
        <v>14.227600000000001</v>
      </c>
      <c r="K1336" s="34">
        <v>-1.1399999999999999</v>
      </c>
      <c r="L1336" s="34">
        <v>2.87</v>
      </c>
      <c r="M1336" s="34">
        <v>1.1399999999999999</v>
      </c>
      <c r="N1336" s="24">
        <v>1332</v>
      </c>
      <c r="O1336" s="29">
        <v>43096.561874999999</v>
      </c>
    </row>
    <row r="1337" spans="2:15" x14ac:dyDescent="0.25">
      <c r="B1337" s="24" t="s">
        <v>2838</v>
      </c>
      <c r="C1337" s="23" t="s">
        <v>890</v>
      </c>
      <c r="D1337" s="24" t="s">
        <v>1838</v>
      </c>
      <c r="E1337" s="24">
        <v>2E-8</v>
      </c>
      <c r="F1337" s="24">
        <v>3.1597599999999998E-4</v>
      </c>
      <c r="G1337" s="24">
        <v>13.6922</v>
      </c>
      <c r="K1337" s="34">
        <v>-1.1399999999999999</v>
      </c>
      <c r="L1337" s="34">
        <v>27.16</v>
      </c>
      <c r="M1337" s="34">
        <v>85.37</v>
      </c>
      <c r="N1337" s="24">
        <v>1333</v>
      </c>
      <c r="O1337" s="29">
        <v>43096.561956018515</v>
      </c>
    </row>
    <row r="1338" spans="2:15" x14ac:dyDescent="0.25">
      <c r="B1338" s="24" t="s">
        <v>2751</v>
      </c>
      <c r="C1338" s="23" t="s">
        <v>811</v>
      </c>
      <c r="D1338" s="24" t="s">
        <v>1766</v>
      </c>
      <c r="E1338" s="24">
        <v>1E-8</v>
      </c>
      <c r="F1338" s="24">
        <v>1.5798799999999999E-4</v>
      </c>
      <c r="G1338" s="24">
        <v>13.6922</v>
      </c>
      <c r="K1338" s="34">
        <v>-1.1399999999999999</v>
      </c>
      <c r="L1338" s="34">
        <v>2.87</v>
      </c>
      <c r="M1338" s="34">
        <v>-7.31</v>
      </c>
      <c r="N1338" s="24">
        <v>1334</v>
      </c>
      <c r="O1338" s="29">
        <v>43096.561967592592</v>
      </c>
    </row>
    <row r="1339" spans="2:15" x14ac:dyDescent="0.25">
      <c r="B1339" s="24" t="s">
        <v>2864</v>
      </c>
      <c r="C1339" s="23" t="s">
        <v>927</v>
      </c>
      <c r="D1339" s="24" t="s">
        <v>1873</v>
      </c>
      <c r="E1339" s="24">
        <v>1.6E-7</v>
      </c>
      <c r="F1339" s="24">
        <v>2.5278100000000001E-3</v>
      </c>
      <c r="G1339" s="24">
        <v>13.1342</v>
      </c>
      <c r="K1339" s="34">
        <v>-1.1399999999999999</v>
      </c>
      <c r="L1339" s="34">
        <v>-8.56</v>
      </c>
      <c r="M1339" s="34"/>
      <c r="N1339" s="24">
        <v>1335</v>
      </c>
      <c r="O1339" s="29">
        <v>43096.561863425923</v>
      </c>
    </row>
    <row r="1340" spans="2:15" x14ac:dyDescent="0.25">
      <c r="B1340" s="24" t="s">
        <v>2874</v>
      </c>
      <c r="C1340" s="23" t="s">
        <v>939</v>
      </c>
      <c r="D1340" s="24" t="s">
        <v>1885</v>
      </c>
      <c r="E1340" s="24">
        <v>2E-8</v>
      </c>
      <c r="F1340" s="24">
        <v>2.75612E-4</v>
      </c>
      <c r="G1340" s="24">
        <v>12.4003</v>
      </c>
      <c r="K1340" s="34">
        <v>-0.76</v>
      </c>
      <c r="L1340" s="34">
        <v>-9.31</v>
      </c>
      <c r="M1340" s="34">
        <v>-14.29</v>
      </c>
      <c r="N1340" s="24">
        <v>1336</v>
      </c>
      <c r="O1340" s="29">
        <v>43096.561840277776</v>
      </c>
    </row>
    <row r="1341" spans="2:15" x14ac:dyDescent="0.25">
      <c r="B1341" s="24" t="s">
        <v>2746</v>
      </c>
      <c r="C1341" s="23" t="s">
        <v>804</v>
      </c>
      <c r="D1341" s="24" t="s">
        <v>1759</v>
      </c>
      <c r="E1341" s="24">
        <v>2.1E-7</v>
      </c>
      <c r="F1341" s="24">
        <v>3.31775E-3</v>
      </c>
      <c r="G1341" s="24">
        <v>12.166499999999999</v>
      </c>
      <c r="K1341" s="34">
        <v>-1.1399999999999999</v>
      </c>
      <c r="L1341" s="34">
        <v>-5.5</v>
      </c>
      <c r="M1341" s="34">
        <v>-19.77</v>
      </c>
      <c r="N1341" s="24">
        <v>1337</v>
      </c>
      <c r="O1341" s="29">
        <v>43096.561967592592</v>
      </c>
    </row>
    <row r="1342" spans="2:15" x14ac:dyDescent="0.25">
      <c r="B1342" s="24" t="s">
        <v>2851</v>
      </c>
      <c r="C1342" s="23" t="s">
        <v>882</v>
      </c>
      <c r="D1342" s="24" t="s">
        <v>1831</v>
      </c>
      <c r="E1342" s="24">
        <v>1.3E-7</v>
      </c>
      <c r="F1342" s="24">
        <v>2.0538399999999999E-3</v>
      </c>
      <c r="G1342" s="24">
        <v>9.9987399999999997</v>
      </c>
      <c r="K1342" s="34">
        <v>-1.1399999999999999</v>
      </c>
      <c r="L1342" s="34">
        <v>1.38</v>
      </c>
      <c r="M1342" s="34">
        <v>-7.31</v>
      </c>
      <c r="N1342" s="24">
        <v>1338</v>
      </c>
      <c r="O1342" s="29">
        <v>43096.561874999999</v>
      </c>
    </row>
    <row r="1343" spans="2:15" x14ac:dyDescent="0.25">
      <c r="B1343" s="24" t="s">
        <v>2862</v>
      </c>
      <c r="C1343" s="23" t="s">
        <v>930</v>
      </c>
      <c r="D1343" s="24" t="s">
        <v>1876</v>
      </c>
      <c r="E1343" s="24">
        <v>2E-8</v>
      </c>
      <c r="F1343" s="24">
        <v>3.1597599999999998E-4</v>
      </c>
      <c r="G1343" s="24">
        <v>9.4603099999999998</v>
      </c>
      <c r="J1343" s="24">
        <v>900096049</v>
      </c>
      <c r="K1343" s="34">
        <v>-1.1399999999999999</v>
      </c>
      <c r="L1343" s="34">
        <v>2.84</v>
      </c>
      <c r="M1343" s="34">
        <v>-7.31</v>
      </c>
      <c r="N1343" s="24">
        <v>1339</v>
      </c>
      <c r="O1343" s="29">
        <v>43096.561909722222</v>
      </c>
    </row>
    <row r="1344" spans="2:15" x14ac:dyDescent="0.25">
      <c r="B1344" s="24" t="s">
        <v>2893</v>
      </c>
      <c r="C1344" s="23" t="s">
        <v>881</v>
      </c>
      <c r="D1344" s="24" t="s">
        <v>1830</v>
      </c>
      <c r="E1344" s="24">
        <v>2.014E-5</v>
      </c>
      <c r="F1344" s="24">
        <v>0.31818800000000003</v>
      </c>
      <c r="G1344" s="24">
        <v>9.4502000000000006</v>
      </c>
      <c r="J1344" s="24">
        <v>975608</v>
      </c>
      <c r="K1344" s="34">
        <v>-1.1399999999999999</v>
      </c>
      <c r="L1344" s="34">
        <v>2.99</v>
      </c>
      <c r="M1344" s="34"/>
      <c r="N1344" s="24">
        <v>1340</v>
      </c>
      <c r="O1344" s="29">
        <v>43096.561932870369</v>
      </c>
    </row>
    <row r="1345" spans="2:15" x14ac:dyDescent="0.25">
      <c r="B1345" s="24" t="s">
        <v>2835</v>
      </c>
      <c r="C1345" s="23" t="s">
        <v>931</v>
      </c>
      <c r="D1345" s="24" t="s">
        <v>1877</v>
      </c>
      <c r="E1345" s="24">
        <v>1E-8</v>
      </c>
      <c r="F1345" s="24">
        <v>1.5798799999999999E-4</v>
      </c>
      <c r="G1345" s="24">
        <v>7.8993900000000004</v>
      </c>
      <c r="K1345" s="34">
        <v>-1.1399999999999999</v>
      </c>
      <c r="L1345" s="34">
        <v>2.87</v>
      </c>
      <c r="M1345" s="34">
        <v>-7.31</v>
      </c>
      <c r="N1345" s="24">
        <v>1341</v>
      </c>
      <c r="O1345" s="29">
        <v>43096.561851851853</v>
      </c>
    </row>
    <row r="1346" spans="2:15" x14ac:dyDescent="0.25">
      <c r="B1346" s="24" t="s">
        <v>2832</v>
      </c>
      <c r="C1346" s="23" t="s">
        <v>899</v>
      </c>
      <c r="D1346" s="24" t="s">
        <v>1846</v>
      </c>
      <c r="E1346" s="24">
        <v>4.9999999999999998E-8</v>
      </c>
      <c r="F1346" s="24">
        <v>7.8993900000000003E-4</v>
      </c>
      <c r="G1346" s="24">
        <v>7.8993900000000004</v>
      </c>
      <c r="K1346" s="34">
        <v>-1.1399999999999999</v>
      </c>
      <c r="L1346" s="34"/>
      <c r="M1346" s="34">
        <v>-53.66</v>
      </c>
      <c r="N1346" s="24">
        <v>1342</v>
      </c>
      <c r="O1346" s="29">
        <v>43096.561909722222</v>
      </c>
    </row>
    <row r="1347" spans="2:15" x14ac:dyDescent="0.25">
      <c r="B1347" s="24" t="s">
        <v>2878</v>
      </c>
      <c r="C1347" s="23" t="s">
        <v>925</v>
      </c>
      <c r="D1347" s="24" t="s">
        <v>1871</v>
      </c>
      <c r="E1347" s="24">
        <v>4.0000000000000001E-8</v>
      </c>
      <c r="F1347" s="24">
        <v>6.3195099999999995E-4</v>
      </c>
      <c r="G1347" s="24">
        <v>7.8993900000000004</v>
      </c>
      <c r="K1347" s="34">
        <v>-1.1399999999999999</v>
      </c>
      <c r="L1347" s="34">
        <v>2.91</v>
      </c>
      <c r="M1347" s="34">
        <v>-9.1300000000000008</v>
      </c>
      <c r="N1347" s="24">
        <v>1343</v>
      </c>
      <c r="O1347" s="29">
        <v>43096.561932870369</v>
      </c>
    </row>
    <row r="1348" spans="2:15" x14ac:dyDescent="0.25">
      <c r="B1348" s="24" t="s">
        <v>2841</v>
      </c>
      <c r="C1348" s="23" t="s">
        <v>877</v>
      </c>
      <c r="D1348" s="24" t="s">
        <v>1826</v>
      </c>
      <c r="E1348" s="24">
        <v>2.8999999999999998E-7</v>
      </c>
      <c r="F1348" s="24">
        <v>4.5816499999999996E-3</v>
      </c>
      <c r="G1348" s="24">
        <v>7.68485</v>
      </c>
      <c r="J1348" s="24">
        <v>2500124</v>
      </c>
      <c r="K1348" s="34">
        <v>-1.1399999999999999</v>
      </c>
      <c r="L1348" s="34">
        <v>56.97</v>
      </c>
      <c r="M1348" s="34">
        <v>17.48</v>
      </c>
      <c r="N1348" s="24">
        <v>1344</v>
      </c>
      <c r="O1348" s="29">
        <v>43096.561909722222</v>
      </c>
    </row>
    <row r="1349" spans="2:15" x14ac:dyDescent="0.25">
      <c r="B1349" s="24" t="s">
        <v>2885</v>
      </c>
      <c r="C1349" s="23" t="s">
        <v>953</v>
      </c>
      <c r="D1349" s="24" t="s">
        <v>1897</v>
      </c>
      <c r="E1349" s="24">
        <v>2.9999999999999997E-8</v>
      </c>
      <c r="F1349" s="24">
        <v>4.73964E-4</v>
      </c>
      <c r="G1349" s="24">
        <v>4.7710800000000004</v>
      </c>
      <c r="J1349" s="24">
        <v>301004896</v>
      </c>
      <c r="K1349" s="34">
        <v>-1.0900000000000001</v>
      </c>
      <c r="L1349" s="34">
        <v>2.87</v>
      </c>
      <c r="M1349" s="34"/>
      <c r="N1349" s="24">
        <v>1345</v>
      </c>
      <c r="O1349" s="29">
        <v>43096.561898148146</v>
      </c>
    </row>
    <row r="1350" spans="2:15" x14ac:dyDescent="0.25">
      <c r="B1350" s="24" t="s">
        <v>2799</v>
      </c>
      <c r="C1350" s="23" t="s">
        <v>880</v>
      </c>
      <c r="D1350" s="24" t="s">
        <v>1829</v>
      </c>
      <c r="E1350" s="24">
        <v>2.9999999999999997E-8</v>
      </c>
      <c r="F1350" s="24">
        <v>4.73964E-4</v>
      </c>
      <c r="G1350" s="24">
        <v>4.7402699999999998</v>
      </c>
      <c r="K1350" s="34">
        <v>-1.0900000000000001</v>
      </c>
      <c r="L1350" s="34"/>
      <c r="M1350" s="34">
        <v>39.03</v>
      </c>
      <c r="N1350" s="24">
        <v>1346</v>
      </c>
      <c r="O1350" s="29">
        <v>43096.561874999999</v>
      </c>
    </row>
    <row r="1351" spans="2:15" x14ac:dyDescent="0.25">
      <c r="B1351" s="24" t="s">
        <v>2842</v>
      </c>
      <c r="C1351" s="23" t="s">
        <v>828</v>
      </c>
      <c r="D1351" s="24" t="s">
        <v>1781</v>
      </c>
      <c r="E1351" s="24">
        <v>1E-8</v>
      </c>
      <c r="F1351" s="24">
        <v>1.5798799999999999E-4</v>
      </c>
      <c r="G1351" s="24">
        <v>3.1597599999999999</v>
      </c>
      <c r="J1351" s="24">
        <v>750231505</v>
      </c>
      <c r="K1351" s="34">
        <v>-1.1399999999999999</v>
      </c>
      <c r="L1351" s="34">
        <v>2.84</v>
      </c>
      <c r="M1351" s="34"/>
      <c r="N1351" s="24">
        <v>1347</v>
      </c>
      <c r="O1351" s="29">
        <v>43096.561967592592</v>
      </c>
    </row>
    <row r="1352" spans="2:15" x14ac:dyDescent="0.25">
      <c r="B1352" s="24" t="s">
        <v>2830</v>
      </c>
      <c r="C1352" s="23" t="s">
        <v>905</v>
      </c>
      <c r="D1352" s="24" t="s">
        <v>1852</v>
      </c>
      <c r="E1352" s="24">
        <v>1E-8</v>
      </c>
      <c r="F1352" s="24">
        <v>1.5798799999999999E-4</v>
      </c>
      <c r="G1352" s="24">
        <v>2.9027099999999999</v>
      </c>
      <c r="J1352" s="24">
        <v>549267534</v>
      </c>
      <c r="K1352" s="34">
        <v>-1.1399999999999999</v>
      </c>
      <c r="L1352" s="34">
        <v>-43.93</v>
      </c>
      <c r="M1352" s="34">
        <v>-46.91</v>
      </c>
      <c r="N1352" s="24">
        <v>1348</v>
      </c>
      <c r="O1352" s="29">
        <v>43096.561863425923</v>
      </c>
    </row>
    <row r="1353" spans="2:15" x14ac:dyDescent="0.25">
      <c r="B1353" s="24" t="s">
        <v>2854</v>
      </c>
      <c r="C1353" s="23" t="s">
        <v>940</v>
      </c>
      <c r="D1353" s="24" t="s">
        <v>1886</v>
      </c>
      <c r="E1353" s="24">
        <v>1.4000000000000001E-7</v>
      </c>
      <c r="F1353" s="24">
        <v>2.2118300000000001E-3</v>
      </c>
      <c r="G1353" s="24">
        <v>2.5418699999999999</v>
      </c>
      <c r="K1353" s="34">
        <v>-1.0900000000000001</v>
      </c>
      <c r="L1353" s="34"/>
      <c r="M1353" s="34"/>
      <c r="N1353" s="24">
        <v>1349</v>
      </c>
      <c r="O1353" s="29">
        <v>43096.561874999999</v>
      </c>
    </row>
    <row r="1354" spans="2:15" x14ac:dyDescent="0.25">
      <c r="B1354" s="24" t="s">
        <v>2846</v>
      </c>
      <c r="C1354" s="23" t="s">
        <v>878</v>
      </c>
      <c r="D1354" s="24" t="s">
        <v>1827</v>
      </c>
      <c r="E1354" s="24">
        <v>9.9999999999999995E-8</v>
      </c>
      <c r="F1354" s="24">
        <v>1.5798800000000001E-3</v>
      </c>
      <c r="G1354" s="24">
        <v>1.97485</v>
      </c>
      <c r="K1354" s="34">
        <v>-1.1399999999999999</v>
      </c>
      <c r="L1354" s="34">
        <v>2.84</v>
      </c>
      <c r="M1354" s="34">
        <v>10.24</v>
      </c>
      <c r="N1354" s="24">
        <v>1350</v>
      </c>
      <c r="O1354" s="29">
        <v>43096.561909722222</v>
      </c>
    </row>
    <row r="1355" spans="2:15" x14ac:dyDescent="0.25">
      <c r="B1355" s="24" t="s">
        <v>2896</v>
      </c>
      <c r="C1355" s="23" t="s">
        <v>959</v>
      </c>
      <c r="D1355" s="24" t="s">
        <v>1902</v>
      </c>
      <c r="E1355" s="24">
        <v>2.2399999999999999E-5</v>
      </c>
      <c r="F1355" s="24">
        <v>0.35389300000000001</v>
      </c>
      <c r="G1355" s="24">
        <v>1.92761</v>
      </c>
      <c r="K1355" s="34">
        <v>-1.0900000000000001</v>
      </c>
      <c r="L1355" s="34">
        <v>2.92</v>
      </c>
      <c r="M1355" s="34">
        <v>-14.99</v>
      </c>
      <c r="N1355" s="24">
        <v>1351</v>
      </c>
      <c r="O1355" s="29">
        <v>43096.561863425923</v>
      </c>
    </row>
    <row r="1356" spans="2:15" x14ac:dyDescent="0.25">
      <c r="B1356" s="24" t="s">
        <v>2852</v>
      </c>
      <c r="C1356" s="23" t="s">
        <v>928</v>
      </c>
      <c r="D1356" s="24" t="s">
        <v>1874</v>
      </c>
      <c r="E1356" s="24">
        <v>8.9999999999999999E-8</v>
      </c>
      <c r="F1356" s="24">
        <v>1.4218900000000001E-3</v>
      </c>
      <c r="G1356" s="24">
        <v>1.63517</v>
      </c>
      <c r="K1356" s="34">
        <v>-1.1399999999999999</v>
      </c>
      <c r="L1356" s="34">
        <v>30.2</v>
      </c>
      <c r="M1356" s="34">
        <v>-24.17</v>
      </c>
      <c r="N1356" s="24">
        <v>1352</v>
      </c>
      <c r="O1356" s="29">
        <v>43096.561863425923</v>
      </c>
    </row>
    <row r="1357" spans="2:15" x14ac:dyDescent="0.25">
      <c r="B1357" s="24" t="s">
        <v>2839</v>
      </c>
      <c r="C1357" s="23" t="s">
        <v>911</v>
      </c>
      <c r="D1357" s="24" t="s">
        <v>1858</v>
      </c>
      <c r="E1357" s="24">
        <v>4.9999999999999998E-8</v>
      </c>
      <c r="F1357" s="24">
        <v>7.8993900000000003E-4</v>
      </c>
      <c r="G1357" s="24">
        <v>1.6313800000000001</v>
      </c>
      <c r="J1357" s="24">
        <v>190008300</v>
      </c>
      <c r="K1357" s="34">
        <v>-1.1399999999999999</v>
      </c>
      <c r="L1357" s="34">
        <v>28.59</v>
      </c>
      <c r="M1357" s="34">
        <v>-33.799999999999997</v>
      </c>
      <c r="N1357" s="24">
        <v>1353</v>
      </c>
      <c r="O1357" s="29">
        <v>43096.561932870369</v>
      </c>
    </row>
    <row r="1358" spans="2:15" x14ac:dyDescent="0.25">
      <c r="B1358" s="24" t="s">
        <v>2879</v>
      </c>
      <c r="C1358" s="23" t="s">
        <v>943</v>
      </c>
      <c r="D1358" s="24" t="s">
        <v>1889</v>
      </c>
      <c r="E1358" s="24">
        <v>1E-8</v>
      </c>
      <c r="F1358" s="24">
        <v>1.5798799999999999E-4</v>
      </c>
      <c r="G1358" s="24">
        <v>1.57988</v>
      </c>
      <c r="K1358" s="34">
        <v>-1.0900000000000001</v>
      </c>
      <c r="L1358" s="34">
        <v>2.87</v>
      </c>
      <c r="M1358" s="34">
        <v>-7.31</v>
      </c>
      <c r="N1358" s="24">
        <v>1354</v>
      </c>
      <c r="O1358" s="29">
        <v>43096.561874999999</v>
      </c>
    </row>
    <row r="1359" spans="2:15" x14ac:dyDescent="0.25">
      <c r="B1359" s="24" t="s">
        <v>2877</v>
      </c>
      <c r="C1359" s="23" t="s">
        <v>968</v>
      </c>
      <c r="D1359" s="24" t="s">
        <v>1911</v>
      </c>
      <c r="E1359" s="24">
        <v>1E-8</v>
      </c>
      <c r="F1359" s="24">
        <v>1.5798799999999999E-4</v>
      </c>
      <c r="G1359" s="24">
        <v>1.57988</v>
      </c>
      <c r="K1359" s="34">
        <v>-1.1399999999999999</v>
      </c>
      <c r="L1359" s="34">
        <v>2.84</v>
      </c>
      <c r="M1359" s="34">
        <v>-6.94</v>
      </c>
      <c r="N1359" s="24">
        <v>1355</v>
      </c>
      <c r="O1359" s="29">
        <v>43096.561886574076</v>
      </c>
    </row>
    <row r="1360" spans="2:15" x14ac:dyDescent="0.25">
      <c r="B1360" s="24" t="s">
        <v>2833</v>
      </c>
      <c r="C1360" s="23" t="s">
        <v>896</v>
      </c>
      <c r="D1360" s="24" t="s">
        <v>1843</v>
      </c>
      <c r="E1360" s="24">
        <v>9.9999999999999995E-8</v>
      </c>
      <c r="F1360" s="24">
        <v>1.5798800000000001E-3</v>
      </c>
      <c r="G1360" s="24">
        <v>1.57988</v>
      </c>
      <c r="K1360" s="34">
        <v>-1.1399999999999999</v>
      </c>
      <c r="L1360" s="34">
        <v>28.67</v>
      </c>
      <c r="M1360" s="34">
        <v>2.11</v>
      </c>
      <c r="N1360" s="24">
        <v>1356</v>
      </c>
      <c r="O1360" s="29">
        <v>43096.561898148146</v>
      </c>
    </row>
    <row r="1361" spans="2:15" x14ac:dyDescent="0.25">
      <c r="B1361" s="24" t="s">
        <v>2876</v>
      </c>
      <c r="C1361" s="23" t="s">
        <v>941</v>
      </c>
      <c r="D1361" s="24" t="s">
        <v>1887</v>
      </c>
      <c r="E1361" s="24">
        <v>5.9999999999999997E-7</v>
      </c>
      <c r="F1361" s="24">
        <v>8.4205100000000008E-3</v>
      </c>
      <c r="K1361" s="34"/>
      <c r="L1361" s="34"/>
      <c r="M1361" s="34">
        <v>-45.71</v>
      </c>
      <c r="N1361" s="24">
        <v>1357</v>
      </c>
      <c r="O1361" s="29">
        <v>43091.527141203704</v>
      </c>
    </row>
    <row r="1362" spans="2:15" x14ac:dyDescent="0.25">
      <c r="B1362" s="24" t="s">
        <v>2883</v>
      </c>
      <c r="C1362" s="23" t="s">
        <v>956</v>
      </c>
      <c r="D1362" s="24" t="s">
        <v>1900</v>
      </c>
      <c r="E1362" s="24">
        <v>6.8999999999999996E-7</v>
      </c>
      <c r="F1362" s="24">
        <v>1.08807E-2</v>
      </c>
      <c r="K1362" s="34"/>
      <c r="L1362" s="34">
        <v>2.68</v>
      </c>
      <c r="M1362" s="34">
        <v>-11.94</v>
      </c>
      <c r="N1362" s="24">
        <v>1358</v>
      </c>
      <c r="O1362" s="29">
        <v>43096.447268518517</v>
      </c>
    </row>
    <row r="1363" spans="2:15" x14ac:dyDescent="0.25">
      <c r="B1363" s="24" t="s">
        <v>2902</v>
      </c>
      <c r="C1363" s="23" t="s">
        <v>967</v>
      </c>
      <c r="D1363" s="24" t="s">
        <v>1910</v>
      </c>
      <c r="E1363" s="24">
        <v>1.81E-6</v>
      </c>
      <c r="F1363" s="24">
        <v>2.5567900000000001E-2</v>
      </c>
      <c r="J1363" s="24">
        <v>94227600</v>
      </c>
      <c r="K1363" s="34"/>
      <c r="L1363" s="34"/>
      <c r="M1363" s="34">
        <v>-21.22</v>
      </c>
      <c r="N1363" s="24">
        <v>1359</v>
      </c>
      <c r="O1363" s="29">
        <v>43093.402291666665</v>
      </c>
    </row>
    <row r="1364" spans="2:15" x14ac:dyDescent="0.25">
      <c r="B1364" s="24" t="s">
        <v>2801</v>
      </c>
      <c r="C1364" s="23" t="s">
        <v>947</v>
      </c>
      <c r="D1364" s="24" t="s">
        <v>947</v>
      </c>
      <c r="E1364" s="24">
        <v>2E-8</v>
      </c>
      <c r="F1364" s="24">
        <v>2.6898200000000002E-4</v>
      </c>
      <c r="K1364" s="34"/>
      <c r="L1364" s="34"/>
      <c r="M1364" s="34">
        <v>-7.48</v>
      </c>
      <c r="N1364" s="24">
        <v>1360</v>
      </c>
      <c r="O1364" s="29">
        <v>43093.589791666665</v>
      </c>
    </row>
    <row r="1365" spans="2:15" x14ac:dyDescent="0.25">
      <c r="B1365" s="24" t="s">
        <v>2892</v>
      </c>
      <c r="C1365" s="23" t="s">
        <v>918</v>
      </c>
      <c r="D1365" s="24" t="s">
        <v>1865</v>
      </c>
      <c r="E1365" s="24">
        <v>7.0000000000000005E-8</v>
      </c>
      <c r="F1365" s="24">
        <v>9.6566399999999998E-4</v>
      </c>
      <c r="J1365" s="24">
        <v>36309296</v>
      </c>
      <c r="K1365" s="34"/>
      <c r="L1365" s="34"/>
      <c r="M1365" s="34">
        <v>-17.72</v>
      </c>
      <c r="N1365" s="24">
        <v>1361</v>
      </c>
      <c r="O1365" s="29">
        <v>43094.916041666664</v>
      </c>
    </row>
    <row r="1366" spans="2:15" x14ac:dyDescent="0.25">
      <c r="B1366" s="24" t="s">
        <v>2825</v>
      </c>
      <c r="C1366" s="23" t="s">
        <v>888</v>
      </c>
      <c r="D1366" s="24" t="s">
        <v>1836</v>
      </c>
      <c r="E1366" s="24">
        <v>6.8999999999999996E-7</v>
      </c>
      <c r="F1366" s="24">
        <v>1.08897E-2</v>
      </c>
      <c r="K1366" s="34"/>
      <c r="L1366" s="34">
        <v>2.76</v>
      </c>
      <c r="M1366" s="34"/>
      <c r="N1366" s="24">
        <v>1362</v>
      </c>
      <c r="O1366" s="29">
        <v>43095.99590277778</v>
      </c>
    </row>
    <row r="1367" spans="2:15" x14ac:dyDescent="0.25">
      <c r="B1367" s="24" t="s">
        <v>2901</v>
      </c>
      <c r="C1367" s="23" t="s">
        <v>966</v>
      </c>
      <c r="D1367" s="24" t="s">
        <v>1909</v>
      </c>
      <c r="E1367" s="24">
        <v>5.8999999999999996E-7</v>
      </c>
      <c r="F1367" s="24">
        <v>9.4334599999999994E-3</v>
      </c>
      <c r="J1367" s="24">
        <v>5925522</v>
      </c>
      <c r="K1367" s="34"/>
      <c r="L1367" s="34">
        <v>4.08</v>
      </c>
      <c r="M1367" s="34">
        <v>0.62</v>
      </c>
      <c r="N1367" s="24">
        <v>1363</v>
      </c>
      <c r="O1367" s="29">
        <v>43096.419525462959</v>
      </c>
    </row>
    <row r="1368" spans="2:15" x14ac:dyDescent="0.25">
      <c r="B1368" s="24" t="s">
        <v>2814</v>
      </c>
      <c r="C1368" s="23" t="s">
        <v>874</v>
      </c>
      <c r="D1368" s="24" t="s">
        <v>1823</v>
      </c>
      <c r="E1368" s="24">
        <v>1.1000000000000001E-7</v>
      </c>
      <c r="F1368" s="24">
        <v>1.79499E-3</v>
      </c>
      <c r="J1368" s="24">
        <v>19800001</v>
      </c>
      <c r="K1368" s="34"/>
      <c r="L1368" s="34">
        <v>6.22</v>
      </c>
      <c r="M1368" s="34">
        <v>50.01</v>
      </c>
      <c r="N1368" s="24">
        <v>1364</v>
      </c>
      <c r="O1368" s="29">
        <v>43096.336192129631</v>
      </c>
    </row>
    <row r="1369" spans="2:15" x14ac:dyDescent="0.25">
      <c r="B1369" s="24" t="s">
        <v>3036</v>
      </c>
      <c r="C1369" s="23" t="s">
        <v>3037</v>
      </c>
      <c r="D1369" s="24" t="s">
        <v>3038</v>
      </c>
      <c r="E1369" s="24">
        <v>1.9000200000000001E-3</v>
      </c>
      <c r="F1369" s="24">
        <v>32.678600000000003</v>
      </c>
      <c r="J1369" s="24">
        <v>25000000</v>
      </c>
      <c r="K1369" s="34"/>
      <c r="L1369" s="34"/>
      <c r="M1369" s="34"/>
      <c r="N1369" s="24">
        <v>1365</v>
      </c>
      <c r="O1369" s="29">
        <v>43082.586493055554</v>
      </c>
    </row>
    <row r="1370" spans="2:15" x14ac:dyDescent="0.25">
      <c r="B1370" s="24" t="s">
        <v>2707</v>
      </c>
      <c r="C1370" s="23" t="s">
        <v>779</v>
      </c>
      <c r="D1370" s="24" t="s">
        <v>1733</v>
      </c>
      <c r="E1370" s="24">
        <v>1.9999999999999999E-6</v>
      </c>
      <c r="F1370" s="24">
        <v>3.2804899999999998E-2</v>
      </c>
      <c r="K1370" s="34"/>
      <c r="L1370" s="34">
        <v>6.77</v>
      </c>
      <c r="M1370" s="34"/>
      <c r="N1370" s="24">
        <v>1366</v>
      </c>
      <c r="O1370" s="29">
        <v>43096.218217592592</v>
      </c>
    </row>
    <row r="1371" spans="2:15" x14ac:dyDescent="0.25">
      <c r="B1371" s="24" t="s">
        <v>3615</v>
      </c>
      <c r="C1371" s="23" t="s">
        <v>3616</v>
      </c>
      <c r="D1371" s="24" t="s">
        <v>3617</v>
      </c>
      <c r="E1371" s="24">
        <v>3.3999999999999997E-7</v>
      </c>
      <c r="F1371" s="24">
        <v>5.2005200000000001E-3</v>
      </c>
      <c r="J1371" s="24">
        <v>21000000</v>
      </c>
      <c r="K1371" s="34"/>
      <c r="L1371" s="34">
        <v>0.09</v>
      </c>
      <c r="M1371" s="34"/>
      <c r="N1371" s="24">
        <v>1367</v>
      </c>
      <c r="O1371" s="29">
        <v>43095.579363425924</v>
      </c>
    </row>
    <row r="1372" spans="2:15" x14ac:dyDescent="0.25">
      <c r="B1372" s="24" t="s">
        <v>2454</v>
      </c>
      <c r="C1372" s="23" t="s">
        <v>520</v>
      </c>
      <c r="D1372" s="24" t="s">
        <v>1486</v>
      </c>
      <c r="E1372" s="24">
        <v>2.7270000000000001E-5</v>
      </c>
      <c r="F1372" s="24">
        <v>0.50883500000000004</v>
      </c>
      <c r="J1372" s="24">
        <v>38601187</v>
      </c>
      <c r="K1372" s="34"/>
      <c r="L1372" s="34"/>
      <c r="M1372" s="34"/>
      <c r="N1372" s="24">
        <v>1368</v>
      </c>
      <c r="O1372" s="29">
        <v>43087.59306712963</v>
      </c>
    </row>
    <row r="1373" spans="2:15" x14ac:dyDescent="0.25">
      <c r="B1373" s="24" t="s">
        <v>2887</v>
      </c>
      <c r="C1373" s="23" t="s">
        <v>950</v>
      </c>
      <c r="D1373" s="24" t="s">
        <v>1894</v>
      </c>
      <c r="E1373" s="24">
        <v>4.8000000000000001E-2</v>
      </c>
      <c r="F1373" s="24">
        <v>674.30200000000002</v>
      </c>
      <c r="K1373" s="34"/>
      <c r="L1373" s="34"/>
      <c r="M1373" s="34"/>
      <c r="N1373" s="24">
        <v>1369</v>
      </c>
      <c r="O1373" s="29">
        <v>43094.863912037035</v>
      </c>
    </row>
    <row r="1374" spans="2:15" x14ac:dyDescent="0.25">
      <c r="B1374" s="24" t="s">
        <v>2867</v>
      </c>
      <c r="C1374" s="23" t="s">
        <v>892</v>
      </c>
      <c r="D1374" s="24" t="s">
        <v>1840</v>
      </c>
      <c r="E1374" s="24">
        <v>1.9999999999999999E-11</v>
      </c>
      <c r="F1374" s="24">
        <v>2.8099999999999999E-7</v>
      </c>
      <c r="K1374" s="34"/>
      <c r="L1374" s="34">
        <v>-0.64</v>
      </c>
      <c r="M1374" s="34">
        <v>31.87</v>
      </c>
      <c r="N1374" s="24">
        <v>1370</v>
      </c>
      <c r="O1374" s="29">
        <v>43095.520173611112</v>
      </c>
    </row>
    <row r="1375" spans="2:15" x14ac:dyDescent="0.25">
      <c r="B1375" s="24" t="s">
        <v>2745</v>
      </c>
      <c r="C1375" s="23" t="s">
        <v>823</v>
      </c>
      <c r="D1375" s="24" t="s">
        <v>1196</v>
      </c>
      <c r="E1375" s="24">
        <v>4.7E-7</v>
      </c>
      <c r="F1375" s="24">
        <v>7.4484699999999996E-3</v>
      </c>
      <c r="J1375" s="24">
        <v>250000000</v>
      </c>
      <c r="K1375" s="34"/>
      <c r="L1375" s="34">
        <v>64.16</v>
      </c>
      <c r="M1375" s="34">
        <v>58.22</v>
      </c>
      <c r="N1375" s="24">
        <v>1371</v>
      </c>
      <c r="O1375" s="29">
        <v>43095.72861111111</v>
      </c>
    </row>
    <row r="1376" spans="2:15" x14ac:dyDescent="0.25">
      <c r="B1376" s="24" t="s">
        <v>2958</v>
      </c>
      <c r="C1376" s="23" t="s">
        <v>2959</v>
      </c>
      <c r="D1376" s="24" t="s">
        <v>2960</v>
      </c>
      <c r="E1376" s="24">
        <v>4.9999999999999998E-8</v>
      </c>
      <c r="F1376" s="24">
        <v>8.3694300000000004E-4</v>
      </c>
      <c r="J1376" s="24">
        <v>20000000</v>
      </c>
      <c r="K1376" s="34"/>
      <c r="L1376" s="34">
        <v>0.15</v>
      </c>
      <c r="M1376" s="34">
        <v>-77.3</v>
      </c>
      <c r="N1376" s="24">
        <v>1372</v>
      </c>
      <c r="O1376" s="29">
        <v>43095.766851851855</v>
      </c>
    </row>
    <row r="1377" spans="2:15" x14ac:dyDescent="0.25">
      <c r="B1377" s="24" t="s">
        <v>3285</v>
      </c>
      <c r="C1377" s="23" t="s">
        <v>3286</v>
      </c>
      <c r="D1377" s="24" t="s">
        <v>3287</v>
      </c>
      <c r="E1377" s="24">
        <v>3.9999999999999998E-11</v>
      </c>
      <c r="F1377" s="24">
        <v>7.9540000000000004E-7</v>
      </c>
      <c r="J1377" s="24">
        <v>100000000000</v>
      </c>
      <c r="K1377" s="34"/>
      <c r="L1377" s="34"/>
      <c r="M1377" s="34"/>
      <c r="N1377" s="24">
        <v>1373</v>
      </c>
      <c r="O1377" s="29">
        <v>43087.944756944446</v>
      </c>
    </row>
    <row r="1378" spans="2:15" x14ac:dyDescent="0.25">
      <c r="B1378" s="24" t="s">
        <v>2454</v>
      </c>
      <c r="C1378" s="23" t="s">
        <v>520</v>
      </c>
      <c r="D1378" s="24" t="s">
        <v>1486</v>
      </c>
      <c r="E1378" s="24">
        <v>2.7270000000000001E-5</v>
      </c>
      <c r="F1378" s="24">
        <v>0.50883500000000004</v>
      </c>
      <c r="J1378" s="24">
        <v>38601187</v>
      </c>
      <c r="K1378" s="34"/>
      <c r="L1378" s="34"/>
      <c r="M1378" s="34"/>
      <c r="N1378" s="24">
        <v>1374</v>
      </c>
      <c r="O1378" s="29">
        <v>43087.59306712963</v>
      </c>
    </row>
    <row r="1379" spans="2:15" x14ac:dyDescent="0.25">
      <c r="B1379" s="24" t="s">
        <v>2787</v>
      </c>
      <c r="C1379" s="23" t="s">
        <v>909</v>
      </c>
      <c r="D1379" s="24" t="s">
        <v>1856</v>
      </c>
      <c r="E1379" s="24">
        <v>1E-8</v>
      </c>
      <c r="F1379" s="24">
        <v>1.6508199999999999E-4</v>
      </c>
      <c r="K1379" s="34"/>
      <c r="L1379" s="34"/>
      <c r="M1379" s="34">
        <v>-5.83</v>
      </c>
      <c r="N1379" s="24">
        <v>1375</v>
      </c>
      <c r="O1379" s="29">
        <v>43091.374374999999</v>
      </c>
    </row>
    <row r="1380" spans="2:15" x14ac:dyDescent="0.25">
      <c r="B1380" s="24" t="s">
        <v>2887</v>
      </c>
      <c r="C1380" s="23" t="s">
        <v>950</v>
      </c>
      <c r="D1380" s="24" t="s">
        <v>1894</v>
      </c>
      <c r="E1380" s="24">
        <v>4.8000000000000001E-2</v>
      </c>
      <c r="F1380" s="24">
        <v>674.30200000000002</v>
      </c>
      <c r="K1380" s="34"/>
      <c r="L1380" s="34">
        <v>0.8</v>
      </c>
      <c r="M1380" s="34"/>
      <c r="N1380" s="24">
        <v>1376</v>
      </c>
      <c r="O1380" s="29">
        <v>43094.863912037035</v>
      </c>
    </row>
    <row r="1381" spans="2:15" x14ac:dyDescent="0.25">
      <c r="B1381" s="24" t="s">
        <v>2867</v>
      </c>
      <c r="C1381" s="23" t="s">
        <v>892</v>
      </c>
      <c r="D1381" s="24" t="s">
        <v>1840</v>
      </c>
      <c r="E1381" s="24">
        <v>1.9999999999999999E-11</v>
      </c>
      <c r="F1381" s="24">
        <v>2.8099999999999999E-7</v>
      </c>
      <c r="K1381" s="34"/>
      <c r="L1381" s="34">
        <v>-2.06</v>
      </c>
      <c r="M1381" s="34"/>
      <c r="N1381" s="24">
        <v>1377</v>
      </c>
      <c r="O1381" s="29">
        <v>43095.520173611112</v>
      </c>
    </row>
    <row r="1382" spans="2:15" x14ac:dyDescent="0.25">
      <c r="B1382" s="24" t="s">
        <v>3497</v>
      </c>
      <c r="C1382" s="23" t="s">
        <v>3498</v>
      </c>
      <c r="D1382" s="24" t="s">
        <v>3498</v>
      </c>
      <c r="E1382" s="24">
        <v>4.0077999999999999E-4</v>
      </c>
      <c r="F1382" s="24">
        <v>6.9318999999999997</v>
      </c>
      <c r="J1382" s="24">
        <v>210000001</v>
      </c>
      <c r="K1382" s="34"/>
      <c r="L1382" s="34"/>
      <c r="M1382" s="34"/>
      <c r="N1382" s="24">
        <v>1378</v>
      </c>
      <c r="O1382" s="29">
        <v>43084.180196759262</v>
      </c>
    </row>
    <row r="1383" spans="2:15" x14ac:dyDescent="0.25">
      <c r="B1383" s="24" t="s">
        <v>2897</v>
      </c>
      <c r="C1383" s="23" t="s">
        <v>936</v>
      </c>
      <c r="D1383" s="24" t="s">
        <v>1882</v>
      </c>
      <c r="E1383" s="24">
        <v>8.9999999999999996E-7</v>
      </c>
      <c r="F1383" s="24">
        <v>1.6084999999999999E-2</v>
      </c>
      <c r="J1383" s="24">
        <v>50679817</v>
      </c>
      <c r="K1383" s="34"/>
      <c r="L1383" s="34"/>
      <c r="M1383" s="34"/>
      <c r="N1383" s="24">
        <v>1379</v>
      </c>
      <c r="O1383" s="29">
        <v>43085.294814814813</v>
      </c>
    </row>
    <row r="1384" spans="2:15" x14ac:dyDescent="0.25">
      <c r="B1384" s="24" t="s">
        <v>2844</v>
      </c>
      <c r="C1384" s="23" t="s">
        <v>965</v>
      </c>
      <c r="D1384" s="24" t="s">
        <v>1908</v>
      </c>
      <c r="E1384" s="24">
        <v>5.3000000000000001E-7</v>
      </c>
      <c r="F1384" s="24">
        <v>7.0771899999999997E-3</v>
      </c>
      <c r="J1384" s="24">
        <v>1378369</v>
      </c>
      <c r="K1384" s="34"/>
      <c r="L1384" s="34"/>
      <c r="M1384" s="34"/>
      <c r="N1384" s="24">
        <v>1380</v>
      </c>
      <c r="O1384" s="29">
        <v>43093.90934027778</v>
      </c>
    </row>
    <row r="1385" spans="2:15" x14ac:dyDescent="0.25">
      <c r="B1385" s="24" t="s">
        <v>2745</v>
      </c>
      <c r="C1385" s="23" t="s">
        <v>823</v>
      </c>
      <c r="D1385" s="24" t="s">
        <v>1196</v>
      </c>
      <c r="E1385" s="24">
        <v>4.7E-7</v>
      </c>
      <c r="F1385" s="24">
        <v>7.4484699999999996E-3</v>
      </c>
      <c r="J1385" s="24">
        <v>250000000</v>
      </c>
      <c r="K1385" s="34">
        <v>62.8</v>
      </c>
      <c r="L1385" s="34">
        <v>113.78</v>
      </c>
      <c r="M1385" s="34">
        <v>54.53</v>
      </c>
      <c r="N1385" s="24">
        <v>1381</v>
      </c>
      <c r="O1385" s="29">
        <v>43095.72861111111</v>
      </c>
    </row>
    <row r="1386" spans="2:15" x14ac:dyDescent="0.25">
      <c r="B1386" s="24" t="s">
        <v>3285</v>
      </c>
      <c r="C1386" s="23" t="s">
        <v>3286</v>
      </c>
      <c r="D1386" s="24" t="s">
        <v>3287</v>
      </c>
      <c r="E1386" s="24">
        <v>3.9999999999999998E-11</v>
      </c>
      <c r="F1386" s="24">
        <v>7.9540000000000004E-7</v>
      </c>
      <c r="J1386" s="24">
        <v>100000000000</v>
      </c>
      <c r="K1386" s="34"/>
      <c r="L1386" s="34"/>
      <c r="M1386" s="34"/>
      <c r="N1386" s="24">
        <v>1382</v>
      </c>
      <c r="O1386" s="29">
        <v>43087.944756944446</v>
      </c>
    </row>
    <row r="1387" spans="2:15" x14ac:dyDescent="0.25">
      <c r="K1387" s="34"/>
      <c r="L1387" s="34"/>
      <c r="M1387" s="34"/>
    </row>
    <row r="1388" spans="2:15" x14ac:dyDescent="0.25">
      <c r="K1388" s="34"/>
      <c r="L1388" s="34"/>
      <c r="M1388" s="34"/>
    </row>
    <row r="1389" spans="2:15" x14ac:dyDescent="0.25">
      <c r="K1389" s="34"/>
      <c r="L1389" s="34"/>
      <c r="M1389" s="34"/>
    </row>
    <row r="1390" spans="2:15" x14ac:dyDescent="0.25">
      <c r="K1390" s="34"/>
      <c r="L1390" s="34"/>
      <c r="M1390" s="34"/>
    </row>
    <row r="1391" spans="2:15" x14ac:dyDescent="0.25">
      <c r="K1391" s="34"/>
      <c r="L1391" s="34"/>
      <c r="M1391" s="34"/>
    </row>
    <row r="1392" spans="2:15" x14ac:dyDescent="0.25">
      <c r="K1392" s="34"/>
      <c r="L1392" s="34"/>
      <c r="M1392" s="34"/>
    </row>
    <row r="1393" spans="11:13" x14ac:dyDescent="0.25">
      <c r="K1393" s="34"/>
      <c r="L1393" s="34"/>
      <c r="M1393" s="34"/>
    </row>
    <row r="1394" spans="11:13" x14ac:dyDescent="0.25">
      <c r="K1394" s="34"/>
      <c r="L1394" s="34"/>
      <c r="M1394" s="34"/>
    </row>
    <row r="1395" spans="11:13" x14ac:dyDescent="0.25">
      <c r="K1395" s="34"/>
      <c r="L1395" s="34"/>
      <c r="M1395" s="34"/>
    </row>
    <row r="1396" spans="11:13" x14ac:dyDescent="0.25">
      <c r="K1396" s="34"/>
      <c r="L1396" s="34"/>
      <c r="M1396" s="34"/>
    </row>
    <row r="1397" spans="11:13" x14ac:dyDescent="0.25">
      <c r="K1397" s="34"/>
      <c r="L1397" s="34"/>
      <c r="M1397" s="34"/>
    </row>
    <row r="1398" spans="11:13" x14ac:dyDescent="0.25">
      <c r="K1398" s="34"/>
      <c r="L1398" s="34"/>
      <c r="M1398" s="34"/>
    </row>
    <row r="1399" spans="11:13" x14ac:dyDescent="0.25">
      <c r="K1399" s="34"/>
      <c r="L1399" s="34"/>
      <c r="M1399" s="34"/>
    </row>
    <row r="1400" spans="11:13" x14ac:dyDescent="0.25">
      <c r="K1400" s="34"/>
      <c r="L1400" s="34"/>
      <c r="M1400" s="34"/>
    </row>
    <row r="1401" spans="11:13" x14ac:dyDescent="0.25">
      <c r="K1401" s="34"/>
      <c r="L1401" s="34"/>
      <c r="M1401" s="34"/>
    </row>
    <row r="1402" spans="11:13" x14ac:dyDescent="0.25">
      <c r="K1402" s="34"/>
      <c r="L1402" s="34"/>
      <c r="M1402" s="34"/>
    </row>
    <row r="1403" spans="11:13" x14ac:dyDescent="0.25">
      <c r="K1403" s="34"/>
      <c r="L1403" s="34"/>
      <c r="M1403" s="34"/>
    </row>
    <row r="1404" spans="11:13" x14ac:dyDescent="0.25">
      <c r="K1404" s="34"/>
      <c r="L1404" s="34"/>
      <c r="M1404" s="34"/>
    </row>
    <row r="1405" spans="11:13" x14ac:dyDescent="0.25">
      <c r="K1405" s="34"/>
      <c r="L1405" s="34"/>
      <c r="M1405" s="34"/>
    </row>
    <row r="1406" spans="11:13" x14ac:dyDescent="0.25">
      <c r="K1406" s="34"/>
      <c r="L1406" s="34"/>
      <c r="M1406" s="34"/>
    </row>
    <row r="1407" spans="11:13" x14ac:dyDescent="0.25">
      <c r="K1407" s="34"/>
      <c r="L1407" s="34"/>
      <c r="M1407" s="34"/>
    </row>
    <row r="1408" spans="11:13" x14ac:dyDescent="0.25">
      <c r="K1408" s="34"/>
      <c r="L1408" s="34"/>
      <c r="M1408" s="34"/>
    </row>
    <row r="1409" spans="11:13" x14ac:dyDescent="0.25">
      <c r="K1409" s="34"/>
      <c r="L1409" s="34"/>
      <c r="M1409" s="34"/>
    </row>
    <row r="1410" spans="11:13" x14ac:dyDescent="0.25">
      <c r="K1410" s="34"/>
      <c r="L1410" s="34"/>
      <c r="M1410" s="34"/>
    </row>
    <row r="1411" spans="11:13" x14ac:dyDescent="0.25">
      <c r="K1411" s="34"/>
      <c r="L1411" s="34"/>
      <c r="M1411" s="34"/>
    </row>
    <row r="1412" spans="11:13" x14ac:dyDescent="0.25">
      <c r="K1412" s="34"/>
      <c r="L1412" s="34"/>
      <c r="M1412" s="34"/>
    </row>
    <row r="1413" spans="11:13" x14ac:dyDescent="0.25">
      <c r="K1413" s="34"/>
      <c r="L1413" s="34"/>
      <c r="M1413" s="34"/>
    </row>
    <row r="1414" spans="11:13" x14ac:dyDescent="0.25">
      <c r="K1414" s="34"/>
      <c r="L1414" s="34"/>
      <c r="M1414" s="34"/>
    </row>
    <row r="1415" spans="11:13" x14ac:dyDescent="0.25">
      <c r="K1415" s="34"/>
      <c r="L1415" s="34"/>
      <c r="M1415" s="34"/>
    </row>
    <row r="1416" spans="11:13" x14ac:dyDescent="0.25">
      <c r="K1416" s="34"/>
      <c r="L1416" s="34"/>
      <c r="M1416" s="34"/>
    </row>
    <row r="1417" spans="11:13" x14ac:dyDescent="0.25">
      <c r="K1417" s="34"/>
      <c r="L1417" s="34"/>
      <c r="M1417" s="34"/>
    </row>
    <row r="1418" spans="11:13" x14ac:dyDescent="0.25">
      <c r="K1418" s="34"/>
      <c r="L1418" s="34"/>
      <c r="M1418" s="34"/>
    </row>
    <row r="1419" spans="11:13" x14ac:dyDescent="0.25">
      <c r="K1419" s="34"/>
      <c r="L1419" s="34"/>
      <c r="M1419" s="34"/>
    </row>
    <row r="1420" spans="11:13" x14ac:dyDescent="0.25">
      <c r="K1420" s="34"/>
      <c r="L1420" s="34"/>
      <c r="M1420" s="34"/>
    </row>
    <row r="1421" spans="11:13" x14ac:dyDescent="0.25">
      <c r="K1421" s="34"/>
      <c r="L1421" s="34"/>
      <c r="M1421" s="34"/>
    </row>
    <row r="1422" spans="11:13" x14ac:dyDescent="0.25">
      <c r="K1422" s="34"/>
      <c r="L1422" s="34"/>
      <c r="M1422" s="34"/>
    </row>
    <row r="1423" spans="11:13" x14ac:dyDescent="0.25">
      <c r="K1423" s="34"/>
      <c r="L1423" s="34"/>
      <c r="M1423" s="34"/>
    </row>
    <row r="1424" spans="11:13" x14ac:dyDescent="0.25">
      <c r="K1424" s="34"/>
      <c r="L1424" s="34"/>
      <c r="M1424" s="34"/>
    </row>
    <row r="1425" spans="11:13" x14ac:dyDescent="0.25">
      <c r="K1425" s="34"/>
      <c r="L1425" s="34"/>
      <c r="M1425" s="34"/>
    </row>
    <row r="1426" spans="11:13" x14ac:dyDescent="0.25">
      <c r="K1426" s="34"/>
      <c r="L1426" s="34"/>
      <c r="M1426" s="34"/>
    </row>
    <row r="1427" spans="11:13" x14ac:dyDescent="0.25">
      <c r="K1427" s="34"/>
      <c r="L1427" s="34"/>
      <c r="M1427" s="34"/>
    </row>
    <row r="1428" spans="11:13" x14ac:dyDescent="0.25">
      <c r="K1428" s="34"/>
      <c r="L1428" s="34"/>
      <c r="M1428" s="34"/>
    </row>
    <row r="1429" spans="11:13" x14ac:dyDescent="0.25">
      <c r="K1429" s="34"/>
      <c r="L1429" s="34"/>
      <c r="M1429" s="34"/>
    </row>
    <row r="1430" spans="11:13" x14ac:dyDescent="0.25">
      <c r="K1430" s="34"/>
      <c r="L1430" s="34"/>
      <c r="M1430" s="34"/>
    </row>
    <row r="1431" spans="11:13" x14ac:dyDescent="0.25">
      <c r="K1431" s="34"/>
      <c r="L1431" s="34"/>
      <c r="M1431" s="34"/>
    </row>
    <row r="1432" spans="11:13" x14ac:dyDescent="0.25">
      <c r="K1432" s="34"/>
      <c r="L1432" s="34"/>
      <c r="M1432" s="34"/>
    </row>
    <row r="1433" spans="11:13" x14ac:dyDescent="0.25">
      <c r="K1433" s="34"/>
      <c r="L1433" s="34"/>
      <c r="M1433" s="34"/>
    </row>
    <row r="1434" spans="11:13" x14ac:dyDescent="0.25">
      <c r="K1434" s="34"/>
      <c r="L1434" s="34"/>
      <c r="M1434" s="34"/>
    </row>
    <row r="1435" spans="11:13" x14ac:dyDescent="0.25">
      <c r="K1435" s="34"/>
      <c r="L1435" s="34"/>
      <c r="M1435" s="34"/>
    </row>
    <row r="1436" spans="11:13" x14ac:dyDescent="0.25">
      <c r="K1436" s="34"/>
      <c r="L1436" s="34"/>
      <c r="M1436" s="34"/>
    </row>
    <row r="1437" spans="11:13" x14ac:dyDescent="0.25">
      <c r="K1437" s="34"/>
      <c r="L1437" s="34"/>
      <c r="M1437" s="34"/>
    </row>
    <row r="1438" spans="11:13" x14ac:dyDescent="0.25">
      <c r="K1438" s="34"/>
      <c r="L1438" s="34"/>
      <c r="M1438" s="34"/>
    </row>
    <row r="1439" spans="11:13" x14ac:dyDescent="0.25">
      <c r="K1439" s="34"/>
      <c r="L1439" s="34"/>
      <c r="M1439" s="34"/>
    </row>
    <row r="1440" spans="11:13" x14ac:dyDescent="0.25">
      <c r="K1440" s="34"/>
      <c r="L1440" s="34"/>
      <c r="M1440" s="34"/>
    </row>
    <row r="1441" spans="11:13" x14ac:dyDescent="0.25">
      <c r="K1441" s="34"/>
      <c r="L1441" s="34"/>
      <c r="M1441" s="34"/>
    </row>
    <row r="1442" spans="11:13" x14ac:dyDescent="0.25">
      <c r="K1442" s="34"/>
      <c r="L1442" s="34"/>
      <c r="M1442" s="34"/>
    </row>
    <row r="1443" spans="11:13" x14ac:dyDescent="0.25">
      <c r="K1443" s="34"/>
      <c r="L1443" s="34"/>
      <c r="M1443" s="34"/>
    </row>
    <row r="1444" spans="11:13" x14ac:dyDescent="0.25">
      <c r="K1444" s="34"/>
      <c r="L1444" s="34"/>
      <c r="M1444" s="34"/>
    </row>
    <row r="1445" spans="11:13" x14ac:dyDescent="0.25">
      <c r="K1445" s="34"/>
      <c r="L1445" s="34"/>
      <c r="M1445" s="34"/>
    </row>
    <row r="1446" spans="11:13" x14ac:dyDescent="0.25">
      <c r="K1446" s="34"/>
      <c r="L1446" s="34"/>
      <c r="M1446" s="34"/>
    </row>
    <row r="1447" spans="11:13" x14ac:dyDescent="0.25">
      <c r="K1447" s="34"/>
      <c r="L1447" s="34"/>
      <c r="M1447" s="34"/>
    </row>
    <row r="1448" spans="11:13" x14ac:dyDescent="0.25">
      <c r="K1448" s="34"/>
      <c r="L1448" s="34"/>
      <c r="M1448" s="34"/>
    </row>
    <row r="1449" spans="11:13" x14ac:dyDescent="0.25">
      <c r="K1449" s="34"/>
      <c r="L1449" s="34"/>
      <c r="M1449" s="34"/>
    </row>
    <row r="1450" spans="11:13" x14ac:dyDescent="0.25">
      <c r="K1450" s="34"/>
      <c r="L1450" s="34"/>
      <c r="M1450" s="34"/>
    </row>
    <row r="1451" spans="11:13" x14ac:dyDescent="0.25">
      <c r="K1451" s="34"/>
      <c r="L1451" s="34"/>
      <c r="M1451" s="34"/>
    </row>
    <row r="1452" spans="11:13" x14ac:dyDescent="0.25">
      <c r="K1452" s="34"/>
      <c r="L1452" s="34"/>
      <c r="M1452" s="34"/>
    </row>
    <row r="1453" spans="11:13" x14ac:dyDescent="0.25">
      <c r="K1453" s="34"/>
      <c r="L1453" s="34"/>
      <c r="M1453" s="34"/>
    </row>
    <row r="1454" spans="11:13" x14ac:dyDescent="0.25">
      <c r="K1454" s="34"/>
      <c r="L1454" s="34"/>
      <c r="M1454" s="34"/>
    </row>
    <row r="1455" spans="11:13" x14ac:dyDescent="0.25">
      <c r="K1455" s="34"/>
      <c r="L1455" s="34"/>
      <c r="M1455" s="34"/>
    </row>
    <row r="1456" spans="11:13" x14ac:dyDescent="0.25">
      <c r="K1456" s="34"/>
      <c r="L1456" s="34"/>
      <c r="M1456" s="34"/>
    </row>
    <row r="1457" spans="11:13" x14ac:dyDescent="0.25">
      <c r="K1457" s="34"/>
      <c r="L1457" s="34"/>
      <c r="M1457" s="34"/>
    </row>
    <row r="1458" spans="11:13" x14ac:dyDescent="0.25">
      <c r="K1458" s="34"/>
      <c r="L1458" s="34"/>
      <c r="M1458" s="34"/>
    </row>
    <row r="1459" spans="11:13" x14ac:dyDescent="0.25">
      <c r="K1459" s="34"/>
      <c r="L1459" s="34"/>
      <c r="M1459" s="34"/>
    </row>
    <row r="1460" spans="11:13" x14ac:dyDescent="0.25">
      <c r="K1460" s="34"/>
      <c r="L1460" s="34"/>
      <c r="M1460" s="34"/>
    </row>
    <row r="1461" spans="11:13" x14ac:dyDescent="0.25">
      <c r="K1461" s="34"/>
      <c r="L1461" s="34"/>
      <c r="M1461" s="34"/>
    </row>
    <row r="1462" spans="11:13" x14ac:dyDescent="0.25">
      <c r="K1462" s="34"/>
      <c r="L1462" s="34"/>
      <c r="M1462" s="34"/>
    </row>
    <row r="1463" spans="11:13" x14ac:dyDescent="0.25">
      <c r="K1463" s="34"/>
      <c r="L1463" s="34"/>
      <c r="M1463" s="34"/>
    </row>
    <row r="1464" spans="11:13" x14ac:dyDescent="0.25">
      <c r="K1464" s="34"/>
      <c r="L1464" s="34"/>
      <c r="M1464" s="34"/>
    </row>
    <row r="1465" spans="11:13" x14ac:dyDescent="0.25">
      <c r="K1465" s="34"/>
      <c r="L1465" s="34"/>
      <c r="M1465" s="34"/>
    </row>
    <row r="1466" spans="11:13" x14ac:dyDescent="0.25">
      <c r="K1466" s="34"/>
      <c r="L1466" s="34"/>
      <c r="M1466" s="34"/>
    </row>
    <row r="1467" spans="11:13" x14ac:dyDescent="0.25">
      <c r="K1467" s="34"/>
      <c r="L1467" s="34"/>
      <c r="M1467" s="34"/>
    </row>
    <row r="1468" spans="11:13" x14ac:dyDescent="0.25">
      <c r="K1468" s="34"/>
      <c r="L1468" s="34"/>
      <c r="M1468" s="34"/>
    </row>
    <row r="1469" spans="11:13" x14ac:dyDescent="0.25">
      <c r="K1469" s="34"/>
      <c r="L1469" s="34"/>
      <c r="M1469" s="34"/>
    </row>
    <row r="1470" spans="11:13" x14ac:dyDescent="0.25">
      <c r="K1470" s="34"/>
      <c r="L1470" s="34"/>
      <c r="M1470" s="34"/>
    </row>
    <row r="1471" spans="11:13" x14ac:dyDescent="0.25">
      <c r="K1471" s="34"/>
      <c r="L1471" s="34"/>
      <c r="M1471" s="34"/>
    </row>
    <row r="1472" spans="11:13" x14ac:dyDescent="0.25">
      <c r="K1472" s="34"/>
      <c r="L1472" s="34"/>
      <c r="M1472" s="34"/>
    </row>
    <row r="1473" spans="11:13" x14ac:dyDescent="0.25">
      <c r="K1473" s="34"/>
      <c r="L1473" s="34"/>
      <c r="M1473" s="34"/>
    </row>
    <row r="1474" spans="11:13" x14ac:dyDescent="0.25">
      <c r="K1474" s="34"/>
      <c r="L1474" s="34"/>
      <c r="M1474" s="34"/>
    </row>
    <row r="1475" spans="11:13" x14ac:dyDescent="0.25">
      <c r="K1475" s="34"/>
      <c r="L1475" s="34"/>
      <c r="M1475" s="34"/>
    </row>
    <row r="1476" spans="11:13" x14ac:dyDescent="0.25">
      <c r="K1476" s="34"/>
      <c r="L1476" s="34"/>
      <c r="M1476" s="34"/>
    </row>
    <row r="1477" spans="11:13" x14ac:dyDescent="0.25">
      <c r="K1477" s="34"/>
      <c r="L1477" s="34"/>
      <c r="M1477" s="34"/>
    </row>
    <row r="1478" spans="11:13" x14ac:dyDescent="0.25">
      <c r="K1478" s="34"/>
      <c r="L1478" s="34"/>
      <c r="M1478" s="34"/>
    </row>
    <row r="1479" spans="11:13" x14ac:dyDescent="0.25">
      <c r="K1479" s="34"/>
      <c r="L1479" s="34"/>
      <c r="M1479" s="34"/>
    </row>
    <row r="1480" spans="11:13" x14ac:dyDescent="0.25">
      <c r="K1480" s="34"/>
      <c r="L1480" s="34"/>
      <c r="M1480" s="34"/>
    </row>
    <row r="1481" spans="11:13" x14ac:dyDescent="0.25">
      <c r="K1481" s="34"/>
      <c r="L1481" s="34"/>
      <c r="M1481" s="34"/>
    </row>
    <row r="1482" spans="11:13" x14ac:dyDescent="0.25">
      <c r="K1482" s="34"/>
      <c r="L1482" s="34"/>
      <c r="M1482" s="34"/>
    </row>
    <row r="1483" spans="11:13" x14ac:dyDescent="0.25">
      <c r="K1483" s="34"/>
      <c r="L1483" s="34"/>
      <c r="M1483" s="34"/>
    </row>
    <row r="1484" spans="11:13" x14ac:dyDescent="0.25">
      <c r="K1484" s="34"/>
      <c r="L1484" s="34"/>
      <c r="M1484" s="34"/>
    </row>
    <row r="1485" spans="11:13" x14ac:dyDescent="0.25">
      <c r="K1485" s="34"/>
      <c r="L1485" s="34"/>
      <c r="M1485" s="34"/>
    </row>
    <row r="1486" spans="11:13" x14ac:dyDescent="0.25">
      <c r="K1486" s="34"/>
      <c r="L1486" s="34"/>
      <c r="M1486" s="34"/>
    </row>
    <row r="1487" spans="11:13" x14ac:dyDescent="0.25">
      <c r="K1487" s="34"/>
      <c r="L1487" s="34"/>
      <c r="M1487" s="34"/>
    </row>
    <row r="1488" spans="11:13" x14ac:dyDescent="0.25">
      <c r="K1488" s="34"/>
      <c r="L1488" s="34"/>
      <c r="M1488" s="34"/>
    </row>
    <row r="1489" spans="11:13" x14ac:dyDescent="0.25">
      <c r="K1489" s="34"/>
      <c r="L1489" s="34"/>
      <c r="M1489" s="34"/>
    </row>
    <row r="1490" spans="11:13" x14ac:dyDescent="0.25">
      <c r="K1490" s="34"/>
      <c r="L1490" s="34"/>
      <c r="M1490" s="34"/>
    </row>
    <row r="1491" spans="11:13" x14ac:dyDescent="0.25">
      <c r="K1491" s="34"/>
      <c r="L1491" s="34"/>
      <c r="M1491" s="34"/>
    </row>
    <row r="1492" spans="11:13" x14ac:dyDescent="0.25">
      <c r="K1492" s="34"/>
      <c r="L1492" s="34"/>
      <c r="M1492" s="34"/>
    </row>
    <row r="1493" spans="11:13" x14ac:dyDescent="0.25">
      <c r="K1493" s="34"/>
      <c r="L1493" s="34"/>
      <c r="M1493" s="34"/>
    </row>
    <row r="1494" spans="11:13" x14ac:dyDescent="0.25">
      <c r="K1494" s="34"/>
      <c r="L1494" s="34"/>
      <c r="M1494" s="34"/>
    </row>
    <row r="1495" spans="11:13" x14ac:dyDescent="0.25">
      <c r="K1495" s="34"/>
      <c r="L1495" s="34"/>
      <c r="M1495" s="34"/>
    </row>
    <row r="1496" spans="11:13" x14ac:dyDescent="0.25">
      <c r="K1496" s="34"/>
      <c r="L1496" s="34"/>
      <c r="M1496" s="34"/>
    </row>
    <row r="1497" spans="11:13" x14ac:dyDescent="0.25">
      <c r="K1497" s="34"/>
      <c r="L1497" s="34"/>
      <c r="M1497" s="34"/>
    </row>
    <row r="1498" spans="11:13" x14ac:dyDescent="0.25">
      <c r="K1498" s="34"/>
      <c r="L1498" s="34"/>
      <c r="M1498" s="34"/>
    </row>
    <row r="1499" spans="11:13" x14ac:dyDescent="0.25">
      <c r="K1499" s="34"/>
      <c r="L1499" s="34"/>
      <c r="M1499" s="34"/>
    </row>
    <row r="1500" spans="11:13" x14ac:dyDescent="0.25">
      <c r="K1500" s="34"/>
      <c r="L1500" s="34"/>
      <c r="M1500" s="34"/>
    </row>
    <row r="1501" spans="11:13" x14ac:dyDescent="0.25">
      <c r="K1501" s="34"/>
      <c r="L1501" s="34"/>
      <c r="M1501" s="34"/>
    </row>
    <row r="1502" spans="11:13" x14ac:dyDescent="0.25">
      <c r="K1502" s="34"/>
      <c r="L1502" s="34"/>
      <c r="M1502" s="34"/>
    </row>
    <row r="1503" spans="11:13" x14ac:dyDescent="0.25">
      <c r="K1503" s="34"/>
      <c r="L1503" s="34"/>
      <c r="M1503" s="34"/>
    </row>
    <row r="1504" spans="11:13" x14ac:dyDescent="0.25">
      <c r="K1504" s="34"/>
      <c r="L1504" s="34"/>
      <c r="M1504" s="34"/>
    </row>
    <row r="1505" spans="11:13" x14ac:dyDescent="0.25">
      <c r="K1505" s="34"/>
      <c r="L1505" s="34"/>
      <c r="M1505" s="34"/>
    </row>
    <row r="1506" spans="11:13" x14ac:dyDescent="0.25">
      <c r="K1506" s="34"/>
      <c r="L1506" s="34"/>
      <c r="M1506" s="34"/>
    </row>
    <row r="1507" spans="11:13" x14ac:dyDescent="0.25">
      <c r="K1507" s="34"/>
      <c r="L1507" s="34"/>
      <c r="M1507" s="34"/>
    </row>
    <row r="1508" spans="11:13" x14ac:dyDescent="0.25">
      <c r="K1508" s="34"/>
      <c r="L1508" s="34"/>
      <c r="M1508" s="34"/>
    </row>
    <row r="1509" spans="11:13" x14ac:dyDescent="0.25">
      <c r="K1509" s="34"/>
      <c r="L1509" s="34"/>
      <c r="M1509" s="34"/>
    </row>
    <row r="1510" spans="11:13" x14ac:dyDescent="0.25">
      <c r="K1510" s="34"/>
      <c r="L1510" s="34"/>
      <c r="M1510" s="34"/>
    </row>
    <row r="1511" spans="11:13" x14ac:dyDescent="0.25">
      <c r="K1511" s="34"/>
      <c r="L1511" s="34"/>
      <c r="M1511" s="34"/>
    </row>
    <row r="1512" spans="11:13" x14ac:dyDescent="0.25">
      <c r="K1512" s="34"/>
      <c r="L1512" s="34"/>
      <c r="M1512" s="34"/>
    </row>
    <row r="1513" spans="11:13" x14ac:dyDescent="0.25">
      <c r="K1513" s="34"/>
      <c r="L1513" s="34"/>
      <c r="M1513" s="34"/>
    </row>
    <row r="1514" spans="11:13" x14ac:dyDescent="0.25">
      <c r="K1514" s="34"/>
      <c r="L1514" s="34"/>
      <c r="M1514" s="34"/>
    </row>
    <row r="1515" spans="11:13" x14ac:dyDescent="0.25">
      <c r="K1515" s="34"/>
      <c r="L1515" s="34"/>
      <c r="M1515" s="34"/>
    </row>
    <row r="1516" spans="11:13" x14ac:dyDescent="0.25">
      <c r="K1516" s="34"/>
      <c r="L1516" s="34"/>
      <c r="M1516" s="34"/>
    </row>
    <row r="1517" spans="11:13" x14ac:dyDescent="0.25">
      <c r="K1517" s="34"/>
      <c r="L1517" s="34"/>
      <c r="M1517" s="34"/>
    </row>
    <row r="1518" spans="11:13" x14ac:dyDescent="0.25">
      <c r="K1518" s="34"/>
      <c r="L1518" s="34"/>
      <c r="M1518" s="34"/>
    </row>
    <row r="1519" spans="11:13" x14ac:dyDescent="0.25">
      <c r="K1519" s="34"/>
      <c r="L1519" s="34"/>
      <c r="M1519" s="34"/>
    </row>
    <row r="1520" spans="11:13" x14ac:dyDescent="0.25">
      <c r="K1520" s="34"/>
      <c r="L1520" s="34"/>
      <c r="M1520" s="34"/>
    </row>
    <row r="1521" spans="11:13" x14ac:dyDescent="0.25">
      <c r="K1521" s="34"/>
      <c r="L1521" s="34"/>
      <c r="M1521" s="34"/>
    </row>
    <row r="1522" spans="11:13" x14ac:dyDescent="0.25">
      <c r="K1522" s="34"/>
      <c r="L1522" s="34"/>
      <c r="M1522" s="34"/>
    </row>
    <row r="1523" spans="11:13" x14ac:dyDescent="0.25">
      <c r="K1523" s="34"/>
      <c r="L1523" s="34"/>
      <c r="M1523" s="34"/>
    </row>
    <row r="1524" spans="11:13" x14ac:dyDescent="0.25">
      <c r="K1524" s="34"/>
      <c r="L1524" s="34"/>
      <c r="M1524" s="34"/>
    </row>
    <row r="1525" spans="11:13" x14ac:dyDescent="0.25">
      <c r="K1525" s="34"/>
      <c r="L1525" s="34"/>
      <c r="M1525" s="34"/>
    </row>
    <row r="1526" spans="11:13" x14ac:dyDescent="0.25">
      <c r="K1526" s="34"/>
      <c r="L1526" s="34"/>
      <c r="M1526" s="34"/>
    </row>
    <row r="1527" spans="11:13" x14ac:dyDescent="0.25">
      <c r="K1527" s="34"/>
      <c r="L1527" s="34"/>
      <c r="M1527" s="34"/>
    </row>
    <row r="1528" spans="11:13" x14ac:dyDescent="0.25">
      <c r="K1528" s="34"/>
      <c r="L1528" s="34"/>
      <c r="M1528" s="34"/>
    </row>
    <row r="1529" spans="11:13" x14ac:dyDescent="0.25">
      <c r="K1529" s="34"/>
      <c r="L1529" s="34"/>
      <c r="M1529" s="34"/>
    </row>
    <row r="1530" spans="11:13" x14ac:dyDescent="0.25">
      <c r="K1530" s="34"/>
      <c r="L1530" s="34"/>
      <c r="M1530" s="34"/>
    </row>
    <row r="1531" spans="11:13" x14ac:dyDescent="0.25">
      <c r="K1531" s="34"/>
      <c r="L1531" s="34"/>
      <c r="M1531" s="34"/>
    </row>
    <row r="1532" spans="11:13" x14ac:dyDescent="0.25">
      <c r="K1532" s="34"/>
      <c r="L1532" s="34"/>
      <c r="M1532" s="34"/>
    </row>
    <row r="1533" spans="11:13" x14ac:dyDescent="0.25">
      <c r="K1533" s="34"/>
      <c r="L1533" s="34"/>
      <c r="M1533" s="34"/>
    </row>
    <row r="1534" spans="11:13" x14ac:dyDescent="0.25">
      <c r="K1534" s="34"/>
      <c r="L1534" s="34"/>
      <c r="M1534" s="34"/>
    </row>
    <row r="1535" spans="11:13" x14ac:dyDescent="0.25">
      <c r="K1535" s="34"/>
      <c r="L1535" s="34"/>
      <c r="M1535" s="34"/>
    </row>
    <row r="1536" spans="11:13" x14ac:dyDescent="0.25">
      <c r="K1536" s="34"/>
      <c r="L1536" s="34"/>
      <c r="M1536" s="34"/>
    </row>
  </sheetData>
  <sheetProtection algorithmName="SHA-512" hashValue="Ly0ZzPhAyq10pdlQEYKM6J8Cv6FW0uCLDGWtTXmMo4QwDbYFAMp3CGwXQhkYI3VFJnehc/KJMy0lLbuqfobiyw==" saltValue="e8KMsNNq6gjDyMay2/yQtg==" spinCount="100000" sheet="1" objects="1" scenarios="1" autoFilter="0"/>
  <autoFilter ref="B4:O1173">
    <sortState ref="B5:O1111">
      <sortCondition descending="1" ref="C4:C1111"/>
    </sortState>
  </autoFilter>
  <conditionalFormatting sqref="K5:M1536">
    <cfRule type="cellIs" dxfId="1" priority="1" operator="lessThan">
      <formula>0</formula>
    </cfRule>
    <cfRule type="cellIs" dxfId="0" priority="2" operator="greaterThan">
      <formula>0</formula>
    </cfRule>
  </conditionalFormatting>
  <hyperlinks>
    <hyperlink ref="C6" r:id="rId1"/>
    <hyperlink ref="C7" r:id="rId2"/>
    <hyperlink ref="C8" r:id="rId3"/>
    <hyperlink ref="C9" r:id="rId4"/>
    <hyperlink ref="C10" r:id="rId5"/>
    <hyperlink ref="C11" r:id="rId6"/>
    <hyperlink ref="C12" r:id="rId7"/>
    <hyperlink ref="C13" r:id="rId8"/>
    <hyperlink ref="C14" r:id="rId9"/>
    <hyperlink ref="C15" r:id="rId10"/>
    <hyperlink ref="C16" r:id="rId11"/>
    <hyperlink ref="C17" r:id="rId12"/>
    <hyperlink ref="C18" r:id="rId13"/>
    <hyperlink ref="C19" r:id="rId14"/>
    <hyperlink ref="C20" r:id="rId15"/>
    <hyperlink ref="C21" r:id="rId16"/>
    <hyperlink ref="C22" r:id="rId17"/>
    <hyperlink ref="C23" r:id="rId18"/>
    <hyperlink ref="C24" r:id="rId19"/>
    <hyperlink ref="C25" r:id="rId20"/>
    <hyperlink ref="C26" r:id="rId21"/>
    <hyperlink ref="C27" r:id="rId22"/>
    <hyperlink ref="C28" r:id="rId23"/>
    <hyperlink ref="C29" r:id="rId24"/>
    <hyperlink ref="C30" r:id="rId25"/>
    <hyperlink ref="C31" r:id="rId26"/>
    <hyperlink ref="C32" r:id="rId27"/>
    <hyperlink ref="C33" r:id="rId28"/>
    <hyperlink ref="C34" r:id="rId29"/>
    <hyperlink ref="C35" r:id="rId30"/>
    <hyperlink ref="C36" r:id="rId31"/>
    <hyperlink ref="C37" r:id="rId32"/>
    <hyperlink ref="C38" r:id="rId33"/>
    <hyperlink ref="C39" r:id="rId34"/>
    <hyperlink ref="C40" r:id="rId35"/>
    <hyperlink ref="C41" r:id="rId36"/>
    <hyperlink ref="C42" r:id="rId37"/>
    <hyperlink ref="C43" r:id="rId38"/>
    <hyperlink ref="C44" r:id="rId39"/>
    <hyperlink ref="C45" r:id="rId40"/>
    <hyperlink ref="C46" r:id="rId41"/>
    <hyperlink ref="C47" r:id="rId42"/>
    <hyperlink ref="C48" r:id="rId43"/>
    <hyperlink ref="C49" r:id="rId44"/>
    <hyperlink ref="C50" r:id="rId45"/>
    <hyperlink ref="C51" r:id="rId46"/>
    <hyperlink ref="C52" r:id="rId47"/>
    <hyperlink ref="C53" r:id="rId48"/>
    <hyperlink ref="C54" r:id="rId49"/>
    <hyperlink ref="C55" r:id="rId50"/>
    <hyperlink ref="C56" r:id="rId51"/>
    <hyperlink ref="C57" r:id="rId52"/>
    <hyperlink ref="C58" r:id="rId53"/>
    <hyperlink ref="C59" r:id="rId54"/>
    <hyperlink ref="C60" r:id="rId55"/>
    <hyperlink ref="C61" r:id="rId56"/>
    <hyperlink ref="C62" r:id="rId57"/>
    <hyperlink ref="C63" r:id="rId58"/>
    <hyperlink ref="C64" r:id="rId59"/>
    <hyperlink ref="C65" r:id="rId60"/>
    <hyperlink ref="C66" r:id="rId61"/>
    <hyperlink ref="C67" r:id="rId62"/>
    <hyperlink ref="C68" r:id="rId63"/>
    <hyperlink ref="C69" r:id="rId64"/>
    <hyperlink ref="C70" r:id="rId65"/>
    <hyperlink ref="C71" r:id="rId66"/>
    <hyperlink ref="C72" r:id="rId67"/>
    <hyperlink ref="C73" r:id="rId68"/>
    <hyperlink ref="C74" r:id="rId69"/>
    <hyperlink ref="C75" r:id="rId70"/>
    <hyperlink ref="C76" r:id="rId71"/>
    <hyperlink ref="C77" r:id="rId72"/>
    <hyperlink ref="C78" r:id="rId73"/>
    <hyperlink ref="C79" r:id="rId74"/>
    <hyperlink ref="C80" r:id="rId75"/>
    <hyperlink ref="C81" r:id="rId76"/>
    <hyperlink ref="C82" r:id="rId77"/>
    <hyperlink ref="C83" r:id="rId78"/>
    <hyperlink ref="C84" r:id="rId79"/>
    <hyperlink ref="C85" r:id="rId80"/>
    <hyperlink ref="C86" r:id="rId81"/>
    <hyperlink ref="C87" r:id="rId82"/>
    <hyperlink ref="C88" r:id="rId83"/>
    <hyperlink ref="C89" r:id="rId84"/>
    <hyperlink ref="C90" r:id="rId85"/>
    <hyperlink ref="C91" r:id="rId86"/>
    <hyperlink ref="C92" r:id="rId87"/>
    <hyperlink ref="C93" r:id="rId88"/>
    <hyperlink ref="C94" r:id="rId89"/>
    <hyperlink ref="C95" r:id="rId90"/>
    <hyperlink ref="C96" r:id="rId91"/>
    <hyperlink ref="C97" r:id="rId92"/>
    <hyperlink ref="C98" r:id="rId93"/>
    <hyperlink ref="C99" r:id="rId94"/>
    <hyperlink ref="C100" r:id="rId95"/>
    <hyperlink ref="C101" r:id="rId96"/>
    <hyperlink ref="C102" r:id="rId97"/>
    <hyperlink ref="C103" r:id="rId98"/>
    <hyperlink ref="C104" r:id="rId99"/>
    <hyperlink ref="C105" r:id="rId100"/>
    <hyperlink ref="C106" r:id="rId101"/>
    <hyperlink ref="C107" r:id="rId102"/>
    <hyperlink ref="C108" r:id="rId103"/>
    <hyperlink ref="C109" r:id="rId104"/>
    <hyperlink ref="C110" r:id="rId105"/>
    <hyperlink ref="C111" r:id="rId106"/>
    <hyperlink ref="C112" r:id="rId107"/>
    <hyperlink ref="C113" r:id="rId108"/>
    <hyperlink ref="C114" r:id="rId109"/>
    <hyperlink ref="C115" r:id="rId110"/>
    <hyperlink ref="C116" r:id="rId111"/>
    <hyperlink ref="C117" r:id="rId112"/>
    <hyperlink ref="C118" r:id="rId113"/>
    <hyperlink ref="C119" r:id="rId114"/>
    <hyperlink ref="C120" r:id="rId115"/>
    <hyperlink ref="C121" r:id="rId116"/>
    <hyperlink ref="C122" r:id="rId117"/>
    <hyperlink ref="C123" r:id="rId118"/>
    <hyperlink ref="C124" r:id="rId119"/>
    <hyperlink ref="C125" r:id="rId120"/>
    <hyperlink ref="C126" r:id="rId121"/>
    <hyperlink ref="C127" r:id="rId122"/>
    <hyperlink ref="C128" r:id="rId123"/>
    <hyperlink ref="C129" r:id="rId124"/>
    <hyperlink ref="C130" r:id="rId125"/>
    <hyperlink ref="C131" r:id="rId126"/>
    <hyperlink ref="C132" r:id="rId127"/>
    <hyperlink ref="C133" r:id="rId128"/>
    <hyperlink ref="C134" r:id="rId129"/>
    <hyperlink ref="C135" r:id="rId130"/>
    <hyperlink ref="C136" r:id="rId131"/>
    <hyperlink ref="C137" r:id="rId132"/>
    <hyperlink ref="C138" r:id="rId133"/>
    <hyperlink ref="C139" r:id="rId134"/>
    <hyperlink ref="C140" r:id="rId135"/>
    <hyperlink ref="C141" r:id="rId136"/>
    <hyperlink ref="C142" r:id="rId137"/>
    <hyperlink ref="C143" r:id="rId138"/>
    <hyperlink ref="C144" r:id="rId139"/>
    <hyperlink ref="C145" r:id="rId140"/>
    <hyperlink ref="C146" r:id="rId141"/>
    <hyperlink ref="C147" r:id="rId142"/>
    <hyperlink ref="C148" r:id="rId143"/>
    <hyperlink ref="C149" r:id="rId144"/>
    <hyperlink ref="C150" r:id="rId145"/>
    <hyperlink ref="C151" r:id="rId146"/>
    <hyperlink ref="C152" r:id="rId147"/>
    <hyperlink ref="C153" r:id="rId148"/>
    <hyperlink ref="C154" r:id="rId149"/>
    <hyperlink ref="C155" r:id="rId150"/>
    <hyperlink ref="C156" r:id="rId151"/>
    <hyperlink ref="C157" r:id="rId152"/>
    <hyperlink ref="C158" r:id="rId153"/>
    <hyperlink ref="C159" r:id="rId154"/>
    <hyperlink ref="C160" r:id="rId155"/>
    <hyperlink ref="C161" r:id="rId156"/>
    <hyperlink ref="C162" r:id="rId157"/>
    <hyperlink ref="C163" r:id="rId158"/>
    <hyperlink ref="C164" r:id="rId159"/>
    <hyperlink ref="C165" r:id="rId160"/>
    <hyperlink ref="C166" r:id="rId161"/>
    <hyperlink ref="C167" r:id="rId162"/>
    <hyperlink ref="C168" r:id="rId163"/>
    <hyperlink ref="C169" r:id="rId164"/>
    <hyperlink ref="C170" r:id="rId165"/>
    <hyperlink ref="C171" r:id="rId166"/>
    <hyperlink ref="C172" r:id="rId167"/>
    <hyperlink ref="C173" r:id="rId168"/>
    <hyperlink ref="C174" r:id="rId169"/>
    <hyperlink ref="C175" r:id="rId170"/>
    <hyperlink ref="C176" r:id="rId171"/>
    <hyperlink ref="C177" r:id="rId172"/>
    <hyperlink ref="C178" r:id="rId173"/>
    <hyperlink ref="C179" r:id="rId174"/>
    <hyperlink ref="C180" r:id="rId175"/>
    <hyperlink ref="C181" r:id="rId176"/>
    <hyperlink ref="C182" r:id="rId177"/>
    <hyperlink ref="C183" r:id="rId178"/>
    <hyperlink ref="C184" r:id="rId179"/>
    <hyperlink ref="C185" r:id="rId180"/>
    <hyperlink ref="C186" r:id="rId181"/>
    <hyperlink ref="C187" r:id="rId182"/>
    <hyperlink ref="C188" r:id="rId183"/>
    <hyperlink ref="C189" r:id="rId184"/>
    <hyperlink ref="C190" r:id="rId185"/>
    <hyperlink ref="C191" r:id="rId186"/>
    <hyperlink ref="C192" r:id="rId187"/>
    <hyperlink ref="C193" r:id="rId188"/>
    <hyperlink ref="C194" r:id="rId189"/>
    <hyperlink ref="C195" r:id="rId190"/>
    <hyperlink ref="C196" r:id="rId191"/>
    <hyperlink ref="C197" r:id="rId192"/>
    <hyperlink ref="C198" r:id="rId193"/>
    <hyperlink ref="C199" r:id="rId194"/>
    <hyperlink ref="C200" r:id="rId195"/>
    <hyperlink ref="C201" r:id="rId196"/>
    <hyperlink ref="C202" r:id="rId197"/>
    <hyperlink ref="C203" r:id="rId198"/>
    <hyperlink ref="C204" r:id="rId199"/>
    <hyperlink ref="C205" r:id="rId200"/>
    <hyperlink ref="C206" r:id="rId201"/>
    <hyperlink ref="C207" r:id="rId202"/>
    <hyperlink ref="C208" r:id="rId203"/>
    <hyperlink ref="C209" r:id="rId204"/>
    <hyperlink ref="C210" r:id="rId205"/>
    <hyperlink ref="C211" r:id="rId206"/>
    <hyperlink ref="C212" r:id="rId207"/>
    <hyperlink ref="C213" r:id="rId208"/>
    <hyperlink ref="C214" r:id="rId209"/>
    <hyperlink ref="C215" r:id="rId210"/>
    <hyperlink ref="C216" r:id="rId211"/>
    <hyperlink ref="C217" r:id="rId212"/>
    <hyperlink ref="C218" r:id="rId213"/>
    <hyperlink ref="C219" r:id="rId214"/>
    <hyperlink ref="C220" r:id="rId215"/>
    <hyperlink ref="C221" r:id="rId216"/>
    <hyperlink ref="C222" r:id="rId217"/>
    <hyperlink ref="C223" r:id="rId218"/>
    <hyperlink ref="C224" r:id="rId219"/>
    <hyperlink ref="C225" r:id="rId220"/>
    <hyperlink ref="C226" r:id="rId221"/>
    <hyperlink ref="C227" r:id="rId222"/>
    <hyperlink ref="C228" r:id="rId223"/>
    <hyperlink ref="C229" r:id="rId224"/>
    <hyperlink ref="C230" r:id="rId225"/>
    <hyperlink ref="C231" r:id="rId226"/>
    <hyperlink ref="C232" r:id="rId227"/>
    <hyperlink ref="C233" r:id="rId228"/>
    <hyperlink ref="C234" r:id="rId229"/>
    <hyperlink ref="C235" r:id="rId230"/>
    <hyperlink ref="C236" r:id="rId231"/>
    <hyperlink ref="C237" r:id="rId232"/>
    <hyperlink ref="C238" r:id="rId233"/>
    <hyperlink ref="C239" r:id="rId234"/>
    <hyperlink ref="C240" r:id="rId235"/>
    <hyperlink ref="C241" r:id="rId236"/>
    <hyperlink ref="C242" r:id="rId237"/>
    <hyperlink ref="C243" r:id="rId238"/>
    <hyperlink ref="C244" r:id="rId239"/>
    <hyperlink ref="C245" r:id="rId240"/>
    <hyperlink ref="C246" r:id="rId241"/>
    <hyperlink ref="C247" r:id="rId242"/>
    <hyperlink ref="C248" r:id="rId243"/>
    <hyperlink ref="C249" r:id="rId244"/>
    <hyperlink ref="C250" r:id="rId245"/>
    <hyperlink ref="C251" r:id="rId246"/>
    <hyperlink ref="C252" r:id="rId247"/>
    <hyperlink ref="C253" r:id="rId248"/>
    <hyperlink ref="C254" r:id="rId249"/>
    <hyperlink ref="C255" r:id="rId250"/>
    <hyperlink ref="C256" r:id="rId251"/>
    <hyperlink ref="C257" r:id="rId252"/>
    <hyperlink ref="C258" r:id="rId253"/>
    <hyperlink ref="C259" r:id="rId254"/>
    <hyperlink ref="C260" r:id="rId255"/>
    <hyperlink ref="C261" r:id="rId256"/>
    <hyperlink ref="C262" r:id="rId257"/>
    <hyperlink ref="C263" r:id="rId258"/>
    <hyperlink ref="C264" r:id="rId259"/>
    <hyperlink ref="C265" r:id="rId260"/>
    <hyperlink ref="C266" r:id="rId261"/>
    <hyperlink ref="C267" r:id="rId262"/>
    <hyperlink ref="C268" r:id="rId263"/>
    <hyperlink ref="C269" r:id="rId264"/>
    <hyperlink ref="C270" r:id="rId265"/>
    <hyperlink ref="C271" r:id="rId266"/>
    <hyperlink ref="C272" r:id="rId267"/>
    <hyperlink ref="C273" r:id="rId268"/>
    <hyperlink ref="C274" r:id="rId269"/>
    <hyperlink ref="C275" r:id="rId270"/>
    <hyperlink ref="C276" r:id="rId271"/>
    <hyperlink ref="C277" r:id="rId272"/>
    <hyperlink ref="C278" r:id="rId273"/>
    <hyperlink ref="C279" r:id="rId274"/>
    <hyperlink ref="C280" r:id="rId275"/>
    <hyperlink ref="C281" r:id="rId276"/>
    <hyperlink ref="C282" r:id="rId277"/>
    <hyperlink ref="C283" r:id="rId278"/>
    <hyperlink ref="C284" r:id="rId279"/>
    <hyperlink ref="C285" r:id="rId280"/>
    <hyperlink ref="C286" r:id="rId281"/>
    <hyperlink ref="C287" r:id="rId282"/>
    <hyperlink ref="C288" r:id="rId283"/>
    <hyperlink ref="C289" r:id="rId284"/>
    <hyperlink ref="C290" r:id="rId285"/>
    <hyperlink ref="C291" r:id="rId286"/>
    <hyperlink ref="C292" r:id="rId287"/>
    <hyperlink ref="C293" r:id="rId288"/>
    <hyperlink ref="C294" r:id="rId289"/>
    <hyperlink ref="C295" r:id="rId290"/>
    <hyperlink ref="C296" r:id="rId291"/>
    <hyperlink ref="C297" r:id="rId292"/>
    <hyperlink ref="C298" r:id="rId293"/>
    <hyperlink ref="C299" r:id="rId294"/>
    <hyperlink ref="C300" r:id="rId295"/>
    <hyperlink ref="C301" r:id="rId296"/>
    <hyperlink ref="C302" r:id="rId297"/>
    <hyperlink ref="C303" r:id="rId298"/>
    <hyperlink ref="C304" r:id="rId299"/>
    <hyperlink ref="C305" r:id="rId300"/>
    <hyperlink ref="C306" r:id="rId301"/>
    <hyperlink ref="C307" r:id="rId302"/>
    <hyperlink ref="C308" r:id="rId303"/>
    <hyperlink ref="C309" r:id="rId304"/>
    <hyperlink ref="C310" r:id="rId305"/>
    <hyperlink ref="C311" r:id="rId306"/>
    <hyperlink ref="C312" r:id="rId307"/>
    <hyperlink ref="C313" r:id="rId308"/>
    <hyperlink ref="C314" r:id="rId309"/>
    <hyperlink ref="C315" r:id="rId310"/>
    <hyperlink ref="C316" r:id="rId311"/>
    <hyperlink ref="C317" r:id="rId312"/>
    <hyperlink ref="C318" r:id="rId313"/>
    <hyperlink ref="C319" r:id="rId314"/>
    <hyperlink ref="C320" r:id="rId315"/>
    <hyperlink ref="C321" r:id="rId316"/>
    <hyperlink ref="C322" r:id="rId317"/>
    <hyperlink ref="C323" r:id="rId318"/>
    <hyperlink ref="C324" r:id="rId319"/>
    <hyperlink ref="C325" r:id="rId320"/>
    <hyperlink ref="C326" r:id="rId321"/>
    <hyperlink ref="C327" r:id="rId322"/>
    <hyperlink ref="C328" r:id="rId323"/>
    <hyperlink ref="C329" r:id="rId324"/>
    <hyperlink ref="C330" r:id="rId325"/>
    <hyperlink ref="C331" r:id="rId326"/>
    <hyperlink ref="C332" r:id="rId327"/>
    <hyperlink ref="C333" r:id="rId328"/>
    <hyperlink ref="C334" r:id="rId329"/>
    <hyperlink ref="C335" r:id="rId330"/>
    <hyperlink ref="C336" r:id="rId331"/>
    <hyperlink ref="C337" r:id="rId332"/>
    <hyperlink ref="C338" r:id="rId333"/>
    <hyperlink ref="C339" r:id="rId334"/>
    <hyperlink ref="C340" r:id="rId335"/>
    <hyperlink ref="C341" r:id="rId336"/>
    <hyperlink ref="C342" r:id="rId337"/>
    <hyperlink ref="C343" r:id="rId338"/>
    <hyperlink ref="C344" r:id="rId339"/>
    <hyperlink ref="C345" r:id="rId340"/>
    <hyperlink ref="C346" r:id="rId341"/>
    <hyperlink ref="C347" r:id="rId342"/>
    <hyperlink ref="C348" r:id="rId343"/>
    <hyperlink ref="C349" r:id="rId344"/>
    <hyperlink ref="C350" r:id="rId345"/>
    <hyperlink ref="C351" r:id="rId346"/>
    <hyperlink ref="C352" r:id="rId347"/>
    <hyperlink ref="C353" r:id="rId348"/>
    <hyperlink ref="C354" r:id="rId349"/>
    <hyperlink ref="C355" r:id="rId350"/>
    <hyperlink ref="C356" r:id="rId351"/>
    <hyperlink ref="C357" r:id="rId352"/>
    <hyperlink ref="C358" r:id="rId353"/>
    <hyperlink ref="C359" r:id="rId354"/>
    <hyperlink ref="C360" r:id="rId355"/>
    <hyperlink ref="C361" r:id="rId356"/>
    <hyperlink ref="C362" r:id="rId357"/>
    <hyperlink ref="C363" r:id="rId358"/>
    <hyperlink ref="C364" r:id="rId359"/>
    <hyperlink ref="C365" r:id="rId360"/>
    <hyperlink ref="C366" r:id="rId361"/>
    <hyperlink ref="C367" r:id="rId362"/>
    <hyperlink ref="C368" r:id="rId363"/>
    <hyperlink ref="C369" r:id="rId364"/>
    <hyperlink ref="C370" r:id="rId365"/>
    <hyperlink ref="C371" r:id="rId366"/>
    <hyperlink ref="C372" r:id="rId367"/>
    <hyperlink ref="C373" r:id="rId368"/>
    <hyperlink ref="C374" r:id="rId369"/>
    <hyperlink ref="C375" r:id="rId370"/>
    <hyperlink ref="C376" r:id="rId371"/>
    <hyperlink ref="C377" r:id="rId372"/>
    <hyperlink ref="C378" r:id="rId373"/>
    <hyperlink ref="C379" r:id="rId374"/>
    <hyperlink ref="C380" r:id="rId375"/>
    <hyperlink ref="C381" r:id="rId376"/>
    <hyperlink ref="C382" r:id="rId377"/>
    <hyperlink ref="C383" r:id="rId378"/>
    <hyperlink ref="C384" r:id="rId379"/>
    <hyperlink ref="C385" r:id="rId380"/>
    <hyperlink ref="C386" r:id="rId381"/>
    <hyperlink ref="C387" r:id="rId382"/>
    <hyperlink ref="C388" r:id="rId383"/>
    <hyperlink ref="C389" r:id="rId384"/>
    <hyperlink ref="C390" r:id="rId385"/>
    <hyperlink ref="C391" r:id="rId386"/>
    <hyperlink ref="C392" r:id="rId387"/>
    <hyperlink ref="C393" r:id="rId388"/>
    <hyperlink ref="C394" r:id="rId389"/>
    <hyperlink ref="C395" r:id="rId390"/>
    <hyperlink ref="C396" r:id="rId391"/>
    <hyperlink ref="C397" r:id="rId392"/>
    <hyperlink ref="C398" r:id="rId393"/>
    <hyperlink ref="C399" r:id="rId394"/>
    <hyperlink ref="C400" r:id="rId395"/>
    <hyperlink ref="C401" r:id="rId396"/>
    <hyperlink ref="C402" r:id="rId397"/>
    <hyperlink ref="C403" r:id="rId398"/>
    <hyperlink ref="C404" r:id="rId399"/>
    <hyperlink ref="C405" r:id="rId400"/>
    <hyperlink ref="C406" r:id="rId401"/>
    <hyperlink ref="C407" r:id="rId402"/>
    <hyperlink ref="C408" r:id="rId403"/>
    <hyperlink ref="C409" r:id="rId404"/>
    <hyperlink ref="C410" r:id="rId405"/>
    <hyperlink ref="C411" r:id="rId406"/>
    <hyperlink ref="C412" r:id="rId407"/>
    <hyperlink ref="C413" r:id="rId408"/>
    <hyperlink ref="C414" r:id="rId409"/>
    <hyperlink ref="C415" r:id="rId410"/>
    <hyperlink ref="C416" r:id="rId411"/>
    <hyperlink ref="C417" r:id="rId412"/>
    <hyperlink ref="C418" r:id="rId413"/>
    <hyperlink ref="C419" r:id="rId414"/>
    <hyperlink ref="C420" r:id="rId415"/>
    <hyperlink ref="C421" r:id="rId416"/>
    <hyperlink ref="C422" r:id="rId417"/>
    <hyperlink ref="C423" r:id="rId418"/>
    <hyperlink ref="C424" r:id="rId419"/>
    <hyperlink ref="C425" r:id="rId420"/>
    <hyperlink ref="C426" r:id="rId421"/>
    <hyperlink ref="C427" r:id="rId422"/>
    <hyperlink ref="C428" r:id="rId423"/>
    <hyperlink ref="C429" r:id="rId424" display="1337"/>
    <hyperlink ref="C430" r:id="rId425"/>
    <hyperlink ref="C431" r:id="rId426"/>
    <hyperlink ref="C432" r:id="rId427"/>
    <hyperlink ref="C433" r:id="rId428"/>
    <hyperlink ref="C434" r:id="rId429"/>
    <hyperlink ref="C435" r:id="rId430"/>
    <hyperlink ref="C436" r:id="rId431"/>
    <hyperlink ref="C437" r:id="rId432"/>
    <hyperlink ref="C438" r:id="rId433"/>
    <hyperlink ref="C439" r:id="rId434"/>
    <hyperlink ref="C440" r:id="rId435"/>
    <hyperlink ref="C441" r:id="rId436"/>
    <hyperlink ref="C442" r:id="rId437"/>
    <hyperlink ref="C443" r:id="rId438"/>
    <hyperlink ref="C444" r:id="rId439"/>
    <hyperlink ref="C445" r:id="rId440"/>
    <hyperlink ref="C446" r:id="rId441"/>
    <hyperlink ref="C447" r:id="rId442"/>
    <hyperlink ref="C448" r:id="rId443"/>
    <hyperlink ref="C449" r:id="rId444"/>
    <hyperlink ref="C450" r:id="rId445"/>
    <hyperlink ref="C451" r:id="rId446"/>
    <hyperlink ref="C452" r:id="rId447"/>
    <hyperlink ref="C453" r:id="rId448"/>
    <hyperlink ref="C454" r:id="rId449"/>
    <hyperlink ref="C455" r:id="rId450"/>
    <hyperlink ref="C456" r:id="rId451"/>
    <hyperlink ref="C457" r:id="rId452"/>
    <hyperlink ref="C458" r:id="rId453"/>
    <hyperlink ref="C459" r:id="rId454"/>
    <hyperlink ref="C460" r:id="rId455"/>
    <hyperlink ref="C461" r:id="rId456"/>
    <hyperlink ref="C462" r:id="rId457"/>
    <hyperlink ref="C463" r:id="rId458"/>
    <hyperlink ref="C464" r:id="rId459"/>
    <hyperlink ref="C465" r:id="rId460"/>
    <hyperlink ref="C466" r:id="rId461"/>
    <hyperlink ref="C467" r:id="rId462"/>
    <hyperlink ref="C468" r:id="rId463"/>
    <hyperlink ref="C469" r:id="rId464"/>
    <hyperlink ref="C470" r:id="rId465"/>
    <hyperlink ref="C471" r:id="rId466"/>
    <hyperlink ref="C472" r:id="rId467"/>
    <hyperlink ref="C473" r:id="rId468"/>
    <hyperlink ref="C474" r:id="rId469"/>
    <hyperlink ref="C475" r:id="rId470"/>
    <hyperlink ref="C476" r:id="rId471"/>
    <hyperlink ref="C477" r:id="rId472"/>
    <hyperlink ref="C478" r:id="rId473"/>
    <hyperlink ref="C479" r:id="rId474"/>
    <hyperlink ref="C480" r:id="rId475"/>
    <hyperlink ref="C481" r:id="rId476"/>
    <hyperlink ref="C482" r:id="rId477"/>
    <hyperlink ref="C483" r:id="rId478"/>
    <hyperlink ref="C484" r:id="rId479"/>
    <hyperlink ref="C485" r:id="rId480"/>
    <hyperlink ref="C486" r:id="rId481"/>
    <hyperlink ref="C487" r:id="rId482"/>
    <hyperlink ref="C488" r:id="rId483"/>
    <hyperlink ref="C489" r:id="rId484"/>
    <hyperlink ref="C490" r:id="rId485"/>
    <hyperlink ref="C491" r:id="rId486"/>
    <hyperlink ref="C492" r:id="rId487"/>
    <hyperlink ref="C493" r:id="rId488"/>
    <hyperlink ref="C494" r:id="rId489"/>
    <hyperlink ref="C495" r:id="rId490"/>
    <hyperlink ref="C496" r:id="rId491"/>
    <hyperlink ref="C497" r:id="rId492"/>
    <hyperlink ref="C498" r:id="rId493"/>
    <hyperlink ref="C499" r:id="rId494"/>
    <hyperlink ref="C500" r:id="rId495"/>
    <hyperlink ref="C501" r:id="rId496"/>
    <hyperlink ref="C502" r:id="rId497"/>
    <hyperlink ref="C503" r:id="rId498"/>
    <hyperlink ref="C504" r:id="rId499"/>
    <hyperlink ref="C505" r:id="rId500"/>
    <hyperlink ref="C506" r:id="rId501"/>
    <hyperlink ref="C507" r:id="rId502"/>
    <hyperlink ref="C508" r:id="rId503"/>
    <hyperlink ref="C509" r:id="rId504"/>
    <hyperlink ref="C510" r:id="rId505"/>
    <hyperlink ref="C511" r:id="rId506"/>
    <hyperlink ref="C512" r:id="rId507"/>
    <hyperlink ref="C513" r:id="rId508"/>
    <hyperlink ref="C514" r:id="rId509"/>
    <hyperlink ref="C515" r:id="rId510"/>
    <hyperlink ref="C516" r:id="rId511"/>
    <hyperlink ref="C517" r:id="rId512"/>
    <hyperlink ref="C518" r:id="rId513"/>
    <hyperlink ref="C519" r:id="rId514"/>
    <hyperlink ref="C520" r:id="rId515"/>
    <hyperlink ref="C521" r:id="rId516"/>
    <hyperlink ref="C522" r:id="rId517"/>
    <hyperlink ref="C523" r:id="rId518"/>
    <hyperlink ref="C524" r:id="rId519"/>
    <hyperlink ref="C525" r:id="rId520"/>
    <hyperlink ref="C526" r:id="rId521"/>
    <hyperlink ref="C527" r:id="rId522"/>
    <hyperlink ref="C528" r:id="rId523"/>
    <hyperlink ref="C529" r:id="rId524"/>
    <hyperlink ref="C530" r:id="rId525"/>
    <hyperlink ref="C531" r:id="rId526"/>
    <hyperlink ref="C532" r:id="rId527"/>
    <hyperlink ref="C533" r:id="rId528"/>
    <hyperlink ref="C534" r:id="rId529"/>
    <hyperlink ref="C535" r:id="rId530"/>
    <hyperlink ref="C536" r:id="rId531"/>
    <hyperlink ref="C537" r:id="rId532"/>
    <hyperlink ref="C538" r:id="rId533"/>
    <hyperlink ref="C539" r:id="rId534"/>
    <hyperlink ref="C540" r:id="rId535"/>
    <hyperlink ref="C541" r:id="rId536"/>
    <hyperlink ref="C542" r:id="rId537"/>
    <hyperlink ref="C543" r:id="rId538"/>
    <hyperlink ref="C544" r:id="rId539"/>
    <hyperlink ref="C545" r:id="rId540"/>
    <hyperlink ref="C546" r:id="rId541"/>
    <hyperlink ref="C547" r:id="rId542"/>
    <hyperlink ref="C548" r:id="rId543"/>
    <hyperlink ref="C549" r:id="rId544"/>
    <hyperlink ref="C550" r:id="rId545"/>
    <hyperlink ref="C551" r:id="rId546"/>
    <hyperlink ref="C552" r:id="rId547"/>
    <hyperlink ref="C553" r:id="rId548"/>
    <hyperlink ref="C554" r:id="rId549"/>
    <hyperlink ref="C555" r:id="rId550"/>
    <hyperlink ref="C556" r:id="rId551"/>
    <hyperlink ref="C557" r:id="rId552"/>
    <hyperlink ref="C558" r:id="rId553"/>
    <hyperlink ref="C559" r:id="rId554"/>
    <hyperlink ref="C560" r:id="rId555"/>
    <hyperlink ref="C561" r:id="rId556"/>
    <hyperlink ref="C562" r:id="rId557"/>
    <hyperlink ref="C563" r:id="rId558"/>
    <hyperlink ref="C564" r:id="rId559"/>
    <hyperlink ref="C565" r:id="rId560"/>
    <hyperlink ref="C566" r:id="rId561"/>
    <hyperlink ref="C567" r:id="rId562"/>
    <hyperlink ref="C568" r:id="rId563"/>
    <hyperlink ref="C569" r:id="rId564"/>
    <hyperlink ref="C570" r:id="rId565"/>
    <hyperlink ref="C571" r:id="rId566"/>
    <hyperlink ref="C572" r:id="rId567"/>
    <hyperlink ref="C573" r:id="rId568"/>
    <hyperlink ref="C574" r:id="rId569"/>
    <hyperlink ref="C575" r:id="rId570"/>
    <hyperlink ref="C576" r:id="rId571"/>
    <hyperlink ref="C577" r:id="rId572"/>
    <hyperlink ref="C578" r:id="rId573"/>
    <hyperlink ref="C579" r:id="rId574"/>
    <hyperlink ref="C580" r:id="rId575"/>
    <hyperlink ref="C581" r:id="rId576"/>
    <hyperlink ref="C582" r:id="rId577"/>
    <hyperlink ref="C583" r:id="rId578"/>
    <hyperlink ref="C584" r:id="rId579"/>
    <hyperlink ref="C585" r:id="rId580"/>
    <hyperlink ref="C586" r:id="rId581"/>
    <hyperlink ref="C587" r:id="rId582"/>
    <hyperlink ref="C588" r:id="rId583"/>
    <hyperlink ref="C589" r:id="rId584"/>
    <hyperlink ref="C590" r:id="rId585"/>
    <hyperlink ref="C591" r:id="rId586"/>
    <hyperlink ref="C592" r:id="rId587"/>
    <hyperlink ref="C593" r:id="rId588"/>
    <hyperlink ref="C594" r:id="rId589"/>
    <hyperlink ref="C595" r:id="rId590"/>
    <hyperlink ref="C596" r:id="rId591"/>
    <hyperlink ref="C597" r:id="rId592"/>
    <hyperlink ref="C598" r:id="rId593"/>
    <hyperlink ref="C599" r:id="rId594"/>
    <hyperlink ref="C600" r:id="rId595"/>
    <hyperlink ref="C601" r:id="rId596"/>
    <hyperlink ref="C602" r:id="rId597"/>
    <hyperlink ref="C603" r:id="rId598"/>
    <hyperlink ref="C604" r:id="rId599"/>
    <hyperlink ref="C605" r:id="rId600"/>
    <hyperlink ref="C606" r:id="rId601"/>
    <hyperlink ref="C607" r:id="rId602"/>
    <hyperlink ref="C608" r:id="rId603"/>
    <hyperlink ref="C609" r:id="rId604"/>
    <hyperlink ref="C610" r:id="rId605"/>
    <hyperlink ref="C611" r:id="rId606"/>
    <hyperlink ref="C612" r:id="rId607"/>
    <hyperlink ref="C613" r:id="rId608"/>
    <hyperlink ref="C614" r:id="rId609"/>
    <hyperlink ref="C615" r:id="rId610"/>
    <hyperlink ref="C616" r:id="rId611"/>
    <hyperlink ref="C617" r:id="rId612"/>
    <hyperlink ref="C618" r:id="rId613"/>
    <hyperlink ref="C619" r:id="rId614"/>
    <hyperlink ref="C620" r:id="rId615"/>
    <hyperlink ref="C621" r:id="rId616"/>
    <hyperlink ref="C622" r:id="rId617"/>
    <hyperlink ref="C623" r:id="rId618"/>
    <hyperlink ref="C624" r:id="rId619"/>
    <hyperlink ref="C625" r:id="rId620"/>
    <hyperlink ref="C626" r:id="rId621"/>
    <hyperlink ref="C627" r:id="rId622"/>
    <hyperlink ref="C628" r:id="rId623"/>
    <hyperlink ref="C629" r:id="rId624"/>
    <hyperlink ref="C630" r:id="rId625"/>
    <hyperlink ref="C631" r:id="rId626"/>
    <hyperlink ref="C632" r:id="rId627"/>
    <hyperlink ref="C633" r:id="rId628"/>
    <hyperlink ref="C634" r:id="rId629"/>
    <hyperlink ref="C635" r:id="rId630"/>
    <hyperlink ref="C636" r:id="rId631"/>
    <hyperlink ref="C637" r:id="rId632"/>
    <hyperlink ref="C638" r:id="rId633"/>
    <hyperlink ref="C639" r:id="rId634"/>
    <hyperlink ref="C640" r:id="rId635"/>
    <hyperlink ref="C641" r:id="rId636"/>
    <hyperlink ref="C642" r:id="rId637"/>
    <hyperlink ref="C643" r:id="rId638"/>
    <hyperlink ref="C644" r:id="rId639"/>
    <hyperlink ref="C645" r:id="rId640"/>
    <hyperlink ref="C646" r:id="rId641"/>
    <hyperlink ref="C647" r:id="rId642"/>
    <hyperlink ref="C648" r:id="rId643"/>
    <hyperlink ref="C649" r:id="rId644"/>
    <hyperlink ref="C650" r:id="rId645"/>
    <hyperlink ref="C651" r:id="rId646"/>
    <hyperlink ref="C652" r:id="rId647"/>
    <hyperlink ref="C653" r:id="rId648"/>
    <hyperlink ref="C654" r:id="rId649"/>
    <hyperlink ref="C655" r:id="rId650"/>
    <hyperlink ref="C656" r:id="rId651"/>
    <hyperlink ref="C657" r:id="rId652"/>
    <hyperlink ref="C658" r:id="rId653"/>
    <hyperlink ref="C659" r:id="rId654"/>
    <hyperlink ref="C660" r:id="rId655"/>
    <hyperlink ref="C661" r:id="rId656"/>
    <hyperlink ref="C662" r:id="rId657"/>
    <hyperlink ref="C663" r:id="rId658"/>
    <hyperlink ref="C664" r:id="rId659"/>
    <hyperlink ref="C665" r:id="rId660"/>
    <hyperlink ref="C666" r:id="rId661"/>
    <hyperlink ref="C667" r:id="rId662"/>
    <hyperlink ref="C668" r:id="rId663"/>
    <hyperlink ref="C669" r:id="rId664"/>
    <hyperlink ref="C670" r:id="rId665"/>
    <hyperlink ref="C671" r:id="rId666"/>
    <hyperlink ref="C672" r:id="rId667"/>
    <hyperlink ref="C673" r:id="rId668"/>
    <hyperlink ref="C674" r:id="rId669"/>
    <hyperlink ref="C675" r:id="rId670"/>
    <hyperlink ref="C676" r:id="rId671"/>
    <hyperlink ref="C677" r:id="rId672"/>
    <hyperlink ref="C678" r:id="rId673"/>
    <hyperlink ref="C679" r:id="rId674"/>
    <hyperlink ref="C680" r:id="rId675"/>
    <hyperlink ref="C681" r:id="rId676"/>
    <hyperlink ref="C682" r:id="rId677"/>
    <hyperlink ref="C683" r:id="rId678"/>
    <hyperlink ref="C684" r:id="rId679"/>
    <hyperlink ref="C685" r:id="rId680"/>
    <hyperlink ref="C686" r:id="rId681"/>
    <hyperlink ref="C687" r:id="rId682"/>
    <hyperlink ref="C688" r:id="rId683"/>
    <hyperlink ref="C689" r:id="rId684"/>
    <hyperlink ref="C690" r:id="rId685"/>
    <hyperlink ref="C691" r:id="rId686"/>
    <hyperlink ref="C692" r:id="rId687"/>
    <hyperlink ref="C693" r:id="rId688"/>
    <hyperlink ref="C694" r:id="rId689"/>
    <hyperlink ref="C695" r:id="rId690"/>
    <hyperlink ref="C696" r:id="rId691"/>
    <hyperlink ref="C697" r:id="rId692"/>
    <hyperlink ref="C698" r:id="rId693"/>
    <hyperlink ref="C699" r:id="rId694"/>
    <hyperlink ref="C700" r:id="rId695"/>
    <hyperlink ref="C701" r:id="rId696"/>
    <hyperlink ref="C702" r:id="rId697"/>
    <hyperlink ref="C703" r:id="rId698"/>
    <hyperlink ref="C704" r:id="rId699"/>
    <hyperlink ref="C705" r:id="rId700"/>
    <hyperlink ref="C706" r:id="rId701"/>
    <hyperlink ref="C707" r:id="rId702"/>
    <hyperlink ref="C708" r:id="rId703"/>
    <hyperlink ref="C709" r:id="rId704"/>
    <hyperlink ref="C710" r:id="rId705"/>
    <hyperlink ref="C711" r:id="rId706"/>
    <hyperlink ref="C712" r:id="rId707"/>
    <hyperlink ref="C713" r:id="rId708"/>
    <hyperlink ref="C714" r:id="rId709"/>
    <hyperlink ref="C715" r:id="rId710"/>
    <hyperlink ref="C716" r:id="rId711"/>
    <hyperlink ref="C717" r:id="rId712"/>
    <hyperlink ref="C718" r:id="rId713"/>
    <hyperlink ref="C719" r:id="rId714"/>
    <hyperlink ref="C720" r:id="rId715"/>
    <hyperlink ref="C721" r:id="rId716"/>
    <hyperlink ref="C722" r:id="rId717"/>
    <hyperlink ref="C723" r:id="rId718"/>
    <hyperlink ref="C724" r:id="rId719"/>
    <hyperlink ref="C725" r:id="rId720"/>
    <hyperlink ref="C726" r:id="rId721"/>
    <hyperlink ref="C727" r:id="rId722"/>
    <hyperlink ref="C728" r:id="rId723"/>
    <hyperlink ref="C729" r:id="rId724"/>
    <hyperlink ref="C730" r:id="rId725"/>
    <hyperlink ref="C731" r:id="rId726"/>
    <hyperlink ref="C732" r:id="rId727"/>
    <hyperlink ref="C733" r:id="rId728"/>
    <hyperlink ref="C734" r:id="rId729"/>
    <hyperlink ref="C735" r:id="rId730"/>
    <hyperlink ref="C736" r:id="rId731"/>
    <hyperlink ref="C737" r:id="rId732"/>
    <hyperlink ref="C738" r:id="rId733"/>
    <hyperlink ref="C739" r:id="rId734"/>
    <hyperlink ref="C740" r:id="rId735"/>
    <hyperlink ref="C741" r:id="rId736"/>
    <hyperlink ref="C742" r:id="rId737"/>
    <hyperlink ref="C743" r:id="rId738"/>
    <hyperlink ref="C744" r:id="rId739"/>
    <hyperlink ref="C745" r:id="rId740"/>
    <hyperlink ref="C746" r:id="rId741"/>
    <hyperlink ref="C747" r:id="rId742"/>
    <hyperlink ref="C748" r:id="rId743"/>
    <hyperlink ref="C749" r:id="rId744"/>
    <hyperlink ref="C750" r:id="rId745"/>
    <hyperlink ref="C751" r:id="rId746"/>
    <hyperlink ref="C752" r:id="rId747"/>
    <hyperlink ref="C753" r:id="rId748"/>
    <hyperlink ref="C754" r:id="rId749"/>
    <hyperlink ref="C755" r:id="rId750"/>
    <hyperlink ref="C756" r:id="rId751"/>
    <hyperlink ref="C757" r:id="rId752"/>
    <hyperlink ref="C758" r:id="rId753"/>
    <hyperlink ref="C759" r:id="rId754"/>
    <hyperlink ref="C760" r:id="rId755"/>
    <hyperlink ref="C761" r:id="rId756"/>
    <hyperlink ref="C762" r:id="rId757"/>
    <hyperlink ref="C763" r:id="rId758"/>
    <hyperlink ref="C764" r:id="rId759"/>
    <hyperlink ref="C765" r:id="rId760"/>
    <hyperlink ref="C766" r:id="rId761"/>
    <hyperlink ref="C767" r:id="rId762"/>
    <hyperlink ref="C768" r:id="rId763"/>
    <hyperlink ref="C769" r:id="rId764"/>
    <hyperlink ref="C770" r:id="rId765"/>
    <hyperlink ref="C771" r:id="rId766"/>
    <hyperlink ref="C772" r:id="rId767"/>
    <hyperlink ref="C773" r:id="rId768"/>
    <hyperlink ref="C774" r:id="rId769"/>
    <hyperlink ref="C775" r:id="rId770"/>
    <hyperlink ref="C776" r:id="rId771"/>
    <hyperlink ref="C777" r:id="rId772"/>
    <hyperlink ref="C778" r:id="rId773"/>
    <hyperlink ref="C779" r:id="rId774"/>
    <hyperlink ref="C780" r:id="rId775"/>
    <hyperlink ref="C781" r:id="rId776"/>
    <hyperlink ref="C782" r:id="rId777"/>
    <hyperlink ref="C783" r:id="rId778"/>
    <hyperlink ref="C784" r:id="rId779"/>
    <hyperlink ref="C785" r:id="rId780"/>
    <hyperlink ref="C786" r:id="rId781"/>
    <hyperlink ref="C787" r:id="rId782"/>
    <hyperlink ref="C788" r:id="rId783"/>
    <hyperlink ref="C789" r:id="rId784"/>
    <hyperlink ref="C790" r:id="rId785"/>
    <hyperlink ref="C791" r:id="rId786"/>
    <hyperlink ref="C792" r:id="rId787"/>
    <hyperlink ref="C793" r:id="rId788"/>
    <hyperlink ref="C794" r:id="rId789"/>
    <hyperlink ref="C795" r:id="rId790"/>
    <hyperlink ref="C796" r:id="rId791"/>
    <hyperlink ref="C797" r:id="rId792"/>
    <hyperlink ref="C798" r:id="rId793"/>
    <hyperlink ref="C799" r:id="rId794"/>
    <hyperlink ref="C800" r:id="rId795"/>
    <hyperlink ref="C801" r:id="rId796"/>
    <hyperlink ref="C802" r:id="rId797"/>
    <hyperlink ref="C803" r:id="rId798"/>
    <hyperlink ref="C804" r:id="rId799"/>
    <hyperlink ref="C805" r:id="rId800"/>
    <hyperlink ref="C806" r:id="rId801"/>
    <hyperlink ref="C807" r:id="rId802"/>
    <hyperlink ref="C808" r:id="rId803"/>
    <hyperlink ref="C809" r:id="rId804"/>
    <hyperlink ref="C810" r:id="rId805"/>
    <hyperlink ref="C811" r:id="rId806"/>
    <hyperlink ref="C812" r:id="rId807"/>
    <hyperlink ref="C813" r:id="rId808"/>
    <hyperlink ref="C814" r:id="rId809"/>
    <hyperlink ref="C815" r:id="rId810"/>
    <hyperlink ref="C816" r:id="rId811"/>
    <hyperlink ref="C817" r:id="rId812"/>
    <hyperlink ref="C818" r:id="rId813"/>
    <hyperlink ref="C819" r:id="rId814"/>
    <hyperlink ref="C820" r:id="rId815"/>
    <hyperlink ref="C821" r:id="rId816"/>
    <hyperlink ref="C822" r:id="rId817"/>
    <hyperlink ref="C823" r:id="rId818"/>
    <hyperlink ref="C824" r:id="rId819"/>
    <hyperlink ref="C825" r:id="rId820"/>
    <hyperlink ref="C826" r:id="rId821"/>
    <hyperlink ref="C827" r:id="rId822"/>
    <hyperlink ref="C828" r:id="rId823"/>
    <hyperlink ref="C829" r:id="rId824"/>
    <hyperlink ref="C830" r:id="rId825"/>
    <hyperlink ref="C831" r:id="rId826"/>
    <hyperlink ref="C832" r:id="rId827"/>
    <hyperlink ref="C833" r:id="rId828"/>
    <hyperlink ref="C834" r:id="rId829"/>
    <hyperlink ref="C835" r:id="rId830"/>
    <hyperlink ref="C836" r:id="rId831"/>
    <hyperlink ref="C837" r:id="rId832"/>
    <hyperlink ref="C838" r:id="rId833"/>
    <hyperlink ref="C839" r:id="rId834"/>
    <hyperlink ref="C840" r:id="rId835"/>
    <hyperlink ref="C841" r:id="rId836"/>
    <hyperlink ref="C842" r:id="rId837"/>
    <hyperlink ref="C843" r:id="rId838"/>
    <hyperlink ref="C844" r:id="rId839"/>
    <hyperlink ref="C845" r:id="rId840"/>
    <hyperlink ref="C846" r:id="rId841"/>
    <hyperlink ref="C847" r:id="rId842"/>
    <hyperlink ref="C848" r:id="rId843"/>
    <hyperlink ref="C849" r:id="rId844"/>
    <hyperlink ref="C850" r:id="rId845"/>
    <hyperlink ref="C851" r:id="rId846"/>
    <hyperlink ref="C852" r:id="rId847"/>
    <hyperlink ref="C853" r:id="rId848"/>
    <hyperlink ref="C854" r:id="rId849"/>
    <hyperlink ref="C855" r:id="rId850"/>
    <hyperlink ref="C856" r:id="rId851"/>
    <hyperlink ref="C857" r:id="rId852"/>
    <hyperlink ref="C858" r:id="rId853"/>
    <hyperlink ref="C859" r:id="rId854"/>
    <hyperlink ref="C860" r:id="rId855"/>
    <hyperlink ref="C861" r:id="rId856"/>
    <hyperlink ref="C862" r:id="rId857"/>
    <hyperlink ref="C863" r:id="rId858"/>
    <hyperlink ref="C864" r:id="rId859"/>
    <hyperlink ref="C865" r:id="rId860"/>
    <hyperlink ref="C866" r:id="rId861"/>
    <hyperlink ref="C867" r:id="rId862"/>
    <hyperlink ref="C868" r:id="rId863"/>
    <hyperlink ref="C869" r:id="rId864"/>
    <hyperlink ref="C870" r:id="rId865"/>
    <hyperlink ref="C871" r:id="rId866"/>
    <hyperlink ref="C872" r:id="rId867"/>
    <hyperlink ref="C873" r:id="rId868"/>
    <hyperlink ref="C874" r:id="rId869"/>
    <hyperlink ref="C875" r:id="rId870"/>
    <hyperlink ref="C876" r:id="rId871"/>
    <hyperlink ref="C877" r:id="rId872"/>
    <hyperlink ref="C878" r:id="rId873"/>
    <hyperlink ref="C879" r:id="rId874"/>
    <hyperlink ref="C880" r:id="rId875"/>
    <hyperlink ref="C881" r:id="rId876"/>
    <hyperlink ref="C882" r:id="rId877"/>
    <hyperlink ref="C883" r:id="rId878"/>
    <hyperlink ref="C884" r:id="rId879"/>
    <hyperlink ref="C885" r:id="rId880"/>
    <hyperlink ref="C886" r:id="rId881"/>
    <hyperlink ref="C887" r:id="rId882"/>
    <hyperlink ref="C888" r:id="rId883"/>
    <hyperlink ref="C889" r:id="rId884"/>
    <hyperlink ref="C890" r:id="rId885"/>
    <hyperlink ref="C891" r:id="rId886"/>
    <hyperlink ref="C892" r:id="rId887"/>
    <hyperlink ref="C893" r:id="rId888"/>
    <hyperlink ref="C894" r:id="rId889"/>
    <hyperlink ref="C895" r:id="rId890"/>
    <hyperlink ref="C896" r:id="rId891"/>
    <hyperlink ref="C897" r:id="rId892"/>
    <hyperlink ref="C898" r:id="rId893"/>
    <hyperlink ref="C899" r:id="rId894"/>
    <hyperlink ref="C900" r:id="rId895"/>
    <hyperlink ref="C901" r:id="rId896"/>
    <hyperlink ref="C902" r:id="rId897"/>
    <hyperlink ref="C903" r:id="rId898"/>
    <hyperlink ref="C904" r:id="rId899"/>
    <hyperlink ref="C905" r:id="rId900"/>
    <hyperlink ref="C906" r:id="rId901"/>
    <hyperlink ref="C907" r:id="rId902"/>
    <hyperlink ref="C908" r:id="rId903"/>
    <hyperlink ref="C909" r:id="rId904"/>
    <hyperlink ref="C910" r:id="rId905"/>
    <hyperlink ref="C911" r:id="rId906"/>
    <hyperlink ref="C912" r:id="rId907"/>
    <hyperlink ref="C913" r:id="rId908"/>
    <hyperlink ref="C914" r:id="rId909"/>
    <hyperlink ref="C915" r:id="rId910"/>
    <hyperlink ref="C916" r:id="rId911"/>
    <hyperlink ref="C917" r:id="rId912"/>
    <hyperlink ref="C918" r:id="rId913"/>
    <hyperlink ref="C919" r:id="rId914"/>
    <hyperlink ref="C920" r:id="rId915"/>
    <hyperlink ref="C921" r:id="rId916"/>
    <hyperlink ref="C922" r:id="rId917"/>
    <hyperlink ref="C923" r:id="rId918"/>
    <hyperlink ref="C924" r:id="rId919"/>
    <hyperlink ref="C925" r:id="rId920"/>
    <hyperlink ref="C926" r:id="rId921"/>
    <hyperlink ref="C927" r:id="rId922"/>
    <hyperlink ref="C928" r:id="rId923"/>
    <hyperlink ref="C929" r:id="rId924"/>
    <hyperlink ref="C930" r:id="rId925"/>
    <hyperlink ref="C931" r:id="rId926"/>
    <hyperlink ref="C932" r:id="rId927"/>
    <hyperlink ref="C933" r:id="rId928"/>
    <hyperlink ref="C934" r:id="rId929"/>
    <hyperlink ref="C935" r:id="rId930"/>
    <hyperlink ref="C936" r:id="rId931"/>
    <hyperlink ref="C937" r:id="rId932"/>
    <hyperlink ref="C938" r:id="rId933"/>
    <hyperlink ref="C939" r:id="rId934"/>
    <hyperlink ref="C940" r:id="rId935"/>
    <hyperlink ref="C941" r:id="rId936"/>
    <hyperlink ref="C942" r:id="rId937"/>
    <hyperlink ref="C943" r:id="rId938"/>
    <hyperlink ref="C944" r:id="rId939"/>
    <hyperlink ref="C945" r:id="rId940"/>
    <hyperlink ref="C946" r:id="rId941"/>
    <hyperlink ref="C947" r:id="rId942"/>
    <hyperlink ref="C948" r:id="rId943"/>
    <hyperlink ref="C949" r:id="rId944"/>
    <hyperlink ref="C950" r:id="rId945"/>
    <hyperlink ref="C951" r:id="rId946"/>
    <hyperlink ref="C952" r:id="rId947"/>
    <hyperlink ref="C953" r:id="rId948"/>
    <hyperlink ref="C954" r:id="rId949"/>
    <hyperlink ref="C955" r:id="rId950"/>
    <hyperlink ref="C956" r:id="rId951"/>
    <hyperlink ref="C957" r:id="rId952"/>
    <hyperlink ref="C958" r:id="rId953"/>
    <hyperlink ref="C959" r:id="rId954"/>
    <hyperlink ref="C960" r:id="rId955"/>
    <hyperlink ref="C961" r:id="rId956"/>
    <hyperlink ref="C962" r:id="rId957"/>
    <hyperlink ref="C963" r:id="rId958"/>
    <hyperlink ref="C964" r:id="rId959"/>
    <hyperlink ref="C965" r:id="rId960"/>
    <hyperlink ref="C966" r:id="rId961"/>
    <hyperlink ref="C967" r:id="rId962"/>
    <hyperlink ref="C968" r:id="rId963"/>
    <hyperlink ref="C969" r:id="rId964"/>
    <hyperlink ref="C970" r:id="rId965"/>
    <hyperlink ref="C971" r:id="rId966"/>
    <hyperlink ref="C972" r:id="rId967"/>
    <hyperlink ref="C973" r:id="rId968"/>
    <hyperlink ref="C974" r:id="rId969"/>
    <hyperlink ref="C975" r:id="rId970"/>
    <hyperlink ref="C976" r:id="rId971"/>
    <hyperlink ref="C977" r:id="rId972"/>
    <hyperlink ref="C978" r:id="rId973"/>
    <hyperlink ref="C979" r:id="rId974"/>
    <hyperlink ref="C980" r:id="rId975"/>
    <hyperlink ref="C981" r:id="rId976"/>
    <hyperlink ref="C982" r:id="rId977"/>
    <hyperlink ref="C983" r:id="rId978"/>
    <hyperlink ref="C984" r:id="rId979"/>
    <hyperlink ref="C985" r:id="rId980"/>
    <hyperlink ref="C986" r:id="rId981"/>
    <hyperlink ref="C987" r:id="rId982"/>
    <hyperlink ref="C988" r:id="rId983"/>
    <hyperlink ref="C989" r:id="rId984"/>
    <hyperlink ref="C990" r:id="rId985"/>
    <hyperlink ref="C991" r:id="rId986"/>
    <hyperlink ref="C992" r:id="rId987"/>
    <hyperlink ref="C993" r:id="rId988"/>
    <hyperlink ref="C994" r:id="rId989"/>
    <hyperlink ref="C995" r:id="rId990"/>
    <hyperlink ref="C996" r:id="rId991"/>
    <hyperlink ref="C997" r:id="rId992"/>
    <hyperlink ref="C998" r:id="rId993"/>
    <hyperlink ref="C999" r:id="rId994"/>
    <hyperlink ref="C1000" r:id="rId995"/>
    <hyperlink ref="C1001" r:id="rId996"/>
    <hyperlink ref="C1002" r:id="rId997"/>
    <hyperlink ref="C1003" r:id="rId998"/>
    <hyperlink ref="C1004" r:id="rId999"/>
    <hyperlink ref="C1005" r:id="rId1000"/>
    <hyperlink ref="C1006" r:id="rId1001"/>
    <hyperlink ref="C1007" r:id="rId1002"/>
    <hyperlink ref="C1008" r:id="rId1003"/>
    <hyperlink ref="C1009" r:id="rId1004"/>
    <hyperlink ref="C1010" r:id="rId1005"/>
    <hyperlink ref="C1011" r:id="rId1006"/>
    <hyperlink ref="C1012" r:id="rId1007"/>
    <hyperlink ref="C1013" r:id="rId1008"/>
    <hyperlink ref="C1014" r:id="rId1009"/>
    <hyperlink ref="C1015" r:id="rId1010"/>
    <hyperlink ref="C1016" r:id="rId1011"/>
    <hyperlink ref="C1017" r:id="rId1012"/>
    <hyperlink ref="C1018" r:id="rId1013"/>
    <hyperlink ref="C1019" r:id="rId1014"/>
    <hyperlink ref="C1020" r:id="rId1015"/>
    <hyperlink ref="C1021" r:id="rId1016"/>
    <hyperlink ref="C1022" r:id="rId1017"/>
    <hyperlink ref="C1023" r:id="rId1018"/>
    <hyperlink ref="C1024" r:id="rId1019"/>
    <hyperlink ref="C1025" r:id="rId1020"/>
    <hyperlink ref="C1026" r:id="rId1021"/>
    <hyperlink ref="C1027" r:id="rId1022"/>
    <hyperlink ref="C1028" r:id="rId1023"/>
    <hyperlink ref="C1029" r:id="rId1024"/>
    <hyperlink ref="C1030" r:id="rId1025"/>
    <hyperlink ref="C1031" r:id="rId1026"/>
    <hyperlink ref="C1032" r:id="rId1027"/>
    <hyperlink ref="C1033" r:id="rId1028"/>
    <hyperlink ref="C1034" r:id="rId1029"/>
    <hyperlink ref="C1035" r:id="rId1030"/>
    <hyperlink ref="C1036" r:id="rId1031"/>
    <hyperlink ref="C1037" r:id="rId1032"/>
    <hyperlink ref="C1038" r:id="rId1033"/>
    <hyperlink ref="C1039" r:id="rId1034"/>
    <hyperlink ref="C1040" r:id="rId1035"/>
    <hyperlink ref="C1041" r:id="rId1036"/>
    <hyperlink ref="C1042" r:id="rId1037"/>
    <hyperlink ref="C1043" r:id="rId1038"/>
    <hyperlink ref="C1044" r:id="rId1039"/>
    <hyperlink ref="C1045" r:id="rId1040"/>
    <hyperlink ref="C1046" r:id="rId1041"/>
    <hyperlink ref="C1047" r:id="rId1042"/>
    <hyperlink ref="C1048" r:id="rId1043"/>
    <hyperlink ref="C1049" r:id="rId1044"/>
    <hyperlink ref="C1050" r:id="rId1045"/>
    <hyperlink ref="C1051" r:id="rId1046"/>
    <hyperlink ref="C1052" r:id="rId1047"/>
    <hyperlink ref="C1053" r:id="rId1048"/>
    <hyperlink ref="C1054" r:id="rId1049"/>
    <hyperlink ref="C1055" r:id="rId1050"/>
    <hyperlink ref="C1056" r:id="rId1051"/>
    <hyperlink ref="C1057" r:id="rId1052"/>
    <hyperlink ref="C1058" r:id="rId1053"/>
    <hyperlink ref="C1059" r:id="rId1054"/>
    <hyperlink ref="C1060" r:id="rId1055"/>
    <hyperlink ref="C1061" r:id="rId1056"/>
    <hyperlink ref="C1062" r:id="rId1057"/>
    <hyperlink ref="C1063" r:id="rId1058"/>
    <hyperlink ref="C1064" r:id="rId1059"/>
    <hyperlink ref="C1065" r:id="rId1060"/>
    <hyperlink ref="C1066" r:id="rId1061"/>
    <hyperlink ref="C1067" r:id="rId1062"/>
    <hyperlink ref="C1068" r:id="rId1063"/>
    <hyperlink ref="C1069" r:id="rId1064"/>
    <hyperlink ref="C1070" r:id="rId1065"/>
    <hyperlink ref="C1071" r:id="rId1066"/>
    <hyperlink ref="C1072" r:id="rId1067"/>
    <hyperlink ref="C1073" r:id="rId1068"/>
    <hyperlink ref="C1074" r:id="rId1069"/>
    <hyperlink ref="C1075" r:id="rId1070"/>
    <hyperlink ref="C1076" r:id="rId1071"/>
    <hyperlink ref="C1077" r:id="rId1072"/>
    <hyperlink ref="C1078" r:id="rId1073"/>
    <hyperlink ref="C1079" r:id="rId1074"/>
    <hyperlink ref="C1080" r:id="rId1075"/>
    <hyperlink ref="C1081" r:id="rId1076"/>
    <hyperlink ref="C1082" r:id="rId1077"/>
    <hyperlink ref="C1083" r:id="rId1078"/>
    <hyperlink ref="C1084" r:id="rId1079"/>
    <hyperlink ref="C1085" r:id="rId1080"/>
    <hyperlink ref="C1086" r:id="rId1081"/>
    <hyperlink ref="C1087" r:id="rId1082"/>
    <hyperlink ref="C1088" r:id="rId1083"/>
    <hyperlink ref="C1089" r:id="rId1084"/>
    <hyperlink ref="C1090" r:id="rId1085"/>
    <hyperlink ref="C1091" r:id="rId1086"/>
    <hyperlink ref="C1092" r:id="rId1087"/>
    <hyperlink ref="C1093" r:id="rId1088"/>
    <hyperlink ref="C1094" r:id="rId1089"/>
    <hyperlink ref="C1095" r:id="rId1090"/>
    <hyperlink ref="C1096" r:id="rId1091"/>
    <hyperlink ref="C1097" r:id="rId1092"/>
    <hyperlink ref="C1098" r:id="rId1093"/>
    <hyperlink ref="C1099" r:id="rId1094"/>
    <hyperlink ref="C1100" r:id="rId1095"/>
    <hyperlink ref="C1101" r:id="rId1096"/>
    <hyperlink ref="C1102" r:id="rId1097"/>
    <hyperlink ref="C1103" r:id="rId1098"/>
    <hyperlink ref="C1104" r:id="rId1099"/>
    <hyperlink ref="C1105" r:id="rId1100"/>
    <hyperlink ref="C1106" r:id="rId1101"/>
    <hyperlink ref="C1107" r:id="rId1102"/>
    <hyperlink ref="C1108" r:id="rId1103"/>
    <hyperlink ref="C1109" r:id="rId1104"/>
    <hyperlink ref="C1110" r:id="rId1105"/>
    <hyperlink ref="C1111" r:id="rId1106"/>
    <hyperlink ref="C1112" r:id="rId1107"/>
    <hyperlink ref="C1113" r:id="rId1108"/>
    <hyperlink ref="C1114" r:id="rId1109"/>
    <hyperlink ref="C1115" r:id="rId1110"/>
    <hyperlink ref="C1116" r:id="rId1111"/>
    <hyperlink ref="C1117" r:id="rId1112"/>
    <hyperlink ref="C1118" r:id="rId1113"/>
    <hyperlink ref="C1119" r:id="rId1114"/>
    <hyperlink ref="C1120" r:id="rId1115"/>
    <hyperlink ref="C1121" r:id="rId1116"/>
    <hyperlink ref="C1122" r:id="rId1117"/>
    <hyperlink ref="C1123" r:id="rId1118"/>
    <hyperlink ref="C1124" r:id="rId1119"/>
    <hyperlink ref="C1125" r:id="rId1120"/>
    <hyperlink ref="C1126" r:id="rId1121"/>
    <hyperlink ref="C1127" r:id="rId1122"/>
    <hyperlink ref="C1128" r:id="rId1123"/>
    <hyperlink ref="C1129" r:id="rId1124"/>
    <hyperlink ref="C1130" r:id="rId1125"/>
    <hyperlink ref="C1131" r:id="rId1126"/>
    <hyperlink ref="C1132" r:id="rId1127"/>
    <hyperlink ref="C1133" r:id="rId1128"/>
    <hyperlink ref="C1134" r:id="rId1129"/>
    <hyperlink ref="C1135" r:id="rId1130"/>
    <hyperlink ref="C1136" r:id="rId1131"/>
    <hyperlink ref="C1137" r:id="rId1132"/>
    <hyperlink ref="C1138" r:id="rId1133"/>
    <hyperlink ref="C1139" r:id="rId1134"/>
    <hyperlink ref="C1140" r:id="rId1135"/>
    <hyperlink ref="C1141" r:id="rId1136"/>
    <hyperlink ref="C1142" r:id="rId1137"/>
    <hyperlink ref="C1143" r:id="rId1138"/>
    <hyperlink ref="C1144" r:id="rId1139"/>
    <hyperlink ref="C1145" r:id="rId1140"/>
    <hyperlink ref="C1146" r:id="rId1141"/>
    <hyperlink ref="C1147" r:id="rId1142"/>
    <hyperlink ref="C1148" r:id="rId1143"/>
    <hyperlink ref="C1149" r:id="rId1144"/>
    <hyperlink ref="C1150" r:id="rId1145"/>
    <hyperlink ref="C1151" r:id="rId1146"/>
    <hyperlink ref="C1152" r:id="rId1147"/>
    <hyperlink ref="C1153" r:id="rId1148"/>
    <hyperlink ref="C1154" r:id="rId1149"/>
    <hyperlink ref="C1155" r:id="rId1150"/>
    <hyperlink ref="C1156" r:id="rId1151"/>
    <hyperlink ref="C1157" r:id="rId1152"/>
    <hyperlink ref="C1158" r:id="rId1153"/>
    <hyperlink ref="C1159" r:id="rId1154"/>
    <hyperlink ref="C1160" r:id="rId1155"/>
    <hyperlink ref="C1161" r:id="rId1156"/>
    <hyperlink ref="C1162" r:id="rId1157"/>
    <hyperlink ref="C1163" r:id="rId1158"/>
    <hyperlink ref="C1164" r:id="rId1159"/>
    <hyperlink ref="C1165" r:id="rId1160"/>
    <hyperlink ref="C1166" r:id="rId1161"/>
    <hyperlink ref="C1167" r:id="rId1162"/>
    <hyperlink ref="C1168" r:id="rId1163"/>
    <hyperlink ref="C1169" r:id="rId1164"/>
    <hyperlink ref="C1170" r:id="rId1165"/>
    <hyperlink ref="C1171" r:id="rId1166"/>
    <hyperlink ref="C1172" r:id="rId1167"/>
    <hyperlink ref="C1173" r:id="rId1168"/>
    <hyperlink ref="C1174" r:id="rId1169"/>
    <hyperlink ref="C1175" r:id="rId1170"/>
    <hyperlink ref="C1176" r:id="rId1171"/>
    <hyperlink ref="C1177" r:id="rId1172"/>
    <hyperlink ref="C1178" r:id="rId1173"/>
    <hyperlink ref="C1179" r:id="rId1174"/>
    <hyperlink ref="C1180" r:id="rId1175"/>
    <hyperlink ref="C1181" r:id="rId1176"/>
    <hyperlink ref="C1182" r:id="rId1177"/>
    <hyperlink ref="C1183" r:id="rId1178"/>
    <hyperlink ref="C1184" r:id="rId1179"/>
    <hyperlink ref="C1185" r:id="rId1180"/>
    <hyperlink ref="C1186" r:id="rId1181"/>
    <hyperlink ref="C1187" r:id="rId1182"/>
    <hyperlink ref="C1188" r:id="rId1183"/>
    <hyperlink ref="C1189" r:id="rId1184"/>
    <hyperlink ref="C1190" r:id="rId1185"/>
    <hyperlink ref="C1191" r:id="rId1186"/>
    <hyperlink ref="C1192" r:id="rId1187"/>
    <hyperlink ref="C1193" r:id="rId1188"/>
    <hyperlink ref="C1194" r:id="rId1189"/>
    <hyperlink ref="C1195" r:id="rId1190"/>
    <hyperlink ref="C1196" r:id="rId1191"/>
    <hyperlink ref="C1197" r:id="rId1192"/>
    <hyperlink ref="C1198" r:id="rId1193"/>
    <hyperlink ref="C1199" r:id="rId1194"/>
    <hyperlink ref="C1200" r:id="rId1195"/>
    <hyperlink ref="C1201" r:id="rId1196"/>
    <hyperlink ref="C1202" r:id="rId1197"/>
    <hyperlink ref="C1203" r:id="rId1198"/>
    <hyperlink ref="C1204" r:id="rId1199"/>
    <hyperlink ref="C1205" r:id="rId1200"/>
    <hyperlink ref="C1206" r:id="rId1201"/>
    <hyperlink ref="C1207" r:id="rId1202"/>
    <hyperlink ref="C1208" r:id="rId1203"/>
    <hyperlink ref="C1209" r:id="rId1204"/>
    <hyperlink ref="C1210" r:id="rId1205"/>
    <hyperlink ref="C1211" r:id="rId1206"/>
    <hyperlink ref="C1212" r:id="rId1207"/>
    <hyperlink ref="C1213" r:id="rId1208"/>
    <hyperlink ref="C1214" r:id="rId1209"/>
    <hyperlink ref="C1215" r:id="rId1210"/>
    <hyperlink ref="C1216" r:id="rId1211"/>
    <hyperlink ref="C1217" r:id="rId1212"/>
    <hyperlink ref="C1218" r:id="rId1213"/>
    <hyperlink ref="C1219" r:id="rId1214"/>
    <hyperlink ref="C1220" r:id="rId1215"/>
    <hyperlink ref="C1221" r:id="rId1216"/>
    <hyperlink ref="C1222" r:id="rId1217"/>
    <hyperlink ref="C1223" r:id="rId1218"/>
    <hyperlink ref="C1224" r:id="rId1219"/>
    <hyperlink ref="C1225" r:id="rId1220"/>
    <hyperlink ref="C1226" r:id="rId1221"/>
    <hyperlink ref="C1227" r:id="rId1222"/>
    <hyperlink ref="C1228" r:id="rId1223"/>
    <hyperlink ref="C1229" r:id="rId1224"/>
    <hyperlink ref="C1230" r:id="rId1225"/>
    <hyperlink ref="C1231" r:id="rId1226"/>
    <hyperlink ref="C1232" r:id="rId1227"/>
    <hyperlink ref="C1233" r:id="rId1228"/>
    <hyperlink ref="C1234" r:id="rId1229"/>
    <hyperlink ref="C1235" r:id="rId1230"/>
    <hyperlink ref="C1236" r:id="rId1231"/>
    <hyperlink ref="C1237" r:id="rId1232"/>
    <hyperlink ref="C1238" r:id="rId1233"/>
    <hyperlink ref="C1239" r:id="rId1234"/>
    <hyperlink ref="C1240" r:id="rId1235"/>
    <hyperlink ref="C1241" r:id="rId1236"/>
    <hyperlink ref="C1242" r:id="rId1237"/>
    <hyperlink ref="C1243" r:id="rId1238"/>
    <hyperlink ref="C1244" r:id="rId1239"/>
    <hyperlink ref="C1245" r:id="rId1240"/>
    <hyperlink ref="C1246" r:id="rId1241"/>
    <hyperlink ref="C1247" r:id="rId1242"/>
    <hyperlink ref="C1248" r:id="rId1243"/>
    <hyperlink ref="C1249" r:id="rId1244"/>
    <hyperlink ref="C1250" r:id="rId1245"/>
    <hyperlink ref="C1251" r:id="rId1246"/>
    <hyperlink ref="C1252" r:id="rId1247"/>
    <hyperlink ref="C1253" r:id="rId1248"/>
    <hyperlink ref="C1254" r:id="rId1249"/>
    <hyperlink ref="C1255" r:id="rId1250"/>
    <hyperlink ref="C1256" r:id="rId1251"/>
    <hyperlink ref="C1257" r:id="rId1252"/>
    <hyperlink ref="C1258" r:id="rId1253"/>
    <hyperlink ref="C1259" r:id="rId1254"/>
    <hyperlink ref="C1260" r:id="rId1255"/>
    <hyperlink ref="C1261" r:id="rId1256"/>
    <hyperlink ref="C1262" r:id="rId1257"/>
    <hyperlink ref="C1263" r:id="rId1258"/>
    <hyperlink ref="C1264" r:id="rId1259"/>
    <hyperlink ref="C1265" r:id="rId1260"/>
    <hyperlink ref="C1266" r:id="rId1261"/>
    <hyperlink ref="C1267" r:id="rId1262"/>
    <hyperlink ref="C1268" r:id="rId1263"/>
    <hyperlink ref="C1269" r:id="rId1264"/>
    <hyperlink ref="C1270" r:id="rId1265"/>
    <hyperlink ref="C1271" r:id="rId1266"/>
    <hyperlink ref="C1272" r:id="rId1267"/>
    <hyperlink ref="C1273" r:id="rId1268"/>
    <hyperlink ref="C1274" r:id="rId1269"/>
    <hyperlink ref="C1275" r:id="rId1270"/>
    <hyperlink ref="C1276" r:id="rId1271"/>
    <hyperlink ref="C1277" r:id="rId1272"/>
    <hyperlink ref="C1278" r:id="rId1273"/>
    <hyperlink ref="C1279" r:id="rId1274"/>
    <hyperlink ref="C1280" r:id="rId1275"/>
    <hyperlink ref="C1281" r:id="rId1276"/>
    <hyperlink ref="C1282" r:id="rId1277"/>
    <hyperlink ref="C1283" r:id="rId1278"/>
    <hyperlink ref="C1284" r:id="rId1279"/>
    <hyperlink ref="C1285" r:id="rId1280"/>
    <hyperlink ref="C1286" r:id="rId1281"/>
    <hyperlink ref="C1287" r:id="rId1282"/>
    <hyperlink ref="C1288" r:id="rId1283"/>
    <hyperlink ref="C1289" r:id="rId1284"/>
    <hyperlink ref="C1290" r:id="rId1285"/>
    <hyperlink ref="C1291" r:id="rId1286"/>
    <hyperlink ref="C1292" r:id="rId1287"/>
    <hyperlink ref="C1293" r:id="rId1288"/>
    <hyperlink ref="C1294" r:id="rId1289"/>
    <hyperlink ref="C1295" r:id="rId1290"/>
    <hyperlink ref="C1296" r:id="rId1291"/>
    <hyperlink ref="C1297" r:id="rId1292"/>
    <hyperlink ref="C1298" r:id="rId1293"/>
    <hyperlink ref="C1299" r:id="rId1294"/>
    <hyperlink ref="C1300" r:id="rId1295"/>
    <hyperlink ref="C1301" r:id="rId1296"/>
    <hyperlink ref="C1302" r:id="rId1297"/>
    <hyperlink ref="C1303" r:id="rId1298"/>
    <hyperlink ref="C1304" r:id="rId1299"/>
    <hyperlink ref="C1305" r:id="rId1300"/>
    <hyperlink ref="C1306" r:id="rId1301"/>
    <hyperlink ref="C1307" r:id="rId1302"/>
    <hyperlink ref="C1308" r:id="rId1303"/>
    <hyperlink ref="C1309" r:id="rId1304"/>
    <hyperlink ref="C1310" r:id="rId1305"/>
    <hyperlink ref="C1311" r:id="rId1306"/>
    <hyperlink ref="C1312" r:id="rId1307"/>
    <hyperlink ref="C1313" r:id="rId1308"/>
    <hyperlink ref="C1314" r:id="rId1309"/>
    <hyperlink ref="C1315" r:id="rId1310"/>
    <hyperlink ref="C1316" r:id="rId1311"/>
    <hyperlink ref="C1317" r:id="rId1312"/>
    <hyperlink ref="C1318" r:id="rId1313"/>
    <hyperlink ref="C1319" r:id="rId1314"/>
    <hyperlink ref="C1320" r:id="rId1315"/>
    <hyperlink ref="C1321" r:id="rId1316"/>
    <hyperlink ref="C1322" r:id="rId1317"/>
    <hyperlink ref="C1323" r:id="rId1318"/>
    <hyperlink ref="C1324" r:id="rId1319"/>
    <hyperlink ref="C1325" r:id="rId1320"/>
    <hyperlink ref="C1326" r:id="rId1321"/>
    <hyperlink ref="C1327" r:id="rId1322"/>
    <hyperlink ref="C1328" r:id="rId1323"/>
    <hyperlink ref="C1329" r:id="rId1324"/>
    <hyperlink ref="C1330" r:id="rId1325"/>
    <hyperlink ref="C1331" r:id="rId1326"/>
    <hyperlink ref="C1332" r:id="rId1327"/>
    <hyperlink ref="C1333" r:id="rId1328"/>
    <hyperlink ref="C1334" r:id="rId1329"/>
    <hyperlink ref="C1335" r:id="rId1330"/>
    <hyperlink ref="C1336" r:id="rId1331"/>
    <hyperlink ref="C1337" r:id="rId1332"/>
    <hyperlink ref="C1338" r:id="rId1333"/>
    <hyperlink ref="C1339" r:id="rId1334"/>
    <hyperlink ref="C1340" r:id="rId1335"/>
    <hyperlink ref="C1341" r:id="rId1336"/>
    <hyperlink ref="C1342" r:id="rId1337"/>
    <hyperlink ref="C1343" r:id="rId1338"/>
    <hyperlink ref="C1344" r:id="rId1339"/>
    <hyperlink ref="C1345" r:id="rId1340"/>
    <hyperlink ref="C1346" r:id="rId1341"/>
    <hyperlink ref="C1347" r:id="rId1342"/>
    <hyperlink ref="C1348" r:id="rId1343"/>
    <hyperlink ref="C1349" r:id="rId1344"/>
    <hyperlink ref="C1350" r:id="rId1345"/>
    <hyperlink ref="C1351" r:id="rId1346"/>
    <hyperlink ref="C1352" r:id="rId1347"/>
    <hyperlink ref="C1353" r:id="rId1348"/>
    <hyperlink ref="C1354" r:id="rId1349"/>
    <hyperlink ref="C1355" r:id="rId1350"/>
    <hyperlink ref="C1356" r:id="rId1351"/>
    <hyperlink ref="C1357" r:id="rId1352"/>
    <hyperlink ref="C1358" r:id="rId1353"/>
    <hyperlink ref="C1359" r:id="rId1354"/>
    <hyperlink ref="C1360" r:id="rId1355"/>
    <hyperlink ref="C1361" r:id="rId1356"/>
    <hyperlink ref="C1362" r:id="rId1357"/>
    <hyperlink ref="C1363" r:id="rId1358"/>
    <hyperlink ref="C1364" r:id="rId1359"/>
    <hyperlink ref="C1365" r:id="rId1360"/>
    <hyperlink ref="C1366" r:id="rId1361"/>
    <hyperlink ref="C1367" r:id="rId1362"/>
    <hyperlink ref="C1368" r:id="rId1363"/>
    <hyperlink ref="C1369" r:id="rId1364"/>
    <hyperlink ref="C1370" r:id="rId1365"/>
    <hyperlink ref="C1371" r:id="rId1366"/>
    <hyperlink ref="C1372" r:id="rId1367"/>
    <hyperlink ref="C1373" r:id="rId1368"/>
    <hyperlink ref="C1374" r:id="rId1369"/>
    <hyperlink ref="C1375" r:id="rId1370"/>
    <hyperlink ref="C1376" r:id="rId1371"/>
    <hyperlink ref="C1377" r:id="rId1372"/>
    <hyperlink ref="C1378" r:id="rId1373"/>
    <hyperlink ref="C1379" r:id="rId1374"/>
    <hyperlink ref="C1380" r:id="rId1375"/>
    <hyperlink ref="C1381" r:id="rId1376"/>
    <hyperlink ref="C1382" r:id="rId1377"/>
    <hyperlink ref="C5" r:id="rId1378"/>
    <hyperlink ref="C1383" r:id="rId1379"/>
    <hyperlink ref="C1384" r:id="rId1380"/>
    <hyperlink ref="C1385" r:id="rId1381"/>
    <hyperlink ref="C1386" r:id="rId1382"/>
  </hyperlinks>
  <pageMargins left="0.7" right="0.7" top="0.75" bottom="0.75" header="0.3" footer="0.3"/>
  <pageSetup orientation="portrait" horizontalDpi="4294967293" verticalDpi="0" r:id="rId1383"/>
  <drawing r:id="rId138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6148"/>
  <sheetViews>
    <sheetView showGridLines="0" workbookViewId="0">
      <selection activeCell="E12" sqref="E12"/>
    </sheetView>
  </sheetViews>
  <sheetFormatPr defaultRowHeight="15" x14ac:dyDescent="0.25"/>
  <cols>
    <col min="1" max="1" width="4.5703125" customWidth="1"/>
    <col min="2" max="2" width="18" style="1" customWidth="1"/>
    <col min="3" max="8" width="13.85546875" style="1" customWidth="1"/>
    <col min="10" max="10" width="10.42578125" bestFit="1" customWidth="1"/>
    <col min="11" max="11" width="15.85546875" bestFit="1" customWidth="1"/>
  </cols>
  <sheetData>
    <row r="1" spans="1:9" ht="18.75" x14ac:dyDescent="0.25">
      <c r="B1" s="65" t="s">
        <v>4080</v>
      </c>
    </row>
    <row r="2" spans="1:9" ht="60" x14ac:dyDescent="0.25">
      <c r="B2" s="63" t="s">
        <v>4074</v>
      </c>
      <c r="C2" s="64" t="s">
        <v>4075</v>
      </c>
      <c r="D2" s="64" t="s">
        <v>4077</v>
      </c>
      <c r="E2" s="64" t="s">
        <v>4076</v>
      </c>
      <c r="F2" s="64" t="s">
        <v>3363</v>
      </c>
      <c r="G2" s="64" t="s">
        <v>4078</v>
      </c>
      <c r="H2" s="64" t="s">
        <v>4079</v>
      </c>
      <c r="I2" s="64" t="s">
        <v>4084</v>
      </c>
    </row>
    <row r="3" spans="1:9" x14ac:dyDescent="0.25">
      <c r="A3" s="58"/>
      <c r="B3" s="59"/>
      <c r="C3" s="60"/>
      <c r="D3" s="60"/>
      <c r="E3" s="61"/>
      <c r="F3" s="60"/>
      <c r="G3" s="60"/>
      <c r="H3" s="62"/>
      <c r="I3" s="62"/>
    </row>
    <row r="4" spans="1:9" x14ac:dyDescent="0.25">
      <c r="B4" s="59"/>
      <c r="C4" s="60"/>
      <c r="D4" s="60"/>
      <c r="F4" s="60"/>
      <c r="G4" s="60"/>
      <c r="H4" s="62"/>
      <c r="I4" s="62"/>
    </row>
    <row r="5" spans="1:9" x14ac:dyDescent="0.25">
      <c r="B5" s="59"/>
      <c r="C5" s="60"/>
      <c r="D5" s="60"/>
      <c r="F5" s="60"/>
      <c r="G5" s="60"/>
      <c r="H5" s="62"/>
      <c r="I5" s="62"/>
    </row>
    <row r="6" spans="1:9" x14ac:dyDescent="0.25">
      <c r="B6" s="59"/>
      <c r="C6" s="60"/>
      <c r="D6" s="60"/>
      <c r="F6" s="60"/>
      <c r="G6" s="60"/>
      <c r="H6" s="62"/>
      <c r="I6" s="62"/>
    </row>
    <row r="7" spans="1:9" x14ac:dyDescent="0.25">
      <c r="B7" s="59"/>
      <c r="C7" s="60"/>
      <c r="D7" s="60"/>
      <c r="F7" s="60"/>
      <c r="G7" s="60"/>
      <c r="H7" s="62"/>
      <c r="I7" s="62"/>
    </row>
    <row r="8" spans="1:9" x14ac:dyDescent="0.25">
      <c r="B8" s="59"/>
      <c r="C8" s="60"/>
      <c r="D8" s="60"/>
      <c r="F8" s="60"/>
      <c r="G8" s="60"/>
      <c r="H8" s="62"/>
      <c r="I8" s="62"/>
    </row>
    <row r="9" spans="1:9" x14ac:dyDescent="0.25">
      <c r="B9" s="59"/>
      <c r="C9" s="60"/>
      <c r="D9" s="60"/>
      <c r="F9" s="60"/>
      <c r="G9" s="60"/>
      <c r="H9" s="62"/>
      <c r="I9" s="62"/>
    </row>
    <row r="10" spans="1:9" x14ac:dyDescent="0.25">
      <c r="B10" s="59"/>
      <c r="C10" s="60"/>
      <c r="D10" s="60"/>
      <c r="F10" s="60"/>
      <c r="G10" s="60"/>
      <c r="H10" s="62"/>
      <c r="I10" s="62"/>
    </row>
    <row r="11" spans="1:9" x14ac:dyDescent="0.25">
      <c r="B11" s="59"/>
      <c r="C11" s="60"/>
      <c r="D11" s="60"/>
      <c r="F11" s="60"/>
      <c r="G11" s="60"/>
      <c r="H11" s="62"/>
      <c r="I11" s="62" t="str">
        <f t="shared" ref="I11:I68" si="0">IF(H11&lt;&gt;"",H11-H10,"")</f>
        <v/>
      </c>
    </row>
    <row r="12" spans="1:9" x14ac:dyDescent="0.25">
      <c r="B12" s="59"/>
      <c r="C12" s="60"/>
      <c r="D12" s="60"/>
      <c r="F12" s="60"/>
      <c r="G12" s="60"/>
      <c r="H12" s="62"/>
      <c r="I12" s="62" t="str">
        <f t="shared" si="0"/>
        <v/>
      </c>
    </row>
    <row r="13" spans="1:9" x14ac:dyDescent="0.25">
      <c r="B13" s="59"/>
      <c r="C13" s="60"/>
      <c r="D13" s="60"/>
      <c r="F13" s="60"/>
      <c r="G13" s="60"/>
      <c r="H13" s="62"/>
      <c r="I13" s="62" t="str">
        <f t="shared" si="0"/>
        <v/>
      </c>
    </row>
    <row r="14" spans="1:9" x14ac:dyDescent="0.25">
      <c r="B14" s="59"/>
      <c r="C14" s="60"/>
      <c r="D14" s="60"/>
      <c r="F14" s="60"/>
      <c r="G14" s="60"/>
      <c r="H14" s="62"/>
      <c r="I14" s="62" t="str">
        <f t="shared" si="0"/>
        <v/>
      </c>
    </row>
    <row r="15" spans="1:9" x14ac:dyDescent="0.25">
      <c r="B15" s="59"/>
      <c r="C15" s="60"/>
      <c r="D15" s="60"/>
      <c r="F15" s="60"/>
      <c r="G15" s="60"/>
      <c r="H15" s="62"/>
      <c r="I15" s="62" t="str">
        <f t="shared" si="0"/>
        <v/>
      </c>
    </row>
    <row r="16" spans="1:9" x14ac:dyDescent="0.25">
      <c r="B16" s="59"/>
      <c r="C16" s="60"/>
      <c r="D16" s="60"/>
      <c r="F16" s="60"/>
      <c r="G16" s="60"/>
      <c r="H16" s="62"/>
      <c r="I16" s="62" t="str">
        <f t="shared" si="0"/>
        <v/>
      </c>
    </row>
    <row r="17" spans="2:9" x14ac:dyDescent="0.25">
      <c r="B17" s="59"/>
      <c r="C17" s="60"/>
      <c r="D17" s="60"/>
      <c r="F17" s="60"/>
      <c r="G17" s="60"/>
      <c r="H17" s="62"/>
      <c r="I17" s="62" t="str">
        <f t="shared" si="0"/>
        <v/>
      </c>
    </row>
    <row r="18" spans="2:9" x14ac:dyDescent="0.25">
      <c r="B18" s="59"/>
      <c r="C18" s="60"/>
      <c r="D18" s="60"/>
      <c r="F18" s="60"/>
      <c r="G18" s="60"/>
      <c r="H18" s="62"/>
      <c r="I18" s="62" t="str">
        <f t="shared" si="0"/>
        <v/>
      </c>
    </row>
    <row r="19" spans="2:9" x14ac:dyDescent="0.25">
      <c r="B19" s="59"/>
      <c r="C19" s="60"/>
      <c r="D19" s="60"/>
      <c r="F19" s="60"/>
      <c r="G19" s="60"/>
      <c r="H19" s="62"/>
      <c r="I19" s="62" t="str">
        <f t="shared" si="0"/>
        <v/>
      </c>
    </row>
    <row r="20" spans="2:9" x14ac:dyDescent="0.25">
      <c r="B20" s="59"/>
      <c r="C20" s="60"/>
      <c r="D20" s="60"/>
      <c r="F20" s="60"/>
      <c r="G20" s="60"/>
      <c r="H20" s="62"/>
      <c r="I20" s="62" t="str">
        <f t="shared" si="0"/>
        <v/>
      </c>
    </row>
    <row r="21" spans="2:9" x14ac:dyDescent="0.25">
      <c r="B21" s="59"/>
      <c r="C21" s="60"/>
      <c r="D21" s="60"/>
      <c r="F21" s="60"/>
      <c r="G21" s="60"/>
      <c r="H21" s="62"/>
      <c r="I21" s="62" t="str">
        <f t="shared" si="0"/>
        <v/>
      </c>
    </row>
    <row r="22" spans="2:9" x14ac:dyDescent="0.25">
      <c r="B22" s="59"/>
      <c r="C22" s="60"/>
      <c r="D22" s="60"/>
      <c r="F22" s="60"/>
      <c r="G22" s="60"/>
      <c r="H22" s="62"/>
      <c r="I22" s="62" t="str">
        <f t="shared" si="0"/>
        <v/>
      </c>
    </row>
    <row r="23" spans="2:9" x14ac:dyDescent="0.25">
      <c r="B23" s="59"/>
      <c r="C23" s="60"/>
      <c r="D23" s="60"/>
      <c r="F23" s="60"/>
      <c r="G23" s="60"/>
      <c r="H23" s="62"/>
      <c r="I23" s="62" t="str">
        <f t="shared" si="0"/>
        <v/>
      </c>
    </row>
    <row r="24" spans="2:9" x14ac:dyDescent="0.25">
      <c r="B24" s="59"/>
      <c r="C24" s="60"/>
      <c r="D24" s="60"/>
      <c r="F24" s="60"/>
      <c r="G24" s="60"/>
      <c r="H24" s="62"/>
      <c r="I24" s="62" t="str">
        <f t="shared" si="0"/>
        <v/>
      </c>
    </row>
    <row r="25" spans="2:9" x14ac:dyDescent="0.25">
      <c r="B25" s="59"/>
      <c r="C25" s="60"/>
      <c r="D25" s="60"/>
      <c r="F25" s="60"/>
      <c r="G25" s="60"/>
      <c r="H25" s="62"/>
      <c r="I25" s="62" t="str">
        <f t="shared" si="0"/>
        <v/>
      </c>
    </row>
    <row r="26" spans="2:9" x14ac:dyDescent="0.25">
      <c r="B26" s="59"/>
      <c r="C26" s="60"/>
      <c r="D26" s="60"/>
      <c r="F26" s="60"/>
      <c r="G26" s="60"/>
      <c r="H26" s="62"/>
      <c r="I26" s="62" t="str">
        <f t="shared" si="0"/>
        <v/>
      </c>
    </row>
    <row r="27" spans="2:9" x14ac:dyDescent="0.25">
      <c r="B27" s="59"/>
      <c r="C27" s="60"/>
      <c r="D27" s="60"/>
      <c r="F27" s="60"/>
      <c r="G27" s="60"/>
      <c r="H27" s="62"/>
      <c r="I27" s="62" t="str">
        <f t="shared" si="0"/>
        <v/>
      </c>
    </row>
    <row r="28" spans="2:9" x14ac:dyDescent="0.25">
      <c r="B28" s="59"/>
      <c r="C28" s="60"/>
      <c r="D28" s="60"/>
      <c r="F28" s="60"/>
      <c r="G28" s="60"/>
      <c r="H28" s="62"/>
      <c r="I28" s="62" t="str">
        <f t="shared" si="0"/>
        <v/>
      </c>
    </row>
    <row r="29" spans="2:9" x14ac:dyDescent="0.25">
      <c r="B29" s="59"/>
      <c r="C29" s="60"/>
      <c r="D29" s="60"/>
      <c r="F29" s="60"/>
      <c r="G29" s="60"/>
      <c r="H29" s="62"/>
      <c r="I29" s="62" t="str">
        <f t="shared" si="0"/>
        <v/>
      </c>
    </row>
    <row r="30" spans="2:9" x14ac:dyDescent="0.25">
      <c r="B30" s="59"/>
      <c r="C30" s="60"/>
      <c r="D30" s="60"/>
      <c r="F30" s="60"/>
      <c r="G30" s="60"/>
      <c r="H30" s="62"/>
      <c r="I30" s="62" t="str">
        <f t="shared" si="0"/>
        <v/>
      </c>
    </row>
    <row r="31" spans="2:9" x14ac:dyDescent="0.25">
      <c r="B31" s="59"/>
      <c r="C31" s="60"/>
      <c r="D31" s="60"/>
      <c r="F31" s="60"/>
      <c r="G31" s="60"/>
      <c r="H31" s="62"/>
      <c r="I31" s="62" t="str">
        <f t="shared" si="0"/>
        <v/>
      </c>
    </row>
    <row r="32" spans="2:9" x14ac:dyDescent="0.25">
      <c r="B32" s="59"/>
      <c r="C32" s="60"/>
      <c r="D32" s="60"/>
      <c r="F32" s="60"/>
      <c r="G32" s="60"/>
      <c r="H32" s="62"/>
      <c r="I32" s="62" t="str">
        <f t="shared" si="0"/>
        <v/>
      </c>
    </row>
    <row r="33" spans="2:9" x14ac:dyDescent="0.25">
      <c r="B33" s="59"/>
      <c r="C33" s="60"/>
      <c r="D33" s="60"/>
      <c r="F33" s="60"/>
      <c r="G33" s="60"/>
      <c r="H33" s="62"/>
      <c r="I33" s="62" t="str">
        <f t="shared" si="0"/>
        <v/>
      </c>
    </row>
    <row r="34" spans="2:9" x14ac:dyDescent="0.25">
      <c r="B34" s="59"/>
      <c r="C34" s="60"/>
      <c r="D34" s="60"/>
      <c r="F34" s="60"/>
      <c r="G34" s="60"/>
      <c r="H34" s="62"/>
      <c r="I34" s="62" t="str">
        <f t="shared" si="0"/>
        <v/>
      </c>
    </row>
    <row r="35" spans="2:9" x14ac:dyDescent="0.25">
      <c r="B35" s="59"/>
      <c r="C35" s="60"/>
      <c r="D35" s="60"/>
      <c r="F35" s="60"/>
      <c r="G35" s="60"/>
      <c r="H35" s="62"/>
      <c r="I35" s="62" t="str">
        <f t="shared" si="0"/>
        <v/>
      </c>
    </row>
    <row r="36" spans="2:9" x14ac:dyDescent="0.25">
      <c r="B36" s="59"/>
      <c r="C36" s="60"/>
      <c r="D36" s="60"/>
      <c r="F36" s="60"/>
      <c r="G36" s="60"/>
      <c r="H36" s="62"/>
      <c r="I36" s="62" t="str">
        <f t="shared" si="0"/>
        <v/>
      </c>
    </row>
    <row r="37" spans="2:9" x14ac:dyDescent="0.25">
      <c r="B37" s="59"/>
      <c r="C37" s="60"/>
      <c r="D37" s="60"/>
      <c r="F37" s="60"/>
      <c r="G37" s="60"/>
      <c r="H37" s="62"/>
      <c r="I37" s="62" t="str">
        <f t="shared" si="0"/>
        <v/>
      </c>
    </row>
    <row r="38" spans="2:9" x14ac:dyDescent="0.25">
      <c r="B38" s="59"/>
      <c r="C38" s="60"/>
      <c r="D38" s="60"/>
      <c r="F38" s="60"/>
      <c r="G38" s="60"/>
      <c r="H38" s="62"/>
      <c r="I38" s="62" t="str">
        <f t="shared" si="0"/>
        <v/>
      </c>
    </row>
    <row r="39" spans="2:9" x14ac:dyDescent="0.25">
      <c r="B39" s="59"/>
      <c r="C39" s="60"/>
      <c r="D39" s="60"/>
      <c r="F39" s="60"/>
      <c r="G39" s="60"/>
      <c r="H39" s="62"/>
      <c r="I39" s="62" t="str">
        <f t="shared" si="0"/>
        <v/>
      </c>
    </row>
    <row r="40" spans="2:9" x14ac:dyDescent="0.25">
      <c r="B40" s="59"/>
      <c r="C40" s="60"/>
      <c r="D40" s="60"/>
      <c r="F40" s="60"/>
      <c r="G40" s="60"/>
      <c r="H40" s="62"/>
      <c r="I40" s="62" t="str">
        <f t="shared" si="0"/>
        <v/>
      </c>
    </row>
    <row r="41" spans="2:9" x14ac:dyDescent="0.25">
      <c r="B41" s="59"/>
      <c r="C41" s="60"/>
      <c r="D41" s="60"/>
      <c r="F41" s="60"/>
      <c r="G41" s="60"/>
      <c r="H41" s="62"/>
      <c r="I41" s="62" t="str">
        <f t="shared" si="0"/>
        <v/>
      </c>
    </row>
    <row r="42" spans="2:9" x14ac:dyDescent="0.25">
      <c r="B42" s="59"/>
      <c r="C42" s="60"/>
      <c r="D42" s="60"/>
      <c r="F42" s="60"/>
      <c r="G42" s="60"/>
      <c r="H42" s="62"/>
      <c r="I42" s="62" t="str">
        <f t="shared" si="0"/>
        <v/>
      </c>
    </row>
    <row r="43" spans="2:9" x14ac:dyDescent="0.25">
      <c r="B43" s="59"/>
      <c r="C43" s="60"/>
      <c r="D43" s="60"/>
      <c r="F43" s="60"/>
      <c r="G43" s="60"/>
      <c r="H43" s="62"/>
      <c r="I43" s="62" t="str">
        <f t="shared" si="0"/>
        <v/>
      </c>
    </row>
    <row r="44" spans="2:9" x14ac:dyDescent="0.25">
      <c r="B44" s="59"/>
      <c r="C44" s="60"/>
      <c r="D44" s="60"/>
      <c r="F44" s="60"/>
      <c r="G44" s="60"/>
      <c r="H44" s="62"/>
      <c r="I44" s="62" t="str">
        <f t="shared" si="0"/>
        <v/>
      </c>
    </row>
    <row r="45" spans="2:9" x14ac:dyDescent="0.25">
      <c r="B45" s="59"/>
      <c r="C45" s="60"/>
      <c r="D45" s="60"/>
      <c r="F45" s="60"/>
      <c r="G45" s="60"/>
      <c r="H45" s="62"/>
      <c r="I45" s="62" t="str">
        <f t="shared" si="0"/>
        <v/>
      </c>
    </row>
    <row r="46" spans="2:9" x14ac:dyDescent="0.25">
      <c r="B46" s="59"/>
      <c r="C46" s="60"/>
      <c r="D46" s="60"/>
      <c r="F46" s="60"/>
      <c r="G46" s="60"/>
      <c r="H46" s="62"/>
      <c r="I46" s="62" t="str">
        <f t="shared" si="0"/>
        <v/>
      </c>
    </row>
    <row r="47" spans="2:9" x14ac:dyDescent="0.25">
      <c r="B47" s="59"/>
      <c r="C47" s="60"/>
      <c r="D47" s="60"/>
      <c r="F47" s="60"/>
      <c r="G47" s="60"/>
      <c r="H47" s="62"/>
      <c r="I47" s="62" t="str">
        <f t="shared" si="0"/>
        <v/>
      </c>
    </row>
    <row r="48" spans="2:9" x14ac:dyDescent="0.25">
      <c r="B48" s="59"/>
      <c r="C48" s="60"/>
      <c r="D48" s="60"/>
      <c r="F48" s="60"/>
      <c r="G48" s="60"/>
      <c r="H48" s="62"/>
      <c r="I48" s="62" t="str">
        <f t="shared" si="0"/>
        <v/>
      </c>
    </row>
    <row r="49" spans="2:9" x14ac:dyDescent="0.25">
      <c r="B49" s="59"/>
      <c r="C49" s="60"/>
      <c r="D49" s="60"/>
      <c r="F49" s="60"/>
      <c r="G49" s="60"/>
      <c r="H49" s="62"/>
      <c r="I49" s="62" t="str">
        <f t="shared" si="0"/>
        <v/>
      </c>
    </row>
    <row r="50" spans="2:9" x14ac:dyDescent="0.25">
      <c r="B50" s="59"/>
      <c r="C50" s="60"/>
      <c r="D50" s="60"/>
      <c r="F50" s="60"/>
      <c r="G50" s="60"/>
      <c r="H50" s="62"/>
      <c r="I50" s="62" t="str">
        <f t="shared" si="0"/>
        <v/>
      </c>
    </row>
    <row r="51" spans="2:9" x14ac:dyDescent="0.25">
      <c r="B51" s="59"/>
      <c r="C51" s="60"/>
      <c r="D51" s="60"/>
      <c r="F51" s="60"/>
      <c r="G51" s="60"/>
      <c r="H51" s="62"/>
      <c r="I51" s="62" t="str">
        <f t="shared" si="0"/>
        <v/>
      </c>
    </row>
    <row r="52" spans="2:9" x14ac:dyDescent="0.25">
      <c r="B52" s="59"/>
      <c r="C52" s="60"/>
      <c r="D52" s="60"/>
      <c r="F52" s="60"/>
      <c r="G52" s="60"/>
      <c r="H52" s="62"/>
      <c r="I52" s="62" t="str">
        <f t="shared" si="0"/>
        <v/>
      </c>
    </row>
    <row r="53" spans="2:9" x14ac:dyDescent="0.25">
      <c r="B53" s="59"/>
      <c r="C53" s="60"/>
      <c r="D53" s="60"/>
      <c r="F53" s="60"/>
      <c r="G53" s="60"/>
      <c r="H53" s="62"/>
      <c r="I53" s="62" t="str">
        <f t="shared" si="0"/>
        <v/>
      </c>
    </row>
    <row r="54" spans="2:9" x14ac:dyDescent="0.25">
      <c r="B54" s="59"/>
      <c r="C54" s="60"/>
      <c r="D54" s="60"/>
      <c r="F54" s="60"/>
      <c r="G54" s="60"/>
      <c r="H54" s="62"/>
      <c r="I54" s="62" t="str">
        <f t="shared" si="0"/>
        <v/>
      </c>
    </row>
    <row r="55" spans="2:9" x14ac:dyDescent="0.25">
      <c r="B55" s="59"/>
      <c r="C55" s="60"/>
      <c r="D55" s="60"/>
      <c r="F55" s="60"/>
      <c r="G55" s="60"/>
      <c r="H55" s="62"/>
      <c r="I55" s="62" t="str">
        <f t="shared" si="0"/>
        <v/>
      </c>
    </row>
    <row r="56" spans="2:9" x14ac:dyDescent="0.25">
      <c r="B56" s="59"/>
      <c r="C56" s="60"/>
      <c r="D56" s="60"/>
      <c r="F56" s="60"/>
      <c r="G56" s="60"/>
      <c r="H56" s="62"/>
      <c r="I56" s="62" t="str">
        <f t="shared" si="0"/>
        <v/>
      </c>
    </row>
    <row r="57" spans="2:9" x14ac:dyDescent="0.25">
      <c r="B57" s="59"/>
      <c r="C57" s="60"/>
      <c r="D57" s="60"/>
      <c r="F57" s="60"/>
      <c r="G57" s="60"/>
      <c r="H57" s="62"/>
      <c r="I57" s="62" t="str">
        <f t="shared" si="0"/>
        <v/>
      </c>
    </row>
    <row r="58" spans="2:9" x14ac:dyDescent="0.25">
      <c r="B58" s="59"/>
      <c r="C58" s="60"/>
      <c r="D58" s="60"/>
      <c r="F58" s="60"/>
      <c r="G58" s="60"/>
      <c r="H58" s="62"/>
      <c r="I58" s="62" t="str">
        <f t="shared" si="0"/>
        <v/>
      </c>
    </row>
    <row r="59" spans="2:9" x14ac:dyDescent="0.25">
      <c r="B59" s="59"/>
      <c r="C59" s="60"/>
      <c r="D59" s="60"/>
      <c r="F59" s="60"/>
      <c r="G59" s="60"/>
      <c r="H59" s="62"/>
      <c r="I59" s="62" t="str">
        <f t="shared" si="0"/>
        <v/>
      </c>
    </row>
    <row r="60" spans="2:9" x14ac:dyDescent="0.25">
      <c r="B60" s="59"/>
      <c r="C60" s="60"/>
      <c r="D60" s="60"/>
      <c r="F60" s="60"/>
      <c r="G60" s="60"/>
      <c r="H60" s="62"/>
      <c r="I60" s="62" t="str">
        <f t="shared" si="0"/>
        <v/>
      </c>
    </row>
    <row r="61" spans="2:9" x14ac:dyDescent="0.25">
      <c r="B61" s="59"/>
      <c r="C61" s="60"/>
      <c r="D61" s="60"/>
      <c r="F61" s="60"/>
      <c r="G61" s="60"/>
      <c r="H61" s="62"/>
      <c r="I61" s="62" t="str">
        <f t="shared" si="0"/>
        <v/>
      </c>
    </row>
    <row r="62" spans="2:9" x14ac:dyDescent="0.25">
      <c r="B62" s="59"/>
      <c r="C62" s="60"/>
      <c r="D62" s="60"/>
      <c r="F62" s="60"/>
      <c r="G62" s="60"/>
      <c r="H62" s="62"/>
      <c r="I62" s="62" t="str">
        <f t="shared" si="0"/>
        <v/>
      </c>
    </row>
    <row r="63" spans="2:9" x14ac:dyDescent="0.25">
      <c r="B63" s="59"/>
      <c r="C63" s="60"/>
      <c r="D63" s="60"/>
      <c r="F63" s="60"/>
      <c r="G63" s="60"/>
      <c r="H63" s="62"/>
      <c r="I63" s="62" t="str">
        <f t="shared" si="0"/>
        <v/>
      </c>
    </row>
    <row r="64" spans="2:9" x14ac:dyDescent="0.25">
      <c r="B64" s="59"/>
      <c r="C64" s="60"/>
      <c r="D64" s="60"/>
      <c r="F64" s="60"/>
      <c r="G64" s="60"/>
      <c r="H64" s="62"/>
      <c r="I64" s="62" t="str">
        <f t="shared" si="0"/>
        <v/>
      </c>
    </row>
    <row r="65" spans="2:9" x14ac:dyDescent="0.25">
      <c r="B65" s="59"/>
      <c r="C65" s="60"/>
      <c r="D65" s="60"/>
      <c r="F65" s="60"/>
      <c r="G65" s="60"/>
      <c r="H65" s="62"/>
      <c r="I65" s="62" t="str">
        <f t="shared" si="0"/>
        <v/>
      </c>
    </row>
    <row r="66" spans="2:9" x14ac:dyDescent="0.25">
      <c r="B66" s="59"/>
      <c r="C66" s="60"/>
      <c r="D66" s="60"/>
      <c r="F66" s="60"/>
      <c r="G66" s="60"/>
      <c r="H66" s="62"/>
      <c r="I66" s="62" t="str">
        <f t="shared" si="0"/>
        <v/>
      </c>
    </row>
    <row r="67" spans="2:9" x14ac:dyDescent="0.25">
      <c r="B67" s="59"/>
      <c r="C67" s="60"/>
      <c r="D67" s="60"/>
      <c r="F67" s="60"/>
      <c r="G67" s="60"/>
      <c r="H67" s="62"/>
      <c r="I67" s="62" t="str">
        <f t="shared" si="0"/>
        <v/>
      </c>
    </row>
    <row r="68" spans="2:9" x14ac:dyDescent="0.25">
      <c r="B68" s="59"/>
      <c r="C68" s="60"/>
      <c r="D68" s="60"/>
      <c r="F68" s="60"/>
      <c r="G68" s="60"/>
      <c r="H68" s="62"/>
      <c r="I68" s="62" t="str">
        <f t="shared" si="0"/>
        <v/>
      </c>
    </row>
    <row r="69" spans="2:9" x14ac:dyDescent="0.25">
      <c r="B69" s="59"/>
      <c r="C69" s="60"/>
      <c r="D69" s="60"/>
      <c r="F69" s="60"/>
      <c r="G69" s="60"/>
      <c r="H69" s="62"/>
      <c r="I69" s="62" t="str">
        <f t="shared" ref="I69:I132" si="1">IF(H69&lt;&gt;"",H69-H68,"")</f>
        <v/>
      </c>
    </row>
    <row r="70" spans="2:9" x14ac:dyDescent="0.25">
      <c r="B70" s="59"/>
      <c r="C70" s="60"/>
      <c r="D70" s="60"/>
      <c r="F70" s="60"/>
      <c r="G70" s="60"/>
      <c r="H70" s="62"/>
      <c r="I70" s="62" t="str">
        <f t="shared" si="1"/>
        <v/>
      </c>
    </row>
    <row r="71" spans="2:9" x14ac:dyDescent="0.25">
      <c r="B71" s="59"/>
      <c r="C71" s="60"/>
      <c r="D71" s="60"/>
      <c r="F71" s="60"/>
      <c r="G71" s="60"/>
      <c r="H71" s="62"/>
      <c r="I71" s="62" t="str">
        <f t="shared" si="1"/>
        <v/>
      </c>
    </row>
    <row r="72" spans="2:9" x14ac:dyDescent="0.25">
      <c r="B72" s="59"/>
      <c r="C72" s="60"/>
      <c r="D72" s="60"/>
      <c r="F72" s="60"/>
      <c r="G72" s="60"/>
      <c r="H72" s="62"/>
      <c r="I72" s="62" t="str">
        <f t="shared" si="1"/>
        <v/>
      </c>
    </row>
    <row r="73" spans="2:9" x14ac:dyDescent="0.25">
      <c r="B73" s="59"/>
      <c r="C73" s="60"/>
      <c r="D73" s="60"/>
      <c r="F73" s="60"/>
      <c r="G73" s="60"/>
      <c r="H73" s="62"/>
      <c r="I73" s="62" t="str">
        <f t="shared" si="1"/>
        <v/>
      </c>
    </row>
    <row r="74" spans="2:9" x14ac:dyDescent="0.25">
      <c r="B74" s="59"/>
      <c r="C74" s="60"/>
      <c r="D74" s="60"/>
      <c r="F74" s="60"/>
      <c r="G74" s="60"/>
      <c r="H74" s="62"/>
      <c r="I74" s="62" t="str">
        <f t="shared" si="1"/>
        <v/>
      </c>
    </row>
    <row r="75" spans="2:9" x14ac:dyDescent="0.25">
      <c r="B75" s="59"/>
      <c r="C75" s="60"/>
      <c r="D75" s="60"/>
      <c r="F75" s="60"/>
      <c r="G75" s="60"/>
      <c r="H75" s="62"/>
      <c r="I75" s="62" t="str">
        <f t="shared" si="1"/>
        <v/>
      </c>
    </row>
    <row r="76" spans="2:9" x14ac:dyDescent="0.25">
      <c r="B76" s="59"/>
      <c r="C76" s="60"/>
      <c r="D76" s="60"/>
      <c r="F76" s="60"/>
      <c r="G76" s="60"/>
      <c r="H76" s="62"/>
      <c r="I76" s="62" t="str">
        <f t="shared" si="1"/>
        <v/>
      </c>
    </row>
    <row r="77" spans="2:9" x14ac:dyDescent="0.25">
      <c r="B77" s="59"/>
      <c r="C77" s="60"/>
      <c r="D77" s="60"/>
      <c r="F77" s="60"/>
      <c r="G77" s="60"/>
      <c r="H77" s="62"/>
      <c r="I77" s="62" t="str">
        <f t="shared" si="1"/>
        <v/>
      </c>
    </row>
    <row r="78" spans="2:9" x14ac:dyDescent="0.25">
      <c r="B78" s="59"/>
      <c r="C78" s="60"/>
      <c r="D78" s="60"/>
      <c r="F78" s="60"/>
      <c r="G78" s="60"/>
      <c r="H78" s="62"/>
      <c r="I78" s="62" t="str">
        <f t="shared" si="1"/>
        <v/>
      </c>
    </row>
    <row r="79" spans="2:9" x14ac:dyDescent="0.25">
      <c r="B79" s="59"/>
      <c r="C79" s="60"/>
      <c r="D79" s="60"/>
      <c r="F79" s="60"/>
      <c r="G79" s="60"/>
      <c r="H79" s="62"/>
      <c r="I79" s="62" t="str">
        <f t="shared" si="1"/>
        <v/>
      </c>
    </row>
    <row r="80" spans="2:9" x14ac:dyDescent="0.25">
      <c r="B80" s="59"/>
      <c r="C80" s="60"/>
      <c r="D80" s="60"/>
      <c r="F80" s="60"/>
      <c r="G80" s="60"/>
      <c r="H80" s="62"/>
      <c r="I80" s="62" t="str">
        <f t="shared" si="1"/>
        <v/>
      </c>
    </row>
    <row r="81" spans="2:9" x14ac:dyDescent="0.25">
      <c r="B81" s="59"/>
      <c r="C81" s="60"/>
      <c r="D81" s="60"/>
      <c r="F81" s="60"/>
      <c r="G81" s="60"/>
      <c r="H81" s="62"/>
      <c r="I81" s="62" t="str">
        <f t="shared" si="1"/>
        <v/>
      </c>
    </row>
    <row r="82" spans="2:9" x14ac:dyDescent="0.25">
      <c r="B82" s="59"/>
      <c r="C82" s="60"/>
      <c r="D82" s="60"/>
      <c r="F82" s="60"/>
      <c r="G82" s="60"/>
      <c r="H82" s="62"/>
      <c r="I82" s="62" t="str">
        <f t="shared" si="1"/>
        <v/>
      </c>
    </row>
    <row r="83" spans="2:9" x14ac:dyDescent="0.25">
      <c r="B83" s="59"/>
      <c r="C83" s="60"/>
      <c r="D83" s="60"/>
      <c r="F83" s="60"/>
      <c r="G83" s="60"/>
      <c r="H83" s="62"/>
      <c r="I83" s="62" t="str">
        <f t="shared" si="1"/>
        <v/>
      </c>
    </row>
    <row r="84" spans="2:9" x14ac:dyDescent="0.25">
      <c r="B84" s="59"/>
      <c r="C84" s="60"/>
      <c r="D84" s="60"/>
      <c r="F84" s="60"/>
      <c r="G84" s="60"/>
      <c r="H84" s="62"/>
      <c r="I84" s="62" t="str">
        <f t="shared" si="1"/>
        <v/>
      </c>
    </row>
    <row r="85" spans="2:9" x14ac:dyDescent="0.25">
      <c r="B85" s="59"/>
      <c r="C85" s="60"/>
      <c r="D85" s="60"/>
      <c r="F85" s="60"/>
      <c r="G85" s="60"/>
      <c r="H85" s="62"/>
      <c r="I85" s="62" t="str">
        <f t="shared" si="1"/>
        <v/>
      </c>
    </row>
    <row r="86" spans="2:9" x14ac:dyDescent="0.25">
      <c r="B86" s="59"/>
      <c r="C86" s="60"/>
      <c r="D86" s="60"/>
      <c r="F86" s="60"/>
      <c r="G86" s="60"/>
      <c r="H86" s="62"/>
      <c r="I86" s="62" t="str">
        <f t="shared" si="1"/>
        <v/>
      </c>
    </row>
    <row r="87" spans="2:9" x14ac:dyDescent="0.25">
      <c r="B87" s="59"/>
      <c r="C87" s="60"/>
      <c r="D87" s="60"/>
      <c r="F87" s="60"/>
      <c r="G87" s="60"/>
      <c r="H87" s="62"/>
      <c r="I87" s="62" t="str">
        <f t="shared" si="1"/>
        <v/>
      </c>
    </row>
    <row r="88" spans="2:9" x14ac:dyDescent="0.25">
      <c r="B88" s="59"/>
      <c r="C88" s="60"/>
      <c r="D88" s="60"/>
      <c r="F88" s="60"/>
      <c r="G88" s="60"/>
      <c r="H88" s="62"/>
      <c r="I88" s="62" t="str">
        <f t="shared" si="1"/>
        <v/>
      </c>
    </row>
    <row r="89" spans="2:9" x14ac:dyDescent="0.25">
      <c r="B89" s="59"/>
      <c r="C89" s="60"/>
      <c r="D89" s="60"/>
      <c r="F89" s="60"/>
      <c r="G89" s="60"/>
      <c r="H89" s="62"/>
      <c r="I89" s="62" t="str">
        <f t="shared" si="1"/>
        <v/>
      </c>
    </row>
    <row r="90" spans="2:9" x14ac:dyDescent="0.25">
      <c r="B90" s="59"/>
      <c r="C90" s="60"/>
      <c r="D90" s="60"/>
      <c r="F90" s="60"/>
      <c r="G90" s="60"/>
      <c r="H90" s="62"/>
      <c r="I90" s="62" t="str">
        <f t="shared" si="1"/>
        <v/>
      </c>
    </row>
    <row r="91" spans="2:9" x14ac:dyDescent="0.25">
      <c r="B91" s="59"/>
      <c r="C91" s="60"/>
      <c r="D91" s="60"/>
      <c r="F91" s="60"/>
      <c r="G91" s="60"/>
      <c r="H91" s="62"/>
      <c r="I91" s="62" t="str">
        <f t="shared" si="1"/>
        <v/>
      </c>
    </row>
    <row r="92" spans="2:9" x14ac:dyDescent="0.25">
      <c r="B92" s="59"/>
      <c r="C92" s="60"/>
      <c r="D92" s="60"/>
      <c r="F92" s="60"/>
      <c r="G92" s="60"/>
      <c r="H92" s="62"/>
      <c r="I92" s="62" t="str">
        <f t="shared" si="1"/>
        <v/>
      </c>
    </row>
    <row r="93" spans="2:9" x14ac:dyDescent="0.25">
      <c r="B93" s="59"/>
      <c r="C93" s="60"/>
      <c r="D93" s="60"/>
      <c r="F93" s="60"/>
      <c r="G93" s="60"/>
      <c r="H93" s="62"/>
      <c r="I93" s="62" t="str">
        <f t="shared" si="1"/>
        <v/>
      </c>
    </row>
    <row r="94" spans="2:9" x14ac:dyDescent="0.25">
      <c r="B94" s="59"/>
      <c r="C94" s="60"/>
      <c r="D94" s="60"/>
      <c r="F94" s="60"/>
      <c r="G94" s="60"/>
      <c r="H94" s="62"/>
      <c r="I94" s="62" t="str">
        <f t="shared" si="1"/>
        <v/>
      </c>
    </row>
    <row r="95" spans="2:9" x14ac:dyDescent="0.25">
      <c r="B95" s="59"/>
      <c r="C95" s="60"/>
      <c r="D95" s="60"/>
      <c r="F95" s="60"/>
      <c r="G95" s="60"/>
      <c r="H95" s="62"/>
      <c r="I95" s="62" t="str">
        <f t="shared" si="1"/>
        <v/>
      </c>
    </row>
    <row r="96" spans="2:9" x14ac:dyDescent="0.25">
      <c r="B96" s="59"/>
      <c r="C96" s="60"/>
      <c r="D96" s="60"/>
      <c r="F96" s="60"/>
      <c r="G96" s="60"/>
      <c r="H96" s="62"/>
      <c r="I96" s="62" t="str">
        <f t="shared" si="1"/>
        <v/>
      </c>
    </row>
    <row r="97" spans="2:9" x14ac:dyDescent="0.25">
      <c r="B97" s="59"/>
      <c r="C97" s="60"/>
      <c r="D97" s="60"/>
      <c r="F97" s="60"/>
      <c r="G97" s="60"/>
      <c r="H97" s="62"/>
      <c r="I97" s="62" t="str">
        <f t="shared" si="1"/>
        <v/>
      </c>
    </row>
    <row r="98" spans="2:9" x14ac:dyDescent="0.25">
      <c r="B98" s="59"/>
      <c r="C98" s="60"/>
      <c r="D98" s="60"/>
      <c r="F98" s="60"/>
      <c r="G98" s="60"/>
      <c r="H98" s="62"/>
      <c r="I98" s="62" t="str">
        <f t="shared" si="1"/>
        <v/>
      </c>
    </row>
    <row r="99" spans="2:9" x14ac:dyDescent="0.25">
      <c r="B99" s="59"/>
      <c r="C99" s="60"/>
      <c r="D99" s="60"/>
      <c r="F99" s="60"/>
      <c r="G99" s="60"/>
      <c r="H99" s="62"/>
      <c r="I99" s="62" t="str">
        <f t="shared" si="1"/>
        <v/>
      </c>
    </row>
    <row r="100" spans="2:9" x14ac:dyDescent="0.25">
      <c r="B100" s="59"/>
      <c r="C100" s="60"/>
      <c r="D100" s="60"/>
      <c r="F100" s="60"/>
      <c r="G100" s="60"/>
      <c r="H100" s="62"/>
      <c r="I100" s="62" t="str">
        <f t="shared" si="1"/>
        <v/>
      </c>
    </row>
    <row r="101" spans="2:9" x14ac:dyDescent="0.25">
      <c r="B101" s="59"/>
      <c r="C101" s="60"/>
      <c r="D101" s="60"/>
      <c r="F101" s="60"/>
      <c r="G101" s="60"/>
      <c r="H101" s="62"/>
      <c r="I101" s="62" t="str">
        <f t="shared" si="1"/>
        <v/>
      </c>
    </row>
    <row r="102" spans="2:9" x14ac:dyDescent="0.25">
      <c r="B102" s="59"/>
      <c r="C102" s="60"/>
      <c r="D102" s="60"/>
      <c r="F102" s="60"/>
      <c r="G102" s="60"/>
      <c r="H102" s="62"/>
      <c r="I102" s="62" t="str">
        <f t="shared" si="1"/>
        <v/>
      </c>
    </row>
    <row r="103" spans="2:9" x14ac:dyDescent="0.25">
      <c r="B103" s="59"/>
      <c r="C103" s="60"/>
      <c r="D103" s="60"/>
      <c r="F103" s="60"/>
      <c r="G103" s="60"/>
      <c r="H103" s="62"/>
      <c r="I103" s="62" t="str">
        <f t="shared" si="1"/>
        <v/>
      </c>
    </row>
    <row r="104" spans="2:9" x14ac:dyDescent="0.25">
      <c r="B104" s="59"/>
      <c r="C104" s="60"/>
      <c r="D104" s="60"/>
      <c r="F104" s="60"/>
      <c r="G104" s="60"/>
      <c r="H104" s="62"/>
      <c r="I104" s="62" t="str">
        <f t="shared" si="1"/>
        <v/>
      </c>
    </row>
    <row r="105" spans="2:9" x14ac:dyDescent="0.25">
      <c r="B105" s="59"/>
      <c r="C105" s="60"/>
      <c r="D105" s="60"/>
      <c r="F105" s="60"/>
      <c r="G105" s="60"/>
      <c r="H105" s="62"/>
      <c r="I105" s="62" t="str">
        <f t="shared" si="1"/>
        <v/>
      </c>
    </row>
    <row r="106" spans="2:9" x14ac:dyDescent="0.25">
      <c r="B106" s="59"/>
      <c r="C106" s="60"/>
      <c r="D106" s="60"/>
      <c r="F106" s="60"/>
      <c r="G106" s="60"/>
      <c r="H106" s="62"/>
      <c r="I106" s="62" t="str">
        <f t="shared" si="1"/>
        <v/>
      </c>
    </row>
    <row r="107" spans="2:9" x14ac:dyDescent="0.25">
      <c r="B107" s="59"/>
      <c r="C107" s="60"/>
      <c r="D107" s="60"/>
      <c r="F107" s="60"/>
      <c r="G107" s="60"/>
      <c r="H107" s="62"/>
      <c r="I107" s="62" t="str">
        <f t="shared" si="1"/>
        <v/>
      </c>
    </row>
    <row r="108" spans="2:9" x14ac:dyDescent="0.25">
      <c r="B108" s="59"/>
      <c r="C108" s="60"/>
      <c r="D108" s="60"/>
      <c r="F108" s="60"/>
      <c r="G108" s="60"/>
      <c r="H108" s="62"/>
      <c r="I108" s="62" t="str">
        <f t="shared" si="1"/>
        <v/>
      </c>
    </row>
    <row r="109" spans="2:9" x14ac:dyDescent="0.25">
      <c r="B109" s="59"/>
      <c r="C109" s="60"/>
      <c r="D109" s="60"/>
      <c r="F109" s="60"/>
      <c r="G109" s="60"/>
      <c r="H109" s="62"/>
      <c r="I109" s="62" t="str">
        <f t="shared" si="1"/>
        <v/>
      </c>
    </row>
    <row r="110" spans="2:9" x14ac:dyDescent="0.25">
      <c r="B110" s="59"/>
      <c r="C110" s="60"/>
      <c r="D110" s="60"/>
      <c r="F110" s="60"/>
      <c r="G110" s="60"/>
      <c r="H110" s="62"/>
      <c r="I110" s="62" t="str">
        <f t="shared" si="1"/>
        <v/>
      </c>
    </row>
    <row r="111" spans="2:9" x14ac:dyDescent="0.25">
      <c r="B111" s="59"/>
      <c r="C111" s="60"/>
      <c r="D111" s="60"/>
      <c r="F111" s="60"/>
      <c r="G111" s="60"/>
      <c r="H111" s="62"/>
      <c r="I111" s="62" t="str">
        <f t="shared" si="1"/>
        <v/>
      </c>
    </row>
    <row r="112" spans="2:9" x14ac:dyDescent="0.25">
      <c r="B112" s="59"/>
      <c r="C112" s="60"/>
      <c r="D112" s="60"/>
      <c r="F112" s="60"/>
      <c r="G112" s="60"/>
      <c r="H112" s="62"/>
      <c r="I112" s="62" t="str">
        <f t="shared" si="1"/>
        <v/>
      </c>
    </row>
    <row r="113" spans="2:9" x14ac:dyDescent="0.25">
      <c r="B113" s="59"/>
      <c r="C113" s="60"/>
      <c r="D113" s="60"/>
      <c r="F113" s="60"/>
      <c r="G113" s="60"/>
      <c r="H113" s="62"/>
      <c r="I113" s="62" t="str">
        <f t="shared" si="1"/>
        <v/>
      </c>
    </row>
    <row r="114" spans="2:9" x14ac:dyDescent="0.25">
      <c r="B114" s="59"/>
      <c r="C114" s="60"/>
      <c r="D114" s="60"/>
      <c r="F114" s="60"/>
      <c r="G114" s="60"/>
      <c r="H114" s="62"/>
      <c r="I114" s="62" t="str">
        <f t="shared" si="1"/>
        <v/>
      </c>
    </row>
    <row r="115" spans="2:9" x14ac:dyDescent="0.25">
      <c r="B115" s="59"/>
      <c r="C115" s="60"/>
      <c r="D115" s="60"/>
      <c r="F115" s="60"/>
      <c r="G115" s="60"/>
      <c r="H115" s="62"/>
      <c r="I115" s="62" t="str">
        <f t="shared" si="1"/>
        <v/>
      </c>
    </row>
    <row r="116" spans="2:9" x14ac:dyDescent="0.25">
      <c r="B116" s="59"/>
      <c r="C116" s="60"/>
      <c r="D116" s="60"/>
      <c r="F116" s="60"/>
      <c r="G116" s="60"/>
      <c r="H116" s="62"/>
      <c r="I116" s="62" t="str">
        <f t="shared" si="1"/>
        <v/>
      </c>
    </row>
    <row r="117" spans="2:9" x14ac:dyDescent="0.25">
      <c r="B117" s="59"/>
      <c r="C117" s="60"/>
      <c r="D117" s="60"/>
      <c r="F117" s="60"/>
      <c r="G117" s="60"/>
      <c r="H117" s="62"/>
      <c r="I117" s="62" t="str">
        <f t="shared" si="1"/>
        <v/>
      </c>
    </row>
    <row r="118" spans="2:9" x14ac:dyDescent="0.25">
      <c r="B118" s="59"/>
      <c r="C118" s="60"/>
      <c r="D118" s="60"/>
      <c r="F118" s="60"/>
      <c r="G118" s="60"/>
      <c r="H118" s="62"/>
      <c r="I118" s="62" t="str">
        <f t="shared" si="1"/>
        <v/>
      </c>
    </row>
    <row r="119" spans="2:9" x14ac:dyDescent="0.25">
      <c r="B119" s="59"/>
      <c r="C119" s="60"/>
      <c r="D119" s="60"/>
      <c r="F119" s="60"/>
      <c r="G119" s="60"/>
      <c r="H119" s="62"/>
      <c r="I119" s="62" t="str">
        <f t="shared" si="1"/>
        <v/>
      </c>
    </row>
    <row r="120" spans="2:9" x14ac:dyDescent="0.25">
      <c r="B120" s="59"/>
      <c r="C120" s="60"/>
      <c r="D120" s="60"/>
      <c r="F120" s="60"/>
      <c r="G120" s="60"/>
      <c r="H120" s="62"/>
      <c r="I120" s="62" t="str">
        <f t="shared" si="1"/>
        <v/>
      </c>
    </row>
    <row r="121" spans="2:9" x14ac:dyDescent="0.25">
      <c r="B121" s="59"/>
      <c r="C121" s="60"/>
      <c r="D121" s="60"/>
      <c r="F121" s="60"/>
      <c r="G121" s="60"/>
      <c r="H121" s="62"/>
      <c r="I121" s="62" t="str">
        <f t="shared" si="1"/>
        <v/>
      </c>
    </row>
    <row r="122" spans="2:9" x14ac:dyDescent="0.25">
      <c r="B122" s="59"/>
      <c r="C122" s="60"/>
      <c r="D122" s="60"/>
      <c r="F122" s="60"/>
      <c r="G122" s="60"/>
      <c r="H122" s="62"/>
      <c r="I122" s="62" t="str">
        <f t="shared" si="1"/>
        <v/>
      </c>
    </row>
    <row r="123" spans="2:9" x14ac:dyDescent="0.25">
      <c r="B123" s="59"/>
      <c r="C123" s="60"/>
      <c r="D123" s="60"/>
      <c r="F123" s="60"/>
      <c r="G123" s="60"/>
      <c r="H123" s="62"/>
      <c r="I123" s="62" t="str">
        <f t="shared" si="1"/>
        <v/>
      </c>
    </row>
    <row r="124" spans="2:9" x14ac:dyDescent="0.25">
      <c r="B124" s="59"/>
      <c r="C124" s="60"/>
      <c r="D124" s="60"/>
      <c r="F124" s="60"/>
      <c r="G124" s="60"/>
      <c r="H124" s="62"/>
      <c r="I124" s="62" t="str">
        <f t="shared" si="1"/>
        <v/>
      </c>
    </row>
    <row r="125" spans="2:9" x14ac:dyDescent="0.25">
      <c r="B125" s="59"/>
      <c r="C125" s="60"/>
      <c r="D125" s="60"/>
      <c r="F125" s="60"/>
      <c r="G125" s="60"/>
      <c r="H125" s="62"/>
      <c r="I125" s="62" t="str">
        <f t="shared" si="1"/>
        <v/>
      </c>
    </row>
    <row r="126" spans="2:9" x14ac:dyDescent="0.25">
      <c r="B126" s="59"/>
      <c r="C126" s="60"/>
      <c r="D126" s="60"/>
      <c r="F126" s="60"/>
      <c r="G126" s="60"/>
      <c r="H126" s="62"/>
      <c r="I126" s="62" t="str">
        <f t="shared" si="1"/>
        <v/>
      </c>
    </row>
    <row r="127" spans="2:9" x14ac:dyDescent="0.25">
      <c r="B127" s="59"/>
      <c r="C127" s="60"/>
      <c r="D127" s="60"/>
      <c r="F127" s="60"/>
      <c r="G127" s="60"/>
      <c r="H127" s="62"/>
      <c r="I127" s="62" t="str">
        <f t="shared" si="1"/>
        <v/>
      </c>
    </row>
    <row r="128" spans="2:9" x14ac:dyDescent="0.25">
      <c r="B128" s="59"/>
      <c r="C128" s="60"/>
      <c r="D128" s="60"/>
      <c r="F128" s="60"/>
      <c r="G128" s="60"/>
      <c r="H128" s="62"/>
      <c r="I128" s="62" t="str">
        <f t="shared" si="1"/>
        <v/>
      </c>
    </row>
    <row r="129" spans="2:9" x14ac:dyDescent="0.25">
      <c r="B129" s="59"/>
      <c r="C129" s="60"/>
      <c r="D129" s="60"/>
      <c r="F129" s="60"/>
      <c r="G129" s="60"/>
      <c r="H129" s="62"/>
      <c r="I129" s="62" t="str">
        <f t="shared" si="1"/>
        <v/>
      </c>
    </row>
    <row r="130" spans="2:9" x14ac:dyDescent="0.25">
      <c r="B130" s="59"/>
      <c r="C130" s="60"/>
      <c r="D130" s="60"/>
      <c r="F130" s="60"/>
      <c r="G130" s="60"/>
      <c r="H130" s="62"/>
      <c r="I130" s="62" t="str">
        <f t="shared" si="1"/>
        <v/>
      </c>
    </row>
    <row r="131" spans="2:9" x14ac:dyDescent="0.25">
      <c r="B131" s="59"/>
      <c r="C131" s="60"/>
      <c r="D131" s="60"/>
      <c r="F131" s="60"/>
      <c r="G131" s="60"/>
      <c r="H131" s="62"/>
      <c r="I131" s="62" t="str">
        <f t="shared" si="1"/>
        <v/>
      </c>
    </row>
    <row r="132" spans="2:9" x14ac:dyDescent="0.25">
      <c r="B132" s="59"/>
      <c r="C132" s="60"/>
      <c r="D132" s="60"/>
      <c r="F132" s="60"/>
      <c r="G132" s="60"/>
      <c r="H132" s="62"/>
      <c r="I132" s="62" t="str">
        <f t="shared" si="1"/>
        <v/>
      </c>
    </row>
    <row r="133" spans="2:9" x14ac:dyDescent="0.25">
      <c r="B133" s="59"/>
      <c r="C133" s="60"/>
      <c r="D133" s="60"/>
      <c r="F133" s="60"/>
      <c r="G133" s="60"/>
      <c r="H133" s="62"/>
      <c r="I133" s="62" t="str">
        <f t="shared" ref="I133:I196" si="2">IF(H133&lt;&gt;"",H133-H132,"")</f>
        <v/>
      </c>
    </row>
    <row r="134" spans="2:9" x14ac:dyDescent="0.25">
      <c r="B134" s="59"/>
      <c r="C134" s="60"/>
      <c r="D134" s="60"/>
      <c r="F134" s="60"/>
      <c r="G134" s="60"/>
      <c r="H134" s="62"/>
      <c r="I134" s="62" t="str">
        <f t="shared" si="2"/>
        <v/>
      </c>
    </row>
    <row r="135" spans="2:9" x14ac:dyDescent="0.25">
      <c r="B135" s="59"/>
      <c r="C135" s="60"/>
      <c r="D135" s="60"/>
      <c r="F135" s="60"/>
      <c r="G135" s="60"/>
      <c r="H135" s="62"/>
      <c r="I135" s="62" t="str">
        <f t="shared" si="2"/>
        <v/>
      </c>
    </row>
    <row r="136" spans="2:9" x14ac:dyDescent="0.25">
      <c r="B136" s="59"/>
      <c r="C136" s="60"/>
      <c r="D136" s="60"/>
      <c r="F136" s="60"/>
      <c r="G136" s="60"/>
      <c r="H136" s="62"/>
      <c r="I136" s="62" t="str">
        <f t="shared" si="2"/>
        <v/>
      </c>
    </row>
    <row r="137" spans="2:9" x14ac:dyDescent="0.25">
      <c r="B137" s="59"/>
      <c r="C137" s="60"/>
      <c r="D137" s="60"/>
      <c r="F137" s="60"/>
      <c r="G137" s="60"/>
      <c r="H137" s="62"/>
      <c r="I137" s="62" t="str">
        <f t="shared" si="2"/>
        <v/>
      </c>
    </row>
    <row r="138" spans="2:9" x14ac:dyDescent="0.25">
      <c r="B138" s="59"/>
      <c r="C138" s="60"/>
      <c r="D138" s="60"/>
      <c r="F138" s="60"/>
      <c r="G138" s="60"/>
      <c r="H138" s="62"/>
      <c r="I138" s="62" t="str">
        <f t="shared" si="2"/>
        <v/>
      </c>
    </row>
    <row r="139" spans="2:9" x14ac:dyDescent="0.25">
      <c r="B139" s="59"/>
      <c r="C139" s="60"/>
      <c r="D139" s="60"/>
      <c r="F139" s="60"/>
      <c r="G139" s="60"/>
      <c r="H139" s="62"/>
      <c r="I139" s="62" t="str">
        <f t="shared" si="2"/>
        <v/>
      </c>
    </row>
    <row r="140" spans="2:9" x14ac:dyDescent="0.25">
      <c r="B140" s="59"/>
      <c r="C140" s="60"/>
      <c r="D140" s="60"/>
      <c r="F140" s="60"/>
      <c r="G140" s="60"/>
      <c r="H140" s="62"/>
      <c r="I140" s="62" t="str">
        <f t="shared" si="2"/>
        <v/>
      </c>
    </row>
    <row r="141" spans="2:9" x14ac:dyDescent="0.25">
      <c r="B141" s="59"/>
      <c r="C141" s="60"/>
      <c r="D141" s="60"/>
      <c r="F141" s="60"/>
      <c r="G141" s="60"/>
      <c r="H141" s="62"/>
      <c r="I141" s="62" t="str">
        <f t="shared" si="2"/>
        <v/>
      </c>
    </row>
    <row r="142" spans="2:9" x14ac:dyDescent="0.25">
      <c r="B142" s="59"/>
      <c r="C142" s="60"/>
      <c r="D142" s="60"/>
      <c r="F142" s="60"/>
      <c r="G142" s="60"/>
      <c r="H142" s="62"/>
      <c r="I142" s="62" t="str">
        <f t="shared" si="2"/>
        <v/>
      </c>
    </row>
    <row r="143" spans="2:9" x14ac:dyDescent="0.25">
      <c r="B143" s="59"/>
      <c r="C143" s="60"/>
      <c r="D143" s="60"/>
      <c r="F143" s="60"/>
      <c r="G143" s="60"/>
      <c r="H143" s="62"/>
      <c r="I143" s="62" t="str">
        <f t="shared" si="2"/>
        <v/>
      </c>
    </row>
    <row r="144" spans="2:9" x14ac:dyDescent="0.25">
      <c r="B144" s="59"/>
      <c r="C144" s="60"/>
      <c r="D144" s="60"/>
      <c r="F144" s="60"/>
      <c r="G144" s="60"/>
      <c r="H144" s="62"/>
      <c r="I144" s="62" t="str">
        <f t="shared" si="2"/>
        <v/>
      </c>
    </row>
    <row r="145" spans="2:9" x14ac:dyDescent="0.25">
      <c r="B145" s="59"/>
      <c r="C145" s="60"/>
      <c r="D145" s="60"/>
      <c r="F145" s="60"/>
      <c r="G145" s="60"/>
      <c r="H145" s="62"/>
      <c r="I145" s="62" t="str">
        <f t="shared" si="2"/>
        <v/>
      </c>
    </row>
    <row r="146" spans="2:9" x14ac:dyDescent="0.25">
      <c r="B146" s="59"/>
      <c r="C146" s="60"/>
      <c r="D146" s="60"/>
      <c r="F146" s="60"/>
      <c r="G146" s="60"/>
      <c r="H146" s="62"/>
      <c r="I146" s="62" t="str">
        <f t="shared" si="2"/>
        <v/>
      </c>
    </row>
    <row r="147" spans="2:9" x14ac:dyDescent="0.25">
      <c r="B147" s="59"/>
      <c r="C147" s="60"/>
      <c r="D147" s="60"/>
      <c r="F147" s="60"/>
      <c r="G147" s="60"/>
      <c r="H147" s="62"/>
      <c r="I147" s="62" t="str">
        <f t="shared" si="2"/>
        <v/>
      </c>
    </row>
    <row r="148" spans="2:9" x14ac:dyDescent="0.25">
      <c r="B148" s="59"/>
      <c r="C148" s="60"/>
      <c r="D148" s="60"/>
      <c r="F148" s="60"/>
      <c r="G148" s="60"/>
      <c r="H148" s="62"/>
      <c r="I148" s="62" t="str">
        <f t="shared" si="2"/>
        <v/>
      </c>
    </row>
    <row r="149" spans="2:9" x14ac:dyDescent="0.25">
      <c r="B149" s="59"/>
      <c r="C149" s="60"/>
      <c r="D149" s="60"/>
      <c r="F149" s="60"/>
      <c r="G149" s="60"/>
      <c r="H149" s="62"/>
      <c r="I149" s="62" t="str">
        <f t="shared" si="2"/>
        <v/>
      </c>
    </row>
    <row r="150" spans="2:9" x14ac:dyDescent="0.25">
      <c r="B150" s="59"/>
      <c r="C150" s="60"/>
      <c r="D150" s="60"/>
      <c r="F150" s="60"/>
      <c r="G150" s="60"/>
      <c r="H150" s="62"/>
      <c r="I150" s="62" t="str">
        <f t="shared" si="2"/>
        <v/>
      </c>
    </row>
    <row r="151" spans="2:9" x14ac:dyDescent="0.25">
      <c r="B151" s="59"/>
      <c r="C151" s="60"/>
      <c r="D151" s="60"/>
      <c r="F151" s="60"/>
      <c r="G151" s="60"/>
      <c r="H151" s="62"/>
      <c r="I151" s="62" t="str">
        <f t="shared" si="2"/>
        <v/>
      </c>
    </row>
    <row r="152" spans="2:9" x14ac:dyDescent="0.25">
      <c r="B152" s="59"/>
      <c r="C152" s="60"/>
      <c r="D152" s="60"/>
      <c r="F152" s="60"/>
      <c r="G152" s="60"/>
      <c r="H152" s="62"/>
      <c r="I152" s="62" t="str">
        <f t="shared" si="2"/>
        <v/>
      </c>
    </row>
    <row r="153" spans="2:9" x14ac:dyDescent="0.25">
      <c r="B153" s="59"/>
      <c r="C153" s="60"/>
      <c r="D153" s="60"/>
      <c r="F153" s="60"/>
      <c r="G153" s="60"/>
      <c r="H153" s="62"/>
      <c r="I153" s="62" t="str">
        <f t="shared" si="2"/>
        <v/>
      </c>
    </row>
    <row r="154" spans="2:9" x14ac:dyDescent="0.25">
      <c r="B154" s="59"/>
      <c r="C154" s="60"/>
      <c r="D154" s="60"/>
      <c r="F154" s="60"/>
      <c r="G154" s="60"/>
      <c r="H154" s="62"/>
      <c r="I154" s="62" t="str">
        <f t="shared" si="2"/>
        <v/>
      </c>
    </row>
    <row r="155" spans="2:9" x14ac:dyDescent="0.25">
      <c r="B155" s="59"/>
      <c r="C155" s="60"/>
      <c r="D155" s="60"/>
      <c r="F155" s="60"/>
      <c r="G155" s="60"/>
      <c r="H155" s="62"/>
      <c r="I155" s="62" t="str">
        <f t="shared" si="2"/>
        <v/>
      </c>
    </row>
    <row r="156" spans="2:9" x14ac:dyDescent="0.25">
      <c r="B156" s="59"/>
      <c r="C156" s="60"/>
      <c r="D156" s="60"/>
      <c r="F156" s="60"/>
      <c r="G156" s="60"/>
      <c r="H156" s="62"/>
      <c r="I156" s="62" t="str">
        <f t="shared" si="2"/>
        <v/>
      </c>
    </row>
    <row r="157" spans="2:9" x14ac:dyDescent="0.25">
      <c r="B157" s="59"/>
      <c r="C157" s="60"/>
      <c r="D157" s="60"/>
      <c r="F157" s="60"/>
      <c r="G157" s="60"/>
      <c r="H157" s="62"/>
      <c r="I157" s="62" t="str">
        <f t="shared" si="2"/>
        <v/>
      </c>
    </row>
    <row r="158" spans="2:9" x14ac:dyDescent="0.25">
      <c r="B158" s="59"/>
      <c r="C158" s="60"/>
      <c r="D158" s="60"/>
      <c r="F158" s="60"/>
      <c r="G158" s="60"/>
      <c r="H158" s="62"/>
      <c r="I158" s="62" t="str">
        <f t="shared" si="2"/>
        <v/>
      </c>
    </row>
    <row r="159" spans="2:9" x14ac:dyDescent="0.25">
      <c r="B159" s="59"/>
      <c r="C159" s="60"/>
      <c r="D159" s="60"/>
      <c r="F159" s="60"/>
      <c r="G159" s="60"/>
      <c r="H159" s="62"/>
      <c r="I159" s="62" t="str">
        <f t="shared" si="2"/>
        <v/>
      </c>
    </row>
    <row r="160" spans="2:9" x14ac:dyDescent="0.25">
      <c r="B160" s="59"/>
      <c r="C160" s="60"/>
      <c r="D160" s="60"/>
      <c r="F160" s="60"/>
      <c r="G160" s="60"/>
      <c r="H160" s="62"/>
      <c r="I160" s="62" t="str">
        <f t="shared" si="2"/>
        <v/>
      </c>
    </row>
    <row r="161" spans="2:9" x14ac:dyDescent="0.25">
      <c r="B161" s="59"/>
      <c r="C161" s="60"/>
      <c r="D161" s="60"/>
      <c r="F161" s="60"/>
      <c r="G161" s="60"/>
      <c r="H161" s="62"/>
      <c r="I161" s="62" t="str">
        <f t="shared" si="2"/>
        <v/>
      </c>
    </row>
    <row r="162" spans="2:9" x14ac:dyDescent="0.25">
      <c r="B162" s="59"/>
      <c r="C162" s="60"/>
      <c r="D162" s="60"/>
      <c r="F162" s="60"/>
      <c r="G162" s="60"/>
      <c r="H162" s="62"/>
      <c r="I162" s="62" t="str">
        <f t="shared" si="2"/>
        <v/>
      </c>
    </row>
    <row r="163" spans="2:9" x14ac:dyDescent="0.25">
      <c r="B163" s="59"/>
      <c r="C163" s="60"/>
      <c r="D163" s="60"/>
      <c r="F163" s="60"/>
      <c r="G163" s="60"/>
      <c r="H163" s="62"/>
      <c r="I163" s="62" t="str">
        <f t="shared" si="2"/>
        <v/>
      </c>
    </row>
    <row r="164" spans="2:9" x14ac:dyDescent="0.25">
      <c r="B164" s="59"/>
      <c r="C164" s="60"/>
      <c r="D164" s="60"/>
      <c r="F164" s="60"/>
      <c r="G164" s="60"/>
      <c r="H164" s="62"/>
      <c r="I164" s="62" t="str">
        <f t="shared" si="2"/>
        <v/>
      </c>
    </row>
    <row r="165" spans="2:9" x14ac:dyDescent="0.25">
      <c r="B165" s="59"/>
      <c r="C165" s="60"/>
      <c r="D165" s="60"/>
      <c r="F165" s="60"/>
      <c r="G165" s="60"/>
      <c r="H165" s="62"/>
      <c r="I165" s="62" t="str">
        <f t="shared" si="2"/>
        <v/>
      </c>
    </row>
    <row r="166" spans="2:9" x14ac:dyDescent="0.25">
      <c r="B166" s="59"/>
      <c r="C166" s="60"/>
      <c r="D166" s="60"/>
      <c r="F166" s="60"/>
      <c r="G166" s="60"/>
      <c r="H166" s="62"/>
      <c r="I166" s="62" t="str">
        <f t="shared" si="2"/>
        <v/>
      </c>
    </row>
    <row r="167" spans="2:9" x14ac:dyDescent="0.25">
      <c r="B167" s="59"/>
      <c r="C167" s="60"/>
      <c r="D167" s="60"/>
      <c r="F167" s="60"/>
      <c r="G167" s="60"/>
      <c r="H167" s="62"/>
      <c r="I167" s="62" t="str">
        <f t="shared" si="2"/>
        <v/>
      </c>
    </row>
    <row r="168" spans="2:9" x14ac:dyDescent="0.25">
      <c r="B168" s="59"/>
      <c r="C168" s="60"/>
      <c r="D168" s="60"/>
      <c r="F168" s="60"/>
      <c r="G168" s="60"/>
      <c r="H168" s="62"/>
      <c r="I168" s="62" t="str">
        <f t="shared" si="2"/>
        <v/>
      </c>
    </row>
    <row r="169" spans="2:9" x14ac:dyDescent="0.25">
      <c r="B169" s="59"/>
      <c r="C169" s="60"/>
      <c r="D169" s="60"/>
      <c r="F169" s="60"/>
      <c r="G169" s="60"/>
      <c r="H169" s="62"/>
      <c r="I169" s="62" t="str">
        <f t="shared" si="2"/>
        <v/>
      </c>
    </row>
    <row r="170" spans="2:9" x14ac:dyDescent="0.25">
      <c r="B170" s="59"/>
      <c r="C170" s="60"/>
      <c r="D170" s="60"/>
      <c r="F170" s="60"/>
      <c r="G170" s="60"/>
      <c r="H170" s="62"/>
      <c r="I170" s="62" t="str">
        <f t="shared" si="2"/>
        <v/>
      </c>
    </row>
    <row r="171" spans="2:9" x14ac:dyDescent="0.25">
      <c r="B171" s="59"/>
      <c r="C171" s="60"/>
      <c r="D171" s="60"/>
      <c r="F171" s="60"/>
      <c r="G171" s="60"/>
      <c r="H171" s="62"/>
      <c r="I171" s="62" t="str">
        <f t="shared" si="2"/>
        <v/>
      </c>
    </row>
    <row r="172" spans="2:9" x14ac:dyDescent="0.25">
      <c r="B172" s="59"/>
      <c r="C172" s="60"/>
      <c r="D172" s="60"/>
      <c r="F172" s="60"/>
      <c r="G172" s="60"/>
      <c r="H172" s="62"/>
      <c r="I172" s="62" t="str">
        <f t="shared" si="2"/>
        <v/>
      </c>
    </row>
    <row r="173" spans="2:9" x14ac:dyDescent="0.25">
      <c r="B173" s="59"/>
      <c r="C173" s="60"/>
      <c r="D173" s="60"/>
      <c r="F173" s="60"/>
      <c r="G173" s="60"/>
      <c r="H173" s="62"/>
      <c r="I173" s="62" t="str">
        <f t="shared" si="2"/>
        <v/>
      </c>
    </row>
    <row r="174" spans="2:9" x14ac:dyDescent="0.25">
      <c r="B174" s="59"/>
      <c r="C174" s="60"/>
      <c r="D174" s="60"/>
      <c r="F174" s="60"/>
      <c r="G174" s="60"/>
      <c r="H174" s="62"/>
      <c r="I174" s="62" t="str">
        <f t="shared" si="2"/>
        <v/>
      </c>
    </row>
    <row r="175" spans="2:9" x14ac:dyDescent="0.25">
      <c r="B175" s="59"/>
      <c r="C175" s="60"/>
      <c r="D175" s="60"/>
      <c r="F175" s="60"/>
      <c r="G175" s="60"/>
      <c r="H175" s="62"/>
      <c r="I175" s="62" t="str">
        <f t="shared" si="2"/>
        <v/>
      </c>
    </row>
    <row r="176" spans="2:9" x14ac:dyDescent="0.25">
      <c r="B176" s="59"/>
      <c r="C176" s="60"/>
      <c r="D176" s="60"/>
      <c r="F176" s="60"/>
      <c r="G176" s="60"/>
      <c r="H176" s="62"/>
      <c r="I176" s="62" t="str">
        <f t="shared" si="2"/>
        <v/>
      </c>
    </row>
    <row r="177" spans="2:9" x14ac:dyDescent="0.25">
      <c r="B177" s="59"/>
      <c r="C177" s="60"/>
      <c r="D177" s="60"/>
      <c r="F177" s="60"/>
      <c r="G177" s="60"/>
      <c r="H177" s="62"/>
      <c r="I177" s="62" t="str">
        <f t="shared" si="2"/>
        <v/>
      </c>
    </row>
    <row r="178" spans="2:9" x14ac:dyDescent="0.25">
      <c r="B178" s="59"/>
      <c r="C178" s="60"/>
      <c r="D178" s="60"/>
      <c r="F178" s="60"/>
      <c r="G178" s="60"/>
      <c r="H178" s="62"/>
      <c r="I178" s="62" t="str">
        <f t="shared" si="2"/>
        <v/>
      </c>
    </row>
    <row r="179" spans="2:9" x14ac:dyDescent="0.25">
      <c r="B179" s="59"/>
      <c r="C179" s="60"/>
      <c r="D179" s="60"/>
      <c r="F179" s="60"/>
      <c r="G179" s="60"/>
      <c r="H179" s="62"/>
      <c r="I179" s="62" t="str">
        <f t="shared" si="2"/>
        <v/>
      </c>
    </row>
    <row r="180" spans="2:9" x14ac:dyDescent="0.25">
      <c r="B180" s="59"/>
      <c r="C180" s="60"/>
      <c r="D180" s="60"/>
      <c r="F180" s="60"/>
      <c r="G180" s="60"/>
      <c r="H180" s="62"/>
      <c r="I180" s="62" t="str">
        <f t="shared" si="2"/>
        <v/>
      </c>
    </row>
    <row r="181" spans="2:9" x14ac:dyDescent="0.25">
      <c r="B181" s="59"/>
      <c r="C181" s="60"/>
      <c r="D181" s="60"/>
      <c r="F181" s="60"/>
      <c r="G181" s="60"/>
      <c r="H181" s="62"/>
      <c r="I181" s="62" t="str">
        <f t="shared" si="2"/>
        <v/>
      </c>
    </row>
    <row r="182" spans="2:9" x14ac:dyDescent="0.25">
      <c r="B182" s="59"/>
      <c r="C182" s="60"/>
      <c r="D182" s="60"/>
      <c r="F182" s="60"/>
      <c r="G182" s="60"/>
      <c r="H182" s="62"/>
      <c r="I182" s="62" t="str">
        <f t="shared" si="2"/>
        <v/>
      </c>
    </row>
    <row r="183" spans="2:9" x14ac:dyDescent="0.25">
      <c r="B183" s="59"/>
      <c r="C183" s="60"/>
      <c r="D183" s="60"/>
      <c r="F183" s="60"/>
      <c r="G183" s="60"/>
      <c r="H183" s="62"/>
      <c r="I183" s="62" t="str">
        <f t="shared" si="2"/>
        <v/>
      </c>
    </row>
    <row r="184" spans="2:9" x14ac:dyDescent="0.25">
      <c r="B184" s="59"/>
      <c r="C184" s="60"/>
      <c r="D184" s="60"/>
      <c r="F184" s="60"/>
      <c r="G184" s="60"/>
      <c r="H184" s="62"/>
      <c r="I184" s="62" t="str">
        <f t="shared" si="2"/>
        <v/>
      </c>
    </row>
    <row r="185" spans="2:9" x14ac:dyDescent="0.25">
      <c r="B185" s="59"/>
      <c r="C185" s="60"/>
      <c r="D185" s="60"/>
      <c r="F185" s="60"/>
      <c r="G185" s="60"/>
      <c r="H185" s="62"/>
      <c r="I185" s="62" t="str">
        <f t="shared" si="2"/>
        <v/>
      </c>
    </row>
    <row r="186" spans="2:9" x14ac:dyDescent="0.25">
      <c r="B186" s="59"/>
      <c r="C186" s="60"/>
      <c r="D186" s="60"/>
      <c r="F186" s="60"/>
      <c r="G186" s="60"/>
      <c r="H186" s="62"/>
      <c r="I186" s="62" t="str">
        <f t="shared" si="2"/>
        <v/>
      </c>
    </row>
    <row r="187" spans="2:9" x14ac:dyDescent="0.25">
      <c r="B187" s="59"/>
      <c r="C187" s="60"/>
      <c r="D187" s="60"/>
      <c r="F187" s="60"/>
      <c r="G187" s="60"/>
      <c r="H187" s="62"/>
      <c r="I187" s="62" t="str">
        <f t="shared" si="2"/>
        <v/>
      </c>
    </row>
    <row r="188" spans="2:9" x14ac:dyDescent="0.25">
      <c r="B188" s="59"/>
      <c r="C188" s="60"/>
      <c r="D188" s="60"/>
      <c r="F188" s="60"/>
      <c r="G188" s="60"/>
      <c r="H188" s="62"/>
      <c r="I188" s="62" t="str">
        <f t="shared" si="2"/>
        <v/>
      </c>
    </row>
    <row r="189" spans="2:9" x14ac:dyDescent="0.25">
      <c r="B189" s="59"/>
      <c r="C189" s="60"/>
      <c r="D189" s="60"/>
      <c r="F189" s="60"/>
      <c r="G189" s="60"/>
      <c r="H189" s="62"/>
      <c r="I189" s="62" t="str">
        <f t="shared" si="2"/>
        <v/>
      </c>
    </row>
    <row r="190" spans="2:9" x14ac:dyDescent="0.25">
      <c r="B190" s="59"/>
      <c r="C190" s="60"/>
      <c r="D190" s="60"/>
      <c r="F190" s="60"/>
      <c r="G190" s="60"/>
      <c r="H190" s="62"/>
      <c r="I190" s="62" t="str">
        <f t="shared" si="2"/>
        <v/>
      </c>
    </row>
    <row r="191" spans="2:9" x14ac:dyDescent="0.25">
      <c r="B191" s="59"/>
      <c r="C191" s="60"/>
      <c r="D191" s="60"/>
      <c r="F191" s="60"/>
      <c r="G191" s="60"/>
      <c r="H191" s="62"/>
      <c r="I191" s="62" t="str">
        <f t="shared" si="2"/>
        <v/>
      </c>
    </row>
    <row r="192" spans="2:9" x14ac:dyDescent="0.25">
      <c r="B192" s="59"/>
      <c r="C192" s="60"/>
      <c r="D192" s="60"/>
      <c r="F192" s="60"/>
      <c r="G192" s="60"/>
      <c r="H192" s="62"/>
      <c r="I192" s="62" t="str">
        <f t="shared" si="2"/>
        <v/>
      </c>
    </row>
    <row r="193" spans="2:9" x14ac:dyDescent="0.25">
      <c r="B193" s="59"/>
      <c r="C193" s="60"/>
      <c r="D193" s="60"/>
      <c r="F193" s="60"/>
      <c r="G193" s="60"/>
      <c r="H193" s="62"/>
      <c r="I193" s="62" t="str">
        <f t="shared" si="2"/>
        <v/>
      </c>
    </row>
    <row r="194" spans="2:9" x14ac:dyDescent="0.25">
      <c r="B194" s="59"/>
      <c r="C194" s="60"/>
      <c r="D194" s="60"/>
      <c r="F194" s="60"/>
      <c r="G194" s="60"/>
      <c r="H194" s="62"/>
      <c r="I194" s="62" t="str">
        <f t="shared" si="2"/>
        <v/>
      </c>
    </row>
    <row r="195" spans="2:9" x14ac:dyDescent="0.25">
      <c r="B195" s="59"/>
      <c r="C195" s="60"/>
      <c r="D195" s="60"/>
      <c r="F195" s="60"/>
      <c r="G195" s="60"/>
      <c r="H195" s="62"/>
      <c r="I195" s="62" t="str">
        <f t="shared" si="2"/>
        <v/>
      </c>
    </row>
    <row r="196" spans="2:9" x14ac:dyDescent="0.25">
      <c r="B196" s="59"/>
      <c r="C196" s="60"/>
      <c r="D196" s="60"/>
      <c r="F196" s="60"/>
      <c r="G196" s="60"/>
      <c r="H196" s="62"/>
      <c r="I196" s="62" t="str">
        <f t="shared" si="2"/>
        <v/>
      </c>
    </row>
    <row r="197" spans="2:9" x14ac:dyDescent="0.25">
      <c r="B197" s="59"/>
      <c r="C197" s="60"/>
      <c r="D197" s="60"/>
      <c r="F197" s="60"/>
      <c r="G197" s="60"/>
      <c r="H197" s="62"/>
      <c r="I197" s="62" t="str">
        <f t="shared" ref="I197:I260" si="3">IF(H197&lt;&gt;"",H197-H196,"")</f>
        <v/>
      </c>
    </row>
    <row r="198" spans="2:9" x14ac:dyDescent="0.25">
      <c r="B198" s="59"/>
      <c r="C198" s="60"/>
      <c r="D198" s="60"/>
      <c r="F198" s="60"/>
      <c r="G198" s="60"/>
      <c r="H198" s="62"/>
      <c r="I198" s="62" t="str">
        <f t="shared" si="3"/>
        <v/>
      </c>
    </row>
    <row r="199" spans="2:9" x14ac:dyDescent="0.25">
      <c r="B199" s="59"/>
      <c r="C199" s="60"/>
      <c r="D199" s="60"/>
      <c r="F199" s="60"/>
      <c r="G199" s="60"/>
      <c r="H199" s="62"/>
      <c r="I199" s="62" t="str">
        <f t="shared" si="3"/>
        <v/>
      </c>
    </row>
    <row r="200" spans="2:9" x14ac:dyDescent="0.25">
      <c r="B200" s="59"/>
      <c r="C200" s="60"/>
      <c r="D200" s="60"/>
      <c r="F200" s="60"/>
      <c r="G200" s="60"/>
      <c r="H200" s="62"/>
      <c r="I200" s="62" t="str">
        <f t="shared" si="3"/>
        <v/>
      </c>
    </row>
    <row r="201" spans="2:9" x14ac:dyDescent="0.25">
      <c r="B201" s="59"/>
      <c r="C201" s="60"/>
      <c r="D201" s="60"/>
      <c r="F201" s="60"/>
      <c r="G201" s="60"/>
      <c r="H201" s="62"/>
      <c r="I201" s="62" t="str">
        <f t="shared" si="3"/>
        <v/>
      </c>
    </row>
    <row r="202" spans="2:9" x14ac:dyDescent="0.25">
      <c r="B202" s="59"/>
      <c r="C202" s="60"/>
      <c r="D202" s="60"/>
      <c r="F202" s="60"/>
      <c r="G202" s="60"/>
      <c r="H202" s="62"/>
      <c r="I202" s="62" t="str">
        <f t="shared" si="3"/>
        <v/>
      </c>
    </row>
    <row r="203" spans="2:9" x14ac:dyDescent="0.25">
      <c r="B203" s="59"/>
      <c r="C203" s="60"/>
      <c r="D203" s="60"/>
      <c r="F203" s="60"/>
      <c r="G203" s="60"/>
      <c r="H203" s="62"/>
      <c r="I203" s="62" t="str">
        <f t="shared" si="3"/>
        <v/>
      </c>
    </row>
    <row r="204" spans="2:9" x14ac:dyDescent="0.25">
      <c r="B204" s="59"/>
      <c r="C204" s="60"/>
      <c r="D204" s="60"/>
      <c r="F204" s="60"/>
      <c r="G204" s="60"/>
      <c r="H204" s="62"/>
      <c r="I204" s="62" t="str">
        <f t="shared" si="3"/>
        <v/>
      </c>
    </row>
    <row r="205" spans="2:9" x14ac:dyDescent="0.25">
      <c r="B205" s="59"/>
      <c r="C205" s="60"/>
      <c r="D205" s="60"/>
      <c r="F205" s="60"/>
      <c r="G205" s="60"/>
      <c r="H205" s="62"/>
      <c r="I205" s="62" t="str">
        <f t="shared" si="3"/>
        <v/>
      </c>
    </row>
    <row r="206" spans="2:9" x14ac:dyDescent="0.25">
      <c r="B206" s="59"/>
      <c r="C206" s="60"/>
      <c r="D206" s="60"/>
      <c r="F206" s="60"/>
      <c r="G206" s="60"/>
      <c r="H206" s="62"/>
      <c r="I206" s="62" t="str">
        <f t="shared" si="3"/>
        <v/>
      </c>
    </row>
    <row r="207" spans="2:9" x14ac:dyDescent="0.25">
      <c r="B207" s="59"/>
      <c r="C207" s="60"/>
      <c r="D207" s="60"/>
      <c r="F207" s="60"/>
      <c r="G207" s="60"/>
      <c r="H207" s="62"/>
      <c r="I207" s="62" t="str">
        <f t="shared" si="3"/>
        <v/>
      </c>
    </row>
    <row r="208" spans="2:9" x14ac:dyDescent="0.25">
      <c r="B208" s="59"/>
      <c r="C208" s="60"/>
      <c r="D208" s="60"/>
      <c r="F208" s="60"/>
      <c r="G208" s="60"/>
      <c r="H208" s="62"/>
      <c r="I208" s="62" t="str">
        <f t="shared" si="3"/>
        <v/>
      </c>
    </row>
    <row r="209" spans="2:9" x14ac:dyDescent="0.25">
      <c r="B209" s="59"/>
      <c r="C209" s="60"/>
      <c r="D209" s="60"/>
      <c r="F209" s="60"/>
      <c r="G209" s="60"/>
      <c r="H209" s="62"/>
      <c r="I209" s="62" t="str">
        <f t="shared" si="3"/>
        <v/>
      </c>
    </row>
    <row r="210" spans="2:9" x14ac:dyDescent="0.25">
      <c r="B210" s="59"/>
      <c r="C210" s="60"/>
      <c r="D210" s="60"/>
      <c r="F210" s="60"/>
      <c r="G210" s="60"/>
      <c r="H210" s="62"/>
      <c r="I210" s="62" t="str">
        <f t="shared" si="3"/>
        <v/>
      </c>
    </row>
    <row r="211" spans="2:9" x14ac:dyDescent="0.25">
      <c r="B211" s="59"/>
      <c r="C211" s="60"/>
      <c r="D211" s="60"/>
      <c r="F211" s="60"/>
      <c r="G211" s="60"/>
      <c r="H211" s="62"/>
      <c r="I211" s="62" t="str">
        <f t="shared" si="3"/>
        <v/>
      </c>
    </row>
    <row r="212" spans="2:9" x14ac:dyDescent="0.25">
      <c r="B212" s="59"/>
      <c r="C212" s="60"/>
      <c r="D212" s="60"/>
      <c r="F212" s="60"/>
      <c r="G212" s="60"/>
      <c r="H212" s="62"/>
      <c r="I212" s="62" t="str">
        <f t="shared" si="3"/>
        <v/>
      </c>
    </row>
    <row r="213" spans="2:9" x14ac:dyDescent="0.25">
      <c r="B213" s="59"/>
      <c r="C213" s="60"/>
      <c r="D213" s="60"/>
      <c r="F213" s="60"/>
      <c r="G213" s="60"/>
      <c r="H213" s="62"/>
      <c r="I213" s="62" t="str">
        <f t="shared" si="3"/>
        <v/>
      </c>
    </row>
    <row r="214" spans="2:9" x14ac:dyDescent="0.25">
      <c r="B214" s="59"/>
      <c r="C214" s="60"/>
      <c r="D214" s="60"/>
      <c r="F214" s="60"/>
      <c r="G214" s="60"/>
      <c r="H214" s="62"/>
      <c r="I214" s="62" t="str">
        <f t="shared" si="3"/>
        <v/>
      </c>
    </row>
    <row r="215" spans="2:9" x14ac:dyDescent="0.25">
      <c r="B215" s="59"/>
      <c r="C215" s="60"/>
      <c r="D215" s="60"/>
      <c r="F215" s="60"/>
      <c r="G215" s="60"/>
      <c r="H215" s="62"/>
      <c r="I215" s="62" t="str">
        <f t="shared" si="3"/>
        <v/>
      </c>
    </row>
    <row r="216" spans="2:9" x14ac:dyDescent="0.25">
      <c r="B216" s="59"/>
      <c r="C216" s="60"/>
      <c r="D216" s="60"/>
      <c r="F216" s="60"/>
      <c r="G216" s="60"/>
      <c r="H216" s="62"/>
      <c r="I216" s="62" t="str">
        <f t="shared" si="3"/>
        <v/>
      </c>
    </row>
    <row r="217" spans="2:9" x14ac:dyDescent="0.25">
      <c r="B217" s="59"/>
      <c r="C217" s="60"/>
      <c r="D217" s="60"/>
      <c r="F217" s="60"/>
      <c r="G217" s="60"/>
      <c r="H217" s="62"/>
      <c r="I217" s="62" t="str">
        <f t="shared" si="3"/>
        <v/>
      </c>
    </row>
    <row r="218" spans="2:9" x14ac:dyDescent="0.25">
      <c r="B218" s="59"/>
      <c r="C218" s="60"/>
      <c r="D218" s="60"/>
      <c r="F218" s="60"/>
      <c r="G218" s="60"/>
      <c r="H218" s="62"/>
      <c r="I218" s="62" t="str">
        <f t="shared" si="3"/>
        <v/>
      </c>
    </row>
    <row r="219" spans="2:9" x14ac:dyDescent="0.25">
      <c r="B219" s="59"/>
      <c r="C219" s="60"/>
      <c r="D219" s="60"/>
      <c r="F219" s="60"/>
      <c r="G219" s="60"/>
      <c r="H219" s="62"/>
      <c r="I219" s="62" t="str">
        <f t="shared" si="3"/>
        <v/>
      </c>
    </row>
    <row r="220" spans="2:9" x14ac:dyDescent="0.25">
      <c r="B220" s="59"/>
      <c r="C220" s="60"/>
      <c r="D220" s="60"/>
      <c r="F220" s="60"/>
      <c r="G220" s="60"/>
      <c r="H220" s="62"/>
      <c r="I220" s="62" t="str">
        <f t="shared" si="3"/>
        <v/>
      </c>
    </row>
    <row r="221" spans="2:9" x14ac:dyDescent="0.25">
      <c r="B221" s="59"/>
      <c r="C221" s="60"/>
      <c r="D221" s="60"/>
      <c r="F221" s="60"/>
      <c r="G221" s="60"/>
      <c r="H221" s="62"/>
      <c r="I221" s="62" t="str">
        <f t="shared" si="3"/>
        <v/>
      </c>
    </row>
    <row r="222" spans="2:9" x14ac:dyDescent="0.25">
      <c r="B222" s="59"/>
      <c r="C222" s="60"/>
      <c r="D222" s="60"/>
      <c r="F222" s="60"/>
      <c r="G222" s="60"/>
      <c r="H222" s="62"/>
      <c r="I222" s="62" t="str">
        <f t="shared" si="3"/>
        <v/>
      </c>
    </row>
    <row r="223" spans="2:9" x14ac:dyDescent="0.25">
      <c r="B223" s="59"/>
      <c r="C223" s="60"/>
      <c r="D223" s="60"/>
      <c r="F223" s="60"/>
      <c r="G223" s="60"/>
      <c r="H223" s="62"/>
      <c r="I223" s="62" t="str">
        <f t="shared" si="3"/>
        <v/>
      </c>
    </row>
    <row r="224" spans="2:9" x14ac:dyDescent="0.25">
      <c r="B224" s="59"/>
      <c r="C224" s="60"/>
      <c r="D224" s="60"/>
      <c r="F224" s="60"/>
      <c r="G224" s="60"/>
      <c r="H224" s="62"/>
      <c r="I224" s="62" t="str">
        <f t="shared" si="3"/>
        <v/>
      </c>
    </row>
    <row r="225" spans="2:9" x14ac:dyDescent="0.25">
      <c r="B225" s="59"/>
      <c r="C225" s="60"/>
      <c r="D225" s="60"/>
      <c r="F225" s="60"/>
      <c r="G225" s="60"/>
      <c r="H225" s="62"/>
      <c r="I225" s="62" t="str">
        <f t="shared" si="3"/>
        <v/>
      </c>
    </row>
    <row r="226" spans="2:9" x14ac:dyDescent="0.25">
      <c r="B226" s="59"/>
      <c r="C226" s="60"/>
      <c r="D226" s="60"/>
      <c r="F226" s="60"/>
      <c r="G226" s="60"/>
      <c r="H226" s="62"/>
      <c r="I226" s="62" t="str">
        <f t="shared" si="3"/>
        <v/>
      </c>
    </row>
    <row r="227" spans="2:9" x14ac:dyDescent="0.25">
      <c r="B227" s="59"/>
      <c r="C227" s="60"/>
      <c r="D227" s="60"/>
      <c r="F227" s="60"/>
      <c r="G227" s="60"/>
      <c r="H227" s="62"/>
      <c r="I227" s="62" t="str">
        <f t="shared" si="3"/>
        <v/>
      </c>
    </row>
    <row r="228" spans="2:9" x14ac:dyDescent="0.25">
      <c r="B228" s="59"/>
      <c r="C228" s="60"/>
      <c r="D228" s="60"/>
      <c r="F228" s="60"/>
      <c r="G228" s="60"/>
      <c r="H228" s="62"/>
      <c r="I228" s="62" t="str">
        <f t="shared" si="3"/>
        <v/>
      </c>
    </row>
    <row r="229" spans="2:9" x14ac:dyDescent="0.25">
      <c r="B229" s="59"/>
      <c r="C229" s="60"/>
      <c r="D229" s="60"/>
      <c r="F229" s="60"/>
      <c r="G229" s="60"/>
      <c r="H229" s="62"/>
      <c r="I229" s="62" t="str">
        <f t="shared" si="3"/>
        <v/>
      </c>
    </row>
    <row r="230" spans="2:9" x14ac:dyDescent="0.25">
      <c r="B230" s="59"/>
      <c r="C230" s="60"/>
      <c r="D230" s="60"/>
      <c r="F230" s="60"/>
      <c r="G230" s="60"/>
      <c r="H230" s="62"/>
      <c r="I230" s="62" t="str">
        <f t="shared" si="3"/>
        <v/>
      </c>
    </row>
    <row r="231" spans="2:9" x14ac:dyDescent="0.25">
      <c r="B231" s="59"/>
      <c r="C231" s="60"/>
      <c r="D231" s="60"/>
      <c r="F231" s="60"/>
      <c r="G231" s="60"/>
      <c r="H231" s="62"/>
      <c r="I231" s="62" t="str">
        <f t="shared" si="3"/>
        <v/>
      </c>
    </row>
    <row r="232" spans="2:9" x14ac:dyDescent="0.25">
      <c r="B232" s="59"/>
      <c r="C232" s="60"/>
      <c r="D232" s="60"/>
      <c r="F232" s="60"/>
      <c r="G232" s="60"/>
      <c r="H232" s="62"/>
      <c r="I232" s="62" t="str">
        <f t="shared" si="3"/>
        <v/>
      </c>
    </row>
    <row r="233" spans="2:9" x14ac:dyDescent="0.25">
      <c r="B233" s="59"/>
      <c r="C233" s="60"/>
      <c r="D233" s="60"/>
      <c r="F233" s="60"/>
      <c r="G233" s="60"/>
      <c r="H233" s="62"/>
      <c r="I233" s="62" t="str">
        <f t="shared" si="3"/>
        <v/>
      </c>
    </row>
    <row r="234" spans="2:9" x14ac:dyDescent="0.25">
      <c r="B234" s="59"/>
      <c r="C234" s="60"/>
      <c r="D234" s="60"/>
      <c r="F234" s="60"/>
      <c r="G234" s="60"/>
      <c r="H234" s="62"/>
      <c r="I234" s="62" t="str">
        <f t="shared" si="3"/>
        <v/>
      </c>
    </row>
    <row r="235" spans="2:9" x14ac:dyDescent="0.25">
      <c r="B235" s="59"/>
      <c r="C235" s="60"/>
      <c r="D235" s="60"/>
      <c r="F235" s="60"/>
      <c r="G235" s="60"/>
      <c r="H235" s="62"/>
      <c r="I235" s="62" t="str">
        <f t="shared" si="3"/>
        <v/>
      </c>
    </row>
    <row r="236" spans="2:9" x14ac:dyDescent="0.25">
      <c r="B236" s="59"/>
      <c r="C236" s="60"/>
      <c r="D236" s="60"/>
      <c r="F236" s="60"/>
      <c r="G236" s="60"/>
      <c r="H236" s="62"/>
      <c r="I236" s="62" t="str">
        <f t="shared" si="3"/>
        <v/>
      </c>
    </row>
    <row r="237" spans="2:9" x14ac:dyDescent="0.25">
      <c r="B237" s="59"/>
      <c r="C237" s="60"/>
      <c r="D237" s="60"/>
      <c r="F237" s="60"/>
      <c r="G237" s="60"/>
      <c r="H237" s="62"/>
      <c r="I237" s="62" t="str">
        <f t="shared" si="3"/>
        <v/>
      </c>
    </row>
    <row r="238" spans="2:9" x14ac:dyDescent="0.25">
      <c r="B238" s="59"/>
      <c r="C238" s="60"/>
      <c r="D238" s="60"/>
      <c r="F238" s="60"/>
      <c r="G238" s="60"/>
      <c r="H238" s="62"/>
      <c r="I238" s="62" t="str">
        <f t="shared" si="3"/>
        <v/>
      </c>
    </row>
    <row r="239" spans="2:9" x14ac:dyDescent="0.25">
      <c r="B239" s="59"/>
      <c r="C239" s="60"/>
      <c r="D239" s="60"/>
      <c r="F239" s="60"/>
      <c r="G239" s="60"/>
      <c r="H239" s="62"/>
      <c r="I239" s="62" t="str">
        <f t="shared" si="3"/>
        <v/>
      </c>
    </row>
    <row r="240" spans="2:9" x14ac:dyDescent="0.25">
      <c r="B240" s="59"/>
      <c r="C240" s="60"/>
      <c r="D240" s="60"/>
      <c r="F240" s="60"/>
      <c r="G240" s="60"/>
      <c r="H240" s="62"/>
      <c r="I240" s="62" t="str">
        <f t="shared" si="3"/>
        <v/>
      </c>
    </row>
    <row r="241" spans="2:9" x14ac:dyDescent="0.25">
      <c r="B241" s="59"/>
      <c r="C241" s="60"/>
      <c r="D241" s="60"/>
      <c r="F241" s="60"/>
      <c r="G241" s="60"/>
      <c r="H241" s="62"/>
      <c r="I241" s="62" t="str">
        <f t="shared" si="3"/>
        <v/>
      </c>
    </row>
    <row r="242" spans="2:9" x14ac:dyDescent="0.25">
      <c r="B242" s="59"/>
      <c r="C242" s="60"/>
      <c r="D242" s="60"/>
      <c r="F242" s="60"/>
      <c r="G242" s="60"/>
      <c r="H242" s="62"/>
      <c r="I242" s="62" t="str">
        <f t="shared" si="3"/>
        <v/>
      </c>
    </row>
    <row r="243" spans="2:9" x14ac:dyDescent="0.25">
      <c r="B243" s="59"/>
      <c r="C243" s="60"/>
      <c r="D243" s="60"/>
      <c r="F243" s="60"/>
      <c r="G243" s="60"/>
      <c r="H243" s="62"/>
      <c r="I243" s="62" t="str">
        <f t="shared" si="3"/>
        <v/>
      </c>
    </row>
    <row r="244" spans="2:9" x14ac:dyDescent="0.25">
      <c r="B244" s="59"/>
      <c r="C244" s="60"/>
      <c r="D244" s="60"/>
      <c r="F244" s="60"/>
      <c r="G244" s="60"/>
      <c r="H244" s="62"/>
      <c r="I244" s="62" t="str">
        <f t="shared" si="3"/>
        <v/>
      </c>
    </row>
    <row r="245" spans="2:9" x14ac:dyDescent="0.25">
      <c r="B245" s="59"/>
      <c r="C245" s="60"/>
      <c r="D245" s="60"/>
      <c r="F245" s="60"/>
      <c r="G245" s="60"/>
      <c r="H245" s="62"/>
      <c r="I245" s="62" t="str">
        <f t="shared" si="3"/>
        <v/>
      </c>
    </row>
    <row r="246" spans="2:9" x14ac:dyDescent="0.25">
      <c r="B246" s="59"/>
      <c r="C246" s="60"/>
      <c r="D246" s="60"/>
      <c r="F246" s="60"/>
      <c r="G246" s="60"/>
      <c r="H246" s="62"/>
      <c r="I246" s="62" t="str">
        <f t="shared" si="3"/>
        <v/>
      </c>
    </row>
    <row r="247" spans="2:9" x14ac:dyDescent="0.25">
      <c r="B247" s="59"/>
      <c r="C247" s="60"/>
      <c r="D247" s="60"/>
      <c r="F247" s="60"/>
      <c r="G247" s="60"/>
      <c r="H247" s="62"/>
      <c r="I247" s="62" t="str">
        <f t="shared" si="3"/>
        <v/>
      </c>
    </row>
    <row r="248" spans="2:9" x14ac:dyDescent="0.25">
      <c r="B248" s="59"/>
      <c r="C248" s="60"/>
      <c r="D248" s="60"/>
      <c r="F248" s="60"/>
      <c r="G248" s="60"/>
      <c r="H248" s="62"/>
      <c r="I248" s="62" t="str">
        <f t="shared" si="3"/>
        <v/>
      </c>
    </row>
    <row r="249" spans="2:9" x14ac:dyDescent="0.25">
      <c r="B249" s="59"/>
      <c r="C249" s="60"/>
      <c r="D249" s="60"/>
      <c r="F249" s="60"/>
      <c r="G249" s="60"/>
      <c r="H249" s="62"/>
      <c r="I249" s="62" t="str">
        <f t="shared" si="3"/>
        <v/>
      </c>
    </row>
    <row r="250" spans="2:9" x14ac:dyDescent="0.25">
      <c r="B250" s="59"/>
      <c r="C250" s="60"/>
      <c r="D250" s="60"/>
      <c r="F250" s="60"/>
      <c r="G250" s="60"/>
      <c r="H250" s="62"/>
      <c r="I250" s="62" t="str">
        <f t="shared" si="3"/>
        <v/>
      </c>
    </row>
    <row r="251" spans="2:9" x14ac:dyDescent="0.25">
      <c r="B251" s="59"/>
      <c r="C251" s="60"/>
      <c r="D251" s="60"/>
      <c r="F251" s="60"/>
      <c r="G251" s="60"/>
      <c r="H251" s="62"/>
      <c r="I251" s="62" t="str">
        <f t="shared" si="3"/>
        <v/>
      </c>
    </row>
    <row r="252" spans="2:9" x14ac:dyDescent="0.25">
      <c r="B252" s="59"/>
      <c r="C252" s="60"/>
      <c r="D252" s="60"/>
      <c r="F252" s="60"/>
      <c r="G252" s="60"/>
      <c r="H252" s="62"/>
      <c r="I252" s="62" t="str">
        <f t="shared" si="3"/>
        <v/>
      </c>
    </row>
    <row r="253" spans="2:9" x14ac:dyDescent="0.25">
      <c r="B253" s="59"/>
      <c r="C253" s="60"/>
      <c r="D253" s="60"/>
      <c r="F253" s="60"/>
      <c r="G253" s="60"/>
      <c r="H253" s="62"/>
      <c r="I253" s="62" t="str">
        <f t="shared" si="3"/>
        <v/>
      </c>
    </row>
    <row r="254" spans="2:9" x14ac:dyDescent="0.25">
      <c r="B254" s="59"/>
      <c r="C254" s="60"/>
      <c r="D254" s="60"/>
      <c r="F254" s="60"/>
      <c r="G254" s="60"/>
      <c r="H254" s="62"/>
      <c r="I254" s="62" t="str">
        <f t="shared" si="3"/>
        <v/>
      </c>
    </row>
    <row r="255" spans="2:9" x14ac:dyDescent="0.25">
      <c r="B255" s="59"/>
      <c r="C255" s="60"/>
      <c r="D255" s="60"/>
      <c r="F255" s="60"/>
      <c r="G255" s="60"/>
      <c r="H255" s="62"/>
      <c r="I255" s="62" t="str">
        <f t="shared" si="3"/>
        <v/>
      </c>
    </row>
    <row r="256" spans="2:9" x14ac:dyDescent="0.25">
      <c r="B256" s="59"/>
      <c r="C256" s="60"/>
      <c r="D256" s="60"/>
      <c r="F256" s="60"/>
      <c r="G256" s="60"/>
      <c r="H256" s="62"/>
      <c r="I256" s="62" t="str">
        <f t="shared" si="3"/>
        <v/>
      </c>
    </row>
    <row r="257" spans="2:9" x14ac:dyDescent="0.25">
      <c r="B257" s="59"/>
      <c r="C257" s="60"/>
      <c r="D257" s="60"/>
      <c r="F257" s="60"/>
      <c r="G257" s="60"/>
      <c r="H257" s="62"/>
      <c r="I257" s="62" t="str">
        <f t="shared" si="3"/>
        <v/>
      </c>
    </row>
    <row r="258" spans="2:9" x14ac:dyDescent="0.25">
      <c r="B258" s="59"/>
      <c r="C258" s="60"/>
      <c r="D258" s="60"/>
      <c r="F258" s="60"/>
      <c r="G258" s="60"/>
      <c r="H258" s="62"/>
      <c r="I258" s="62" t="str">
        <f t="shared" si="3"/>
        <v/>
      </c>
    </row>
    <row r="259" spans="2:9" x14ac:dyDescent="0.25">
      <c r="B259" s="59"/>
      <c r="C259" s="60"/>
      <c r="D259" s="60"/>
      <c r="F259" s="60"/>
      <c r="G259" s="60"/>
      <c r="H259" s="62"/>
      <c r="I259" s="62" t="str">
        <f t="shared" si="3"/>
        <v/>
      </c>
    </row>
    <row r="260" spans="2:9" x14ac:dyDescent="0.25">
      <c r="B260" s="59"/>
      <c r="C260" s="60"/>
      <c r="D260" s="60"/>
      <c r="F260" s="60"/>
      <c r="G260" s="60"/>
      <c r="H260" s="62"/>
      <c r="I260" s="62" t="str">
        <f t="shared" si="3"/>
        <v/>
      </c>
    </row>
    <row r="261" spans="2:9" x14ac:dyDescent="0.25">
      <c r="B261" s="59"/>
      <c r="C261" s="60"/>
      <c r="D261" s="60"/>
      <c r="F261" s="60"/>
      <c r="G261" s="60"/>
      <c r="H261" s="62"/>
      <c r="I261" s="62" t="str">
        <f t="shared" ref="I261:I324" si="4">IF(H261&lt;&gt;"",H261-H260,"")</f>
        <v/>
      </c>
    </row>
    <row r="262" spans="2:9" x14ac:dyDescent="0.25">
      <c r="B262" s="59"/>
      <c r="C262" s="60"/>
      <c r="D262" s="60"/>
      <c r="F262" s="60"/>
      <c r="G262" s="60"/>
      <c r="H262" s="62"/>
      <c r="I262" s="62" t="str">
        <f t="shared" si="4"/>
        <v/>
      </c>
    </row>
    <row r="263" spans="2:9" x14ac:dyDescent="0.25">
      <c r="B263" s="59"/>
      <c r="C263" s="60"/>
      <c r="D263" s="60"/>
      <c r="F263" s="60"/>
      <c r="G263" s="60"/>
      <c r="H263" s="62"/>
      <c r="I263" s="62" t="str">
        <f t="shared" si="4"/>
        <v/>
      </c>
    </row>
    <row r="264" spans="2:9" x14ac:dyDescent="0.25">
      <c r="B264" s="59"/>
      <c r="C264" s="60"/>
      <c r="D264" s="60"/>
      <c r="F264" s="60"/>
      <c r="G264" s="60"/>
      <c r="H264" s="62"/>
      <c r="I264" s="62" t="str">
        <f t="shared" si="4"/>
        <v/>
      </c>
    </row>
    <row r="265" spans="2:9" x14ac:dyDescent="0.25">
      <c r="B265" s="59"/>
      <c r="C265" s="60"/>
      <c r="D265" s="60"/>
      <c r="F265" s="60"/>
      <c r="G265" s="60"/>
      <c r="H265" s="62"/>
      <c r="I265" s="62" t="str">
        <f t="shared" si="4"/>
        <v/>
      </c>
    </row>
    <row r="266" spans="2:9" x14ac:dyDescent="0.25">
      <c r="B266" s="59"/>
      <c r="C266" s="60"/>
      <c r="D266" s="60"/>
      <c r="F266" s="60"/>
      <c r="G266" s="60"/>
      <c r="H266" s="62"/>
      <c r="I266" s="62" t="str">
        <f t="shared" si="4"/>
        <v/>
      </c>
    </row>
    <row r="267" spans="2:9" x14ac:dyDescent="0.25">
      <c r="B267" s="59"/>
      <c r="C267" s="60"/>
      <c r="D267" s="60"/>
      <c r="F267" s="60"/>
      <c r="G267" s="60"/>
      <c r="H267" s="62"/>
      <c r="I267" s="62" t="str">
        <f t="shared" si="4"/>
        <v/>
      </c>
    </row>
    <row r="268" spans="2:9" x14ac:dyDescent="0.25">
      <c r="B268" s="59"/>
      <c r="C268" s="60"/>
      <c r="D268" s="60"/>
      <c r="F268" s="60"/>
      <c r="G268" s="60"/>
      <c r="H268" s="62"/>
      <c r="I268" s="62" t="str">
        <f t="shared" si="4"/>
        <v/>
      </c>
    </row>
    <row r="269" spans="2:9" x14ac:dyDescent="0.25">
      <c r="B269" s="59"/>
      <c r="C269" s="60"/>
      <c r="D269" s="60"/>
      <c r="F269" s="60"/>
      <c r="G269" s="60"/>
      <c r="H269" s="62"/>
      <c r="I269" s="62" t="str">
        <f t="shared" si="4"/>
        <v/>
      </c>
    </row>
    <row r="270" spans="2:9" x14ac:dyDescent="0.25">
      <c r="B270" s="59"/>
      <c r="C270" s="60"/>
      <c r="D270" s="60"/>
      <c r="F270" s="60"/>
      <c r="G270" s="60"/>
      <c r="H270" s="62"/>
      <c r="I270" s="62" t="str">
        <f t="shared" si="4"/>
        <v/>
      </c>
    </row>
    <row r="271" spans="2:9" x14ac:dyDescent="0.25">
      <c r="B271" s="59"/>
      <c r="C271" s="60"/>
      <c r="D271" s="60"/>
      <c r="F271" s="60"/>
      <c r="G271" s="60"/>
      <c r="H271" s="62"/>
      <c r="I271" s="62" t="str">
        <f t="shared" si="4"/>
        <v/>
      </c>
    </row>
    <row r="272" spans="2:9" x14ac:dyDescent="0.25">
      <c r="B272" s="59"/>
      <c r="C272" s="60"/>
      <c r="D272" s="60"/>
      <c r="F272" s="60"/>
      <c r="G272" s="60"/>
      <c r="H272" s="62"/>
      <c r="I272" s="62" t="str">
        <f t="shared" si="4"/>
        <v/>
      </c>
    </row>
    <row r="273" spans="2:9" x14ac:dyDescent="0.25">
      <c r="B273" s="59"/>
      <c r="C273" s="60"/>
      <c r="D273" s="60"/>
      <c r="F273" s="60"/>
      <c r="G273" s="60"/>
      <c r="H273" s="62"/>
      <c r="I273" s="62" t="str">
        <f t="shared" si="4"/>
        <v/>
      </c>
    </row>
    <row r="274" spans="2:9" x14ac:dyDescent="0.25">
      <c r="B274" s="59"/>
      <c r="C274" s="60"/>
      <c r="D274" s="60"/>
      <c r="F274" s="60"/>
      <c r="G274" s="60"/>
      <c r="H274" s="62"/>
      <c r="I274" s="62" t="str">
        <f t="shared" si="4"/>
        <v/>
      </c>
    </row>
    <row r="275" spans="2:9" x14ac:dyDescent="0.25">
      <c r="B275" s="59"/>
      <c r="C275" s="60"/>
      <c r="D275" s="60"/>
      <c r="F275" s="60"/>
      <c r="G275" s="60"/>
      <c r="H275" s="62"/>
      <c r="I275" s="62" t="str">
        <f t="shared" si="4"/>
        <v/>
      </c>
    </row>
    <row r="276" spans="2:9" x14ac:dyDescent="0.25">
      <c r="B276" s="59"/>
      <c r="C276" s="60"/>
      <c r="D276" s="60"/>
      <c r="F276" s="60"/>
      <c r="G276" s="60"/>
      <c r="H276" s="62"/>
      <c r="I276" s="62" t="str">
        <f t="shared" si="4"/>
        <v/>
      </c>
    </row>
    <row r="277" spans="2:9" x14ac:dyDescent="0.25">
      <c r="B277" s="59"/>
      <c r="C277" s="60"/>
      <c r="D277" s="60"/>
      <c r="F277" s="60"/>
      <c r="G277" s="60"/>
      <c r="H277" s="62"/>
      <c r="I277" s="62" t="str">
        <f t="shared" si="4"/>
        <v/>
      </c>
    </row>
    <row r="278" spans="2:9" x14ac:dyDescent="0.25">
      <c r="B278" s="59"/>
      <c r="C278" s="60"/>
      <c r="D278" s="60"/>
      <c r="F278" s="60"/>
      <c r="G278" s="60"/>
      <c r="H278" s="62"/>
      <c r="I278" s="62" t="str">
        <f t="shared" si="4"/>
        <v/>
      </c>
    </row>
    <row r="279" spans="2:9" x14ac:dyDescent="0.25">
      <c r="B279" s="59"/>
      <c r="C279" s="60"/>
      <c r="D279" s="60"/>
      <c r="F279" s="60"/>
      <c r="G279" s="60"/>
      <c r="H279" s="62"/>
      <c r="I279" s="62" t="str">
        <f t="shared" si="4"/>
        <v/>
      </c>
    </row>
    <row r="280" spans="2:9" x14ac:dyDescent="0.25">
      <c r="B280" s="59"/>
      <c r="C280" s="60"/>
      <c r="D280" s="60"/>
      <c r="F280" s="60"/>
      <c r="G280" s="60"/>
      <c r="H280" s="62"/>
      <c r="I280" s="62" t="str">
        <f t="shared" si="4"/>
        <v/>
      </c>
    </row>
    <row r="281" spans="2:9" x14ac:dyDescent="0.25">
      <c r="B281" s="59"/>
      <c r="C281" s="60"/>
      <c r="D281" s="60"/>
      <c r="F281" s="60"/>
      <c r="G281" s="60"/>
      <c r="H281" s="62"/>
      <c r="I281" s="62" t="str">
        <f t="shared" si="4"/>
        <v/>
      </c>
    </row>
    <row r="282" spans="2:9" x14ac:dyDescent="0.25">
      <c r="B282" s="59"/>
      <c r="C282" s="60"/>
      <c r="D282" s="60"/>
      <c r="F282" s="60"/>
      <c r="G282" s="60"/>
      <c r="H282" s="62"/>
      <c r="I282" s="62" t="str">
        <f t="shared" si="4"/>
        <v/>
      </c>
    </row>
    <row r="283" spans="2:9" x14ac:dyDescent="0.25">
      <c r="B283" s="59"/>
      <c r="C283" s="60"/>
      <c r="D283" s="60"/>
      <c r="F283" s="60"/>
      <c r="G283" s="60"/>
      <c r="H283" s="62"/>
      <c r="I283" s="62" t="str">
        <f t="shared" si="4"/>
        <v/>
      </c>
    </row>
    <row r="284" spans="2:9" x14ac:dyDescent="0.25">
      <c r="B284" s="59"/>
      <c r="C284" s="60"/>
      <c r="D284" s="60"/>
      <c r="F284" s="60"/>
      <c r="G284" s="60"/>
      <c r="H284" s="62"/>
      <c r="I284" s="62" t="str">
        <f t="shared" si="4"/>
        <v/>
      </c>
    </row>
    <row r="285" spans="2:9" x14ac:dyDescent="0.25">
      <c r="B285" s="59"/>
      <c r="C285" s="60"/>
      <c r="D285" s="60"/>
      <c r="F285" s="60"/>
      <c r="G285" s="60"/>
      <c r="H285" s="62"/>
      <c r="I285" s="62" t="str">
        <f t="shared" si="4"/>
        <v/>
      </c>
    </row>
    <row r="286" spans="2:9" x14ac:dyDescent="0.25">
      <c r="B286" s="59"/>
      <c r="C286" s="60"/>
      <c r="D286" s="60"/>
      <c r="F286" s="60"/>
      <c r="G286" s="60"/>
      <c r="H286" s="62"/>
      <c r="I286" s="62" t="str">
        <f t="shared" si="4"/>
        <v/>
      </c>
    </row>
    <row r="287" spans="2:9" x14ac:dyDescent="0.25">
      <c r="B287" s="59"/>
      <c r="C287" s="60"/>
      <c r="D287" s="60"/>
      <c r="F287" s="60"/>
      <c r="G287" s="60"/>
      <c r="H287" s="62"/>
      <c r="I287" s="62" t="str">
        <f t="shared" si="4"/>
        <v/>
      </c>
    </row>
    <row r="288" spans="2:9" x14ac:dyDescent="0.25">
      <c r="B288" s="59"/>
      <c r="C288" s="60"/>
      <c r="D288" s="60"/>
      <c r="F288" s="60"/>
      <c r="G288" s="60"/>
      <c r="H288" s="62"/>
      <c r="I288" s="62" t="str">
        <f t="shared" si="4"/>
        <v/>
      </c>
    </row>
    <row r="289" spans="2:9" x14ac:dyDescent="0.25">
      <c r="B289" s="59"/>
      <c r="C289" s="60"/>
      <c r="D289" s="60"/>
      <c r="F289" s="60"/>
      <c r="G289" s="60"/>
      <c r="H289" s="62"/>
      <c r="I289" s="62" t="str">
        <f t="shared" si="4"/>
        <v/>
      </c>
    </row>
    <row r="290" spans="2:9" x14ac:dyDescent="0.25">
      <c r="B290" s="59"/>
      <c r="C290" s="60"/>
      <c r="D290" s="60"/>
      <c r="F290" s="60"/>
      <c r="G290" s="60"/>
      <c r="H290" s="62"/>
      <c r="I290" s="62" t="str">
        <f t="shared" si="4"/>
        <v/>
      </c>
    </row>
    <row r="291" spans="2:9" x14ac:dyDescent="0.25">
      <c r="B291" s="59"/>
      <c r="C291" s="60"/>
      <c r="D291" s="60"/>
      <c r="F291" s="60"/>
      <c r="G291" s="60"/>
      <c r="H291" s="62"/>
      <c r="I291" s="62" t="str">
        <f t="shared" si="4"/>
        <v/>
      </c>
    </row>
    <row r="292" spans="2:9" x14ac:dyDescent="0.25">
      <c r="B292" s="59"/>
      <c r="C292" s="60"/>
      <c r="D292" s="60"/>
      <c r="F292" s="60"/>
      <c r="G292" s="60"/>
      <c r="H292" s="62"/>
      <c r="I292" s="62" t="str">
        <f t="shared" si="4"/>
        <v/>
      </c>
    </row>
    <row r="293" spans="2:9" x14ac:dyDescent="0.25">
      <c r="B293" s="59"/>
      <c r="C293" s="60"/>
      <c r="D293" s="60"/>
      <c r="F293" s="60"/>
      <c r="G293" s="60"/>
      <c r="H293" s="62"/>
      <c r="I293" s="62" t="str">
        <f t="shared" si="4"/>
        <v/>
      </c>
    </row>
    <row r="294" spans="2:9" x14ac:dyDescent="0.25">
      <c r="B294" s="59"/>
      <c r="C294" s="60"/>
      <c r="D294" s="60"/>
      <c r="F294" s="60"/>
      <c r="G294" s="60"/>
      <c r="H294" s="62"/>
      <c r="I294" s="62" t="str">
        <f t="shared" si="4"/>
        <v/>
      </c>
    </row>
    <row r="295" spans="2:9" x14ac:dyDescent="0.25">
      <c r="B295" s="59"/>
      <c r="C295" s="60"/>
      <c r="D295" s="60"/>
      <c r="F295" s="60"/>
      <c r="G295" s="60"/>
      <c r="H295" s="62"/>
      <c r="I295" s="62" t="str">
        <f t="shared" si="4"/>
        <v/>
      </c>
    </row>
    <row r="296" spans="2:9" x14ac:dyDescent="0.25">
      <c r="B296" s="59"/>
      <c r="C296" s="60"/>
      <c r="D296" s="60"/>
      <c r="F296" s="60"/>
      <c r="G296" s="60"/>
      <c r="H296" s="62"/>
      <c r="I296" s="62" t="str">
        <f t="shared" si="4"/>
        <v/>
      </c>
    </row>
    <row r="297" spans="2:9" x14ac:dyDescent="0.25">
      <c r="B297" s="59"/>
      <c r="C297" s="60"/>
      <c r="D297" s="60"/>
      <c r="F297" s="60"/>
      <c r="G297" s="60"/>
      <c r="H297" s="62"/>
      <c r="I297" s="62" t="str">
        <f t="shared" si="4"/>
        <v/>
      </c>
    </row>
    <row r="298" spans="2:9" x14ac:dyDescent="0.25">
      <c r="B298" s="59"/>
      <c r="C298" s="60"/>
      <c r="D298" s="60"/>
      <c r="F298" s="60"/>
      <c r="G298" s="60"/>
      <c r="H298" s="62"/>
      <c r="I298" s="62" t="str">
        <f t="shared" si="4"/>
        <v/>
      </c>
    </row>
    <row r="299" spans="2:9" x14ac:dyDescent="0.25">
      <c r="B299" s="59"/>
      <c r="C299" s="60"/>
      <c r="D299" s="60"/>
      <c r="F299" s="60"/>
      <c r="G299" s="60"/>
      <c r="H299" s="62"/>
      <c r="I299" s="62" t="str">
        <f t="shared" si="4"/>
        <v/>
      </c>
    </row>
    <row r="300" spans="2:9" x14ac:dyDescent="0.25">
      <c r="B300" s="59"/>
      <c r="C300" s="60"/>
      <c r="D300" s="60"/>
      <c r="F300" s="60"/>
      <c r="G300" s="60"/>
      <c r="H300" s="62"/>
      <c r="I300" s="62" t="str">
        <f t="shared" si="4"/>
        <v/>
      </c>
    </row>
    <row r="301" spans="2:9" x14ac:dyDescent="0.25">
      <c r="B301" s="59"/>
      <c r="C301" s="60"/>
      <c r="D301" s="60"/>
      <c r="F301" s="60"/>
      <c r="G301" s="60"/>
      <c r="H301" s="62"/>
      <c r="I301" s="62" t="str">
        <f t="shared" si="4"/>
        <v/>
      </c>
    </row>
    <row r="302" spans="2:9" x14ac:dyDescent="0.25">
      <c r="B302" s="59"/>
      <c r="C302" s="60"/>
      <c r="D302" s="60"/>
      <c r="F302" s="60"/>
      <c r="G302" s="60"/>
      <c r="H302" s="62"/>
      <c r="I302" s="62" t="str">
        <f t="shared" si="4"/>
        <v/>
      </c>
    </row>
    <row r="303" spans="2:9" x14ac:dyDescent="0.25">
      <c r="B303" s="59"/>
      <c r="C303" s="60"/>
      <c r="D303" s="60"/>
      <c r="F303" s="60"/>
      <c r="G303" s="60"/>
      <c r="H303" s="62"/>
      <c r="I303" s="62" t="str">
        <f t="shared" si="4"/>
        <v/>
      </c>
    </row>
    <row r="304" spans="2:9" x14ac:dyDescent="0.25">
      <c r="B304" s="59"/>
      <c r="C304" s="60"/>
      <c r="D304" s="60"/>
      <c r="F304" s="60"/>
      <c r="G304" s="60"/>
      <c r="H304" s="62"/>
      <c r="I304" s="62" t="str">
        <f t="shared" si="4"/>
        <v/>
      </c>
    </row>
    <row r="305" spans="2:9" x14ac:dyDescent="0.25">
      <c r="B305" s="59"/>
      <c r="C305" s="60"/>
      <c r="D305" s="60"/>
      <c r="F305" s="60"/>
      <c r="G305" s="60"/>
      <c r="H305" s="62"/>
      <c r="I305" s="62" t="str">
        <f t="shared" si="4"/>
        <v/>
      </c>
    </row>
    <row r="306" spans="2:9" x14ac:dyDescent="0.25">
      <c r="B306" s="59"/>
      <c r="C306" s="60"/>
      <c r="D306" s="60"/>
      <c r="F306" s="60"/>
      <c r="G306" s="60"/>
      <c r="H306" s="62"/>
      <c r="I306" s="62" t="str">
        <f t="shared" si="4"/>
        <v/>
      </c>
    </row>
    <row r="307" spans="2:9" x14ac:dyDescent="0.25">
      <c r="B307" s="59"/>
      <c r="C307" s="60"/>
      <c r="D307" s="60"/>
      <c r="F307" s="60"/>
      <c r="G307" s="60"/>
      <c r="H307" s="62"/>
      <c r="I307" s="62" t="str">
        <f t="shared" si="4"/>
        <v/>
      </c>
    </row>
    <row r="308" spans="2:9" x14ac:dyDescent="0.25">
      <c r="B308" s="59"/>
      <c r="C308" s="60"/>
      <c r="D308" s="60"/>
      <c r="F308" s="60"/>
      <c r="G308" s="60"/>
      <c r="H308" s="62"/>
      <c r="I308" s="62" t="str">
        <f t="shared" si="4"/>
        <v/>
      </c>
    </row>
    <row r="309" spans="2:9" x14ac:dyDescent="0.25">
      <c r="B309" s="59"/>
      <c r="C309" s="60"/>
      <c r="D309" s="60"/>
      <c r="F309" s="60"/>
      <c r="G309" s="60"/>
      <c r="H309" s="62"/>
      <c r="I309" s="62" t="str">
        <f t="shared" si="4"/>
        <v/>
      </c>
    </row>
    <row r="310" spans="2:9" x14ac:dyDescent="0.25">
      <c r="B310" s="59"/>
      <c r="C310" s="60"/>
      <c r="D310" s="60"/>
      <c r="F310" s="60"/>
      <c r="G310" s="60"/>
      <c r="H310" s="62"/>
      <c r="I310" s="62" t="str">
        <f t="shared" si="4"/>
        <v/>
      </c>
    </row>
    <row r="311" spans="2:9" x14ac:dyDescent="0.25">
      <c r="B311" s="59"/>
      <c r="C311" s="60"/>
      <c r="D311" s="60"/>
      <c r="F311" s="60"/>
      <c r="G311" s="60"/>
      <c r="H311" s="62"/>
      <c r="I311" s="62" t="str">
        <f t="shared" si="4"/>
        <v/>
      </c>
    </row>
    <row r="312" spans="2:9" x14ac:dyDescent="0.25">
      <c r="B312" s="59"/>
      <c r="C312" s="60"/>
      <c r="D312" s="60"/>
      <c r="F312" s="60"/>
      <c r="G312" s="60"/>
      <c r="H312" s="62"/>
      <c r="I312" s="62" t="str">
        <f t="shared" si="4"/>
        <v/>
      </c>
    </row>
    <row r="313" spans="2:9" x14ac:dyDescent="0.25">
      <c r="B313" s="59"/>
      <c r="C313" s="60"/>
      <c r="D313" s="60"/>
      <c r="F313" s="60"/>
      <c r="G313" s="60"/>
      <c r="H313" s="62"/>
      <c r="I313" s="62" t="str">
        <f t="shared" si="4"/>
        <v/>
      </c>
    </row>
    <row r="314" spans="2:9" x14ac:dyDescent="0.25">
      <c r="B314" s="59"/>
      <c r="C314" s="60"/>
      <c r="D314" s="60"/>
      <c r="F314" s="60"/>
      <c r="G314" s="60"/>
      <c r="H314" s="62"/>
      <c r="I314" s="62" t="str">
        <f t="shared" si="4"/>
        <v/>
      </c>
    </row>
    <row r="315" spans="2:9" x14ac:dyDescent="0.25">
      <c r="B315" s="59"/>
      <c r="C315" s="60"/>
      <c r="D315" s="60"/>
      <c r="F315" s="60"/>
      <c r="G315" s="60"/>
      <c r="H315" s="62"/>
      <c r="I315" s="62" t="str">
        <f t="shared" si="4"/>
        <v/>
      </c>
    </row>
    <row r="316" spans="2:9" x14ac:dyDescent="0.25">
      <c r="B316" s="59"/>
      <c r="C316" s="60"/>
      <c r="D316" s="60"/>
      <c r="F316" s="60"/>
      <c r="G316" s="60"/>
      <c r="H316" s="62"/>
      <c r="I316" s="62" t="str">
        <f t="shared" si="4"/>
        <v/>
      </c>
    </row>
    <row r="317" spans="2:9" x14ac:dyDescent="0.25">
      <c r="B317" s="59"/>
      <c r="C317" s="60"/>
      <c r="D317" s="60"/>
      <c r="F317" s="60"/>
      <c r="G317" s="60"/>
      <c r="H317" s="62"/>
      <c r="I317" s="62" t="str">
        <f t="shared" si="4"/>
        <v/>
      </c>
    </row>
    <row r="318" spans="2:9" x14ac:dyDescent="0.25">
      <c r="B318" s="59"/>
      <c r="C318" s="60"/>
      <c r="D318" s="60"/>
      <c r="F318" s="60"/>
      <c r="G318" s="60"/>
      <c r="H318" s="62"/>
      <c r="I318" s="62" t="str">
        <f t="shared" si="4"/>
        <v/>
      </c>
    </row>
    <row r="319" spans="2:9" x14ac:dyDescent="0.25">
      <c r="B319" s="59"/>
      <c r="C319" s="60"/>
      <c r="D319" s="60"/>
      <c r="F319" s="60"/>
      <c r="G319" s="60"/>
      <c r="H319" s="62"/>
      <c r="I319" s="62" t="str">
        <f t="shared" si="4"/>
        <v/>
      </c>
    </row>
    <row r="320" spans="2:9" x14ac:dyDescent="0.25">
      <c r="B320" s="59"/>
      <c r="C320" s="60"/>
      <c r="D320" s="60"/>
      <c r="F320" s="60"/>
      <c r="G320" s="60"/>
      <c r="H320" s="62"/>
      <c r="I320" s="62" t="str">
        <f t="shared" si="4"/>
        <v/>
      </c>
    </row>
    <row r="321" spans="2:9" x14ac:dyDescent="0.25">
      <c r="B321" s="59"/>
      <c r="C321" s="60"/>
      <c r="D321" s="60"/>
      <c r="F321" s="60"/>
      <c r="G321" s="60"/>
      <c r="H321" s="62"/>
      <c r="I321" s="62" t="str">
        <f t="shared" si="4"/>
        <v/>
      </c>
    </row>
    <row r="322" spans="2:9" x14ac:dyDescent="0.25">
      <c r="B322" s="59"/>
      <c r="C322" s="60"/>
      <c r="D322" s="60"/>
      <c r="F322" s="60"/>
      <c r="G322" s="60"/>
      <c r="H322" s="62"/>
      <c r="I322" s="62" t="str">
        <f t="shared" si="4"/>
        <v/>
      </c>
    </row>
    <row r="323" spans="2:9" x14ac:dyDescent="0.25">
      <c r="B323" s="59"/>
      <c r="C323" s="60"/>
      <c r="D323" s="60"/>
      <c r="F323" s="60"/>
      <c r="G323" s="60"/>
      <c r="H323" s="62"/>
      <c r="I323" s="62" t="str">
        <f t="shared" si="4"/>
        <v/>
      </c>
    </row>
    <row r="324" spans="2:9" x14ac:dyDescent="0.25">
      <c r="B324" s="59"/>
      <c r="C324" s="60"/>
      <c r="D324" s="60"/>
      <c r="F324" s="60"/>
      <c r="G324" s="60"/>
      <c r="H324" s="62"/>
      <c r="I324" s="62" t="str">
        <f t="shared" si="4"/>
        <v/>
      </c>
    </row>
    <row r="325" spans="2:9" x14ac:dyDescent="0.25">
      <c r="B325" s="59"/>
      <c r="C325" s="60"/>
      <c r="D325" s="60"/>
      <c r="F325" s="60"/>
      <c r="G325" s="60"/>
      <c r="H325" s="62"/>
      <c r="I325" s="62" t="str">
        <f t="shared" ref="I325:I388" si="5">IF(H325&lt;&gt;"",H325-H324,"")</f>
        <v/>
      </c>
    </row>
    <row r="326" spans="2:9" x14ac:dyDescent="0.25">
      <c r="B326" s="59"/>
      <c r="C326" s="60"/>
      <c r="D326" s="60"/>
      <c r="F326" s="60"/>
      <c r="G326" s="60"/>
      <c r="H326" s="62"/>
      <c r="I326" s="62" t="str">
        <f t="shared" si="5"/>
        <v/>
      </c>
    </row>
    <row r="327" spans="2:9" x14ac:dyDescent="0.25">
      <c r="B327" s="59"/>
      <c r="C327" s="60"/>
      <c r="D327" s="60"/>
      <c r="F327" s="60"/>
      <c r="G327" s="60"/>
      <c r="H327" s="62"/>
      <c r="I327" s="62" t="str">
        <f t="shared" si="5"/>
        <v/>
      </c>
    </row>
    <row r="328" spans="2:9" x14ac:dyDescent="0.25">
      <c r="B328" s="59"/>
      <c r="C328" s="60"/>
      <c r="D328" s="60"/>
      <c r="F328" s="60"/>
      <c r="G328" s="60"/>
      <c r="H328" s="62"/>
      <c r="I328" s="62" t="str">
        <f t="shared" si="5"/>
        <v/>
      </c>
    </row>
    <row r="329" spans="2:9" x14ac:dyDescent="0.25">
      <c r="B329" s="59"/>
      <c r="C329" s="60"/>
      <c r="D329" s="60"/>
      <c r="F329" s="60"/>
      <c r="G329" s="60"/>
      <c r="H329" s="62"/>
      <c r="I329" s="62" t="str">
        <f t="shared" si="5"/>
        <v/>
      </c>
    </row>
    <row r="330" spans="2:9" x14ac:dyDescent="0.25">
      <c r="B330" s="59"/>
      <c r="C330" s="60"/>
      <c r="D330" s="60"/>
      <c r="F330" s="60"/>
      <c r="G330" s="60"/>
      <c r="H330" s="62"/>
      <c r="I330" s="62" t="str">
        <f t="shared" si="5"/>
        <v/>
      </c>
    </row>
    <row r="331" spans="2:9" x14ac:dyDescent="0.25">
      <c r="B331" s="59"/>
      <c r="C331" s="60"/>
      <c r="D331" s="60"/>
      <c r="F331" s="60"/>
      <c r="G331" s="60"/>
      <c r="H331" s="62"/>
      <c r="I331" s="62" t="str">
        <f t="shared" si="5"/>
        <v/>
      </c>
    </row>
    <row r="332" spans="2:9" x14ac:dyDescent="0.25">
      <c r="B332" s="59"/>
      <c r="C332" s="60"/>
      <c r="D332" s="60"/>
      <c r="F332" s="60"/>
      <c r="G332" s="60"/>
      <c r="H332" s="62"/>
      <c r="I332" s="62" t="str">
        <f t="shared" si="5"/>
        <v/>
      </c>
    </row>
    <row r="333" spans="2:9" x14ac:dyDescent="0.25">
      <c r="B333" s="59"/>
      <c r="C333" s="60"/>
      <c r="D333" s="60"/>
      <c r="F333" s="60"/>
      <c r="G333" s="60"/>
      <c r="H333" s="62"/>
      <c r="I333" s="62" t="str">
        <f t="shared" si="5"/>
        <v/>
      </c>
    </row>
    <row r="334" spans="2:9" x14ac:dyDescent="0.25">
      <c r="B334" s="59"/>
      <c r="C334" s="60"/>
      <c r="D334" s="60"/>
      <c r="F334" s="60"/>
      <c r="G334" s="60"/>
      <c r="H334" s="62"/>
      <c r="I334" s="62" t="str">
        <f t="shared" si="5"/>
        <v/>
      </c>
    </row>
    <row r="335" spans="2:9" x14ac:dyDescent="0.25">
      <c r="B335" s="59"/>
      <c r="C335" s="60"/>
      <c r="D335" s="60"/>
      <c r="F335" s="60"/>
      <c r="G335" s="60"/>
      <c r="H335" s="62"/>
      <c r="I335" s="62" t="str">
        <f t="shared" si="5"/>
        <v/>
      </c>
    </row>
    <row r="336" spans="2:9" x14ac:dyDescent="0.25">
      <c r="B336" s="59"/>
      <c r="C336" s="60"/>
      <c r="D336" s="60"/>
      <c r="F336" s="60"/>
      <c r="G336" s="60"/>
      <c r="H336" s="62"/>
      <c r="I336" s="62" t="str">
        <f t="shared" si="5"/>
        <v/>
      </c>
    </row>
    <row r="337" spans="2:9" x14ac:dyDescent="0.25">
      <c r="B337" s="59"/>
      <c r="C337" s="60"/>
      <c r="D337" s="60"/>
      <c r="F337" s="60"/>
      <c r="G337" s="60"/>
      <c r="H337" s="62"/>
      <c r="I337" s="62" t="str">
        <f t="shared" si="5"/>
        <v/>
      </c>
    </row>
    <row r="338" spans="2:9" x14ac:dyDescent="0.25">
      <c r="B338" s="59"/>
      <c r="C338" s="60"/>
      <c r="D338" s="60"/>
      <c r="F338" s="60"/>
      <c r="G338" s="60"/>
      <c r="H338" s="62"/>
      <c r="I338" s="62" t="str">
        <f t="shared" si="5"/>
        <v/>
      </c>
    </row>
    <row r="339" spans="2:9" x14ac:dyDescent="0.25">
      <c r="B339" s="59"/>
      <c r="C339" s="60"/>
      <c r="D339" s="60"/>
      <c r="F339" s="60"/>
      <c r="G339" s="60"/>
      <c r="H339" s="62"/>
      <c r="I339" s="62" t="str">
        <f t="shared" si="5"/>
        <v/>
      </c>
    </row>
    <row r="340" spans="2:9" x14ac:dyDescent="0.25">
      <c r="B340" s="59"/>
      <c r="C340" s="60"/>
      <c r="D340" s="60"/>
      <c r="F340" s="60"/>
      <c r="G340" s="60"/>
      <c r="H340" s="62"/>
      <c r="I340" s="62" t="str">
        <f t="shared" si="5"/>
        <v/>
      </c>
    </row>
    <row r="341" spans="2:9" x14ac:dyDescent="0.25">
      <c r="B341" s="59"/>
      <c r="C341" s="60"/>
      <c r="D341" s="60"/>
      <c r="F341" s="60"/>
      <c r="G341" s="60"/>
      <c r="H341" s="62"/>
      <c r="I341" s="62" t="str">
        <f t="shared" si="5"/>
        <v/>
      </c>
    </row>
    <row r="342" spans="2:9" x14ac:dyDescent="0.25">
      <c r="B342" s="59"/>
      <c r="C342" s="60"/>
      <c r="D342" s="60"/>
      <c r="F342" s="60"/>
      <c r="G342" s="60"/>
      <c r="H342" s="62"/>
      <c r="I342" s="62" t="str">
        <f t="shared" si="5"/>
        <v/>
      </c>
    </row>
    <row r="343" spans="2:9" x14ac:dyDescent="0.25">
      <c r="B343" s="59"/>
      <c r="C343" s="60"/>
      <c r="D343" s="60"/>
      <c r="F343" s="60"/>
      <c r="G343" s="60"/>
      <c r="H343" s="62"/>
      <c r="I343" s="62" t="str">
        <f t="shared" si="5"/>
        <v/>
      </c>
    </row>
    <row r="344" spans="2:9" x14ac:dyDescent="0.25">
      <c r="B344" s="59"/>
      <c r="C344" s="60"/>
      <c r="D344" s="60"/>
      <c r="F344" s="60"/>
      <c r="G344" s="60"/>
      <c r="H344" s="62"/>
      <c r="I344" s="62" t="str">
        <f t="shared" si="5"/>
        <v/>
      </c>
    </row>
    <row r="345" spans="2:9" x14ac:dyDescent="0.25">
      <c r="B345" s="59"/>
      <c r="C345" s="60"/>
      <c r="D345" s="60"/>
      <c r="F345" s="60"/>
      <c r="G345" s="60"/>
      <c r="H345" s="62"/>
      <c r="I345" s="62" t="str">
        <f t="shared" si="5"/>
        <v/>
      </c>
    </row>
    <row r="346" spans="2:9" x14ac:dyDescent="0.25">
      <c r="B346" s="59"/>
      <c r="C346" s="60"/>
      <c r="D346" s="60"/>
      <c r="F346" s="60"/>
      <c r="G346" s="60"/>
      <c r="H346" s="62"/>
      <c r="I346" s="62" t="str">
        <f t="shared" si="5"/>
        <v/>
      </c>
    </row>
    <row r="347" spans="2:9" x14ac:dyDescent="0.25">
      <c r="B347" s="59"/>
      <c r="C347" s="60"/>
      <c r="D347" s="60"/>
      <c r="F347" s="60"/>
      <c r="G347" s="60"/>
      <c r="H347" s="62"/>
      <c r="I347" s="62" t="str">
        <f t="shared" si="5"/>
        <v/>
      </c>
    </row>
    <row r="348" spans="2:9" x14ac:dyDescent="0.25">
      <c r="B348" s="59"/>
      <c r="C348" s="60"/>
      <c r="D348" s="60"/>
      <c r="F348" s="60"/>
      <c r="G348" s="60"/>
      <c r="H348" s="62"/>
      <c r="I348" s="62" t="str">
        <f t="shared" si="5"/>
        <v/>
      </c>
    </row>
    <row r="349" spans="2:9" x14ac:dyDescent="0.25">
      <c r="B349" s="59"/>
      <c r="C349" s="60"/>
      <c r="D349" s="60"/>
      <c r="F349" s="60"/>
      <c r="G349" s="60"/>
      <c r="H349" s="62"/>
      <c r="I349" s="62" t="str">
        <f t="shared" si="5"/>
        <v/>
      </c>
    </row>
    <row r="350" spans="2:9" x14ac:dyDescent="0.25">
      <c r="B350" s="59"/>
      <c r="C350" s="60"/>
      <c r="D350" s="60"/>
      <c r="F350" s="60"/>
      <c r="G350" s="60"/>
      <c r="H350" s="62"/>
      <c r="I350" s="62" t="str">
        <f t="shared" si="5"/>
        <v/>
      </c>
    </row>
    <row r="351" spans="2:9" x14ac:dyDescent="0.25">
      <c r="B351" s="59"/>
      <c r="C351" s="60"/>
      <c r="D351" s="60"/>
      <c r="F351" s="60"/>
      <c r="G351" s="60"/>
      <c r="H351" s="62"/>
      <c r="I351" s="62" t="str">
        <f t="shared" si="5"/>
        <v/>
      </c>
    </row>
    <row r="352" spans="2:9" x14ac:dyDescent="0.25">
      <c r="B352" s="59"/>
      <c r="C352" s="60"/>
      <c r="D352" s="60"/>
      <c r="F352" s="60"/>
      <c r="G352" s="60"/>
      <c r="H352" s="62"/>
      <c r="I352" s="62" t="str">
        <f t="shared" si="5"/>
        <v/>
      </c>
    </row>
    <row r="353" spans="2:9" x14ac:dyDescent="0.25">
      <c r="B353" s="59"/>
      <c r="C353" s="60"/>
      <c r="D353" s="60"/>
      <c r="F353" s="60"/>
      <c r="G353" s="60"/>
      <c r="H353" s="62"/>
      <c r="I353" s="62" t="str">
        <f t="shared" si="5"/>
        <v/>
      </c>
    </row>
    <row r="354" spans="2:9" x14ac:dyDescent="0.25">
      <c r="B354" s="59"/>
      <c r="C354" s="60"/>
      <c r="D354" s="60"/>
      <c r="F354" s="60"/>
      <c r="G354" s="60"/>
      <c r="H354" s="62"/>
      <c r="I354" s="62" t="str">
        <f t="shared" si="5"/>
        <v/>
      </c>
    </row>
    <row r="355" spans="2:9" x14ac:dyDescent="0.25">
      <c r="B355" s="59"/>
      <c r="C355" s="60"/>
      <c r="D355" s="60"/>
      <c r="F355" s="60"/>
      <c r="G355" s="60"/>
      <c r="H355" s="62"/>
      <c r="I355" s="62" t="str">
        <f t="shared" si="5"/>
        <v/>
      </c>
    </row>
    <row r="356" spans="2:9" x14ac:dyDescent="0.25">
      <c r="B356" s="59"/>
      <c r="C356" s="60"/>
      <c r="D356" s="60"/>
      <c r="F356" s="60"/>
      <c r="G356" s="60"/>
      <c r="H356" s="62"/>
      <c r="I356" s="62" t="str">
        <f t="shared" si="5"/>
        <v/>
      </c>
    </row>
    <row r="357" spans="2:9" x14ac:dyDescent="0.25">
      <c r="B357" s="59"/>
      <c r="C357" s="60"/>
      <c r="D357" s="60"/>
      <c r="F357" s="60"/>
      <c r="G357" s="60"/>
      <c r="H357" s="62"/>
      <c r="I357" s="62" t="str">
        <f t="shared" si="5"/>
        <v/>
      </c>
    </row>
    <row r="358" spans="2:9" x14ac:dyDescent="0.25">
      <c r="B358" s="59"/>
      <c r="C358" s="60"/>
      <c r="D358" s="60"/>
      <c r="F358" s="60"/>
      <c r="G358" s="60"/>
      <c r="H358" s="62"/>
      <c r="I358" s="62" t="str">
        <f t="shared" si="5"/>
        <v/>
      </c>
    </row>
    <row r="359" spans="2:9" x14ac:dyDescent="0.25">
      <c r="B359" s="59"/>
      <c r="C359" s="60"/>
      <c r="D359" s="60"/>
      <c r="F359" s="60"/>
      <c r="G359" s="60"/>
      <c r="H359" s="62"/>
      <c r="I359" s="62" t="str">
        <f t="shared" si="5"/>
        <v/>
      </c>
    </row>
    <row r="360" spans="2:9" x14ac:dyDescent="0.25">
      <c r="B360" s="59"/>
      <c r="C360" s="60"/>
      <c r="D360" s="60"/>
      <c r="F360" s="60"/>
      <c r="G360" s="60"/>
      <c r="H360" s="62"/>
      <c r="I360" s="62" t="str">
        <f t="shared" si="5"/>
        <v/>
      </c>
    </row>
    <row r="361" spans="2:9" x14ac:dyDescent="0.25">
      <c r="B361" s="59"/>
      <c r="C361" s="60"/>
      <c r="D361" s="60"/>
      <c r="F361" s="60"/>
      <c r="G361" s="60"/>
      <c r="H361" s="62"/>
      <c r="I361" s="62" t="str">
        <f t="shared" si="5"/>
        <v/>
      </c>
    </row>
    <row r="362" spans="2:9" x14ac:dyDescent="0.25">
      <c r="B362" s="59"/>
      <c r="C362" s="60"/>
      <c r="D362" s="60"/>
      <c r="F362" s="60"/>
      <c r="G362" s="60"/>
      <c r="H362" s="62"/>
      <c r="I362" s="62" t="str">
        <f t="shared" si="5"/>
        <v/>
      </c>
    </row>
    <row r="363" spans="2:9" x14ac:dyDescent="0.25">
      <c r="B363" s="59"/>
      <c r="C363" s="60"/>
      <c r="D363" s="60"/>
      <c r="F363" s="60"/>
      <c r="G363" s="60"/>
      <c r="H363" s="62"/>
      <c r="I363" s="62" t="str">
        <f t="shared" si="5"/>
        <v/>
      </c>
    </row>
    <row r="364" spans="2:9" x14ac:dyDescent="0.25">
      <c r="B364" s="59"/>
      <c r="C364" s="60"/>
      <c r="D364" s="60"/>
      <c r="F364" s="60"/>
      <c r="G364" s="60"/>
      <c r="H364" s="62"/>
      <c r="I364" s="62" t="str">
        <f t="shared" si="5"/>
        <v/>
      </c>
    </row>
    <row r="365" spans="2:9" x14ac:dyDescent="0.25">
      <c r="B365" s="59"/>
      <c r="C365" s="60"/>
      <c r="D365" s="60"/>
      <c r="F365" s="60"/>
      <c r="G365" s="60"/>
      <c r="H365" s="62"/>
      <c r="I365" s="62" t="str">
        <f t="shared" si="5"/>
        <v/>
      </c>
    </row>
    <row r="366" spans="2:9" x14ac:dyDescent="0.25">
      <c r="B366" s="59"/>
      <c r="C366" s="60"/>
      <c r="D366" s="60"/>
      <c r="F366" s="60"/>
      <c r="G366" s="60"/>
      <c r="H366" s="62"/>
      <c r="I366" s="62" t="str">
        <f t="shared" si="5"/>
        <v/>
      </c>
    </row>
    <row r="367" spans="2:9" x14ac:dyDescent="0.25">
      <c r="B367" s="59"/>
      <c r="C367" s="60"/>
      <c r="D367" s="60"/>
      <c r="F367" s="60"/>
      <c r="G367" s="60"/>
      <c r="H367" s="62"/>
      <c r="I367" s="62" t="str">
        <f t="shared" si="5"/>
        <v/>
      </c>
    </row>
    <row r="368" spans="2:9" x14ac:dyDescent="0.25">
      <c r="B368" s="59"/>
      <c r="C368" s="60"/>
      <c r="D368" s="60"/>
      <c r="F368" s="60"/>
      <c r="G368" s="60"/>
      <c r="H368" s="62"/>
      <c r="I368" s="62" t="str">
        <f t="shared" si="5"/>
        <v/>
      </c>
    </row>
    <row r="369" spans="2:9" x14ac:dyDescent="0.25">
      <c r="B369" s="59"/>
      <c r="C369" s="60"/>
      <c r="D369" s="60"/>
      <c r="F369" s="60"/>
      <c r="G369" s="60"/>
      <c r="H369" s="62"/>
      <c r="I369" s="62" t="str">
        <f t="shared" si="5"/>
        <v/>
      </c>
    </row>
    <row r="370" spans="2:9" x14ac:dyDescent="0.25">
      <c r="B370" s="59"/>
      <c r="C370" s="60"/>
      <c r="D370" s="60"/>
      <c r="F370" s="60"/>
      <c r="G370" s="60"/>
      <c r="H370" s="62"/>
      <c r="I370" s="62" t="str">
        <f t="shared" si="5"/>
        <v/>
      </c>
    </row>
    <row r="371" spans="2:9" x14ac:dyDescent="0.25">
      <c r="B371" s="59"/>
      <c r="C371" s="60"/>
      <c r="D371" s="60"/>
      <c r="F371" s="60"/>
      <c r="G371" s="60"/>
      <c r="H371" s="62"/>
      <c r="I371" s="62" t="str">
        <f t="shared" si="5"/>
        <v/>
      </c>
    </row>
    <row r="372" spans="2:9" x14ac:dyDescent="0.25">
      <c r="B372" s="59"/>
      <c r="C372" s="60"/>
      <c r="D372" s="60"/>
      <c r="F372" s="60"/>
      <c r="G372" s="60"/>
      <c r="H372" s="62"/>
      <c r="I372" s="62" t="str">
        <f t="shared" si="5"/>
        <v/>
      </c>
    </row>
    <row r="373" spans="2:9" x14ac:dyDescent="0.25">
      <c r="B373" s="59"/>
      <c r="C373" s="60"/>
      <c r="D373" s="60"/>
      <c r="F373" s="60"/>
      <c r="G373" s="60"/>
      <c r="H373" s="62"/>
      <c r="I373" s="62" t="str">
        <f t="shared" si="5"/>
        <v/>
      </c>
    </row>
    <row r="374" spans="2:9" x14ac:dyDescent="0.25">
      <c r="B374" s="59"/>
      <c r="C374" s="60"/>
      <c r="D374" s="60"/>
      <c r="F374" s="60"/>
      <c r="G374" s="60"/>
      <c r="H374" s="62"/>
      <c r="I374" s="62" t="str">
        <f t="shared" si="5"/>
        <v/>
      </c>
    </row>
    <row r="375" spans="2:9" x14ac:dyDescent="0.25">
      <c r="B375" s="59"/>
      <c r="C375" s="60"/>
      <c r="D375" s="60"/>
      <c r="F375" s="60"/>
      <c r="G375" s="60"/>
      <c r="H375" s="62"/>
      <c r="I375" s="62" t="str">
        <f t="shared" si="5"/>
        <v/>
      </c>
    </row>
    <row r="376" spans="2:9" x14ac:dyDescent="0.25">
      <c r="B376" s="59"/>
      <c r="C376" s="60"/>
      <c r="D376" s="60"/>
      <c r="F376" s="60"/>
      <c r="G376" s="60"/>
      <c r="H376" s="62"/>
      <c r="I376" s="62" t="str">
        <f t="shared" si="5"/>
        <v/>
      </c>
    </row>
    <row r="377" spans="2:9" x14ac:dyDescent="0.25">
      <c r="B377" s="59"/>
      <c r="C377" s="60"/>
      <c r="D377" s="60"/>
      <c r="F377" s="60"/>
      <c r="G377" s="60"/>
      <c r="H377" s="62"/>
      <c r="I377" s="62" t="str">
        <f t="shared" si="5"/>
        <v/>
      </c>
    </row>
    <row r="378" spans="2:9" x14ac:dyDescent="0.25">
      <c r="B378" s="59"/>
      <c r="C378" s="60"/>
      <c r="D378" s="60"/>
      <c r="F378" s="60"/>
      <c r="G378" s="60"/>
      <c r="H378" s="62"/>
      <c r="I378" s="62" t="str">
        <f t="shared" si="5"/>
        <v/>
      </c>
    </row>
    <row r="379" spans="2:9" x14ac:dyDescent="0.25">
      <c r="B379" s="59"/>
      <c r="C379" s="60"/>
      <c r="D379" s="60"/>
      <c r="F379" s="60"/>
      <c r="G379" s="60"/>
      <c r="H379" s="62"/>
      <c r="I379" s="62" t="str">
        <f t="shared" si="5"/>
        <v/>
      </c>
    </row>
    <row r="380" spans="2:9" x14ac:dyDescent="0.25">
      <c r="B380" s="59"/>
      <c r="C380" s="60"/>
      <c r="D380" s="60"/>
      <c r="F380" s="60"/>
      <c r="G380" s="60"/>
      <c r="H380" s="62"/>
      <c r="I380" s="62" t="str">
        <f t="shared" si="5"/>
        <v/>
      </c>
    </row>
    <row r="381" spans="2:9" x14ac:dyDescent="0.25">
      <c r="B381" s="59"/>
      <c r="C381" s="60"/>
      <c r="D381" s="60"/>
      <c r="F381" s="60"/>
      <c r="G381" s="60"/>
      <c r="H381" s="62"/>
      <c r="I381" s="62" t="str">
        <f t="shared" si="5"/>
        <v/>
      </c>
    </row>
    <row r="382" spans="2:9" x14ac:dyDescent="0.25">
      <c r="B382" s="59"/>
      <c r="C382" s="60"/>
      <c r="D382" s="60"/>
      <c r="F382" s="60"/>
      <c r="G382" s="60"/>
      <c r="H382" s="62"/>
      <c r="I382" s="62" t="str">
        <f t="shared" si="5"/>
        <v/>
      </c>
    </row>
    <row r="383" spans="2:9" x14ac:dyDescent="0.25">
      <c r="B383" s="59"/>
      <c r="C383" s="60"/>
      <c r="D383" s="60"/>
      <c r="F383" s="60"/>
      <c r="G383" s="60"/>
      <c r="H383" s="62"/>
      <c r="I383" s="62" t="str">
        <f t="shared" si="5"/>
        <v/>
      </c>
    </row>
    <row r="384" spans="2:9" x14ac:dyDescent="0.25">
      <c r="B384" s="59"/>
      <c r="C384" s="60"/>
      <c r="D384" s="60"/>
      <c r="F384" s="60"/>
      <c r="G384" s="60"/>
      <c r="H384" s="62"/>
      <c r="I384" s="62" t="str">
        <f t="shared" si="5"/>
        <v/>
      </c>
    </row>
    <row r="385" spans="2:9" x14ac:dyDescent="0.25">
      <c r="B385" s="59"/>
      <c r="C385" s="60"/>
      <c r="D385" s="60"/>
      <c r="F385" s="60"/>
      <c r="G385" s="60"/>
      <c r="H385" s="62"/>
      <c r="I385" s="62" t="str">
        <f t="shared" si="5"/>
        <v/>
      </c>
    </row>
    <row r="386" spans="2:9" x14ac:dyDescent="0.25">
      <c r="B386" s="59"/>
      <c r="C386" s="60"/>
      <c r="D386" s="60"/>
      <c r="F386" s="60"/>
      <c r="G386" s="60"/>
      <c r="H386" s="62"/>
      <c r="I386" s="62" t="str">
        <f t="shared" si="5"/>
        <v/>
      </c>
    </row>
    <row r="387" spans="2:9" x14ac:dyDescent="0.25">
      <c r="B387" s="59"/>
      <c r="C387" s="60"/>
      <c r="D387" s="60"/>
      <c r="F387" s="60"/>
      <c r="G387" s="60"/>
      <c r="H387" s="62"/>
      <c r="I387" s="62" t="str">
        <f t="shared" si="5"/>
        <v/>
      </c>
    </row>
    <row r="388" spans="2:9" x14ac:dyDescent="0.25">
      <c r="B388" s="59"/>
      <c r="C388" s="60"/>
      <c r="D388" s="60"/>
      <c r="F388" s="60"/>
      <c r="G388" s="60"/>
      <c r="H388" s="62"/>
      <c r="I388" s="62" t="str">
        <f t="shared" si="5"/>
        <v/>
      </c>
    </row>
    <row r="389" spans="2:9" x14ac:dyDescent="0.25">
      <c r="B389" s="59"/>
      <c r="C389" s="60"/>
      <c r="D389" s="60"/>
      <c r="F389" s="60"/>
      <c r="G389" s="60"/>
      <c r="H389" s="62"/>
      <c r="I389" s="62" t="str">
        <f t="shared" ref="I389:I452" si="6">IF(H389&lt;&gt;"",H389-H388,"")</f>
        <v/>
      </c>
    </row>
    <row r="390" spans="2:9" x14ac:dyDescent="0.25">
      <c r="B390" s="59"/>
      <c r="C390" s="60"/>
      <c r="D390" s="60"/>
      <c r="F390" s="60"/>
      <c r="G390" s="60"/>
      <c r="H390" s="62"/>
      <c r="I390" s="62" t="str">
        <f t="shared" si="6"/>
        <v/>
      </c>
    </row>
    <row r="391" spans="2:9" x14ac:dyDescent="0.25">
      <c r="B391" s="59"/>
      <c r="C391" s="60"/>
      <c r="D391" s="60"/>
      <c r="F391" s="60"/>
      <c r="G391" s="60"/>
      <c r="H391" s="62"/>
      <c r="I391" s="62" t="str">
        <f t="shared" si="6"/>
        <v/>
      </c>
    </row>
    <row r="392" spans="2:9" x14ac:dyDescent="0.25">
      <c r="B392" s="59"/>
      <c r="C392" s="60"/>
      <c r="D392" s="60"/>
      <c r="F392" s="60"/>
      <c r="G392" s="60"/>
      <c r="H392" s="62"/>
      <c r="I392" s="62" t="str">
        <f t="shared" si="6"/>
        <v/>
      </c>
    </row>
    <row r="393" spans="2:9" x14ac:dyDescent="0.25">
      <c r="B393" s="59"/>
      <c r="C393" s="60"/>
      <c r="D393" s="60"/>
      <c r="F393" s="60"/>
      <c r="G393" s="60"/>
      <c r="H393" s="62"/>
      <c r="I393" s="62" t="str">
        <f t="shared" si="6"/>
        <v/>
      </c>
    </row>
    <row r="394" spans="2:9" x14ac:dyDescent="0.25">
      <c r="B394" s="59"/>
      <c r="C394" s="60"/>
      <c r="D394" s="60"/>
      <c r="F394" s="60"/>
      <c r="G394" s="60"/>
      <c r="H394" s="62"/>
      <c r="I394" s="62" t="str">
        <f t="shared" si="6"/>
        <v/>
      </c>
    </row>
    <row r="395" spans="2:9" x14ac:dyDescent="0.25">
      <c r="B395" s="59"/>
      <c r="C395" s="60"/>
      <c r="D395" s="60"/>
      <c r="F395" s="60"/>
      <c r="G395" s="60"/>
      <c r="H395" s="62"/>
      <c r="I395" s="62" t="str">
        <f t="shared" si="6"/>
        <v/>
      </c>
    </row>
    <row r="396" spans="2:9" x14ac:dyDescent="0.25">
      <c r="B396" s="59"/>
      <c r="C396" s="60"/>
      <c r="D396" s="60"/>
      <c r="F396" s="60"/>
      <c r="G396" s="60"/>
      <c r="H396" s="62"/>
      <c r="I396" s="62" t="str">
        <f t="shared" si="6"/>
        <v/>
      </c>
    </row>
    <row r="397" spans="2:9" x14ac:dyDescent="0.25">
      <c r="B397" s="59"/>
      <c r="C397" s="60"/>
      <c r="D397" s="60"/>
      <c r="F397" s="60"/>
      <c r="G397" s="60"/>
      <c r="H397" s="62"/>
      <c r="I397" s="62" t="str">
        <f t="shared" si="6"/>
        <v/>
      </c>
    </row>
    <row r="398" spans="2:9" x14ac:dyDescent="0.25">
      <c r="B398" s="59"/>
      <c r="C398" s="60"/>
      <c r="D398" s="60"/>
      <c r="F398" s="60"/>
      <c r="G398" s="60"/>
      <c r="H398" s="62"/>
      <c r="I398" s="62" t="str">
        <f t="shared" si="6"/>
        <v/>
      </c>
    </row>
    <row r="399" spans="2:9" x14ac:dyDescent="0.25">
      <c r="B399" s="59"/>
      <c r="C399" s="60"/>
      <c r="D399" s="60"/>
      <c r="F399" s="60"/>
      <c r="G399" s="60"/>
      <c r="H399" s="62"/>
      <c r="I399" s="62" t="str">
        <f t="shared" si="6"/>
        <v/>
      </c>
    </row>
    <row r="400" spans="2:9" x14ac:dyDescent="0.25">
      <c r="B400" s="59"/>
      <c r="C400" s="60"/>
      <c r="D400" s="60"/>
      <c r="F400" s="60"/>
      <c r="G400" s="60"/>
      <c r="H400" s="62"/>
      <c r="I400" s="62" t="str">
        <f t="shared" si="6"/>
        <v/>
      </c>
    </row>
    <row r="401" spans="2:9" x14ac:dyDescent="0.25">
      <c r="B401" s="59"/>
      <c r="C401" s="60"/>
      <c r="D401" s="60"/>
      <c r="F401" s="60"/>
      <c r="G401" s="60"/>
      <c r="H401" s="62"/>
      <c r="I401" s="62" t="str">
        <f t="shared" si="6"/>
        <v/>
      </c>
    </row>
    <row r="402" spans="2:9" x14ac:dyDescent="0.25">
      <c r="B402" s="59"/>
      <c r="C402" s="60"/>
      <c r="D402" s="60"/>
      <c r="F402" s="60"/>
      <c r="G402" s="60"/>
      <c r="H402" s="62"/>
      <c r="I402" s="62" t="str">
        <f t="shared" si="6"/>
        <v/>
      </c>
    </row>
    <row r="403" spans="2:9" x14ac:dyDescent="0.25">
      <c r="B403" s="59"/>
      <c r="C403" s="60"/>
      <c r="D403" s="60"/>
      <c r="F403" s="60"/>
      <c r="G403" s="60"/>
      <c r="H403" s="62"/>
      <c r="I403" s="62" t="str">
        <f t="shared" si="6"/>
        <v/>
      </c>
    </row>
    <row r="404" spans="2:9" x14ac:dyDescent="0.25">
      <c r="B404" s="59"/>
      <c r="C404" s="60"/>
      <c r="D404" s="60"/>
      <c r="F404" s="60"/>
      <c r="G404" s="60"/>
      <c r="H404" s="62"/>
      <c r="I404" s="62" t="str">
        <f t="shared" si="6"/>
        <v/>
      </c>
    </row>
    <row r="405" spans="2:9" x14ac:dyDescent="0.25">
      <c r="B405" s="59"/>
      <c r="C405" s="60"/>
      <c r="D405" s="60"/>
      <c r="F405" s="60"/>
      <c r="G405" s="60"/>
      <c r="H405" s="62"/>
      <c r="I405" s="62" t="str">
        <f t="shared" si="6"/>
        <v/>
      </c>
    </row>
    <row r="406" spans="2:9" x14ac:dyDescent="0.25">
      <c r="B406" s="59"/>
      <c r="C406" s="60"/>
      <c r="D406" s="60"/>
      <c r="F406" s="60"/>
      <c r="G406" s="60"/>
      <c r="H406" s="62"/>
      <c r="I406" s="62" t="str">
        <f t="shared" si="6"/>
        <v/>
      </c>
    </row>
    <row r="407" spans="2:9" x14ac:dyDescent="0.25">
      <c r="B407" s="59"/>
      <c r="C407" s="60"/>
      <c r="D407" s="60"/>
      <c r="F407" s="60"/>
      <c r="G407" s="60"/>
      <c r="H407" s="62"/>
      <c r="I407" s="62" t="str">
        <f t="shared" si="6"/>
        <v/>
      </c>
    </row>
    <row r="408" spans="2:9" x14ac:dyDescent="0.25">
      <c r="B408" s="59"/>
      <c r="C408" s="60"/>
      <c r="D408" s="60"/>
      <c r="F408" s="60"/>
      <c r="G408" s="60"/>
      <c r="H408" s="62"/>
      <c r="I408" s="62" t="str">
        <f t="shared" si="6"/>
        <v/>
      </c>
    </row>
    <row r="409" spans="2:9" x14ac:dyDescent="0.25">
      <c r="B409" s="59"/>
      <c r="C409" s="60"/>
      <c r="D409" s="60"/>
      <c r="F409" s="60"/>
      <c r="G409" s="60"/>
      <c r="H409" s="62"/>
      <c r="I409" s="62" t="str">
        <f t="shared" si="6"/>
        <v/>
      </c>
    </row>
    <row r="410" spans="2:9" x14ac:dyDescent="0.25">
      <c r="B410" s="59"/>
      <c r="C410" s="60"/>
      <c r="D410" s="60"/>
      <c r="F410" s="60"/>
      <c r="G410" s="60"/>
      <c r="H410" s="62"/>
      <c r="I410" s="62" t="str">
        <f t="shared" si="6"/>
        <v/>
      </c>
    </row>
    <row r="411" spans="2:9" x14ac:dyDescent="0.25">
      <c r="B411" s="59"/>
      <c r="C411" s="60"/>
      <c r="D411" s="60"/>
      <c r="F411" s="60"/>
      <c r="G411" s="60"/>
      <c r="H411" s="62"/>
      <c r="I411" s="62" t="str">
        <f t="shared" si="6"/>
        <v/>
      </c>
    </row>
    <row r="412" spans="2:9" x14ac:dyDescent="0.25">
      <c r="B412" s="59"/>
      <c r="C412" s="60"/>
      <c r="D412" s="60"/>
      <c r="F412" s="60"/>
      <c r="G412" s="60"/>
      <c r="H412" s="62"/>
      <c r="I412" s="62" t="str">
        <f t="shared" si="6"/>
        <v/>
      </c>
    </row>
    <row r="413" spans="2:9" x14ac:dyDescent="0.25">
      <c r="B413" s="59"/>
      <c r="C413" s="60"/>
      <c r="D413" s="60"/>
      <c r="F413" s="60"/>
      <c r="G413" s="60"/>
      <c r="H413" s="62"/>
      <c r="I413" s="62" t="str">
        <f t="shared" si="6"/>
        <v/>
      </c>
    </row>
    <row r="414" spans="2:9" x14ac:dyDescent="0.25">
      <c r="B414" s="59"/>
      <c r="C414" s="60"/>
      <c r="D414" s="60"/>
      <c r="F414" s="60"/>
      <c r="G414" s="60"/>
      <c r="H414" s="62"/>
      <c r="I414" s="62" t="str">
        <f t="shared" si="6"/>
        <v/>
      </c>
    </row>
    <row r="415" spans="2:9" x14ac:dyDescent="0.25">
      <c r="B415" s="59"/>
      <c r="C415" s="60"/>
      <c r="D415" s="60"/>
      <c r="F415" s="60"/>
      <c r="G415" s="60"/>
      <c r="H415" s="62"/>
      <c r="I415" s="62" t="str">
        <f t="shared" si="6"/>
        <v/>
      </c>
    </row>
    <row r="416" spans="2:9" x14ac:dyDescent="0.25">
      <c r="B416" s="59"/>
      <c r="C416" s="60"/>
      <c r="D416" s="60"/>
      <c r="F416" s="60"/>
      <c r="G416" s="60"/>
      <c r="H416" s="62"/>
      <c r="I416" s="62" t="str">
        <f t="shared" si="6"/>
        <v/>
      </c>
    </row>
    <row r="417" spans="2:9" x14ac:dyDescent="0.25">
      <c r="B417" s="59"/>
      <c r="C417" s="60"/>
      <c r="D417" s="60"/>
      <c r="F417" s="60"/>
      <c r="G417" s="60"/>
      <c r="H417" s="62"/>
      <c r="I417" s="62" t="str">
        <f t="shared" si="6"/>
        <v/>
      </c>
    </row>
    <row r="418" spans="2:9" x14ac:dyDescent="0.25">
      <c r="B418" s="59"/>
      <c r="C418" s="60"/>
      <c r="D418" s="60"/>
      <c r="F418" s="60"/>
      <c r="G418" s="60"/>
      <c r="H418" s="62"/>
      <c r="I418" s="62" t="str">
        <f t="shared" si="6"/>
        <v/>
      </c>
    </row>
    <row r="419" spans="2:9" x14ac:dyDescent="0.25">
      <c r="B419" s="59"/>
      <c r="C419" s="60"/>
      <c r="D419" s="60"/>
      <c r="F419" s="60"/>
      <c r="G419" s="60"/>
      <c r="H419" s="62"/>
      <c r="I419" s="62" t="str">
        <f t="shared" si="6"/>
        <v/>
      </c>
    </row>
    <row r="420" spans="2:9" x14ac:dyDescent="0.25">
      <c r="B420" s="59"/>
      <c r="C420" s="60"/>
      <c r="D420" s="60"/>
      <c r="F420" s="60"/>
      <c r="G420" s="60"/>
      <c r="H420" s="62"/>
      <c r="I420" s="62" t="str">
        <f t="shared" si="6"/>
        <v/>
      </c>
    </row>
    <row r="421" spans="2:9" x14ac:dyDescent="0.25">
      <c r="B421" s="59"/>
      <c r="C421" s="60"/>
      <c r="D421" s="60"/>
      <c r="F421" s="60"/>
      <c r="G421" s="60"/>
      <c r="H421" s="62"/>
      <c r="I421" s="62" t="str">
        <f t="shared" si="6"/>
        <v/>
      </c>
    </row>
    <row r="422" spans="2:9" x14ac:dyDescent="0.25">
      <c r="B422" s="59"/>
      <c r="C422" s="60"/>
      <c r="D422" s="60"/>
      <c r="F422" s="60"/>
      <c r="G422" s="60"/>
      <c r="H422" s="62"/>
      <c r="I422" s="62" t="str">
        <f t="shared" si="6"/>
        <v/>
      </c>
    </row>
    <row r="423" spans="2:9" x14ac:dyDescent="0.25">
      <c r="B423" s="59"/>
      <c r="C423" s="60"/>
      <c r="D423" s="60"/>
      <c r="F423" s="60"/>
      <c r="G423" s="60"/>
      <c r="H423" s="62"/>
      <c r="I423" s="62" t="str">
        <f t="shared" si="6"/>
        <v/>
      </c>
    </row>
    <row r="424" spans="2:9" x14ac:dyDescent="0.25">
      <c r="B424" s="59"/>
      <c r="C424" s="60"/>
      <c r="D424" s="60"/>
      <c r="F424" s="60"/>
      <c r="G424" s="60"/>
      <c r="H424" s="62"/>
      <c r="I424" s="62" t="str">
        <f t="shared" si="6"/>
        <v/>
      </c>
    </row>
    <row r="425" spans="2:9" x14ac:dyDescent="0.25">
      <c r="B425" s="59"/>
      <c r="C425" s="60"/>
      <c r="D425" s="60"/>
      <c r="F425" s="60"/>
      <c r="G425" s="60"/>
      <c r="H425" s="62"/>
      <c r="I425" s="62" t="str">
        <f t="shared" si="6"/>
        <v/>
      </c>
    </row>
    <row r="426" spans="2:9" x14ac:dyDescent="0.25">
      <c r="B426" s="59"/>
      <c r="C426" s="60"/>
      <c r="D426" s="60"/>
      <c r="F426" s="60"/>
      <c r="G426" s="60"/>
      <c r="H426" s="62"/>
      <c r="I426" s="62" t="str">
        <f t="shared" si="6"/>
        <v/>
      </c>
    </row>
    <row r="427" spans="2:9" x14ac:dyDescent="0.25">
      <c r="B427" s="59"/>
      <c r="C427" s="60"/>
      <c r="D427" s="60"/>
      <c r="F427" s="60"/>
      <c r="G427" s="60"/>
      <c r="H427" s="62"/>
      <c r="I427" s="62" t="str">
        <f t="shared" si="6"/>
        <v/>
      </c>
    </row>
    <row r="428" spans="2:9" x14ac:dyDescent="0.25">
      <c r="B428" s="59"/>
      <c r="C428" s="60"/>
      <c r="D428" s="60"/>
      <c r="F428" s="60"/>
      <c r="G428" s="60"/>
      <c r="H428" s="62"/>
      <c r="I428" s="62" t="str">
        <f t="shared" si="6"/>
        <v/>
      </c>
    </row>
    <row r="429" spans="2:9" x14ac:dyDescent="0.25">
      <c r="B429" s="59"/>
      <c r="C429" s="60"/>
      <c r="D429" s="60"/>
      <c r="F429" s="60"/>
      <c r="G429" s="60"/>
      <c r="H429" s="62"/>
      <c r="I429" s="62" t="str">
        <f t="shared" si="6"/>
        <v/>
      </c>
    </row>
    <row r="430" spans="2:9" x14ac:dyDescent="0.25">
      <c r="B430" s="59"/>
      <c r="C430" s="60"/>
      <c r="D430" s="60"/>
      <c r="F430" s="60"/>
      <c r="G430" s="60"/>
      <c r="H430" s="62"/>
      <c r="I430" s="62" t="str">
        <f t="shared" si="6"/>
        <v/>
      </c>
    </row>
    <row r="431" spans="2:9" x14ac:dyDescent="0.25">
      <c r="B431" s="59"/>
      <c r="C431" s="60"/>
      <c r="D431" s="60"/>
      <c r="F431" s="60"/>
      <c r="G431" s="60"/>
      <c r="H431" s="62"/>
      <c r="I431" s="62" t="str">
        <f t="shared" si="6"/>
        <v/>
      </c>
    </row>
    <row r="432" spans="2:9" x14ac:dyDescent="0.25">
      <c r="B432" s="59"/>
      <c r="C432" s="60"/>
      <c r="D432" s="60"/>
      <c r="F432" s="60"/>
      <c r="G432" s="60"/>
      <c r="H432" s="62"/>
      <c r="I432" s="62" t="str">
        <f t="shared" si="6"/>
        <v/>
      </c>
    </row>
    <row r="433" spans="2:9" x14ac:dyDescent="0.25">
      <c r="B433" s="59"/>
      <c r="C433" s="60"/>
      <c r="D433" s="60"/>
      <c r="F433" s="60"/>
      <c r="G433" s="60"/>
      <c r="H433" s="62"/>
      <c r="I433" s="62" t="str">
        <f t="shared" si="6"/>
        <v/>
      </c>
    </row>
    <row r="434" spans="2:9" x14ac:dyDescent="0.25">
      <c r="B434" s="59"/>
      <c r="C434" s="60"/>
      <c r="D434" s="60"/>
      <c r="F434" s="60"/>
      <c r="G434" s="60"/>
      <c r="H434" s="62"/>
      <c r="I434" s="62" t="str">
        <f t="shared" si="6"/>
        <v/>
      </c>
    </row>
    <row r="435" spans="2:9" x14ac:dyDescent="0.25">
      <c r="B435" s="59"/>
      <c r="C435" s="60"/>
      <c r="D435" s="60"/>
      <c r="F435" s="60"/>
      <c r="G435" s="60"/>
      <c r="H435" s="62"/>
      <c r="I435" s="62" t="str">
        <f t="shared" si="6"/>
        <v/>
      </c>
    </row>
    <row r="436" spans="2:9" x14ac:dyDescent="0.25">
      <c r="B436" s="59"/>
      <c r="C436" s="60"/>
      <c r="D436" s="60"/>
      <c r="F436" s="60"/>
      <c r="G436" s="60"/>
      <c r="H436" s="62"/>
      <c r="I436" s="62" t="str">
        <f t="shared" si="6"/>
        <v/>
      </c>
    </row>
    <row r="437" spans="2:9" x14ac:dyDescent="0.25">
      <c r="B437" s="59"/>
      <c r="C437" s="60"/>
      <c r="D437" s="60"/>
      <c r="F437" s="60"/>
      <c r="G437" s="60"/>
      <c r="H437" s="62"/>
      <c r="I437" s="62" t="str">
        <f t="shared" si="6"/>
        <v/>
      </c>
    </row>
    <row r="438" spans="2:9" x14ac:dyDescent="0.25">
      <c r="B438" s="59"/>
      <c r="C438" s="60"/>
      <c r="D438" s="60"/>
      <c r="F438" s="60"/>
      <c r="G438" s="60"/>
      <c r="H438" s="62"/>
      <c r="I438" s="62" t="str">
        <f t="shared" si="6"/>
        <v/>
      </c>
    </row>
    <row r="439" spans="2:9" x14ac:dyDescent="0.25">
      <c r="B439" s="59"/>
      <c r="C439" s="60"/>
      <c r="D439" s="60"/>
      <c r="F439" s="60"/>
      <c r="G439" s="60"/>
      <c r="H439" s="62"/>
      <c r="I439" s="62" t="str">
        <f t="shared" si="6"/>
        <v/>
      </c>
    </row>
    <row r="440" spans="2:9" x14ac:dyDescent="0.25">
      <c r="B440" s="59"/>
      <c r="C440" s="60"/>
      <c r="D440" s="60"/>
      <c r="F440" s="60"/>
      <c r="G440" s="60"/>
      <c r="H440" s="62"/>
      <c r="I440" s="62" t="str">
        <f t="shared" si="6"/>
        <v/>
      </c>
    </row>
    <row r="441" spans="2:9" x14ac:dyDescent="0.25">
      <c r="B441" s="59"/>
      <c r="C441" s="60"/>
      <c r="D441" s="60"/>
      <c r="F441" s="60"/>
      <c r="G441" s="60"/>
      <c r="H441" s="62"/>
      <c r="I441" s="62" t="str">
        <f t="shared" si="6"/>
        <v/>
      </c>
    </row>
    <row r="442" spans="2:9" x14ac:dyDescent="0.25">
      <c r="B442" s="59"/>
      <c r="C442" s="60"/>
      <c r="D442" s="60"/>
      <c r="F442" s="60"/>
      <c r="G442" s="60"/>
      <c r="H442" s="62"/>
      <c r="I442" s="62" t="str">
        <f t="shared" si="6"/>
        <v/>
      </c>
    </row>
    <row r="443" spans="2:9" x14ac:dyDescent="0.25">
      <c r="B443" s="59"/>
      <c r="C443" s="60"/>
      <c r="D443" s="60"/>
      <c r="F443" s="60"/>
      <c r="G443" s="60"/>
      <c r="H443" s="62"/>
      <c r="I443" s="62" t="str">
        <f t="shared" si="6"/>
        <v/>
      </c>
    </row>
    <row r="444" spans="2:9" x14ac:dyDescent="0.25">
      <c r="B444" s="59"/>
      <c r="C444" s="60"/>
      <c r="D444" s="60"/>
      <c r="F444" s="60"/>
      <c r="G444" s="60"/>
      <c r="H444" s="62"/>
      <c r="I444" s="62" t="str">
        <f t="shared" si="6"/>
        <v/>
      </c>
    </row>
    <row r="445" spans="2:9" x14ac:dyDescent="0.25">
      <c r="B445" s="59"/>
      <c r="C445" s="60"/>
      <c r="D445" s="60"/>
      <c r="F445" s="60"/>
      <c r="G445" s="60"/>
      <c r="H445" s="62"/>
      <c r="I445" s="62" t="str">
        <f t="shared" si="6"/>
        <v/>
      </c>
    </row>
    <row r="446" spans="2:9" x14ac:dyDescent="0.25">
      <c r="B446" s="59"/>
      <c r="C446" s="60"/>
      <c r="D446" s="60"/>
      <c r="F446" s="60"/>
      <c r="G446" s="60"/>
      <c r="H446" s="62"/>
      <c r="I446" s="62" t="str">
        <f t="shared" si="6"/>
        <v/>
      </c>
    </row>
    <row r="447" spans="2:9" x14ac:dyDescent="0.25">
      <c r="B447" s="59"/>
      <c r="C447" s="60"/>
      <c r="D447" s="60"/>
      <c r="F447" s="60"/>
      <c r="G447" s="60"/>
      <c r="H447" s="62"/>
      <c r="I447" s="62" t="str">
        <f t="shared" si="6"/>
        <v/>
      </c>
    </row>
    <row r="448" spans="2:9" x14ac:dyDescent="0.25">
      <c r="B448" s="59"/>
      <c r="C448" s="60"/>
      <c r="D448" s="60"/>
      <c r="F448" s="60"/>
      <c r="G448" s="60"/>
      <c r="H448" s="62"/>
      <c r="I448" s="62" t="str">
        <f t="shared" si="6"/>
        <v/>
      </c>
    </row>
    <row r="449" spans="2:9" x14ac:dyDescent="0.25">
      <c r="B449" s="59"/>
      <c r="C449" s="60"/>
      <c r="D449" s="60"/>
      <c r="F449" s="60"/>
      <c r="G449" s="60"/>
      <c r="H449" s="62"/>
      <c r="I449" s="62" t="str">
        <f t="shared" si="6"/>
        <v/>
      </c>
    </row>
    <row r="450" spans="2:9" x14ac:dyDescent="0.25">
      <c r="B450" s="59"/>
      <c r="C450" s="60"/>
      <c r="D450" s="60"/>
      <c r="F450" s="60"/>
      <c r="G450" s="60"/>
      <c r="H450" s="62"/>
      <c r="I450" s="62" t="str">
        <f t="shared" si="6"/>
        <v/>
      </c>
    </row>
    <row r="451" spans="2:9" x14ac:dyDescent="0.25">
      <c r="B451" s="59"/>
      <c r="C451" s="60"/>
      <c r="D451" s="60"/>
      <c r="F451" s="60"/>
      <c r="G451" s="60"/>
      <c r="H451" s="62"/>
      <c r="I451" s="62" t="str">
        <f t="shared" si="6"/>
        <v/>
      </c>
    </row>
    <row r="452" spans="2:9" x14ac:dyDescent="0.25">
      <c r="B452" s="59"/>
      <c r="C452" s="60"/>
      <c r="D452" s="60"/>
      <c r="F452" s="60"/>
      <c r="G452" s="60"/>
      <c r="H452" s="62"/>
      <c r="I452" s="62" t="str">
        <f t="shared" si="6"/>
        <v/>
      </c>
    </row>
    <row r="453" spans="2:9" x14ac:dyDescent="0.25">
      <c r="B453" s="59"/>
      <c r="C453" s="60"/>
      <c r="D453" s="60"/>
      <c r="F453" s="60"/>
      <c r="G453" s="60"/>
      <c r="H453" s="62"/>
      <c r="I453" s="62" t="str">
        <f t="shared" ref="I453:I516" si="7">IF(H453&lt;&gt;"",H453-H452,"")</f>
        <v/>
      </c>
    </row>
    <row r="454" spans="2:9" x14ac:dyDescent="0.25">
      <c r="B454" s="59"/>
      <c r="C454" s="60"/>
      <c r="D454" s="60"/>
      <c r="F454" s="60"/>
      <c r="G454" s="60"/>
      <c r="H454" s="62"/>
      <c r="I454" s="62" t="str">
        <f t="shared" si="7"/>
        <v/>
      </c>
    </row>
    <row r="455" spans="2:9" x14ac:dyDescent="0.25">
      <c r="B455" s="59"/>
      <c r="C455" s="60"/>
      <c r="D455" s="60"/>
      <c r="F455" s="60"/>
      <c r="G455" s="60"/>
      <c r="H455" s="62"/>
      <c r="I455" s="62" t="str">
        <f t="shared" si="7"/>
        <v/>
      </c>
    </row>
    <row r="456" spans="2:9" x14ac:dyDescent="0.25">
      <c r="B456" s="59"/>
      <c r="C456" s="60"/>
      <c r="D456" s="60"/>
      <c r="F456" s="60"/>
      <c r="G456" s="60"/>
      <c r="H456" s="62"/>
      <c r="I456" s="62" t="str">
        <f t="shared" si="7"/>
        <v/>
      </c>
    </row>
    <row r="457" spans="2:9" x14ac:dyDescent="0.25">
      <c r="B457" s="59"/>
      <c r="C457" s="60"/>
      <c r="D457" s="60"/>
      <c r="F457" s="60"/>
      <c r="G457" s="60"/>
      <c r="H457" s="62"/>
      <c r="I457" s="62" t="str">
        <f t="shared" si="7"/>
        <v/>
      </c>
    </row>
    <row r="458" spans="2:9" x14ac:dyDescent="0.25">
      <c r="B458" s="59"/>
      <c r="C458" s="60"/>
      <c r="D458" s="60"/>
      <c r="F458" s="60"/>
      <c r="G458" s="60"/>
      <c r="H458" s="62"/>
      <c r="I458" s="62" t="str">
        <f t="shared" si="7"/>
        <v/>
      </c>
    </row>
    <row r="459" spans="2:9" x14ac:dyDescent="0.25">
      <c r="B459" s="59"/>
      <c r="C459" s="60"/>
      <c r="D459" s="60"/>
      <c r="F459" s="60"/>
      <c r="G459" s="60"/>
      <c r="H459" s="62"/>
      <c r="I459" s="62" t="str">
        <f t="shared" si="7"/>
        <v/>
      </c>
    </row>
    <row r="460" spans="2:9" x14ac:dyDescent="0.25">
      <c r="B460" s="59"/>
      <c r="C460" s="60"/>
      <c r="D460" s="60"/>
      <c r="F460" s="60"/>
      <c r="G460" s="60"/>
      <c r="H460" s="62"/>
      <c r="I460" s="62" t="str">
        <f t="shared" si="7"/>
        <v/>
      </c>
    </row>
    <row r="461" spans="2:9" x14ac:dyDescent="0.25">
      <c r="B461" s="59"/>
      <c r="C461" s="60"/>
      <c r="D461" s="60"/>
      <c r="F461" s="60"/>
      <c r="G461" s="60"/>
      <c r="H461" s="62"/>
      <c r="I461" s="62" t="str">
        <f t="shared" si="7"/>
        <v/>
      </c>
    </row>
    <row r="462" spans="2:9" x14ac:dyDescent="0.25">
      <c r="B462" s="59"/>
      <c r="C462" s="60"/>
      <c r="D462" s="60"/>
      <c r="F462" s="60"/>
      <c r="G462" s="60"/>
      <c r="H462" s="62"/>
      <c r="I462" s="62" t="str">
        <f t="shared" si="7"/>
        <v/>
      </c>
    </row>
    <row r="463" spans="2:9" x14ac:dyDescent="0.25">
      <c r="B463" s="59"/>
      <c r="C463" s="60"/>
      <c r="D463" s="60"/>
      <c r="F463" s="60"/>
      <c r="G463" s="60"/>
      <c r="H463" s="62"/>
      <c r="I463" s="62" t="str">
        <f t="shared" si="7"/>
        <v/>
      </c>
    </row>
    <row r="464" spans="2:9" x14ac:dyDescent="0.25">
      <c r="B464" s="59"/>
      <c r="C464" s="60"/>
      <c r="D464" s="60"/>
      <c r="F464" s="60"/>
      <c r="G464" s="60"/>
      <c r="H464" s="62"/>
      <c r="I464" s="62" t="str">
        <f t="shared" si="7"/>
        <v/>
      </c>
    </row>
    <row r="465" spans="2:9" x14ac:dyDescent="0.25">
      <c r="B465" s="59"/>
      <c r="C465" s="60"/>
      <c r="D465" s="60"/>
      <c r="F465" s="60"/>
      <c r="G465" s="60"/>
      <c r="H465" s="62"/>
      <c r="I465" s="62" t="str">
        <f t="shared" si="7"/>
        <v/>
      </c>
    </row>
    <row r="466" spans="2:9" x14ac:dyDescent="0.25">
      <c r="B466" s="59"/>
      <c r="C466" s="60"/>
      <c r="D466" s="60"/>
      <c r="F466" s="60"/>
      <c r="G466" s="60"/>
      <c r="H466" s="62"/>
      <c r="I466" s="62" t="str">
        <f t="shared" si="7"/>
        <v/>
      </c>
    </row>
    <row r="467" spans="2:9" x14ac:dyDescent="0.25">
      <c r="B467" s="59"/>
      <c r="C467" s="60"/>
      <c r="D467" s="60"/>
      <c r="F467" s="60"/>
      <c r="G467" s="60"/>
      <c r="H467" s="62"/>
      <c r="I467" s="62" t="str">
        <f t="shared" si="7"/>
        <v/>
      </c>
    </row>
    <row r="468" spans="2:9" x14ac:dyDescent="0.25">
      <c r="B468" s="59"/>
      <c r="C468" s="60"/>
      <c r="D468" s="60"/>
      <c r="F468" s="60"/>
      <c r="G468" s="60"/>
      <c r="H468" s="62"/>
      <c r="I468" s="62" t="str">
        <f t="shared" si="7"/>
        <v/>
      </c>
    </row>
    <row r="469" spans="2:9" x14ac:dyDescent="0.25">
      <c r="B469" s="59"/>
      <c r="C469" s="60"/>
      <c r="D469" s="60"/>
      <c r="F469" s="60"/>
      <c r="G469" s="60"/>
      <c r="H469" s="62"/>
      <c r="I469" s="62" t="str">
        <f t="shared" si="7"/>
        <v/>
      </c>
    </row>
    <row r="470" spans="2:9" x14ac:dyDescent="0.25">
      <c r="B470" s="59"/>
      <c r="C470" s="60"/>
      <c r="D470" s="60"/>
      <c r="F470" s="60"/>
      <c r="G470" s="60"/>
      <c r="H470" s="62"/>
      <c r="I470" s="62" t="str">
        <f t="shared" si="7"/>
        <v/>
      </c>
    </row>
    <row r="471" spans="2:9" x14ac:dyDescent="0.25">
      <c r="B471" s="59"/>
      <c r="C471" s="60"/>
      <c r="D471" s="60"/>
      <c r="F471" s="60"/>
      <c r="G471" s="60"/>
      <c r="H471" s="62"/>
      <c r="I471" s="62" t="str">
        <f t="shared" si="7"/>
        <v/>
      </c>
    </row>
    <row r="472" spans="2:9" x14ac:dyDescent="0.25">
      <c r="B472" s="59"/>
      <c r="C472" s="60"/>
      <c r="D472" s="60"/>
      <c r="F472" s="60"/>
      <c r="G472" s="60"/>
      <c r="H472" s="62"/>
      <c r="I472" s="62" t="str">
        <f t="shared" si="7"/>
        <v/>
      </c>
    </row>
    <row r="473" spans="2:9" x14ac:dyDescent="0.25">
      <c r="B473" s="59"/>
      <c r="C473" s="60"/>
      <c r="D473" s="60"/>
      <c r="F473" s="60"/>
      <c r="G473" s="60"/>
      <c r="H473" s="62"/>
      <c r="I473" s="62" t="str">
        <f t="shared" si="7"/>
        <v/>
      </c>
    </row>
    <row r="474" spans="2:9" x14ac:dyDescent="0.25">
      <c r="B474" s="59"/>
      <c r="C474" s="60"/>
      <c r="D474" s="60"/>
      <c r="F474" s="60"/>
      <c r="G474" s="60"/>
      <c r="H474" s="62"/>
      <c r="I474" s="62" t="str">
        <f t="shared" si="7"/>
        <v/>
      </c>
    </row>
    <row r="475" spans="2:9" x14ac:dyDescent="0.25">
      <c r="B475" s="59"/>
      <c r="C475" s="60"/>
      <c r="D475" s="60"/>
      <c r="F475" s="60"/>
      <c r="G475" s="60"/>
      <c r="H475" s="62"/>
      <c r="I475" s="62" t="str">
        <f t="shared" si="7"/>
        <v/>
      </c>
    </row>
    <row r="476" spans="2:9" x14ac:dyDescent="0.25">
      <c r="B476" s="59"/>
      <c r="C476" s="60"/>
      <c r="D476" s="60"/>
      <c r="F476" s="60"/>
      <c r="G476" s="60"/>
      <c r="H476" s="62"/>
      <c r="I476" s="62" t="str">
        <f t="shared" si="7"/>
        <v/>
      </c>
    </row>
    <row r="477" spans="2:9" x14ac:dyDescent="0.25">
      <c r="B477" s="59"/>
      <c r="C477" s="60"/>
      <c r="D477" s="60"/>
      <c r="F477" s="60"/>
      <c r="G477" s="60"/>
      <c r="H477" s="62"/>
      <c r="I477" s="62" t="str">
        <f t="shared" si="7"/>
        <v/>
      </c>
    </row>
    <row r="478" spans="2:9" x14ac:dyDescent="0.25">
      <c r="B478" s="59"/>
      <c r="C478" s="60"/>
      <c r="D478" s="60"/>
      <c r="F478" s="60"/>
      <c r="G478" s="60"/>
      <c r="H478" s="62"/>
      <c r="I478" s="62" t="str">
        <f t="shared" si="7"/>
        <v/>
      </c>
    </row>
    <row r="479" spans="2:9" x14ac:dyDescent="0.25">
      <c r="B479" s="59"/>
      <c r="C479" s="60"/>
      <c r="D479" s="60"/>
      <c r="F479" s="60"/>
      <c r="G479" s="60"/>
      <c r="H479" s="62"/>
      <c r="I479" s="62" t="str">
        <f t="shared" si="7"/>
        <v/>
      </c>
    </row>
    <row r="480" spans="2:9" x14ac:dyDescent="0.25">
      <c r="B480" s="59"/>
      <c r="C480" s="60"/>
      <c r="D480" s="60"/>
      <c r="F480" s="60"/>
      <c r="G480" s="60"/>
      <c r="H480" s="62"/>
      <c r="I480" s="62" t="str">
        <f t="shared" si="7"/>
        <v/>
      </c>
    </row>
    <row r="481" spans="2:9" x14ac:dyDescent="0.25">
      <c r="B481" s="59"/>
      <c r="C481" s="60"/>
      <c r="D481" s="60"/>
      <c r="F481" s="60"/>
      <c r="G481" s="60"/>
      <c r="H481" s="62"/>
      <c r="I481" s="62" t="str">
        <f t="shared" si="7"/>
        <v/>
      </c>
    </row>
    <row r="482" spans="2:9" x14ac:dyDescent="0.25">
      <c r="B482" s="59"/>
      <c r="C482" s="60"/>
      <c r="D482" s="60"/>
      <c r="F482" s="60"/>
      <c r="G482" s="60"/>
      <c r="H482" s="62"/>
      <c r="I482" s="62" t="str">
        <f t="shared" si="7"/>
        <v/>
      </c>
    </row>
    <row r="483" spans="2:9" x14ac:dyDescent="0.25">
      <c r="B483" s="59"/>
      <c r="C483" s="60"/>
      <c r="D483" s="60"/>
      <c r="F483" s="60"/>
      <c r="G483" s="60"/>
      <c r="H483" s="62"/>
      <c r="I483" s="62" t="str">
        <f t="shared" si="7"/>
        <v/>
      </c>
    </row>
    <row r="484" spans="2:9" x14ac:dyDescent="0.25">
      <c r="B484" s="59"/>
      <c r="C484" s="60"/>
      <c r="D484" s="60"/>
      <c r="F484" s="60"/>
      <c r="G484" s="60"/>
      <c r="H484" s="62"/>
      <c r="I484" s="62" t="str">
        <f t="shared" si="7"/>
        <v/>
      </c>
    </row>
    <row r="485" spans="2:9" x14ac:dyDescent="0.25">
      <c r="B485" s="59"/>
      <c r="C485" s="60"/>
      <c r="D485" s="60"/>
      <c r="F485" s="60"/>
      <c r="G485" s="60"/>
      <c r="H485" s="62"/>
      <c r="I485" s="62" t="str">
        <f t="shared" si="7"/>
        <v/>
      </c>
    </row>
    <row r="486" spans="2:9" x14ac:dyDescent="0.25">
      <c r="B486" s="59"/>
      <c r="C486" s="60"/>
      <c r="D486" s="60"/>
      <c r="F486" s="60"/>
      <c r="G486" s="60"/>
      <c r="H486" s="62"/>
      <c r="I486" s="62" t="str">
        <f t="shared" si="7"/>
        <v/>
      </c>
    </row>
    <row r="487" spans="2:9" x14ac:dyDescent="0.25">
      <c r="B487" s="59"/>
      <c r="C487" s="60"/>
      <c r="D487" s="60"/>
      <c r="F487" s="60"/>
      <c r="G487" s="60"/>
      <c r="H487" s="62"/>
      <c r="I487" s="62" t="str">
        <f t="shared" si="7"/>
        <v/>
      </c>
    </row>
    <row r="488" spans="2:9" x14ac:dyDescent="0.25">
      <c r="B488" s="59"/>
      <c r="C488" s="60"/>
      <c r="D488" s="60"/>
      <c r="F488" s="60"/>
      <c r="G488" s="60"/>
      <c r="H488" s="62"/>
      <c r="I488" s="62" t="str">
        <f t="shared" si="7"/>
        <v/>
      </c>
    </row>
    <row r="489" spans="2:9" x14ac:dyDescent="0.25">
      <c r="B489" s="59"/>
      <c r="C489" s="60"/>
      <c r="D489" s="60"/>
      <c r="F489" s="60"/>
      <c r="G489" s="60"/>
      <c r="H489" s="62"/>
      <c r="I489" s="62" t="str">
        <f t="shared" si="7"/>
        <v/>
      </c>
    </row>
    <row r="490" spans="2:9" x14ac:dyDescent="0.25">
      <c r="B490" s="59"/>
      <c r="C490" s="60"/>
      <c r="D490" s="60"/>
      <c r="F490" s="60"/>
      <c r="G490" s="60"/>
      <c r="H490" s="62"/>
      <c r="I490" s="62" t="str">
        <f t="shared" si="7"/>
        <v/>
      </c>
    </row>
    <row r="491" spans="2:9" x14ac:dyDescent="0.25">
      <c r="B491" s="59"/>
      <c r="C491" s="60"/>
      <c r="D491" s="60"/>
      <c r="F491" s="60"/>
      <c r="G491" s="60"/>
      <c r="H491" s="62"/>
      <c r="I491" s="62" t="str">
        <f t="shared" si="7"/>
        <v/>
      </c>
    </row>
    <row r="492" spans="2:9" x14ac:dyDescent="0.25">
      <c r="B492" s="59"/>
      <c r="C492" s="60"/>
      <c r="D492" s="60"/>
      <c r="F492" s="60"/>
      <c r="G492" s="60"/>
      <c r="H492" s="62"/>
      <c r="I492" s="62" t="str">
        <f t="shared" si="7"/>
        <v/>
      </c>
    </row>
    <row r="493" spans="2:9" x14ac:dyDescent="0.25">
      <c r="B493" s="59"/>
      <c r="C493" s="60"/>
      <c r="D493" s="60"/>
      <c r="F493" s="60"/>
      <c r="G493" s="60"/>
      <c r="H493" s="62"/>
      <c r="I493" s="62" t="str">
        <f t="shared" si="7"/>
        <v/>
      </c>
    </row>
    <row r="494" spans="2:9" x14ac:dyDescent="0.25">
      <c r="B494" s="59"/>
      <c r="C494" s="60"/>
      <c r="D494" s="60"/>
      <c r="F494" s="60"/>
      <c r="G494" s="60"/>
      <c r="H494" s="62"/>
      <c r="I494" s="62" t="str">
        <f t="shared" si="7"/>
        <v/>
      </c>
    </row>
    <row r="495" spans="2:9" x14ac:dyDescent="0.25">
      <c r="B495" s="59"/>
      <c r="C495" s="60"/>
      <c r="D495" s="60"/>
      <c r="F495" s="60"/>
      <c r="G495" s="60"/>
      <c r="H495" s="62"/>
      <c r="I495" s="62" t="str">
        <f t="shared" si="7"/>
        <v/>
      </c>
    </row>
    <row r="496" spans="2:9" x14ac:dyDescent="0.25">
      <c r="B496" s="59"/>
      <c r="C496" s="60"/>
      <c r="D496" s="60"/>
      <c r="F496" s="60"/>
      <c r="G496" s="60"/>
      <c r="H496" s="62"/>
      <c r="I496" s="62" t="str">
        <f t="shared" si="7"/>
        <v/>
      </c>
    </row>
    <row r="497" spans="2:9" x14ac:dyDescent="0.25">
      <c r="B497" s="59"/>
      <c r="C497" s="60"/>
      <c r="D497" s="60"/>
      <c r="F497" s="60"/>
      <c r="G497" s="60"/>
      <c r="H497" s="62"/>
      <c r="I497" s="62" t="str">
        <f t="shared" si="7"/>
        <v/>
      </c>
    </row>
    <row r="498" spans="2:9" x14ac:dyDescent="0.25">
      <c r="B498" s="59"/>
      <c r="C498" s="60"/>
      <c r="D498" s="60"/>
      <c r="F498" s="60"/>
      <c r="G498" s="60"/>
      <c r="H498" s="62"/>
      <c r="I498" s="62" t="str">
        <f t="shared" si="7"/>
        <v/>
      </c>
    </row>
    <row r="499" spans="2:9" x14ac:dyDescent="0.25">
      <c r="B499" s="59"/>
      <c r="C499" s="60"/>
      <c r="D499" s="60"/>
      <c r="F499" s="60"/>
      <c r="G499" s="60"/>
      <c r="H499" s="62"/>
      <c r="I499" s="62" t="str">
        <f t="shared" si="7"/>
        <v/>
      </c>
    </row>
    <row r="500" spans="2:9" x14ac:dyDescent="0.25">
      <c r="B500" s="59"/>
      <c r="C500" s="60"/>
      <c r="D500" s="60"/>
      <c r="F500" s="60"/>
      <c r="G500" s="60"/>
      <c r="H500" s="62"/>
      <c r="I500" s="62" t="str">
        <f t="shared" si="7"/>
        <v/>
      </c>
    </row>
    <row r="501" spans="2:9" x14ac:dyDescent="0.25">
      <c r="B501" s="59"/>
      <c r="C501" s="60"/>
      <c r="D501" s="60"/>
      <c r="F501" s="60"/>
      <c r="G501" s="60"/>
      <c r="H501" s="62"/>
      <c r="I501" s="62" t="str">
        <f t="shared" si="7"/>
        <v/>
      </c>
    </row>
    <row r="502" spans="2:9" x14ac:dyDescent="0.25">
      <c r="B502" s="59"/>
      <c r="C502" s="60"/>
      <c r="D502" s="60"/>
      <c r="F502" s="60"/>
      <c r="G502" s="60"/>
      <c r="H502" s="62"/>
      <c r="I502" s="62" t="str">
        <f t="shared" si="7"/>
        <v/>
      </c>
    </row>
    <row r="503" spans="2:9" x14ac:dyDescent="0.25">
      <c r="B503" s="59"/>
      <c r="C503" s="60"/>
      <c r="D503" s="60"/>
      <c r="F503" s="60"/>
      <c r="G503" s="60"/>
      <c r="H503" s="62"/>
      <c r="I503" s="62" t="str">
        <f t="shared" si="7"/>
        <v/>
      </c>
    </row>
    <row r="504" spans="2:9" x14ac:dyDescent="0.25">
      <c r="B504" s="59"/>
      <c r="C504" s="60"/>
      <c r="D504" s="60"/>
      <c r="F504" s="60"/>
      <c r="G504" s="60"/>
      <c r="H504" s="62"/>
      <c r="I504" s="62" t="str">
        <f t="shared" si="7"/>
        <v/>
      </c>
    </row>
    <row r="505" spans="2:9" x14ac:dyDescent="0.25">
      <c r="B505" s="59"/>
      <c r="C505" s="60"/>
      <c r="D505" s="60"/>
      <c r="F505" s="60"/>
      <c r="G505" s="60"/>
      <c r="H505" s="62"/>
      <c r="I505" s="62" t="str">
        <f t="shared" si="7"/>
        <v/>
      </c>
    </row>
    <row r="506" spans="2:9" x14ac:dyDescent="0.25">
      <c r="B506" s="59"/>
      <c r="C506" s="60"/>
      <c r="D506" s="60"/>
      <c r="F506" s="60"/>
      <c r="G506" s="60"/>
      <c r="H506" s="62"/>
      <c r="I506" s="62" t="str">
        <f t="shared" si="7"/>
        <v/>
      </c>
    </row>
    <row r="507" spans="2:9" x14ac:dyDescent="0.25">
      <c r="B507" s="59"/>
      <c r="C507" s="60"/>
      <c r="D507" s="60"/>
      <c r="F507" s="60"/>
      <c r="G507" s="60"/>
      <c r="H507" s="62"/>
      <c r="I507" s="62" t="str">
        <f t="shared" si="7"/>
        <v/>
      </c>
    </row>
    <row r="508" spans="2:9" x14ac:dyDescent="0.25">
      <c r="B508" s="59"/>
      <c r="C508" s="60"/>
      <c r="D508" s="60"/>
      <c r="F508" s="60"/>
      <c r="G508" s="60"/>
      <c r="H508" s="62"/>
      <c r="I508" s="62" t="str">
        <f t="shared" si="7"/>
        <v/>
      </c>
    </row>
    <row r="509" spans="2:9" x14ac:dyDescent="0.25">
      <c r="B509" s="59"/>
      <c r="C509" s="60"/>
      <c r="D509" s="60"/>
      <c r="F509" s="60"/>
      <c r="G509" s="60"/>
      <c r="H509" s="62"/>
      <c r="I509" s="62" t="str">
        <f t="shared" si="7"/>
        <v/>
      </c>
    </row>
    <row r="510" spans="2:9" x14ac:dyDescent="0.25">
      <c r="B510" s="59"/>
      <c r="C510" s="60"/>
      <c r="D510" s="60"/>
      <c r="F510" s="60"/>
      <c r="G510" s="60"/>
      <c r="H510" s="62"/>
      <c r="I510" s="62" t="str">
        <f t="shared" si="7"/>
        <v/>
      </c>
    </row>
    <row r="511" spans="2:9" x14ac:dyDescent="0.25">
      <c r="B511" s="59"/>
      <c r="C511" s="60"/>
      <c r="D511" s="60"/>
      <c r="F511" s="60"/>
      <c r="G511" s="60"/>
      <c r="H511" s="62"/>
      <c r="I511" s="62" t="str">
        <f t="shared" si="7"/>
        <v/>
      </c>
    </row>
    <row r="512" spans="2:9" x14ac:dyDescent="0.25">
      <c r="B512" s="59"/>
      <c r="C512" s="60"/>
      <c r="D512" s="60"/>
      <c r="F512" s="60"/>
      <c r="G512" s="60"/>
      <c r="H512" s="62"/>
      <c r="I512" s="62" t="str">
        <f t="shared" si="7"/>
        <v/>
      </c>
    </row>
    <row r="513" spans="2:9" x14ac:dyDescent="0.25">
      <c r="B513" s="59"/>
      <c r="C513" s="60"/>
      <c r="D513" s="60"/>
      <c r="F513" s="60"/>
      <c r="G513" s="60"/>
      <c r="H513" s="62"/>
      <c r="I513" s="62" t="str">
        <f t="shared" si="7"/>
        <v/>
      </c>
    </row>
    <row r="514" spans="2:9" x14ac:dyDescent="0.25">
      <c r="B514" s="59"/>
      <c r="C514" s="60"/>
      <c r="D514" s="60"/>
      <c r="F514" s="60"/>
      <c r="G514" s="60"/>
      <c r="H514" s="62"/>
      <c r="I514" s="62" t="str">
        <f t="shared" si="7"/>
        <v/>
      </c>
    </row>
    <row r="515" spans="2:9" x14ac:dyDescent="0.25">
      <c r="B515" s="59"/>
      <c r="C515" s="60"/>
      <c r="D515" s="60"/>
      <c r="F515" s="60"/>
      <c r="G515" s="60"/>
      <c r="H515" s="62"/>
      <c r="I515" s="62" t="str">
        <f t="shared" si="7"/>
        <v/>
      </c>
    </row>
    <row r="516" spans="2:9" x14ac:dyDescent="0.25">
      <c r="B516" s="59"/>
      <c r="C516" s="60"/>
      <c r="D516" s="60"/>
      <c r="F516" s="60"/>
      <c r="G516" s="60"/>
      <c r="H516" s="62"/>
      <c r="I516" s="62" t="str">
        <f t="shared" si="7"/>
        <v/>
      </c>
    </row>
    <row r="517" spans="2:9" x14ac:dyDescent="0.25">
      <c r="B517" s="59"/>
      <c r="C517" s="60"/>
      <c r="D517" s="60"/>
      <c r="F517" s="60"/>
      <c r="G517" s="60"/>
      <c r="H517" s="62"/>
      <c r="I517" s="62" t="str">
        <f t="shared" ref="I517:I580" si="8">IF(H517&lt;&gt;"",H517-H516,"")</f>
        <v/>
      </c>
    </row>
    <row r="518" spans="2:9" x14ac:dyDescent="0.25">
      <c r="B518" s="59"/>
      <c r="C518" s="60"/>
      <c r="D518" s="60"/>
      <c r="F518" s="60"/>
      <c r="G518" s="60"/>
      <c r="H518" s="62"/>
      <c r="I518" s="62" t="str">
        <f t="shared" si="8"/>
        <v/>
      </c>
    </row>
    <row r="519" spans="2:9" x14ac:dyDescent="0.25">
      <c r="B519" s="59"/>
      <c r="C519" s="60"/>
      <c r="D519" s="60"/>
      <c r="F519" s="60"/>
      <c r="G519" s="60"/>
      <c r="H519" s="62"/>
      <c r="I519" s="62" t="str">
        <f t="shared" si="8"/>
        <v/>
      </c>
    </row>
    <row r="520" spans="2:9" x14ac:dyDescent="0.25">
      <c r="B520" s="59"/>
      <c r="C520" s="60"/>
      <c r="D520" s="60"/>
      <c r="F520" s="60"/>
      <c r="G520" s="60"/>
      <c r="H520" s="62"/>
      <c r="I520" s="62" t="str">
        <f t="shared" si="8"/>
        <v/>
      </c>
    </row>
    <row r="521" spans="2:9" x14ac:dyDescent="0.25">
      <c r="B521" s="59"/>
      <c r="C521" s="60"/>
      <c r="D521" s="60"/>
      <c r="F521" s="60"/>
      <c r="G521" s="60"/>
      <c r="H521" s="62"/>
      <c r="I521" s="62" t="str">
        <f t="shared" si="8"/>
        <v/>
      </c>
    </row>
    <row r="522" spans="2:9" x14ac:dyDescent="0.25">
      <c r="B522" s="59"/>
      <c r="C522" s="60"/>
      <c r="D522" s="60"/>
      <c r="F522" s="60"/>
      <c r="G522" s="60"/>
      <c r="H522" s="62"/>
      <c r="I522" s="62" t="str">
        <f t="shared" si="8"/>
        <v/>
      </c>
    </row>
    <row r="523" spans="2:9" x14ac:dyDescent="0.25">
      <c r="B523" s="59"/>
      <c r="C523" s="60"/>
      <c r="D523" s="60"/>
      <c r="F523" s="60"/>
      <c r="G523" s="60"/>
      <c r="H523" s="62"/>
      <c r="I523" s="62" t="str">
        <f t="shared" si="8"/>
        <v/>
      </c>
    </row>
    <row r="524" spans="2:9" x14ac:dyDescent="0.25">
      <c r="B524" s="59"/>
      <c r="C524" s="60"/>
      <c r="D524" s="60"/>
      <c r="F524" s="60"/>
      <c r="G524" s="60"/>
      <c r="H524" s="62"/>
      <c r="I524" s="62" t="str">
        <f t="shared" si="8"/>
        <v/>
      </c>
    </row>
    <row r="525" spans="2:9" x14ac:dyDescent="0.25">
      <c r="B525" s="59"/>
      <c r="C525" s="60"/>
      <c r="D525" s="60"/>
      <c r="F525" s="60"/>
      <c r="G525" s="60"/>
      <c r="H525" s="62"/>
      <c r="I525" s="62" t="str">
        <f t="shared" si="8"/>
        <v/>
      </c>
    </row>
    <row r="526" spans="2:9" x14ac:dyDescent="0.25">
      <c r="B526" s="59"/>
      <c r="C526" s="60"/>
      <c r="D526" s="60"/>
      <c r="F526" s="60"/>
      <c r="G526" s="60"/>
      <c r="H526" s="62"/>
      <c r="I526" s="62" t="str">
        <f t="shared" si="8"/>
        <v/>
      </c>
    </row>
    <row r="527" spans="2:9" x14ac:dyDescent="0.25">
      <c r="B527" s="59"/>
      <c r="C527" s="60"/>
      <c r="D527" s="60"/>
      <c r="F527" s="60"/>
      <c r="G527" s="60"/>
      <c r="H527" s="62"/>
      <c r="I527" s="62" t="str">
        <f t="shared" si="8"/>
        <v/>
      </c>
    </row>
    <row r="528" spans="2:9" x14ac:dyDescent="0.25">
      <c r="B528" s="59"/>
      <c r="C528" s="60"/>
      <c r="D528" s="60"/>
      <c r="F528" s="60"/>
      <c r="G528" s="60"/>
      <c r="H528" s="62"/>
      <c r="I528" s="62" t="str">
        <f t="shared" si="8"/>
        <v/>
      </c>
    </row>
    <row r="529" spans="2:9" x14ac:dyDescent="0.25">
      <c r="B529" s="59"/>
      <c r="C529" s="60"/>
      <c r="D529" s="60"/>
      <c r="F529" s="60"/>
      <c r="G529" s="60"/>
      <c r="H529" s="62"/>
      <c r="I529" s="62" t="str">
        <f t="shared" si="8"/>
        <v/>
      </c>
    </row>
    <row r="530" spans="2:9" x14ac:dyDescent="0.25">
      <c r="B530" s="59"/>
      <c r="C530" s="60"/>
      <c r="D530" s="60"/>
      <c r="F530" s="60"/>
      <c r="G530" s="60"/>
      <c r="H530" s="62"/>
      <c r="I530" s="62" t="str">
        <f t="shared" si="8"/>
        <v/>
      </c>
    </row>
    <row r="531" spans="2:9" x14ac:dyDescent="0.25">
      <c r="B531" s="59"/>
      <c r="C531" s="60"/>
      <c r="D531" s="60"/>
      <c r="F531" s="60"/>
      <c r="G531" s="60"/>
      <c r="H531" s="62"/>
      <c r="I531" s="62" t="str">
        <f t="shared" si="8"/>
        <v/>
      </c>
    </row>
    <row r="532" spans="2:9" x14ac:dyDescent="0.25">
      <c r="B532" s="59"/>
      <c r="C532" s="60"/>
      <c r="D532" s="60"/>
      <c r="F532" s="60"/>
      <c r="G532" s="60"/>
      <c r="H532" s="62"/>
      <c r="I532" s="62" t="str">
        <f t="shared" si="8"/>
        <v/>
      </c>
    </row>
    <row r="533" spans="2:9" x14ac:dyDescent="0.25">
      <c r="B533" s="59"/>
      <c r="C533" s="60"/>
      <c r="D533" s="60"/>
      <c r="F533" s="60"/>
      <c r="G533" s="60"/>
      <c r="H533" s="62"/>
      <c r="I533" s="62" t="str">
        <f t="shared" si="8"/>
        <v/>
      </c>
    </row>
    <row r="534" spans="2:9" x14ac:dyDescent="0.25">
      <c r="B534" s="59"/>
      <c r="C534" s="60"/>
      <c r="D534" s="60"/>
      <c r="F534" s="60"/>
      <c r="G534" s="60"/>
      <c r="H534" s="62"/>
      <c r="I534" s="62" t="str">
        <f t="shared" si="8"/>
        <v/>
      </c>
    </row>
    <row r="535" spans="2:9" x14ac:dyDescent="0.25">
      <c r="B535" s="59"/>
      <c r="C535" s="60"/>
      <c r="D535" s="60"/>
      <c r="F535" s="60"/>
      <c r="G535" s="60"/>
      <c r="H535" s="62"/>
      <c r="I535" s="62" t="str">
        <f t="shared" si="8"/>
        <v/>
      </c>
    </row>
    <row r="536" spans="2:9" x14ac:dyDescent="0.25">
      <c r="B536" s="59"/>
      <c r="C536" s="60"/>
      <c r="D536" s="60"/>
      <c r="F536" s="60"/>
      <c r="G536" s="60"/>
      <c r="H536" s="62"/>
      <c r="I536" s="62" t="str">
        <f t="shared" si="8"/>
        <v/>
      </c>
    </row>
    <row r="537" spans="2:9" x14ac:dyDescent="0.25">
      <c r="B537" s="59"/>
      <c r="C537" s="60"/>
      <c r="D537" s="60"/>
      <c r="F537" s="60"/>
      <c r="G537" s="60"/>
      <c r="H537" s="62"/>
      <c r="I537" s="62" t="str">
        <f t="shared" si="8"/>
        <v/>
      </c>
    </row>
    <row r="538" spans="2:9" x14ac:dyDescent="0.25">
      <c r="B538" s="59"/>
      <c r="C538" s="60"/>
      <c r="D538" s="60"/>
      <c r="F538" s="60"/>
      <c r="G538" s="60"/>
      <c r="H538" s="62"/>
      <c r="I538" s="62" t="str">
        <f t="shared" si="8"/>
        <v/>
      </c>
    </row>
    <row r="539" spans="2:9" x14ac:dyDescent="0.25">
      <c r="B539" s="59"/>
      <c r="C539" s="60"/>
      <c r="D539" s="60"/>
      <c r="F539" s="60"/>
      <c r="G539" s="60"/>
      <c r="H539" s="62"/>
      <c r="I539" s="62" t="str">
        <f t="shared" si="8"/>
        <v/>
      </c>
    </row>
    <row r="540" spans="2:9" x14ac:dyDescent="0.25">
      <c r="B540" s="59"/>
      <c r="C540" s="60"/>
      <c r="D540" s="60"/>
      <c r="F540" s="60"/>
      <c r="G540" s="60"/>
      <c r="H540" s="62"/>
      <c r="I540" s="62" t="str">
        <f t="shared" si="8"/>
        <v/>
      </c>
    </row>
    <row r="541" spans="2:9" x14ac:dyDescent="0.25">
      <c r="B541" s="59"/>
      <c r="C541" s="60"/>
      <c r="D541" s="60"/>
      <c r="F541" s="60"/>
      <c r="G541" s="60"/>
      <c r="H541" s="62"/>
      <c r="I541" s="62" t="str">
        <f t="shared" si="8"/>
        <v/>
      </c>
    </row>
    <row r="542" spans="2:9" x14ac:dyDescent="0.25">
      <c r="B542" s="59"/>
      <c r="C542" s="60"/>
      <c r="D542" s="60"/>
      <c r="F542" s="60"/>
      <c r="G542" s="60"/>
      <c r="H542" s="62"/>
      <c r="I542" s="62" t="str">
        <f t="shared" si="8"/>
        <v/>
      </c>
    </row>
    <row r="543" spans="2:9" x14ac:dyDescent="0.25">
      <c r="B543" s="59"/>
      <c r="C543" s="60"/>
      <c r="D543" s="60"/>
      <c r="F543" s="60"/>
      <c r="G543" s="60"/>
      <c r="H543" s="62"/>
      <c r="I543" s="62" t="str">
        <f t="shared" si="8"/>
        <v/>
      </c>
    </row>
    <row r="544" spans="2:9" x14ac:dyDescent="0.25">
      <c r="B544" s="59"/>
      <c r="C544" s="60"/>
      <c r="D544" s="60"/>
      <c r="F544" s="60"/>
      <c r="G544" s="60"/>
      <c r="H544" s="62"/>
      <c r="I544" s="62" t="str">
        <f t="shared" si="8"/>
        <v/>
      </c>
    </row>
    <row r="545" spans="2:9" x14ac:dyDescent="0.25">
      <c r="B545" s="59"/>
      <c r="C545" s="60"/>
      <c r="D545" s="60"/>
      <c r="F545" s="60"/>
      <c r="G545" s="60"/>
      <c r="H545" s="62"/>
      <c r="I545" s="62" t="str">
        <f t="shared" si="8"/>
        <v/>
      </c>
    </row>
    <row r="546" spans="2:9" x14ac:dyDescent="0.25">
      <c r="B546" s="59"/>
      <c r="C546" s="60"/>
      <c r="D546" s="60"/>
      <c r="F546" s="60"/>
      <c r="G546" s="60"/>
      <c r="H546" s="62"/>
      <c r="I546" s="62" t="str">
        <f t="shared" si="8"/>
        <v/>
      </c>
    </row>
    <row r="547" spans="2:9" x14ac:dyDescent="0.25">
      <c r="B547" s="59"/>
      <c r="C547" s="60"/>
      <c r="D547" s="60"/>
      <c r="F547" s="60"/>
      <c r="G547" s="60"/>
      <c r="H547" s="62"/>
      <c r="I547" s="62" t="str">
        <f t="shared" si="8"/>
        <v/>
      </c>
    </row>
    <row r="548" spans="2:9" x14ac:dyDescent="0.25">
      <c r="B548" s="59"/>
      <c r="C548" s="60"/>
      <c r="D548" s="60"/>
      <c r="F548" s="60"/>
      <c r="G548" s="60"/>
      <c r="H548" s="62"/>
      <c r="I548" s="62" t="str">
        <f t="shared" si="8"/>
        <v/>
      </c>
    </row>
    <row r="549" spans="2:9" x14ac:dyDescent="0.25">
      <c r="B549" s="59"/>
      <c r="C549" s="60"/>
      <c r="D549" s="60"/>
      <c r="F549" s="60"/>
      <c r="G549" s="60"/>
      <c r="H549" s="62"/>
      <c r="I549" s="62" t="str">
        <f t="shared" si="8"/>
        <v/>
      </c>
    </row>
    <row r="550" spans="2:9" x14ac:dyDescent="0.25">
      <c r="B550" s="59"/>
      <c r="C550" s="60"/>
      <c r="D550" s="60"/>
      <c r="F550" s="60"/>
      <c r="G550" s="60"/>
      <c r="H550" s="62"/>
      <c r="I550" s="62" t="str">
        <f t="shared" si="8"/>
        <v/>
      </c>
    </row>
    <row r="551" spans="2:9" x14ac:dyDescent="0.25">
      <c r="B551" s="59"/>
      <c r="C551" s="60"/>
      <c r="D551" s="60"/>
      <c r="F551" s="60"/>
      <c r="G551" s="60"/>
      <c r="H551" s="62"/>
      <c r="I551" s="62" t="str">
        <f t="shared" si="8"/>
        <v/>
      </c>
    </row>
    <row r="552" spans="2:9" x14ac:dyDescent="0.25">
      <c r="B552" s="59"/>
      <c r="C552" s="60"/>
      <c r="D552" s="60"/>
      <c r="F552" s="60"/>
      <c r="G552" s="60"/>
      <c r="H552" s="62"/>
      <c r="I552" s="62" t="str">
        <f t="shared" si="8"/>
        <v/>
      </c>
    </row>
    <row r="553" spans="2:9" x14ac:dyDescent="0.25">
      <c r="B553" s="59"/>
      <c r="C553" s="60"/>
      <c r="D553" s="60"/>
      <c r="F553" s="60"/>
      <c r="G553" s="60"/>
      <c r="H553" s="62"/>
      <c r="I553" s="62" t="str">
        <f t="shared" si="8"/>
        <v/>
      </c>
    </row>
    <row r="554" spans="2:9" x14ac:dyDescent="0.25">
      <c r="B554" s="59"/>
      <c r="C554" s="60"/>
      <c r="D554" s="60"/>
      <c r="F554" s="60"/>
      <c r="G554" s="60"/>
      <c r="H554" s="62"/>
      <c r="I554" s="62" t="str">
        <f t="shared" si="8"/>
        <v/>
      </c>
    </row>
    <row r="555" spans="2:9" x14ac:dyDescent="0.25">
      <c r="B555" s="59"/>
      <c r="C555" s="60"/>
      <c r="D555" s="60"/>
      <c r="F555" s="60"/>
      <c r="G555" s="60"/>
      <c r="H555" s="62"/>
      <c r="I555" s="62" t="str">
        <f t="shared" si="8"/>
        <v/>
      </c>
    </row>
    <row r="556" spans="2:9" x14ac:dyDescent="0.25">
      <c r="B556" s="59"/>
      <c r="C556" s="60"/>
      <c r="D556" s="60"/>
      <c r="F556" s="60"/>
      <c r="G556" s="60"/>
      <c r="H556" s="62"/>
      <c r="I556" s="62" t="str">
        <f t="shared" si="8"/>
        <v/>
      </c>
    </row>
    <row r="557" spans="2:9" x14ac:dyDescent="0.25">
      <c r="B557" s="59"/>
      <c r="C557" s="60"/>
      <c r="D557" s="60"/>
      <c r="F557" s="60"/>
      <c r="G557" s="60"/>
      <c r="H557" s="62"/>
      <c r="I557" s="62" t="str">
        <f t="shared" si="8"/>
        <v/>
      </c>
    </row>
    <row r="558" spans="2:9" x14ac:dyDescent="0.25">
      <c r="B558" s="59"/>
      <c r="C558" s="60"/>
      <c r="D558" s="60"/>
      <c r="F558" s="60"/>
      <c r="G558" s="60"/>
      <c r="H558" s="62"/>
      <c r="I558" s="62" t="str">
        <f t="shared" si="8"/>
        <v/>
      </c>
    </row>
    <row r="559" spans="2:9" x14ac:dyDescent="0.25">
      <c r="B559" s="59"/>
      <c r="C559" s="60"/>
      <c r="D559" s="60"/>
      <c r="F559" s="60"/>
      <c r="G559" s="60"/>
      <c r="H559" s="62"/>
      <c r="I559" s="62" t="str">
        <f t="shared" si="8"/>
        <v/>
      </c>
    </row>
    <row r="560" spans="2:9" x14ac:dyDescent="0.25">
      <c r="B560" s="59"/>
      <c r="C560" s="60"/>
      <c r="D560" s="60"/>
      <c r="F560" s="60"/>
      <c r="G560" s="60"/>
      <c r="H560" s="62"/>
      <c r="I560" s="62" t="str">
        <f t="shared" si="8"/>
        <v/>
      </c>
    </row>
    <row r="561" spans="2:9" x14ac:dyDescent="0.25">
      <c r="B561" s="59"/>
      <c r="C561" s="60"/>
      <c r="D561" s="60"/>
      <c r="F561" s="60"/>
      <c r="G561" s="60"/>
      <c r="H561" s="62"/>
      <c r="I561" s="62" t="str">
        <f t="shared" si="8"/>
        <v/>
      </c>
    </row>
    <row r="562" spans="2:9" x14ac:dyDescent="0.25">
      <c r="B562" s="59"/>
      <c r="C562" s="60"/>
      <c r="D562" s="60"/>
      <c r="F562" s="60"/>
      <c r="G562" s="60"/>
      <c r="H562" s="62"/>
      <c r="I562" s="62" t="str">
        <f t="shared" si="8"/>
        <v/>
      </c>
    </row>
    <row r="563" spans="2:9" x14ac:dyDescent="0.25">
      <c r="B563" s="59"/>
      <c r="C563" s="60"/>
      <c r="D563" s="60"/>
      <c r="F563" s="60"/>
      <c r="G563" s="60"/>
      <c r="H563" s="62"/>
      <c r="I563" s="62" t="str">
        <f t="shared" si="8"/>
        <v/>
      </c>
    </row>
    <row r="564" spans="2:9" x14ac:dyDescent="0.25">
      <c r="B564" s="59"/>
      <c r="C564" s="60"/>
      <c r="D564" s="60"/>
      <c r="F564" s="60"/>
      <c r="G564" s="60"/>
      <c r="H564" s="62"/>
      <c r="I564" s="62" t="str">
        <f t="shared" si="8"/>
        <v/>
      </c>
    </row>
    <row r="565" spans="2:9" x14ac:dyDescent="0.25">
      <c r="B565" s="59"/>
      <c r="C565" s="60"/>
      <c r="D565" s="60"/>
      <c r="F565" s="60"/>
      <c r="G565" s="60"/>
      <c r="H565" s="62"/>
      <c r="I565" s="62" t="str">
        <f t="shared" si="8"/>
        <v/>
      </c>
    </row>
    <row r="566" spans="2:9" x14ac:dyDescent="0.25">
      <c r="B566" s="59"/>
      <c r="C566" s="60"/>
      <c r="D566" s="60"/>
      <c r="F566" s="60"/>
      <c r="G566" s="60"/>
      <c r="H566" s="62"/>
      <c r="I566" s="62" t="str">
        <f t="shared" si="8"/>
        <v/>
      </c>
    </row>
    <row r="567" spans="2:9" x14ac:dyDescent="0.25">
      <c r="B567" s="59"/>
      <c r="C567" s="60"/>
      <c r="D567" s="60"/>
      <c r="F567" s="60"/>
      <c r="G567" s="60"/>
      <c r="H567" s="62"/>
      <c r="I567" s="62" t="str">
        <f t="shared" si="8"/>
        <v/>
      </c>
    </row>
    <row r="568" spans="2:9" x14ac:dyDescent="0.25">
      <c r="B568" s="59"/>
      <c r="C568" s="60"/>
      <c r="D568" s="60"/>
      <c r="F568" s="60"/>
      <c r="G568" s="60"/>
      <c r="H568" s="62"/>
      <c r="I568" s="62" t="str">
        <f t="shared" si="8"/>
        <v/>
      </c>
    </row>
    <row r="569" spans="2:9" x14ac:dyDescent="0.25">
      <c r="B569" s="59"/>
      <c r="C569" s="60"/>
      <c r="D569" s="60"/>
      <c r="F569" s="60"/>
      <c r="G569" s="60"/>
      <c r="H569" s="62"/>
      <c r="I569" s="62" t="str">
        <f t="shared" si="8"/>
        <v/>
      </c>
    </row>
    <row r="570" spans="2:9" x14ac:dyDescent="0.25">
      <c r="B570" s="59"/>
      <c r="C570" s="60"/>
      <c r="D570" s="60"/>
      <c r="F570" s="60"/>
      <c r="G570" s="60"/>
      <c r="H570" s="62"/>
      <c r="I570" s="62" t="str">
        <f t="shared" si="8"/>
        <v/>
      </c>
    </row>
    <row r="571" spans="2:9" x14ac:dyDescent="0.25">
      <c r="B571" s="59"/>
      <c r="C571" s="60"/>
      <c r="D571" s="60"/>
      <c r="F571" s="60"/>
      <c r="G571" s="60"/>
      <c r="H571" s="62"/>
      <c r="I571" s="62" t="str">
        <f t="shared" si="8"/>
        <v/>
      </c>
    </row>
    <row r="572" spans="2:9" x14ac:dyDescent="0.25">
      <c r="B572" s="59"/>
      <c r="C572" s="60"/>
      <c r="D572" s="60"/>
      <c r="F572" s="60"/>
      <c r="G572" s="60"/>
      <c r="H572" s="62"/>
      <c r="I572" s="62" t="str">
        <f t="shared" si="8"/>
        <v/>
      </c>
    </row>
    <row r="573" spans="2:9" x14ac:dyDescent="0.25">
      <c r="B573" s="59"/>
      <c r="C573" s="60"/>
      <c r="D573" s="60"/>
      <c r="F573" s="60"/>
      <c r="G573" s="60"/>
      <c r="H573" s="62"/>
      <c r="I573" s="62" t="str">
        <f t="shared" si="8"/>
        <v/>
      </c>
    </row>
    <row r="574" spans="2:9" x14ac:dyDescent="0.25">
      <c r="B574" s="59"/>
      <c r="C574" s="60"/>
      <c r="D574" s="60"/>
      <c r="F574" s="60"/>
      <c r="G574" s="60"/>
      <c r="H574" s="62"/>
      <c r="I574" s="62" t="str">
        <f t="shared" si="8"/>
        <v/>
      </c>
    </row>
    <row r="575" spans="2:9" x14ac:dyDescent="0.25">
      <c r="B575" s="59"/>
      <c r="C575" s="60"/>
      <c r="D575" s="60"/>
      <c r="F575" s="60"/>
      <c r="G575" s="60"/>
      <c r="H575" s="62"/>
      <c r="I575" s="62" t="str">
        <f t="shared" si="8"/>
        <v/>
      </c>
    </row>
    <row r="576" spans="2:9" x14ac:dyDescent="0.25">
      <c r="B576" s="59"/>
      <c r="C576" s="60"/>
      <c r="D576" s="60"/>
      <c r="F576" s="60"/>
      <c r="G576" s="60"/>
      <c r="H576" s="62"/>
      <c r="I576" s="62" t="str">
        <f t="shared" si="8"/>
        <v/>
      </c>
    </row>
    <row r="577" spans="2:9" x14ac:dyDescent="0.25">
      <c r="B577" s="59"/>
      <c r="C577" s="60"/>
      <c r="D577" s="60"/>
      <c r="F577" s="60"/>
      <c r="G577" s="60"/>
      <c r="H577" s="62"/>
      <c r="I577" s="62" t="str">
        <f t="shared" si="8"/>
        <v/>
      </c>
    </row>
    <row r="578" spans="2:9" x14ac:dyDescent="0.25">
      <c r="B578" s="59"/>
      <c r="C578" s="60"/>
      <c r="D578" s="60"/>
      <c r="F578" s="60"/>
      <c r="G578" s="60"/>
      <c r="H578" s="62"/>
      <c r="I578" s="62" t="str">
        <f t="shared" si="8"/>
        <v/>
      </c>
    </row>
    <row r="579" spans="2:9" x14ac:dyDescent="0.25">
      <c r="B579" s="59"/>
      <c r="C579" s="60"/>
      <c r="D579" s="60"/>
      <c r="F579" s="60"/>
      <c r="G579" s="60"/>
      <c r="H579" s="62"/>
      <c r="I579" s="62" t="str">
        <f t="shared" si="8"/>
        <v/>
      </c>
    </row>
    <row r="580" spans="2:9" x14ac:dyDescent="0.25">
      <c r="B580" s="59"/>
      <c r="C580" s="60"/>
      <c r="D580" s="60"/>
      <c r="F580" s="60"/>
      <c r="G580" s="60"/>
      <c r="H580" s="62"/>
      <c r="I580" s="62" t="str">
        <f t="shared" si="8"/>
        <v/>
      </c>
    </row>
    <row r="581" spans="2:9" x14ac:dyDescent="0.25">
      <c r="B581" s="59"/>
      <c r="C581" s="60"/>
      <c r="D581" s="60"/>
      <c r="F581" s="60"/>
      <c r="G581" s="60"/>
      <c r="H581" s="62"/>
      <c r="I581" s="62" t="str">
        <f t="shared" ref="I581:I644" si="9">IF(H581&lt;&gt;"",H581-H580,"")</f>
        <v/>
      </c>
    </row>
    <row r="582" spans="2:9" x14ac:dyDescent="0.25">
      <c r="B582" s="59"/>
      <c r="C582" s="60"/>
      <c r="D582" s="60"/>
      <c r="F582" s="60"/>
      <c r="G582" s="60"/>
      <c r="H582" s="62"/>
      <c r="I582" s="62" t="str">
        <f t="shared" si="9"/>
        <v/>
      </c>
    </row>
    <row r="583" spans="2:9" x14ac:dyDescent="0.25">
      <c r="B583" s="59"/>
      <c r="C583" s="60"/>
      <c r="D583" s="60"/>
      <c r="F583" s="60"/>
      <c r="G583" s="60"/>
      <c r="H583" s="62"/>
      <c r="I583" s="62" t="str">
        <f t="shared" si="9"/>
        <v/>
      </c>
    </row>
    <row r="584" spans="2:9" x14ac:dyDescent="0.25">
      <c r="B584" s="59"/>
      <c r="C584" s="60"/>
      <c r="D584" s="60"/>
      <c r="F584" s="60"/>
      <c r="G584" s="60"/>
      <c r="H584" s="62"/>
      <c r="I584" s="62" t="str">
        <f t="shared" si="9"/>
        <v/>
      </c>
    </row>
    <row r="585" spans="2:9" x14ac:dyDescent="0.25">
      <c r="B585" s="59"/>
      <c r="C585" s="60"/>
      <c r="D585" s="60"/>
      <c r="F585" s="60"/>
      <c r="G585" s="60"/>
      <c r="H585" s="62"/>
      <c r="I585" s="62" t="str">
        <f t="shared" si="9"/>
        <v/>
      </c>
    </row>
    <row r="586" spans="2:9" x14ac:dyDescent="0.25">
      <c r="B586" s="59"/>
      <c r="C586" s="60"/>
      <c r="D586" s="60"/>
      <c r="F586" s="60"/>
      <c r="G586" s="60"/>
      <c r="H586" s="62"/>
      <c r="I586" s="62" t="str">
        <f t="shared" si="9"/>
        <v/>
      </c>
    </row>
    <row r="587" spans="2:9" x14ac:dyDescent="0.25">
      <c r="B587" s="59"/>
      <c r="C587" s="60"/>
      <c r="D587" s="60"/>
      <c r="F587" s="60"/>
      <c r="G587" s="60"/>
      <c r="H587" s="62"/>
      <c r="I587" s="62" t="str">
        <f t="shared" si="9"/>
        <v/>
      </c>
    </row>
    <row r="588" spans="2:9" x14ac:dyDescent="0.25">
      <c r="B588" s="59"/>
      <c r="C588" s="60"/>
      <c r="D588" s="60"/>
      <c r="F588" s="60"/>
      <c r="G588" s="60"/>
      <c r="H588" s="62"/>
      <c r="I588" s="62" t="str">
        <f t="shared" si="9"/>
        <v/>
      </c>
    </row>
    <row r="589" spans="2:9" x14ac:dyDescent="0.25">
      <c r="B589" s="59"/>
      <c r="C589" s="60"/>
      <c r="D589" s="60"/>
      <c r="F589" s="60"/>
      <c r="G589" s="60"/>
      <c r="H589" s="62"/>
      <c r="I589" s="62" t="str">
        <f t="shared" si="9"/>
        <v/>
      </c>
    </row>
    <row r="590" spans="2:9" x14ac:dyDescent="0.25">
      <c r="B590" s="59"/>
      <c r="C590" s="60"/>
      <c r="D590" s="60"/>
      <c r="F590" s="60"/>
      <c r="G590" s="60"/>
      <c r="H590" s="62"/>
      <c r="I590" s="62" t="str">
        <f t="shared" si="9"/>
        <v/>
      </c>
    </row>
    <row r="591" spans="2:9" x14ac:dyDescent="0.25">
      <c r="B591" s="59"/>
      <c r="C591" s="60"/>
      <c r="D591" s="60"/>
      <c r="F591" s="60"/>
      <c r="G591" s="60"/>
      <c r="H591" s="62"/>
      <c r="I591" s="62" t="str">
        <f t="shared" si="9"/>
        <v/>
      </c>
    </row>
    <row r="592" spans="2:9" x14ac:dyDescent="0.25">
      <c r="B592" s="59"/>
      <c r="C592" s="60"/>
      <c r="D592" s="60"/>
      <c r="F592" s="60"/>
      <c r="G592" s="60"/>
      <c r="H592" s="62"/>
      <c r="I592" s="62" t="str">
        <f t="shared" si="9"/>
        <v/>
      </c>
    </row>
    <row r="593" spans="2:9" x14ac:dyDescent="0.25">
      <c r="B593" s="59"/>
      <c r="C593" s="60"/>
      <c r="D593" s="60"/>
      <c r="F593" s="60"/>
      <c r="G593" s="60"/>
      <c r="H593" s="62"/>
      <c r="I593" s="62" t="str">
        <f t="shared" si="9"/>
        <v/>
      </c>
    </row>
    <row r="594" spans="2:9" x14ac:dyDescent="0.25">
      <c r="B594" s="59"/>
      <c r="C594" s="60"/>
      <c r="D594" s="60"/>
      <c r="F594" s="60"/>
      <c r="G594" s="60"/>
      <c r="H594" s="62"/>
      <c r="I594" s="62" t="str">
        <f t="shared" si="9"/>
        <v/>
      </c>
    </row>
    <row r="595" spans="2:9" x14ac:dyDescent="0.25">
      <c r="B595" s="59"/>
      <c r="C595" s="60"/>
      <c r="D595" s="60"/>
      <c r="F595" s="60"/>
      <c r="G595" s="60"/>
      <c r="H595" s="62"/>
      <c r="I595" s="62" t="str">
        <f t="shared" si="9"/>
        <v/>
      </c>
    </row>
    <row r="596" spans="2:9" x14ac:dyDescent="0.25">
      <c r="B596" s="59"/>
      <c r="C596" s="60"/>
      <c r="D596" s="60"/>
      <c r="F596" s="60"/>
      <c r="G596" s="60"/>
      <c r="H596" s="62"/>
      <c r="I596" s="62" t="str">
        <f t="shared" si="9"/>
        <v/>
      </c>
    </row>
    <row r="597" spans="2:9" x14ac:dyDescent="0.25">
      <c r="B597" s="59"/>
      <c r="C597" s="60"/>
      <c r="D597" s="60"/>
      <c r="F597" s="60"/>
      <c r="G597" s="60"/>
      <c r="H597" s="62"/>
      <c r="I597" s="62" t="str">
        <f t="shared" si="9"/>
        <v/>
      </c>
    </row>
    <row r="598" spans="2:9" x14ac:dyDescent="0.25">
      <c r="B598" s="59"/>
      <c r="C598" s="60"/>
      <c r="D598" s="60"/>
      <c r="F598" s="60"/>
      <c r="G598" s="60"/>
      <c r="H598" s="62"/>
      <c r="I598" s="62" t="str">
        <f t="shared" si="9"/>
        <v/>
      </c>
    </row>
    <row r="599" spans="2:9" x14ac:dyDescent="0.25">
      <c r="B599" s="59"/>
      <c r="C599" s="60"/>
      <c r="D599" s="60"/>
      <c r="F599" s="60"/>
      <c r="G599" s="60"/>
      <c r="H599" s="62"/>
      <c r="I599" s="62" t="str">
        <f t="shared" si="9"/>
        <v/>
      </c>
    </row>
    <row r="600" spans="2:9" x14ac:dyDescent="0.25">
      <c r="B600" s="59"/>
      <c r="C600" s="60"/>
      <c r="D600" s="60"/>
      <c r="F600" s="60"/>
      <c r="G600" s="60"/>
      <c r="H600" s="62"/>
      <c r="I600" s="62" t="str">
        <f t="shared" si="9"/>
        <v/>
      </c>
    </row>
    <row r="601" spans="2:9" x14ac:dyDescent="0.25">
      <c r="B601" s="59"/>
      <c r="C601" s="60"/>
      <c r="D601" s="60"/>
      <c r="F601" s="60"/>
      <c r="G601" s="60"/>
      <c r="H601" s="62"/>
      <c r="I601" s="62" t="str">
        <f t="shared" si="9"/>
        <v/>
      </c>
    </row>
    <row r="602" spans="2:9" x14ac:dyDescent="0.25">
      <c r="B602" s="59"/>
      <c r="C602" s="60"/>
      <c r="D602" s="60"/>
      <c r="F602" s="60"/>
      <c r="G602" s="60"/>
      <c r="H602" s="62"/>
      <c r="I602" s="62" t="str">
        <f t="shared" si="9"/>
        <v/>
      </c>
    </row>
    <row r="603" spans="2:9" x14ac:dyDescent="0.25">
      <c r="B603" s="59"/>
      <c r="C603" s="60"/>
      <c r="D603" s="60"/>
      <c r="F603" s="60"/>
      <c r="G603" s="60"/>
      <c r="H603" s="62"/>
      <c r="I603" s="62" t="str">
        <f t="shared" si="9"/>
        <v/>
      </c>
    </row>
    <row r="604" spans="2:9" x14ac:dyDescent="0.25">
      <c r="B604" s="59"/>
      <c r="C604" s="60"/>
      <c r="D604" s="60"/>
      <c r="F604" s="60"/>
      <c r="G604" s="60"/>
      <c r="H604" s="62"/>
      <c r="I604" s="62" t="str">
        <f t="shared" si="9"/>
        <v/>
      </c>
    </row>
    <row r="605" spans="2:9" x14ac:dyDescent="0.25">
      <c r="B605" s="59"/>
      <c r="C605" s="60"/>
      <c r="D605" s="60"/>
      <c r="F605" s="60"/>
      <c r="G605" s="60"/>
      <c r="H605" s="62"/>
      <c r="I605" s="62" t="str">
        <f t="shared" si="9"/>
        <v/>
      </c>
    </row>
    <row r="606" spans="2:9" x14ac:dyDescent="0.25">
      <c r="B606" s="59"/>
      <c r="C606" s="60"/>
      <c r="D606" s="60"/>
      <c r="F606" s="60"/>
      <c r="G606" s="60"/>
      <c r="H606" s="62"/>
      <c r="I606" s="62" t="str">
        <f t="shared" si="9"/>
        <v/>
      </c>
    </row>
    <row r="607" spans="2:9" x14ac:dyDescent="0.25">
      <c r="B607" s="59"/>
      <c r="C607" s="60"/>
      <c r="D607" s="60"/>
      <c r="F607" s="60"/>
      <c r="G607" s="60"/>
      <c r="H607" s="62"/>
      <c r="I607" s="62" t="str">
        <f t="shared" si="9"/>
        <v/>
      </c>
    </row>
    <row r="608" spans="2:9" x14ac:dyDescent="0.25">
      <c r="B608" s="59"/>
      <c r="C608" s="60"/>
      <c r="D608" s="60"/>
      <c r="F608" s="60"/>
      <c r="G608" s="60"/>
      <c r="H608" s="62"/>
      <c r="I608" s="62" t="str">
        <f t="shared" si="9"/>
        <v/>
      </c>
    </row>
    <row r="609" spans="2:9" x14ac:dyDescent="0.25">
      <c r="B609" s="59"/>
      <c r="C609" s="60"/>
      <c r="D609" s="60"/>
      <c r="F609" s="60"/>
      <c r="G609" s="60"/>
      <c r="H609" s="62"/>
      <c r="I609" s="62" t="str">
        <f t="shared" si="9"/>
        <v/>
      </c>
    </row>
    <row r="610" spans="2:9" x14ac:dyDescent="0.25">
      <c r="B610" s="59"/>
      <c r="C610" s="60"/>
      <c r="D610" s="60"/>
      <c r="F610" s="60"/>
      <c r="G610" s="60"/>
      <c r="H610" s="62"/>
      <c r="I610" s="62" t="str">
        <f t="shared" si="9"/>
        <v/>
      </c>
    </row>
    <row r="611" spans="2:9" x14ac:dyDescent="0.25">
      <c r="B611" s="59"/>
      <c r="C611" s="60"/>
      <c r="D611" s="60"/>
      <c r="F611" s="60"/>
      <c r="G611" s="60"/>
      <c r="H611" s="62"/>
      <c r="I611" s="62" t="str">
        <f t="shared" si="9"/>
        <v/>
      </c>
    </row>
    <row r="612" spans="2:9" x14ac:dyDescent="0.25">
      <c r="B612" s="59"/>
      <c r="C612" s="60"/>
      <c r="D612" s="60"/>
      <c r="F612" s="60"/>
      <c r="G612" s="60"/>
      <c r="H612" s="62"/>
      <c r="I612" s="62" t="str">
        <f t="shared" si="9"/>
        <v/>
      </c>
    </row>
    <row r="613" spans="2:9" x14ac:dyDescent="0.25">
      <c r="B613" s="59"/>
      <c r="C613" s="60"/>
      <c r="D613" s="60"/>
      <c r="F613" s="60"/>
      <c r="G613" s="60"/>
      <c r="H613" s="62"/>
      <c r="I613" s="62" t="str">
        <f t="shared" si="9"/>
        <v/>
      </c>
    </row>
    <row r="614" spans="2:9" x14ac:dyDescent="0.25">
      <c r="B614" s="59"/>
      <c r="C614" s="60"/>
      <c r="D614" s="60"/>
      <c r="F614" s="60"/>
      <c r="G614" s="60"/>
      <c r="H614" s="62"/>
      <c r="I614" s="62" t="str">
        <f t="shared" si="9"/>
        <v/>
      </c>
    </row>
    <row r="615" spans="2:9" x14ac:dyDescent="0.25">
      <c r="B615" s="59"/>
      <c r="C615" s="60"/>
      <c r="D615" s="60"/>
      <c r="F615" s="60"/>
      <c r="G615" s="60"/>
      <c r="H615" s="62"/>
      <c r="I615" s="62" t="str">
        <f t="shared" si="9"/>
        <v/>
      </c>
    </row>
    <row r="616" spans="2:9" x14ac:dyDescent="0.25">
      <c r="B616" s="59"/>
      <c r="C616" s="60"/>
      <c r="D616" s="60"/>
      <c r="F616" s="60"/>
      <c r="G616" s="60"/>
      <c r="H616" s="62"/>
      <c r="I616" s="62" t="str">
        <f t="shared" si="9"/>
        <v/>
      </c>
    </row>
    <row r="617" spans="2:9" x14ac:dyDescent="0.25">
      <c r="B617" s="59"/>
      <c r="C617" s="60"/>
      <c r="D617" s="60"/>
      <c r="F617" s="60"/>
      <c r="G617" s="60"/>
      <c r="H617" s="62"/>
      <c r="I617" s="62" t="str">
        <f t="shared" si="9"/>
        <v/>
      </c>
    </row>
    <row r="618" spans="2:9" x14ac:dyDescent="0.25">
      <c r="B618" s="59"/>
      <c r="C618" s="60"/>
      <c r="D618" s="60"/>
      <c r="F618" s="60"/>
      <c r="G618" s="60"/>
      <c r="H618" s="62"/>
      <c r="I618" s="62" t="str">
        <f t="shared" si="9"/>
        <v/>
      </c>
    </row>
    <row r="619" spans="2:9" x14ac:dyDescent="0.25">
      <c r="B619" s="59"/>
      <c r="C619" s="60"/>
      <c r="D619" s="60"/>
      <c r="F619" s="60"/>
      <c r="G619" s="60"/>
      <c r="H619" s="62"/>
      <c r="I619" s="62" t="str">
        <f t="shared" si="9"/>
        <v/>
      </c>
    </row>
    <row r="620" spans="2:9" x14ac:dyDescent="0.25">
      <c r="B620" s="59"/>
      <c r="C620" s="60"/>
      <c r="D620" s="60"/>
      <c r="F620" s="60"/>
      <c r="G620" s="60"/>
      <c r="H620" s="62"/>
      <c r="I620" s="62" t="str">
        <f t="shared" si="9"/>
        <v/>
      </c>
    </row>
    <row r="621" spans="2:9" x14ac:dyDescent="0.25">
      <c r="B621" s="59"/>
      <c r="C621" s="60"/>
      <c r="D621" s="60"/>
      <c r="F621" s="60"/>
      <c r="G621" s="60"/>
      <c r="H621" s="62"/>
      <c r="I621" s="62" t="str">
        <f t="shared" si="9"/>
        <v/>
      </c>
    </row>
    <row r="622" spans="2:9" x14ac:dyDescent="0.25">
      <c r="B622" s="59"/>
      <c r="C622" s="60"/>
      <c r="D622" s="60"/>
      <c r="F622" s="60"/>
      <c r="G622" s="60"/>
      <c r="H622" s="62"/>
      <c r="I622" s="62" t="str">
        <f t="shared" si="9"/>
        <v/>
      </c>
    </row>
    <row r="623" spans="2:9" x14ac:dyDescent="0.25">
      <c r="B623" s="59"/>
      <c r="C623" s="60"/>
      <c r="D623" s="60"/>
      <c r="F623" s="60"/>
      <c r="G623" s="60"/>
      <c r="H623" s="62"/>
      <c r="I623" s="62" t="str">
        <f t="shared" si="9"/>
        <v/>
      </c>
    </row>
    <row r="624" spans="2:9" x14ac:dyDescent="0.25">
      <c r="B624" s="59"/>
      <c r="C624" s="60"/>
      <c r="D624" s="60"/>
      <c r="F624" s="60"/>
      <c r="G624" s="60"/>
      <c r="H624" s="62"/>
      <c r="I624" s="62" t="str">
        <f t="shared" si="9"/>
        <v/>
      </c>
    </row>
    <row r="625" spans="2:9" x14ac:dyDescent="0.25">
      <c r="B625" s="59"/>
      <c r="C625" s="60"/>
      <c r="D625" s="60"/>
      <c r="F625" s="60"/>
      <c r="G625" s="60"/>
      <c r="H625" s="62"/>
      <c r="I625" s="62" t="str">
        <f t="shared" si="9"/>
        <v/>
      </c>
    </row>
    <row r="626" spans="2:9" x14ac:dyDescent="0.25">
      <c r="B626" s="59"/>
      <c r="C626" s="60"/>
      <c r="D626" s="60"/>
      <c r="F626" s="60"/>
      <c r="G626" s="60"/>
      <c r="H626" s="62"/>
      <c r="I626" s="62" t="str">
        <f t="shared" si="9"/>
        <v/>
      </c>
    </row>
    <row r="627" spans="2:9" x14ac:dyDescent="0.25">
      <c r="B627" s="59"/>
      <c r="C627" s="60"/>
      <c r="D627" s="60"/>
      <c r="F627" s="60"/>
      <c r="G627" s="60"/>
      <c r="H627" s="62"/>
      <c r="I627" s="62" t="str">
        <f t="shared" si="9"/>
        <v/>
      </c>
    </row>
    <row r="628" spans="2:9" x14ac:dyDescent="0.25">
      <c r="B628" s="59"/>
      <c r="C628" s="60"/>
      <c r="D628" s="60"/>
      <c r="F628" s="60"/>
      <c r="G628" s="60"/>
      <c r="H628" s="62"/>
      <c r="I628" s="62" t="str">
        <f t="shared" si="9"/>
        <v/>
      </c>
    </row>
    <row r="629" spans="2:9" x14ac:dyDescent="0.25">
      <c r="B629" s="59"/>
      <c r="C629" s="60"/>
      <c r="D629" s="60"/>
      <c r="F629" s="60"/>
      <c r="G629" s="60"/>
      <c r="H629" s="62"/>
      <c r="I629" s="62" t="str">
        <f t="shared" si="9"/>
        <v/>
      </c>
    </row>
    <row r="630" spans="2:9" x14ac:dyDescent="0.25">
      <c r="B630" s="59"/>
      <c r="C630" s="60"/>
      <c r="D630" s="60"/>
      <c r="F630" s="60"/>
      <c r="G630" s="60"/>
      <c r="H630" s="62"/>
      <c r="I630" s="62" t="str">
        <f t="shared" si="9"/>
        <v/>
      </c>
    </row>
    <row r="631" spans="2:9" x14ac:dyDescent="0.25">
      <c r="B631" s="59"/>
      <c r="C631" s="60"/>
      <c r="D631" s="60"/>
      <c r="F631" s="60"/>
      <c r="G631" s="60"/>
      <c r="H631" s="62"/>
      <c r="I631" s="62" t="str">
        <f t="shared" si="9"/>
        <v/>
      </c>
    </row>
    <row r="632" spans="2:9" x14ac:dyDescent="0.25">
      <c r="B632" s="59"/>
      <c r="C632" s="60"/>
      <c r="D632" s="60"/>
      <c r="F632" s="60"/>
      <c r="G632" s="60"/>
      <c r="H632" s="62"/>
      <c r="I632" s="62" t="str">
        <f t="shared" si="9"/>
        <v/>
      </c>
    </row>
    <row r="633" spans="2:9" x14ac:dyDescent="0.25">
      <c r="B633" s="59"/>
      <c r="C633" s="60"/>
      <c r="D633" s="60"/>
      <c r="F633" s="60"/>
      <c r="G633" s="60"/>
      <c r="H633" s="62"/>
      <c r="I633" s="62" t="str">
        <f t="shared" si="9"/>
        <v/>
      </c>
    </row>
    <row r="634" spans="2:9" x14ac:dyDescent="0.25">
      <c r="B634" s="59"/>
      <c r="C634" s="60"/>
      <c r="D634" s="60"/>
      <c r="F634" s="60"/>
      <c r="G634" s="60"/>
      <c r="H634" s="62"/>
      <c r="I634" s="62" t="str">
        <f t="shared" si="9"/>
        <v/>
      </c>
    </row>
    <row r="635" spans="2:9" x14ac:dyDescent="0.25">
      <c r="B635" s="59"/>
      <c r="C635" s="60"/>
      <c r="D635" s="60"/>
      <c r="F635" s="60"/>
      <c r="G635" s="60"/>
      <c r="H635" s="62"/>
      <c r="I635" s="62" t="str">
        <f t="shared" si="9"/>
        <v/>
      </c>
    </row>
    <row r="636" spans="2:9" x14ac:dyDescent="0.25">
      <c r="B636" s="59"/>
      <c r="C636" s="60"/>
      <c r="D636" s="60"/>
      <c r="F636" s="60"/>
      <c r="G636" s="60"/>
      <c r="H636" s="62"/>
      <c r="I636" s="62" t="str">
        <f t="shared" si="9"/>
        <v/>
      </c>
    </row>
    <row r="637" spans="2:9" x14ac:dyDescent="0.25">
      <c r="B637" s="59"/>
      <c r="C637" s="60"/>
      <c r="D637" s="60"/>
      <c r="F637" s="60"/>
      <c r="G637" s="60"/>
      <c r="H637" s="62"/>
      <c r="I637" s="62" t="str">
        <f t="shared" si="9"/>
        <v/>
      </c>
    </row>
    <row r="638" spans="2:9" x14ac:dyDescent="0.25">
      <c r="B638" s="59"/>
      <c r="C638" s="60"/>
      <c r="D638" s="60"/>
      <c r="F638" s="60"/>
      <c r="G638" s="60"/>
      <c r="H638" s="62"/>
      <c r="I638" s="62" t="str">
        <f t="shared" si="9"/>
        <v/>
      </c>
    </row>
    <row r="639" spans="2:9" x14ac:dyDescent="0.25">
      <c r="B639" s="59"/>
      <c r="C639" s="60"/>
      <c r="D639" s="60"/>
      <c r="F639" s="60"/>
      <c r="G639" s="60"/>
      <c r="H639" s="62"/>
      <c r="I639" s="62" t="str">
        <f t="shared" si="9"/>
        <v/>
      </c>
    </row>
    <row r="640" spans="2:9" x14ac:dyDescent="0.25">
      <c r="B640" s="59"/>
      <c r="C640" s="60"/>
      <c r="D640" s="60"/>
      <c r="F640" s="60"/>
      <c r="G640" s="60"/>
      <c r="H640" s="62"/>
      <c r="I640" s="62" t="str">
        <f t="shared" si="9"/>
        <v/>
      </c>
    </row>
    <row r="641" spans="2:9" x14ac:dyDescent="0.25">
      <c r="B641" s="59"/>
      <c r="C641" s="60"/>
      <c r="D641" s="60"/>
      <c r="F641" s="60"/>
      <c r="G641" s="60"/>
      <c r="H641" s="62"/>
      <c r="I641" s="62" t="str">
        <f t="shared" si="9"/>
        <v/>
      </c>
    </row>
    <row r="642" spans="2:9" x14ac:dyDescent="0.25">
      <c r="B642" s="59"/>
      <c r="C642" s="60"/>
      <c r="D642" s="60"/>
      <c r="F642" s="60"/>
      <c r="G642" s="60"/>
      <c r="H642" s="62"/>
      <c r="I642" s="62" t="str">
        <f t="shared" si="9"/>
        <v/>
      </c>
    </row>
    <row r="643" spans="2:9" x14ac:dyDescent="0.25">
      <c r="B643" s="59"/>
      <c r="C643" s="60"/>
      <c r="D643" s="60"/>
      <c r="F643" s="60"/>
      <c r="G643" s="60"/>
      <c r="H643" s="62"/>
      <c r="I643" s="62" t="str">
        <f t="shared" si="9"/>
        <v/>
      </c>
    </row>
    <row r="644" spans="2:9" x14ac:dyDescent="0.25">
      <c r="B644" s="59"/>
      <c r="C644" s="60"/>
      <c r="D644" s="60"/>
      <c r="F644" s="60"/>
      <c r="G644" s="60"/>
      <c r="H644" s="62"/>
      <c r="I644" s="62" t="str">
        <f t="shared" si="9"/>
        <v/>
      </c>
    </row>
    <row r="645" spans="2:9" x14ac:dyDescent="0.25">
      <c r="B645" s="59"/>
      <c r="C645" s="60"/>
      <c r="D645" s="60"/>
      <c r="F645" s="60"/>
      <c r="G645" s="60"/>
      <c r="H645" s="62"/>
      <c r="I645" s="62" t="str">
        <f t="shared" ref="I645:I708" si="10">IF(H645&lt;&gt;"",H645-H644,"")</f>
        <v/>
      </c>
    </row>
    <row r="646" spans="2:9" x14ac:dyDescent="0.25">
      <c r="B646" s="59"/>
      <c r="C646" s="60"/>
      <c r="D646" s="60"/>
      <c r="F646" s="60"/>
      <c r="G646" s="60"/>
      <c r="H646" s="62"/>
      <c r="I646" s="62" t="str">
        <f t="shared" si="10"/>
        <v/>
      </c>
    </row>
    <row r="647" spans="2:9" x14ac:dyDescent="0.25">
      <c r="B647" s="59"/>
      <c r="C647" s="60"/>
      <c r="D647" s="60"/>
      <c r="F647" s="60"/>
      <c r="G647" s="60"/>
      <c r="H647" s="62"/>
      <c r="I647" s="62" t="str">
        <f t="shared" si="10"/>
        <v/>
      </c>
    </row>
    <row r="648" spans="2:9" x14ac:dyDescent="0.25">
      <c r="B648" s="59"/>
      <c r="C648" s="60"/>
      <c r="D648" s="60"/>
      <c r="F648" s="60"/>
      <c r="G648" s="60"/>
      <c r="H648" s="62"/>
      <c r="I648" s="62" t="str">
        <f t="shared" si="10"/>
        <v/>
      </c>
    </row>
    <row r="649" spans="2:9" x14ac:dyDescent="0.25">
      <c r="B649" s="59"/>
      <c r="C649" s="60"/>
      <c r="D649" s="60"/>
      <c r="F649" s="60"/>
      <c r="G649" s="60"/>
      <c r="H649" s="62"/>
      <c r="I649" s="62" t="str">
        <f t="shared" si="10"/>
        <v/>
      </c>
    </row>
    <row r="650" spans="2:9" x14ac:dyDescent="0.25">
      <c r="B650" s="59"/>
      <c r="C650" s="60"/>
      <c r="D650" s="60"/>
      <c r="F650" s="60"/>
      <c r="G650" s="60"/>
      <c r="H650" s="62"/>
      <c r="I650" s="62" t="str">
        <f t="shared" si="10"/>
        <v/>
      </c>
    </row>
    <row r="651" spans="2:9" x14ac:dyDescent="0.25">
      <c r="B651" s="59"/>
      <c r="C651" s="60"/>
      <c r="D651" s="60"/>
      <c r="F651" s="60"/>
      <c r="G651" s="60"/>
      <c r="H651" s="62"/>
      <c r="I651" s="62" t="str">
        <f t="shared" si="10"/>
        <v/>
      </c>
    </row>
    <row r="652" spans="2:9" x14ac:dyDescent="0.25">
      <c r="B652" s="59"/>
      <c r="C652" s="60"/>
      <c r="D652" s="60"/>
      <c r="F652" s="60"/>
      <c r="G652" s="60"/>
      <c r="H652" s="62"/>
      <c r="I652" s="62" t="str">
        <f t="shared" si="10"/>
        <v/>
      </c>
    </row>
    <row r="653" spans="2:9" x14ac:dyDescent="0.25">
      <c r="B653" s="59"/>
      <c r="C653" s="60"/>
      <c r="D653" s="60"/>
      <c r="F653" s="60"/>
      <c r="G653" s="60"/>
      <c r="H653" s="62"/>
      <c r="I653" s="62" t="str">
        <f t="shared" si="10"/>
        <v/>
      </c>
    </row>
    <row r="654" spans="2:9" x14ac:dyDescent="0.25">
      <c r="B654" s="59"/>
      <c r="C654" s="60"/>
      <c r="D654" s="60"/>
      <c r="F654" s="60"/>
      <c r="G654" s="60"/>
      <c r="H654" s="62"/>
      <c r="I654" s="62" t="str">
        <f t="shared" si="10"/>
        <v/>
      </c>
    </row>
    <row r="655" spans="2:9" x14ac:dyDescent="0.25">
      <c r="B655" s="59"/>
      <c r="C655" s="60"/>
      <c r="D655" s="60"/>
      <c r="F655" s="60"/>
      <c r="G655" s="60"/>
      <c r="H655" s="62"/>
      <c r="I655" s="62" t="str">
        <f t="shared" si="10"/>
        <v/>
      </c>
    </row>
    <row r="656" spans="2:9" x14ac:dyDescent="0.25">
      <c r="B656" s="59"/>
      <c r="C656" s="60"/>
      <c r="D656" s="60"/>
      <c r="F656" s="60"/>
      <c r="G656" s="60"/>
      <c r="H656" s="62"/>
      <c r="I656" s="62" t="str">
        <f t="shared" si="10"/>
        <v/>
      </c>
    </row>
    <row r="657" spans="2:9" x14ac:dyDescent="0.25">
      <c r="B657" s="59"/>
      <c r="C657" s="60"/>
      <c r="D657" s="60"/>
      <c r="F657" s="60"/>
      <c r="G657" s="60"/>
      <c r="H657" s="62"/>
      <c r="I657" s="62" t="str">
        <f t="shared" si="10"/>
        <v/>
      </c>
    </row>
    <row r="658" spans="2:9" x14ac:dyDescent="0.25">
      <c r="B658" s="59"/>
      <c r="C658" s="60"/>
      <c r="D658" s="60"/>
      <c r="F658" s="60"/>
      <c r="G658" s="60"/>
      <c r="H658" s="62"/>
      <c r="I658" s="62" t="str">
        <f t="shared" si="10"/>
        <v/>
      </c>
    </row>
    <row r="659" spans="2:9" x14ac:dyDescent="0.25">
      <c r="B659" s="59"/>
      <c r="C659" s="60"/>
      <c r="D659" s="60"/>
      <c r="F659" s="60"/>
      <c r="G659" s="60"/>
      <c r="H659" s="62"/>
      <c r="I659" s="62" t="str">
        <f t="shared" si="10"/>
        <v/>
      </c>
    </row>
    <row r="660" spans="2:9" x14ac:dyDescent="0.25">
      <c r="B660" s="59"/>
      <c r="C660" s="60"/>
      <c r="D660" s="60"/>
      <c r="F660" s="60"/>
      <c r="G660" s="60"/>
      <c r="H660" s="62"/>
      <c r="I660" s="62" t="str">
        <f t="shared" si="10"/>
        <v/>
      </c>
    </row>
    <row r="661" spans="2:9" x14ac:dyDescent="0.25">
      <c r="B661" s="59"/>
      <c r="C661" s="60"/>
      <c r="D661" s="60"/>
      <c r="F661" s="60"/>
      <c r="G661" s="60"/>
      <c r="H661" s="62"/>
      <c r="I661" s="62" t="str">
        <f t="shared" si="10"/>
        <v/>
      </c>
    </row>
    <row r="662" spans="2:9" x14ac:dyDescent="0.25">
      <c r="B662" s="59"/>
      <c r="C662" s="60"/>
      <c r="D662" s="60"/>
      <c r="F662" s="60"/>
      <c r="G662" s="60"/>
      <c r="H662" s="62"/>
      <c r="I662" s="62" t="str">
        <f t="shared" si="10"/>
        <v/>
      </c>
    </row>
    <row r="663" spans="2:9" x14ac:dyDescent="0.25">
      <c r="B663" s="59"/>
      <c r="C663" s="60"/>
      <c r="D663" s="60"/>
      <c r="F663" s="60"/>
      <c r="G663" s="60"/>
      <c r="H663" s="62"/>
      <c r="I663" s="62" t="str">
        <f t="shared" si="10"/>
        <v/>
      </c>
    </row>
    <row r="664" spans="2:9" x14ac:dyDescent="0.25">
      <c r="B664" s="59"/>
      <c r="C664" s="60"/>
      <c r="D664" s="60"/>
      <c r="F664" s="60"/>
      <c r="G664" s="60"/>
      <c r="H664" s="62"/>
      <c r="I664" s="62" t="str">
        <f t="shared" si="10"/>
        <v/>
      </c>
    </row>
    <row r="665" spans="2:9" x14ac:dyDescent="0.25">
      <c r="B665" s="59"/>
      <c r="C665" s="60"/>
      <c r="D665" s="60"/>
      <c r="F665" s="60"/>
      <c r="G665" s="60"/>
      <c r="H665" s="62"/>
      <c r="I665" s="62" t="str">
        <f t="shared" si="10"/>
        <v/>
      </c>
    </row>
    <row r="666" spans="2:9" x14ac:dyDescent="0.25">
      <c r="B666" s="59"/>
      <c r="C666" s="60"/>
      <c r="D666" s="60"/>
      <c r="F666" s="60"/>
      <c r="G666" s="60"/>
      <c r="H666" s="62"/>
      <c r="I666" s="62" t="str">
        <f t="shared" si="10"/>
        <v/>
      </c>
    </row>
    <row r="667" spans="2:9" x14ac:dyDescent="0.25">
      <c r="B667" s="59"/>
      <c r="C667" s="60"/>
      <c r="D667" s="60"/>
      <c r="F667" s="60"/>
      <c r="G667" s="60"/>
      <c r="H667" s="62"/>
      <c r="I667" s="62" t="str">
        <f t="shared" si="10"/>
        <v/>
      </c>
    </row>
    <row r="668" spans="2:9" x14ac:dyDescent="0.25">
      <c r="B668" s="59"/>
      <c r="C668" s="60"/>
      <c r="D668" s="60"/>
      <c r="F668" s="60"/>
      <c r="G668" s="60"/>
      <c r="H668" s="62"/>
      <c r="I668" s="62" t="str">
        <f t="shared" si="10"/>
        <v/>
      </c>
    </row>
    <row r="669" spans="2:9" x14ac:dyDescent="0.25">
      <c r="B669" s="59"/>
      <c r="C669" s="60"/>
      <c r="D669" s="60"/>
      <c r="F669" s="60"/>
      <c r="G669" s="60"/>
      <c r="H669" s="62"/>
      <c r="I669" s="62" t="str">
        <f t="shared" si="10"/>
        <v/>
      </c>
    </row>
    <row r="670" spans="2:9" x14ac:dyDescent="0.25">
      <c r="B670" s="59"/>
      <c r="C670" s="60"/>
      <c r="D670" s="60"/>
      <c r="F670" s="60"/>
      <c r="G670" s="60"/>
      <c r="H670" s="62"/>
      <c r="I670" s="62" t="str">
        <f t="shared" si="10"/>
        <v/>
      </c>
    </row>
    <row r="671" spans="2:9" x14ac:dyDescent="0.25">
      <c r="B671" s="59"/>
      <c r="C671" s="60"/>
      <c r="D671" s="60"/>
      <c r="F671" s="60"/>
      <c r="G671" s="60"/>
      <c r="H671" s="62"/>
      <c r="I671" s="62" t="str">
        <f t="shared" si="10"/>
        <v/>
      </c>
    </row>
    <row r="672" spans="2:9" x14ac:dyDescent="0.25">
      <c r="B672" s="59"/>
      <c r="C672" s="60"/>
      <c r="D672" s="60"/>
      <c r="F672" s="60"/>
      <c r="G672" s="60"/>
      <c r="H672" s="62"/>
      <c r="I672" s="62" t="str">
        <f t="shared" si="10"/>
        <v/>
      </c>
    </row>
    <row r="673" spans="2:9" x14ac:dyDescent="0.25">
      <c r="B673" s="59"/>
      <c r="C673" s="60"/>
      <c r="D673" s="60"/>
      <c r="F673" s="60"/>
      <c r="G673" s="60"/>
      <c r="H673" s="62"/>
      <c r="I673" s="62" t="str">
        <f t="shared" si="10"/>
        <v/>
      </c>
    </row>
    <row r="674" spans="2:9" x14ac:dyDescent="0.25">
      <c r="B674" s="59"/>
      <c r="C674" s="60"/>
      <c r="D674" s="60"/>
      <c r="F674" s="60"/>
      <c r="G674" s="60"/>
      <c r="H674" s="62"/>
      <c r="I674" s="62" t="str">
        <f t="shared" si="10"/>
        <v/>
      </c>
    </row>
    <row r="675" spans="2:9" x14ac:dyDescent="0.25">
      <c r="B675" s="59"/>
      <c r="C675" s="60"/>
      <c r="D675" s="60"/>
      <c r="F675" s="60"/>
      <c r="G675" s="60"/>
      <c r="H675" s="62"/>
      <c r="I675" s="62" t="str">
        <f t="shared" si="10"/>
        <v/>
      </c>
    </row>
    <row r="676" spans="2:9" x14ac:dyDescent="0.25">
      <c r="B676" s="59"/>
      <c r="C676" s="60"/>
      <c r="D676" s="60"/>
      <c r="F676" s="60"/>
      <c r="G676" s="60"/>
      <c r="H676" s="62"/>
      <c r="I676" s="62" t="str">
        <f t="shared" si="10"/>
        <v/>
      </c>
    </row>
    <row r="677" spans="2:9" x14ac:dyDescent="0.25">
      <c r="B677" s="59"/>
      <c r="C677" s="60"/>
      <c r="D677" s="60"/>
      <c r="F677" s="60"/>
      <c r="G677" s="60"/>
      <c r="H677" s="62"/>
      <c r="I677" s="62" t="str">
        <f t="shared" si="10"/>
        <v/>
      </c>
    </row>
    <row r="678" spans="2:9" x14ac:dyDescent="0.25">
      <c r="B678" s="59"/>
      <c r="C678" s="60"/>
      <c r="D678" s="60"/>
      <c r="F678" s="60"/>
      <c r="G678" s="60"/>
      <c r="H678" s="62"/>
      <c r="I678" s="62" t="str">
        <f t="shared" si="10"/>
        <v/>
      </c>
    </row>
    <row r="679" spans="2:9" x14ac:dyDescent="0.25">
      <c r="B679" s="59"/>
      <c r="C679" s="60"/>
      <c r="D679" s="60"/>
      <c r="F679" s="60"/>
      <c r="G679" s="60"/>
      <c r="H679" s="62"/>
      <c r="I679" s="62" t="str">
        <f t="shared" si="10"/>
        <v/>
      </c>
    </row>
    <row r="680" spans="2:9" x14ac:dyDescent="0.25">
      <c r="B680" s="59"/>
      <c r="C680" s="60"/>
      <c r="D680" s="60"/>
      <c r="F680" s="60"/>
      <c r="G680" s="60"/>
      <c r="H680" s="62"/>
      <c r="I680" s="62" t="str">
        <f t="shared" si="10"/>
        <v/>
      </c>
    </row>
    <row r="681" spans="2:9" x14ac:dyDescent="0.25">
      <c r="B681" s="59"/>
      <c r="C681" s="60"/>
      <c r="D681" s="60"/>
      <c r="F681" s="60"/>
      <c r="G681" s="60"/>
      <c r="H681" s="62"/>
      <c r="I681" s="62" t="str">
        <f t="shared" si="10"/>
        <v/>
      </c>
    </row>
    <row r="682" spans="2:9" x14ac:dyDescent="0.25">
      <c r="B682" s="59"/>
      <c r="C682" s="60"/>
      <c r="D682" s="60"/>
      <c r="F682" s="60"/>
      <c r="G682" s="60"/>
      <c r="H682" s="62"/>
      <c r="I682" s="62" t="str">
        <f t="shared" si="10"/>
        <v/>
      </c>
    </row>
    <row r="683" spans="2:9" x14ac:dyDescent="0.25">
      <c r="B683" s="59"/>
      <c r="C683" s="60"/>
      <c r="D683" s="60"/>
      <c r="F683" s="60"/>
      <c r="G683" s="60"/>
      <c r="H683" s="62"/>
      <c r="I683" s="62" t="str">
        <f t="shared" si="10"/>
        <v/>
      </c>
    </row>
    <row r="684" spans="2:9" x14ac:dyDescent="0.25">
      <c r="B684" s="59"/>
      <c r="C684" s="60"/>
      <c r="D684" s="60"/>
      <c r="F684" s="60"/>
      <c r="G684" s="60"/>
      <c r="H684" s="62"/>
      <c r="I684" s="62" t="str">
        <f t="shared" si="10"/>
        <v/>
      </c>
    </row>
    <row r="685" spans="2:9" x14ac:dyDescent="0.25">
      <c r="B685" s="59"/>
      <c r="C685" s="60"/>
      <c r="D685" s="60"/>
      <c r="F685" s="60"/>
      <c r="G685" s="60"/>
      <c r="H685" s="62"/>
      <c r="I685" s="62" t="str">
        <f t="shared" si="10"/>
        <v/>
      </c>
    </row>
    <row r="686" spans="2:9" x14ac:dyDescent="0.25">
      <c r="B686" s="59"/>
      <c r="C686" s="60"/>
      <c r="D686" s="60"/>
      <c r="F686" s="60"/>
      <c r="G686" s="60"/>
      <c r="H686" s="62"/>
      <c r="I686" s="62" t="str">
        <f t="shared" si="10"/>
        <v/>
      </c>
    </row>
    <row r="687" spans="2:9" x14ac:dyDescent="0.25">
      <c r="B687" s="59"/>
      <c r="C687" s="60"/>
      <c r="D687" s="60"/>
      <c r="F687" s="60"/>
      <c r="G687" s="60"/>
      <c r="H687" s="62"/>
      <c r="I687" s="62" t="str">
        <f t="shared" si="10"/>
        <v/>
      </c>
    </row>
    <row r="688" spans="2:9" x14ac:dyDescent="0.25">
      <c r="B688" s="59"/>
      <c r="C688" s="60"/>
      <c r="D688" s="60"/>
      <c r="F688" s="60"/>
      <c r="G688" s="60"/>
      <c r="H688" s="62"/>
      <c r="I688" s="62" t="str">
        <f t="shared" si="10"/>
        <v/>
      </c>
    </row>
    <row r="689" spans="2:9" x14ac:dyDescent="0.25">
      <c r="B689" s="59"/>
      <c r="C689" s="60"/>
      <c r="D689" s="60"/>
      <c r="F689" s="60"/>
      <c r="G689" s="60"/>
      <c r="H689" s="62"/>
      <c r="I689" s="62" t="str">
        <f t="shared" si="10"/>
        <v/>
      </c>
    </row>
    <row r="690" spans="2:9" x14ac:dyDescent="0.25">
      <c r="B690" s="59"/>
      <c r="C690" s="60"/>
      <c r="D690" s="60"/>
      <c r="F690" s="60"/>
      <c r="G690" s="60"/>
      <c r="H690" s="62"/>
      <c r="I690" s="62" t="str">
        <f t="shared" si="10"/>
        <v/>
      </c>
    </row>
    <row r="691" spans="2:9" x14ac:dyDescent="0.25">
      <c r="B691" s="59"/>
      <c r="C691" s="60"/>
      <c r="D691" s="60"/>
      <c r="F691" s="60"/>
      <c r="G691" s="60"/>
      <c r="H691" s="62"/>
      <c r="I691" s="62" t="str">
        <f t="shared" si="10"/>
        <v/>
      </c>
    </row>
    <row r="692" spans="2:9" x14ac:dyDescent="0.25">
      <c r="B692" s="59"/>
      <c r="C692" s="60"/>
      <c r="D692" s="60"/>
      <c r="F692" s="60"/>
      <c r="G692" s="60"/>
      <c r="H692" s="62"/>
      <c r="I692" s="62" t="str">
        <f t="shared" si="10"/>
        <v/>
      </c>
    </row>
    <row r="693" spans="2:9" x14ac:dyDescent="0.25">
      <c r="B693" s="59"/>
      <c r="C693" s="60"/>
      <c r="D693" s="60"/>
      <c r="F693" s="60"/>
      <c r="G693" s="60"/>
      <c r="H693" s="62"/>
      <c r="I693" s="62" t="str">
        <f t="shared" si="10"/>
        <v/>
      </c>
    </row>
    <row r="694" spans="2:9" x14ac:dyDescent="0.25">
      <c r="B694" s="59"/>
      <c r="C694" s="60"/>
      <c r="D694" s="60"/>
      <c r="F694" s="60"/>
      <c r="G694" s="60"/>
      <c r="H694" s="62"/>
      <c r="I694" s="62" t="str">
        <f t="shared" si="10"/>
        <v/>
      </c>
    </row>
    <row r="695" spans="2:9" x14ac:dyDescent="0.25">
      <c r="B695" s="59"/>
      <c r="C695" s="60"/>
      <c r="D695" s="60"/>
      <c r="F695" s="60"/>
      <c r="G695" s="60"/>
      <c r="H695" s="62"/>
      <c r="I695" s="62" t="str">
        <f t="shared" si="10"/>
        <v/>
      </c>
    </row>
    <row r="696" spans="2:9" x14ac:dyDescent="0.25">
      <c r="B696" s="59"/>
      <c r="C696" s="60"/>
      <c r="D696" s="60"/>
      <c r="F696" s="60"/>
      <c r="G696" s="60"/>
      <c r="H696" s="62"/>
      <c r="I696" s="62" t="str">
        <f t="shared" si="10"/>
        <v/>
      </c>
    </row>
    <row r="697" spans="2:9" x14ac:dyDescent="0.25">
      <c r="B697" s="59"/>
      <c r="C697" s="60"/>
      <c r="D697" s="60"/>
      <c r="F697" s="60"/>
      <c r="G697" s="60"/>
      <c r="H697" s="62"/>
      <c r="I697" s="62" t="str">
        <f t="shared" si="10"/>
        <v/>
      </c>
    </row>
    <row r="698" spans="2:9" x14ac:dyDescent="0.25">
      <c r="B698" s="59"/>
      <c r="C698" s="60"/>
      <c r="D698" s="60"/>
      <c r="F698" s="60"/>
      <c r="G698" s="60"/>
      <c r="H698" s="62"/>
      <c r="I698" s="62" t="str">
        <f t="shared" si="10"/>
        <v/>
      </c>
    </row>
    <row r="699" spans="2:9" x14ac:dyDescent="0.25">
      <c r="B699" s="59"/>
      <c r="C699" s="60"/>
      <c r="D699" s="60"/>
      <c r="F699" s="60"/>
      <c r="G699" s="60"/>
      <c r="H699" s="62"/>
      <c r="I699" s="62" t="str">
        <f t="shared" si="10"/>
        <v/>
      </c>
    </row>
    <row r="700" spans="2:9" x14ac:dyDescent="0.25">
      <c r="B700" s="59"/>
      <c r="C700" s="60"/>
      <c r="D700" s="60"/>
      <c r="F700" s="60"/>
      <c r="G700" s="60"/>
      <c r="H700" s="62"/>
      <c r="I700" s="62" t="str">
        <f t="shared" si="10"/>
        <v/>
      </c>
    </row>
    <row r="701" spans="2:9" x14ac:dyDescent="0.25">
      <c r="B701" s="59"/>
      <c r="C701" s="60"/>
      <c r="D701" s="60"/>
      <c r="F701" s="60"/>
      <c r="G701" s="60"/>
      <c r="H701" s="62"/>
      <c r="I701" s="62" t="str">
        <f t="shared" si="10"/>
        <v/>
      </c>
    </row>
    <row r="702" spans="2:9" x14ac:dyDescent="0.25">
      <c r="B702" s="59"/>
      <c r="C702" s="60"/>
      <c r="D702" s="60"/>
      <c r="F702" s="60"/>
      <c r="G702" s="60"/>
      <c r="H702" s="62"/>
      <c r="I702" s="62" t="str">
        <f t="shared" si="10"/>
        <v/>
      </c>
    </row>
    <row r="703" spans="2:9" x14ac:dyDescent="0.25">
      <c r="B703" s="59"/>
      <c r="C703" s="60"/>
      <c r="D703" s="60"/>
      <c r="F703" s="60"/>
      <c r="G703" s="60"/>
      <c r="H703" s="62"/>
      <c r="I703" s="62" t="str">
        <f t="shared" si="10"/>
        <v/>
      </c>
    </row>
    <row r="704" spans="2:9" x14ac:dyDescent="0.25">
      <c r="B704" s="59"/>
      <c r="C704" s="60"/>
      <c r="D704" s="60"/>
      <c r="F704" s="60"/>
      <c r="G704" s="60"/>
      <c r="H704" s="62"/>
      <c r="I704" s="62" t="str">
        <f t="shared" si="10"/>
        <v/>
      </c>
    </row>
    <row r="705" spans="2:9" x14ac:dyDescent="0.25">
      <c r="B705" s="59"/>
      <c r="C705" s="60"/>
      <c r="D705" s="60"/>
      <c r="F705" s="60"/>
      <c r="G705" s="60"/>
      <c r="H705" s="62"/>
      <c r="I705" s="62" t="str">
        <f t="shared" si="10"/>
        <v/>
      </c>
    </row>
    <row r="706" spans="2:9" x14ac:dyDescent="0.25">
      <c r="B706" s="59"/>
      <c r="C706" s="60"/>
      <c r="D706" s="60"/>
      <c r="F706" s="60"/>
      <c r="G706" s="60"/>
      <c r="H706" s="62"/>
      <c r="I706" s="62" t="str">
        <f t="shared" si="10"/>
        <v/>
      </c>
    </row>
    <row r="707" spans="2:9" x14ac:dyDescent="0.25">
      <c r="B707" s="59"/>
      <c r="C707" s="60"/>
      <c r="D707" s="60"/>
      <c r="F707" s="60"/>
      <c r="G707" s="60"/>
      <c r="H707" s="62"/>
      <c r="I707" s="62" t="str">
        <f t="shared" si="10"/>
        <v/>
      </c>
    </row>
    <row r="708" spans="2:9" x14ac:dyDescent="0.25">
      <c r="B708" s="59"/>
      <c r="C708" s="60"/>
      <c r="D708" s="60"/>
      <c r="F708" s="60"/>
      <c r="G708" s="60"/>
      <c r="H708" s="62"/>
      <c r="I708" s="62" t="str">
        <f t="shared" si="10"/>
        <v/>
      </c>
    </row>
    <row r="709" spans="2:9" x14ac:dyDescent="0.25">
      <c r="B709" s="59"/>
      <c r="C709" s="60"/>
      <c r="D709" s="60"/>
      <c r="F709" s="60"/>
      <c r="G709" s="60"/>
      <c r="H709" s="62"/>
      <c r="I709" s="62" t="str">
        <f t="shared" ref="I709:I772" si="11">IF(H709&lt;&gt;"",H709-H708,"")</f>
        <v/>
      </c>
    </row>
    <row r="710" spans="2:9" x14ac:dyDescent="0.25">
      <c r="B710" s="59"/>
      <c r="C710" s="60"/>
      <c r="D710" s="60"/>
      <c r="F710" s="60"/>
      <c r="G710" s="60"/>
      <c r="H710" s="62"/>
      <c r="I710" s="62" t="str">
        <f t="shared" si="11"/>
        <v/>
      </c>
    </row>
    <row r="711" spans="2:9" x14ac:dyDescent="0.25">
      <c r="B711" s="59"/>
      <c r="C711" s="60"/>
      <c r="D711" s="60"/>
      <c r="F711" s="60"/>
      <c r="G711" s="60"/>
      <c r="H711" s="62"/>
      <c r="I711" s="62" t="str">
        <f t="shared" si="11"/>
        <v/>
      </c>
    </row>
    <row r="712" spans="2:9" x14ac:dyDescent="0.25">
      <c r="B712" s="59"/>
      <c r="C712" s="60"/>
      <c r="D712" s="60"/>
      <c r="F712" s="60"/>
      <c r="G712" s="60"/>
      <c r="H712" s="62"/>
      <c r="I712" s="62" t="str">
        <f t="shared" si="11"/>
        <v/>
      </c>
    </row>
    <row r="713" spans="2:9" x14ac:dyDescent="0.25">
      <c r="B713" s="59"/>
      <c r="C713" s="60"/>
      <c r="D713" s="60"/>
      <c r="F713" s="60"/>
      <c r="G713" s="60"/>
      <c r="H713" s="62"/>
      <c r="I713" s="62" t="str">
        <f t="shared" si="11"/>
        <v/>
      </c>
    </row>
    <row r="714" spans="2:9" x14ac:dyDescent="0.25">
      <c r="B714" s="59"/>
      <c r="C714" s="60"/>
      <c r="D714" s="60"/>
      <c r="F714" s="60"/>
      <c r="G714" s="60"/>
      <c r="H714" s="62"/>
      <c r="I714" s="62" t="str">
        <f t="shared" si="11"/>
        <v/>
      </c>
    </row>
    <row r="715" spans="2:9" x14ac:dyDescent="0.25">
      <c r="B715" s="59"/>
      <c r="C715" s="60"/>
      <c r="D715" s="60"/>
      <c r="F715" s="60"/>
      <c r="G715" s="60"/>
      <c r="H715" s="62"/>
      <c r="I715" s="62" t="str">
        <f t="shared" si="11"/>
        <v/>
      </c>
    </row>
    <row r="716" spans="2:9" x14ac:dyDescent="0.25">
      <c r="B716" s="59"/>
      <c r="C716" s="60"/>
      <c r="D716" s="60"/>
      <c r="F716" s="60"/>
      <c r="G716" s="60"/>
      <c r="H716" s="62"/>
      <c r="I716" s="62" t="str">
        <f t="shared" si="11"/>
        <v/>
      </c>
    </row>
    <row r="717" spans="2:9" x14ac:dyDescent="0.25">
      <c r="B717" s="59"/>
      <c r="C717" s="60"/>
      <c r="D717" s="60"/>
      <c r="F717" s="60"/>
      <c r="G717" s="60"/>
      <c r="H717" s="62"/>
      <c r="I717" s="62" t="str">
        <f t="shared" si="11"/>
        <v/>
      </c>
    </row>
    <row r="718" spans="2:9" x14ac:dyDescent="0.25">
      <c r="B718" s="59"/>
      <c r="C718" s="60"/>
      <c r="D718" s="60"/>
      <c r="F718" s="60"/>
      <c r="G718" s="60"/>
      <c r="H718" s="62"/>
      <c r="I718" s="62" t="str">
        <f t="shared" si="11"/>
        <v/>
      </c>
    </row>
    <row r="719" spans="2:9" x14ac:dyDescent="0.25">
      <c r="B719" s="59"/>
      <c r="C719" s="60"/>
      <c r="D719" s="60"/>
      <c r="F719" s="60"/>
      <c r="G719" s="60"/>
      <c r="H719" s="62"/>
      <c r="I719" s="62" t="str">
        <f t="shared" si="11"/>
        <v/>
      </c>
    </row>
    <row r="720" spans="2:9" x14ac:dyDescent="0.25">
      <c r="B720" s="59"/>
      <c r="C720" s="60"/>
      <c r="D720" s="60"/>
      <c r="F720" s="60"/>
      <c r="G720" s="60"/>
      <c r="H720" s="62"/>
      <c r="I720" s="62" t="str">
        <f t="shared" si="11"/>
        <v/>
      </c>
    </row>
    <row r="721" spans="2:9" x14ac:dyDescent="0.25">
      <c r="B721" s="59"/>
      <c r="C721" s="60"/>
      <c r="D721" s="60"/>
      <c r="F721" s="60"/>
      <c r="G721" s="60"/>
      <c r="H721" s="62"/>
      <c r="I721" s="62" t="str">
        <f t="shared" si="11"/>
        <v/>
      </c>
    </row>
    <row r="722" spans="2:9" x14ac:dyDescent="0.25">
      <c r="B722" s="59"/>
      <c r="C722" s="60"/>
      <c r="D722" s="60"/>
      <c r="F722" s="60"/>
      <c r="G722" s="60"/>
      <c r="H722" s="62"/>
      <c r="I722" s="62" t="str">
        <f t="shared" si="11"/>
        <v/>
      </c>
    </row>
    <row r="723" spans="2:9" x14ac:dyDescent="0.25">
      <c r="B723" s="59"/>
      <c r="C723" s="60"/>
      <c r="D723" s="60"/>
      <c r="F723" s="60"/>
      <c r="G723" s="60"/>
      <c r="H723" s="62"/>
      <c r="I723" s="62" t="str">
        <f t="shared" si="11"/>
        <v/>
      </c>
    </row>
    <row r="724" spans="2:9" x14ac:dyDescent="0.25">
      <c r="B724" s="59"/>
      <c r="C724" s="60"/>
      <c r="D724" s="60"/>
      <c r="F724" s="60"/>
      <c r="G724" s="60"/>
      <c r="H724" s="62"/>
      <c r="I724" s="62" t="str">
        <f t="shared" si="11"/>
        <v/>
      </c>
    </row>
    <row r="725" spans="2:9" x14ac:dyDescent="0.25">
      <c r="B725" s="59"/>
      <c r="C725" s="60"/>
      <c r="D725" s="60"/>
      <c r="F725" s="60"/>
      <c r="G725" s="60"/>
      <c r="H725" s="62"/>
      <c r="I725" s="62" t="str">
        <f t="shared" si="11"/>
        <v/>
      </c>
    </row>
    <row r="726" spans="2:9" x14ac:dyDescent="0.25">
      <c r="B726" s="59"/>
      <c r="C726" s="60"/>
      <c r="D726" s="60"/>
      <c r="F726" s="60"/>
      <c r="G726" s="60"/>
      <c r="H726" s="62"/>
      <c r="I726" s="62" t="str">
        <f t="shared" si="11"/>
        <v/>
      </c>
    </row>
    <row r="727" spans="2:9" x14ac:dyDescent="0.25">
      <c r="B727" s="59"/>
      <c r="C727" s="60"/>
      <c r="D727" s="60"/>
      <c r="F727" s="60"/>
      <c r="G727" s="60"/>
      <c r="H727" s="62"/>
      <c r="I727" s="62" t="str">
        <f t="shared" si="11"/>
        <v/>
      </c>
    </row>
    <row r="728" spans="2:9" x14ac:dyDescent="0.25">
      <c r="B728" s="59"/>
      <c r="C728" s="60"/>
      <c r="D728" s="60"/>
      <c r="F728" s="60"/>
      <c r="G728" s="60"/>
      <c r="H728" s="62"/>
      <c r="I728" s="62" t="str">
        <f t="shared" si="11"/>
        <v/>
      </c>
    </row>
    <row r="729" spans="2:9" x14ac:dyDescent="0.25">
      <c r="B729" s="59"/>
      <c r="C729" s="60"/>
      <c r="D729" s="60"/>
      <c r="F729" s="60"/>
      <c r="G729" s="60"/>
      <c r="H729" s="62"/>
      <c r="I729" s="62" t="str">
        <f t="shared" si="11"/>
        <v/>
      </c>
    </row>
    <row r="730" spans="2:9" x14ac:dyDescent="0.25">
      <c r="B730" s="59"/>
      <c r="C730" s="60"/>
      <c r="D730" s="60"/>
      <c r="F730" s="60"/>
      <c r="G730" s="60"/>
      <c r="H730" s="62"/>
      <c r="I730" s="62" t="str">
        <f t="shared" si="11"/>
        <v/>
      </c>
    </row>
    <row r="731" spans="2:9" x14ac:dyDescent="0.25">
      <c r="B731" s="59"/>
      <c r="C731" s="60"/>
      <c r="D731" s="60"/>
      <c r="F731" s="60"/>
      <c r="G731" s="60"/>
      <c r="H731" s="62"/>
      <c r="I731" s="62" t="str">
        <f t="shared" si="11"/>
        <v/>
      </c>
    </row>
    <row r="732" spans="2:9" x14ac:dyDescent="0.25">
      <c r="B732" s="59"/>
      <c r="C732" s="60"/>
      <c r="D732" s="60"/>
      <c r="F732" s="60"/>
      <c r="G732" s="60"/>
      <c r="H732" s="62"/>
      <c r="I732" s="62" t="str">
        <f t="shared" si="11"/>
        <v/>
      </c>
    </row>
    <row r="733" spans="2:9" x14ac:dyDescent="0.25">
      <c r="B733" s="59"/>
      <c r="C733" s="60"/>
      <c r="D733" s="60"/>
      <c r="F733" s="60"/>
      <c r="G733" s="60"/>
      <c r="H733" s="62"/>
      <c r="I733" s="62" t="str">
        <f t="shared" si="11"/>
        <v/>
      </c>
    </row>
    <row r="734" spans="2:9" x14ac:dyDescent="0.25">
      <c r="B734" s="59"/>
      <c r="C734" s="60"/>
      <c r="D734" s="60"/>
      <c r="F734" s="60"/>
      <c r="G734" s="60"/>
      <c r="H734" s="62"/>
      <c r="I734" s="62" t="str">
        <f t="shared" si="11"/>
        <v/>
      </c>
    </row>
    <row r="735" spans="2:9" x14ac:dyDescent="0.25">
      <c r="B735" s="59"/>
      <c r="C735" s="60"/>
      <c r="D735" s="60"/>
      <c r="F735" s="60"/>
      <c r="G735" s="60"/>
      <c r="H735" s="62"/>
      <c r="I735" s="62" t="str">
        <f t="shared" si="11"/>
        <v/>
      </c>
    </row>
    <row r="736" spans="2:9" x14ac:dyDescent="0.25">
      <c r="B736" s="59"/>
      <c r="C736" s="60"/>
      <c r="D736" s="60"/>
      <c r="F736" s="60"/>
      <c r="G736" s="60"/>
      <c r="H736" s="62"/>
      <c r="I736" s="62" t="str">
        <f t="shared" si="11"/>
        <v/>
      </c>
    </row>
    <row r="737" spans="2:9" x14ac:dyDescent="0.25">
      <c r="B737" s="59"/>
      <c r="C737" s="60"/>
      <c r="D737" s="60"/>
      <c r="F737" s="60"/>
      <c r="G737" s="60"/>
      <c r="H737" s="62"/>
      <c r="I737" s="62" t="str">
        <f t="shared" si="11"/>
        <v/>
      </c>
    </row>
    <row r="738" spans="2:9" x14ac:dyDescent="0.25">
      <c r="B738" s="59"/>
      <c r="C738" s="60"/>
      <c r="D738" s="60"/>
      <c r="F738" s="60"/>
      <c r="G738" s="60"/>
      <c r="H738" s="62"/>
      <c r="I738" s="62" t="str">
        <f t="shared" si="11"/>
        <v/>
      </c>
    </row>
    <row r="739" spans="2:9" x14ac:dyDescent="0.25">
      <c r="B739" s="59"/>
      <c r="C739" s="60"/>
      <c r="D739" s="60"/>
      <c r="F739" s="60"/>
      <c r="G739" s="60"/>
      <c r="H739" s="62"/>
      <c r="I739" s="62" t="str">
        <f t="shared" si="11"/>
        <v/>
      </c>
    </row>
    <row r="740" spans="2:9" x14ac:dyDescent="0.25">
      <c r="B740" s="59"/>
      <c r="C740" s="60"/>
      <c r="D740" s="60"/>
      <c r="F740" s="60"/>
      <c r="G740" s="60"/>
      <c r="H740" s="62"/>
      <c r="I740" s="62" t="str">
        <f t="shared" si="11"/>
        <v/>
      </c>
    </row>
    <row r="741" spans="2:9" x14ac:dyDescent="0.25">
      <c r="B741" s="59"/>
      <c r="C741" s="60"/>
      <c r="D741" s="60"/>
      <c r="F741" s="60"/>
      <c r="G741" s="60"/>
      <c r="H741" s="62"/>
      <c r="I741" s="62" t="str">
        <f t="shared" si="11"/>
        <v/>
      </c>
    </row>
    <row r="742" spans="2:9" x14ac:dyDescent="0.25">
      <c r="B742" s="59"/>
      <c r="C742" s="60"/>
      <c r="D742" s="60"/>
      <c r="F742" s="60"/>
      <c r="G742" s="60"/>
      <c r="H742" s="62"/>
      <c r="I742" s="62" t="str">
        <f t="shared" si="11"/>
        <v/>
      </c>
    </row>
    <row r="743" spans="2:9" x14ac:dyDescent="0.25">
      <c r="B743" s="59"/>
      <c r="C743" s="60"/>
      <c r="D743" s="60"/>
      <c r="F743" s="60"/>
      <c r="G743" s="60"/>
      <c r="H743" s="62"/>
      <c r="I743" s="62" t="str">
        <f t="shared" si="11"/>
        <v/>
      </c>
    </row>
    <row r="744" spans="2:9" x14ac:dyDescent="0.25">
      <c r="B744" s="59"/>
      <c r="C744" s="60"/>
      <c r="D744" s="60"/>
      <c r="F744" s="60"/>
      <c r="G744" s="60"/>
      <c r="H744" s="62"/>
      <c r="I744" s="62" t="str">
        <f t="shared" si="11"/>
        <v/>
      </c>
    </row>
    <row r="745" spans="2:9" x14ac:dyDescent="0.25">
      <c r="B745" s="59"/>
      <c r="C745" s="60"/>
      <c r="D745" s="60"/>
      <c r="F745" s="60"/>
      <c r="G745" s="60"/>
      <c r="H745" s="62"/>
      <c r="I745" s="62" t="str">
        <f t="shared" si="11"/>
        <v/>
      </c>
    </row>
    <row r="746" spans="2:9" x14ac:dyDescent="0.25">
      <c r="B746" s="59"/>
      <c r="C746" s="60"/>
      <c r="D746" s="60"/>
      <c r="F746" s="60"/>
      <c r="G746" s="60"/>
      <c r="H746" s="62"/>
      <c r="I746" s="62" t="str">
        <f t="shared" si="11"/>
        <v/>
      </c>
    </row>
    <row r="747" spans="2:9" x14ac:dyDescent="0.25">
      <c r="B747" s="59"/>
      <c r="C747" s="60"/>
      <c r="D747" s="60"/>
      <c r="F747" s="60"/>
      <c r="G747" s="60"/>
      <c r="H747" s="62"/>
      <c r="I747" s="62" t="str">
        <f t="shared" si="11"/>
        <v/>
      </c>
    </row>
    <row r="748" spans="2:9" x14ac:dyDescent="0.25">
      <c r="B748" s="59"/>
      <c r="C748" s="60"/>
      <c r="D748" s="60"/>
      <c r="F748" s="60"/>
      <c r="G748" s="60"/>
      <c r="H748" s="62"/>
      <c r="I748" s="62" t="str">
        <f t="shared" si="11"/>
        <v/>
      </c>
    </row>
    <row r="749" spans="2:9" x14ac:dyDescent="0.25">
      <c r="B749" s="59"/>
      <c r="C749" s="60"/>
      <c r="D749" s="60"/>
      <c r="F749" s="60"/>
      <c r="G749" s="60"/>
      <c r="H749" s="62"/>
      <c r="I749" s="62" t="str">
        <f t="shared" si="11"/>
        <v/>
      </c>
    </row>
    <row r="750" spans="2:9" x14ac:dyDescent="0.25">
      <c r="B750" s="59"/>
      <c r="C750" s="60"/>
      <c r="D750" s="60"/>
      <c r="F750" s="60"/>
      <c r="G750" s="60"/>
      <c r="H750" s="62"/>
      <c r="I750" s="62" t="str">
        <f t="shared" si="11"/>
        <v/>
      </c>
    </row>
    <row r="751" spans="2:9" x14ac:dyDescent="0.25">
      <c r="B751" s="59"/>
      <c r="C751" s="60"/>
      <c r="D751" s="60"/>
      <c r="F751" s="60"/>
      <c r="G751" s="60"/>
      <c r="H751" s="62"/>
      <c r="I751" s="62" t="str">
        <f t="shared" si="11"/>
        <v/>
      </c>
    </row>
    <row r="752" spans="2:9" x14ac:dyDescent="0.25">
      <c r="B752" s="59"/>
      <c r="C752" s="60"/>
      <c r="D752" s="60"/>
      <c r="F752" s="60"/>
      <c r="G752" s="60"/>
      <c r="H752" s="62"/>
      <c r="I752" s="62" t="str">
        <f t="shared" si="11"/>
        <v/>
      </c>
    </row>
    <row r="753" spans="2:9" x14ac:dyDescent="0.25">
      <c r="B753" s="59"/>
      <c r="C753" s="60"/>
      <c r="D753" s="60"/>
      <c r="F753" s="60"/>
      <c r="G753" s="60"/>
      <c r="H753" s="62"/>
      <c r="I753" s="62" t="str">
        <f t="shared" si="11"/>
        <v/>
      </c>
    </row>
    <row r="754" spans="2:9" x14ac:dyDescent="0.25">
      <c r="B754" s="59"/>
      <c r="C754" s="60"/>
      <c r="D754" s="60"/>
      <c r="F754" s="60"/>
      <c r="G754" s="60"/>
      <c r="H754" s="62"/>
      <c r="I754" s="62" t="str">
        <f t="shared" si="11"/>
        <v/>
      </c>
    </row>
    <row r="755" spans="2:9" x14ac:dyDescent="0.25">
      <c r="B755" s="59"/>
      <c r="C755" s="60"/>
      <c r="D755" s="60"/>
      <c r="F755" s="60"/>
      <c r="G755" s="60"/>
      <c r="H755" s="62"/>
      <c r="I755" s="62" t="str">
        <f t="shared" si="11"/>
        <v/>
      </c>
    </row>
    <row r="756" spans="2:9" x14ac:dyDescent="0.25">
      <c r="B756" s="59"/>
      <c r="C756" s="60"/>
      <c r="D756" s="60"/>
      <c r="F756" s="60"/>
      <c r="G756" s="60"/>
      <c r="H756" s="62"/>
      <c r="I756" s="62" t="str">
        <f t="shared" si="11"/>
        <v/>
      </c>
    </row>
    <row r="757" spans="2:9" x14ac:dyDescent="0.25">
      <c r="B757" s="59"/>
      <c r="C757" s="60"/>
      <c r="D757" s="60"/>
      <c r="F757" s="60"/>
      <c r="G757" s="60"/>
      <c r="H757" s="62"/>
      <c r="I757" s="62" t="str">
        <f t="shared" si="11"/>
        <v/>
      </c>
    </row>
    <row r="758" spans="2:9" x14ac:dyDescent="0.25">
      <c r="B758" s="59"/>
      <c r="C758" s="60"/>
      <c r="D758" s="60"/>
      <c r="F758" s="60"/>
      <c r="G758" s="60"/>
      <c r="H758" s="62"/>
      <c r="I758" s="62" t="str">
        <f t="shared" si="11"/>
        <v/>
      </c>
    </row>
    <row r="759" spans="2:9" x14ac:dyDescent="0.25">
      <c r="B759" s="59"/>
      <c r="C759" s="60"/>
      <c r="D759" s="60"/>
      <c r="F759" s="60"/>
      <c r="G759" s="60"/>
      <c r="H759" s="62"/>
      <c r="I759" s="62" t="str">
        <f t="shared" si="11"/>
        <v/>
      </c>
    </row>
    <row r="760" spans="2:9" x14ac:dyDescent="0.25">
      <c r="B760" s="59"/>
      <c r="C760" s="60"/>
      <c r="D760" s="60"/>
      <c r="F760" s="60"/>
      <c r="G760" s="60"/>
      <c r="H760" s="62"/>
      <c r="I760" s="62" t="str">
        <f t="shared" si="11"/>
        <v/>
      </c>
    </row>
    <row r="761" spans="2:9" x14ac:dyDescent="0.25">
      <c r="B761" s="59"/>
      <c r="C761" s="60"/>
      <c r="D761" s="60"/>
      <c r="F761" s="60"/>
      <c r="G761" s="60"/>
      <c r="H761" s="62"/>
      <c r="I761" s="62" t="str">
        <f t="shared" si="11"/>
        <v/>
      </c>
    </row>
    <row r="762" spans="2:9" x14ac:dyDescent="0.25">
      <c r="B762" s="59"/>
      <c r="C762" s="60"/>
      <c r="D762" s="60"/>
      <c r="F762" s="60"/>
      <c r="G762" s="60"/>
      <c r="H762" s="62"/>
      <c r="I762" s="62" t="str">
        <f t="shared" si="11"/>
        <v/>
      </c>
    </row>
    <row r="763" spans="2:9" x14ac:dyDescent="0.25">
      <c r="B763" s="59"/>
      <c r="C763" s="60"/>
      <c r="D763" s="60"/>
      <c r="F763" s="60"/>
      <c r="G763" s="60"/>
      <c r="H763" s="62"/>
      <c r="I763" s="62" t="str">
        <f t="shared" si="11"/>
        <v/>
      </c>
    </row>
    <row r="764" spans="2:9" x14ac:dyDescent="0.25">
      <c r="B764" s="59"/>
      <c r="C764" s="60"/>
      <c r="D764" s="60"/>
      <c r="F764" s="60"/>
      <c r="G764" s="60"/>
      <c r="H764" s="62"/>
      <c r="I764" s="62" t="str">
        <f t="shared" si="11"/>
        <v/>
      </c>
    </row>
    <row r="765" spans="2:9" x14ac:dyDescent="0.25">
      <c r="B765" s="59"/>
      <c r="C765" s="60"/>
      <c r="D765" s="60"/>
      <c r="F765" s="60"/>
      <c r="G765" s="60"/>
      <c r="H765" s="62"/>
      <c r="I765" s="62" t="str">
        <f t="shared" si="11"/>
        <v/>
      </c>
    </row>
    <row r="766" spans="2:9" x14ac:dyDescent="0.25">
      <c r="B766" s="59"/>
      <c r="C766" s="60"/>
      <c r="D766" s="60"/>
      <c r="F766" s="60"/>
      <c r="G766" s="60"/>
      <c r="H766" s="62"/>
      <c r="I766" s="62" t="str">
        <f t="shared" si="11"/>
        <v/>
      </c>
    </row>
    <row r="767" spans="2:9" x14ac:dyDescent="0.25">
      <c r="B767" s="59"/>
      <c r="C767" s="60"/>
      <c r="D767" s="60"/>
      <c r="F767" s="60"/>
      <c r="G767" s="60"/>
      <c r="H767" s="62"/>
      <c r="I767" s="62" t="str">
        <f t="shared" si="11"/>
        <v/>
      </c>
    </row>
    <row r="768" spans="2:9" x14ac:dyDescent="0.25">
      <c r="B768" s="59"/>
      <c r="C768" s="60"/>
      <c r="D768" s="60"/>
      <c r="F768" s="60"/>
      <c r="G768" s="60"/>
      <c r="H768" s="62"/>
      <c r="I768" s="62" t="str">
        <f t="shared" si="11"/>
        <v/>
      </c>
    </row>
    <row r="769" spans="2:9" x14ac:dyDescent="0.25">
      <c r="B769" s="59"/>
      <c r="C769" s="60"/>
      <c r="D769" s="60"/>
      <c r="F769" s="60"/>
      <c r="G769" s="60"/>
      <c r="H769" s="62"/>
      <c r="I769" s="62" t="str">
        <f t="shared" si="11"/>
        <v/>
      </c>
    </row>
    <row r="770" spans="2:9" x14ac:dyDescent="0.25">
      <c r="B770" s="59"/>
      <c r="C770" s="60"/>
      <c r="D770" s="60"/>
      <c r="F770" s="60"/>
      <c r="G770" s="60"/>
      <c r="H770" s="62"/>
      <c r="I770" s="62" t="str">
        <f t="shared" si="11"/>
        <v/>
      </c>
    </row>
    <row r="771" spans="2:9" x14ac:dyDescent="0.25">
      <c r="B771" s="59"/>
      <c r="C771" s="60"/>
      <c r="D771" s="60"/>
      <c r="F771" s="60"/>
      <c r="G771" s="60"/>
      <c r="H771" s="62"/>
      <c r="I771" s="62" t="str">
        <f t="shared" si="11"/>
        <v/>
      </c>
    </row>
    <row r="772" spans="2:9" x14ac:dyDescent="0.25">
      <c r="B772" s="59"/>
      <c r="C772" s="60"/>
      <c r="D772" s="60"/>
      <c r="F772" s="60"/>
      <c r="G772" s="60"/>
      <c r="H772" s="62"/>
      <c r="I772" s="62" t="str">
        <f t="shared" si="11"/>
        <v/>
      </c>
    </row>
    <row r="773" spans="2:9" x14ac:dyDescent="0.25">
      <c r="B773" s="59"/>
      <c r="C773" s="60"/>
      <c r="D773" s="60"/>
      <c r="F773" s="60"/>
      <c r="G773" s="60"/>
      <c r="H773" s="62"/>
      <c r="I773" s="62" t="str">
        <f t="shared" ref="I773:I836" si="12">IF(H773&lt;&gt;"",H773-H772,"")</f>
        <v/>
      </c>
    </row>
    <row r="774" spans="2:9" x14ac:dyDescent="0.25">
      <c r="B774" s="59"/>
      <c r="C774" s="60"/>
      <c r="D774" s="60"/>
      <c r="F774" s="60"/>
      <c r="G774" s="60"/>
      <c r="H774" s="62"/>
      <c r="I774" s="62" t="str">
        <f t="shared" si="12"/>
        <v/>
      </c>
    </row>
    <row r="775" spans="2:9" x14ac:dyDescent="0.25">
      <c r="B775" s="59"/>
      <c r="C775" s="60"/>
      <c r="D775" s="60"/>
      <c r="F775" s="60"/>
      <c r="G775" s="60"/>
      <c r="H775" s="62"/>
      <c r="I775" s="62" t="str">
        <f t="shared" si="12"/>
        <v/>
      </c>
    </row>
    <row r="776" spans="2:9" x14ac:dyDescent="0.25">
      <c r="B776" s="59"/>
      <c r="C776" s="60"/>
      <c r="D776" s="60"/>
      <c r="F776" s="60"/>
      <c r="G776" s="60"/>
      <c r="H776" s="62"/>
      <c r="I776" s="62" t="str">
        <f t="shared" si="12"/>
        <v/>
      </c>
    </row>
    <row r="777" spans="2:9" x14ac:dyDescent="0.25">
      <c r="B777" s="59"/>
      <c r="C777" s="60"/>
      <c r="D777" s="60"/>
      <c r="F777" s="60"/>
      <c r="G777" s="60"/>
      <c r="H777" s="62"/>
      <c r="I777" s="62" t="str">
        <f t="shared" si="12"/>
        <v/>
      </c>
    </row>
    <row r="778" spans="2:9" x14ac:dyDescent="0.25">
      <c r="B778" s="59"/>
      <c r="C778" s="60"/>
      <c r="D778" s="60"/>
      <c r="F778" s="60"/>
      <c r="G778" s="60"/>
      <c r="H778" s="62"/>
      <c r="I778" s="62" t="str">
        <f t="shared" si="12"/>
        <v/>
      </c>
    </row>
    <row r="779" spans="2:9" x14ac:dyDescent="0.25">
      <c r="B779" s="59"/>
      <c r="C779" s="60"/>
      <c r="D779" s="60"/>
      <c r="F779" s="60"/>
      <c r="G779" s="60"/>
      <c r="H779" s="62"/>
      <c r="I779" s="62" t="str">
        <f t="shared" si="12"/>
        <v/>
      </c>
    </row>
    <row r="780" spans="2:9" x14ac:dyDescent="0.25">
      <c r="B780" s="59"/>
      <c r="C780" s="60"/>
      <c r="D780" s="60"/>
      <c r="F780" s="60"/>
      <c r="G780" s="60"/>
      <c r="H780" s="62"/>
      <c r="I780" s="62" t="str">
        <f t="shared" si="12"/>
        <v/>
      </c>
    </row>
    <row r="781" spans="2:9" x14ac:dyDescent="0.25">
      <c r="B781" s="59"/>
      <c r="C781" s="60"/>
      <c r="D781" s="60"/>
      <c r="F781" s="60"/>
      <c r="G781" s="60"/>
      <c r="H781" s="62"/>
      <c r="I781" s="62" t="str">
        <f t="shared" si="12"/>
        <v/>
      </c>
    </row>
    <row r="782" spans="2:9" x14ac:dyDescent="0.25">
      <c r="B782" s="59"/>
      <c r="C782" s="60"/>
      <c r="D782" s="60"/>
      <c r="F782" s="60"/>
      <c r="G782" s="60"/>
      <c r="H782" s="62"/>
      <c r="I782" s="62" t="str">
        <f t="shared" si="12"/>
        <v/>
      </c>
    </row>
    <row r="783" spans="2:9" x14ac:dyDescent="0.25">
      <c r="B783" s="59"/>
      <c r="C783" s="60"/>
      <c r="D783" s="60"/>
      <c r="F783" s="60"/>
      <c r="G783" s="60"/>
      <c r="H783" s="62"/>
      <c r="I783" s="62" t="str">
        <f t="shared" si="12"/>
        <v/>
      </c>
    </row>
    <row r="784" spans="2:9" x14ac:dyDescent="0.25">
      <c r="B784" s="59"/>
      <c r="C784" s="60"/>
      <c r="D784" s="60"/>
      <c r="F784" s="60"/>
      <c r="G784" s="60"/>
      <c r="H784" s="62"/>
      <c r="I784" s="62" t="str">
        <f t="shared" si="12"/>
        <v/>
      </c>
    </row>
    <row r="785" spans="2:9" x14ac:dyDescent="0.25">
      <c r="B785" s="59"/>
      <c r="C785" s="60"/>
      <c r="D785" s="60"/>
      <c r="F785" s="60"/>
      <c r="G785" s="60"/>
      <c r="H785" s="62"/>
      <c r="I785" s="62" t="str">
        <f t="shared" si="12"/>
        <v/>
      </c>
    </row>
    <row r="786" spans="2:9" x14ac:dyDescent="0.25">
      <c r="B786" s="59"/>
      <c r="C786" s="60"/>
      <c r="D786" s="60"/>
      <c r="F786" s="60"/>
      <c r="G786" s="60"/>
      <c r="H786" s="62"/>
      <c r="I786" s="62" t="str">
        <f t="shared" si="12"/>
        <v/>
      </c>
    </row>
    <row r="787" spans="2:9" x14ac:dyDescent="0.25">
      <c r="B787" s="59"/>
      <c r="C787" s="60"/>
      <c r="D787" s="60"/>
      <c r="F787" s="60"/>
      <c r="G787" s="60"/>
      <c r="H787" s="62"/>
      <c r="I787" s="62" t="str">
        <f t="shared" si="12"/>
        <v/>
      </c>
    </row>
    <row r="788" spans="2:9" x14ac:dyDescent="0.25">
      <c r="B788" s="59"/>
      <c r="C788" s="60"/>
      <c r="D788" s="60"/>
      <c r="F788" s="60"/>
      <c r="G788" s="60"/>
      <c r="H788" s="62"/>
      <c r="I788" s="62" t="str">
        <f t="shared" si="12"/>
        <v/>
      </c>
    </row>
    <row r="789" spans="2:9" x14ac:dyDescent="0.25">
      <c r="B789" s="59"/>
      <c r="C789" s="60"/>
      <c r="D789" s="60"/>
      <c r="F789" s="60"/>
      <c r="G789" s="60"/>
      <c r="H789" s="62"/>
      <c r="I789" s="62" t="str">
        <f t="shared" si="12"/>
        <v/>
      </c>
    </row>
    <row r="790" spans="2:9" x14ac:dyDescent="0.25">
      <c r="B790" s="59"/>
      <c r="C790" s="60"/>
      <c r="D790" s="60"/>
      <c r="F790" s="60"/>
      <c r="G790" s="60"/>
      <c r="H790" s="62"/>
      <c r="I790" s="62" t="str">
        <f t="shared" si="12"/>
        <v/>
      </c>
    </row>
    <row r="791" spans="2:9" x14ac:dyDescent="0.25">
      <c r="B791" s="59"/>
      <c r="C791" s="60"/>
      <c r="D791" s="60"/>
      <c r="F791" s="60"/>
      <c r="G791" s="60"/>
      <c r="H791" s="62"/>
      <c r="I791" s="62" t="str">
        <f t="shared" si="12"/>
        <v/>
      </c>
    </row>
    <row r="792" spans="2:9" x14ac:dyDescent="0.25">
      <c r="B792" s="59"/>
      <c r="C792" s="60"/>
      <c r="D792" s="60"/>
      <c r="F792" s="60"/>
      <c r="G792" s="60"/>
      <c r="H792" s="62"/>
      <c r="I792" s="62" t="str">
        <f t="shared" si="12"/>
        <v/>
      </c>
    </row>
    <row r="793" spans="2:9" x14ac:dyDescent="0.25">
      <c r="B793" s="59"/>
      <c r="C793" s="60"/>
      <c r="D793" s="60"/>
      <c r="F793" s="60"/>
      <c r="G793" s="60"/>
      <c r="H793" s="62"/>
      <c r="I793" s="62" t="str">
        <f t="shared" si="12"/>
        <v/>
      </c>
    </row>
    <row r="794" spans="2:9" x14ac:dyDescent="0.25">
      <c r="B794" s="59"/>
      <c r="C794" s="60"/>
      <c r="D794" s="60"/>
      <c r="F794" s="60"/>
      <c r="G794" s="60"/>
      <c r="H794" s="62"/>
      <c r="I794" s="62" t="str">
        <f t="shared" si="12"/>
        <v/>
      </c>
    </row>
    <row r="795" spans="2:9" x14ac:dyDescent="0.25">
      <c r="B795" s="59"/>
      <c r="C795" s="60"/>
      <c r="D795" s="60"/>
      <c r="F795" s="60"/>
      <c r="G795" s="60"/>
      <c r="H795" s="62"/>
      <c r="I795" s="62" t="str">
        <f t="shared" si="12"/>
        <v/>
      </c>
    </row>
    <row r="796" spans="2:9" x14ac:dyDescent="0.25">
      <c r="B796" s="59"/>
      <c r="C796" s="60"/>
      <c r="D796" s="60"/>
      <c r="F796" s="60"/>
      <c r="G796" s="60"/>
      <c r="H796" s="62"/>
      <c r="I796" s="62" t="str">
        <f t="shared" si="12"/>
        <v/>
      </c>
    </row>
    <row r="797" spans="2:9" x14ac:dyDescent="0.25">
      <c r="B797" s="59"/>
      <c r="C797" s="60"/>
      <c r="D797" s="60"/>
      <c r="F797" s="60"/>
      <c r="G797" s="60"/>
      <c r="H797" s="62"/>
      <c r="I797" s="62" t="str">
        <f t="shared" si="12"/>
        <v/>
      </c>
    </row>
    <row r="798" spans="2:9" x14ac:dyDescent="0.25">
      <c r="B798" s="59"/>
      <c r="C798" s="60"/>
      <c r="D798" s="60"/>
      <c r="F798" s="60"/>
      <c r="G798" s="60"/>
      <c r="H798" s="62"/>
      <c r="I798" s="62" t="str">
        <f t="shared" si="12"/>
        <v/>
      </c>
    </row>
    <row r="799" spans="2:9" x14ac:dyDescent="0.25">
      <c r="B799" s="59"/>
      <c r="C799" s="60"/>
      <c r="D799" s="60"/>
      <c r="F799" s="60"/>
      <c r="G799" s="60"/>
      <c r="H799" s="62"/>
      <c r="I799" s="62" t="str">
        <f t="shared" si="12"/>
        <v/>
      </c>
    </row>
    <row r="800" spans="2:9" x14ac:dyDescent="0.25">
      <c r="B800" s="59"/>
      <c r="C800" s="60"/>
      <c r="D800" s="60"/>
      <c r="F800" s="60"/>
      <c r="G800" s="60"/>
      <c r="H800" s="62"/>
      <c r="I800" s="62" t="str">
        <f t="shared" si="12"/>
        <v/>
      </c>
    </row>
    <row r="801" spans="2:9" x14ac:dyDescent="0.25">
      <c r="B801" s="59"/>
      <c r="C801" s="60"/>
      <c r="D801" s="60"/>
      <c r="F801" s="60"/>
      <c r="G801" s="60"/>
      <c r="H801" s="62"/>
      <c r="I801" s="62" t="str">
        <f t="shared" si="12"/>
        <v/>
      </c>
    </row>
    <row r="802" spans="2:9" x14ac:dyDescent="0.25">
      <c r="B802" s="59"/>
      <c r="C802" s="60"/>
      <c r="D802" s="60"/>
      <c r="F802" s="60"/>
      <c r="G802" s="60"/>
      <c r="H802" s="62"/>
      <c r="I802" s="62" t="str">
        <f t="shared" si="12"/>
        <v/>
      </c>
    </row>
    <row r="803" spans="2:9" x14ac:dyDescent="0.25">
      <c r="B803" s="59"/>
      <c r="C803" s="60"/>
      <c r="D803" s="60"/>
      <c r="F803" s="60"/>
      <c r="G803" s="60"/>
      <c r="H803" s="62"/>
      <c r="I803" s="62" t="str">
        <f t="shared" si="12"/>
        <v/>
      </c>
    </row>
    <row r="804" spans="2:9" x14ac:dyDescent="0.25">
      <c r="B804" s="59"/>
      <c r="C804" s="60"/>
      <c r="D804" s="60"/>
      <c r="F804" s="60"/>
      <c r="G804" s="60"/>
      <c r="H804" s="62"/>
      <c r="I804" s="62" t="str">
        <f t="shared" si="12"/>
        <v/>
      </c>
    </row>
    <row r="805" spans="2:9" x14ac:dyDescent="0.25">
      <c r="B805" s="59"/>
      <c r="C805" s="60"/>
      <c r="D805" s="60"/>
      <c r="F805" s="60"/>
      <c r="G805" s="60"/>
      <c r="H805" s="62"/>
      <c r="I805" s="62" t="str">
        <f t="shared" si="12"/>
        <v/>
      </c>
    </row>
    <row r="806" spans="2:9" x14ac:dyDescent="0.25">
      <c r="B806" s="59"/>
      <c r="C806" s="60"/>
      <c r="D806" s="60"/>
      <c r="F806" s="60"/>
      <c r="G806" s="60"/>
      <c r="H806" s="62"/>
      <c r="I806" s="62" t="str">
        <f t="shared" si="12"/>
        <v/>
      </c>
    </row>
    <row r="807" spans="2:9" x14ac:dyDescent="0.25">
      <c r="B807" s="59"/>
      <c r="C807" s="60"/>
      <c r="D807" s="60"/>
      <c r="F807" s="60"/>
      <c r="G807" s="60"/>
      <c r="H807" s="62"/>
      <c r="I807" s="62" t="str">
        <f t="shared" si="12"/>
        <v/>
      </c>
    </row>
    <row r="808" spans="2:9" x14ac:dyDescent="0.25">
      <c r="B808" s="59"/>
      <c r="C808" s="60"/>
      <c r="D808" s="60"/>
      <c r="F808" s="60"/>
      <c r="G808" s="60"/>
      <c r="H808" s="62"/>
      <c r="I808" s="62" t="str">
        <f t="shared" si="12"/>
        <v/>
      </c>
    </row>
    <row r="809" spans="2:9" x14ac:dyDescent="0.25">
      <c r="B809" s="59"/>
      <c r="C809" s="60"/>
      <c r="D809" s="60"/>
      <c r="F809" s="60"/>
      <c r="G809" s="60"/>
      <c r="H809" s="62"/>
      <c r="I809" s="62" t="str">
        <f t="shared" si="12"/>
        <v/>
      </c>
    </row>
    <row r="810" spans="2:9" x14ac:dyDescent="0.25">
      <c r="B810" s="59"/>
      <c r="C810" s="60"/>
      <c r="D810" s="60"/>
      <c r="F810" s="60"/>
      <c r="G810" s="60"/>
      <c r="H810" s="62"/>
      <c r="I810" s="62" t="str">
        <f t="shared" si="12"/>
        <v/>
      </c>
    </row>
    <row r="811" spans="2:9" x14ac:dyDescent="0.25">
      <c r="B811" s="59"/>
      <c r="C811" s="60"/>
      <c r="D811" s="60"/>
      <c r="F811" s="60"/>
      <c r="G811" s="60"/>
      <c r="H811" s="62"/>
      <c r="I811" s="62" t="str">
        <f t="shared" si="12"/>
        <v/>
      </c>
    </row>
    <row r="812" spans="2:9" x14ac:dyDescent="0.25">
      <c r="B812" s="59"/>
      <c r="C812" s="60"/>
      <c r="D812" s="60"/>
      <c r="F812" s="60"/>
      <c r="G812" s="60"/>
      <c r="H812" s="62"/>
      <c r="I812" s="62" t="str">
        <f t="shared" si="12"/>
        <v/>
      </c>
    </row>
    <row r="813" spans="2:9" x14ac:dyDescent="0.25">
      <c r="B813" s="59"/>
      <c r="C813" s="60"/>
      <c r="D813" s="60"/>
      <c r="F813" s="60"/>
      <c r="G813" s="60"/>
      <c r="H813" s="62"/>
      <c r="I813" s="62" t="str">
        <f t="shared" si="12"/>
        <v/>
      </c>
    </row>
    <row r="814" spans="2:9" x14ac:dyDescent="0.25">
      <c r="B814" s="59"/>
      <c r="C814" s="60"/>
      <c r="D814" s="60"/>
      <c r="F814" s="60"/>
      <c r="G814" s="60"/>
      <c r="H814" s="62"/>
      <c r="I814" s="62" t="str">
        <f t="shared" si="12"/>
        <v/>
      </c>
    </row>
    <row r="815" spans="2:9" x14ac:dyDescent="0.25">
      <c r="B815" s="59"/>
      <c r="C815" s="60"/>
      <c r="D815" s="60"/>
      <c r="F815" s="60"/>
      <c r="G815" s="60"/>
      <c r="H815" s="62"/>
      <c r="I815" s="62" t="str">
        <f t="shared" si="12"/>
        <v/>
      </c>
    </row>
    <row r="816" spans="2:9" x14ac:dyDescent="0.25">
      <c r="B816" s="59"/>
      <c r="C816" s="60"/>
      <c r="D816" s="60"/>
      <c r="F816" s="60"/>
      <c r="G816" s="60"/>
      <c r="H816" s="62"/>
      <c r="I816" s="62" t="str">
        <f t="shared" si="12"/>
        <v/>
      </c>
    </row>
    <row r="817" spans="2:9" x14ac:dyDescent="0.25">
      <c r="B817" s="59"/>
      <c r="C817" s="60"/>
      <c r="D817" s="60"/>
      <c r="F817" s="60"/>
      <c r="G817" s="60"/>
      <c r="H817" s="62"/>
      <c r="I817" s="62" t="str">
        <f t="shared" si="12"/>
        <v/>
      </c>
    </row>
    <row r="818" spans="2:9" x14ac:dyDescent="0.25">
      <c r="B818" s="59"/>
      <c r="C818" s="60"/>
      <c r="D818" s="60"/>
      <c r="F818" s="60"/>
      <c r="G818" s="60"/>
      <c r="H818" s="62"/>
      <c r="I818" s="62" t="str">
        <f t="shared" si="12"/>
        <v/>
      </c>
    </row>
    <row r="819" spans="2:9" x14ac:dyDescent="0.25">
      <c r="B819" s="59"/>
      <c r="C819" s="60"/>
      <c r="D819" s="60"/>
      <c r="F819" s="60"/>
      <c r="G819" s="60"/>
      <c r="H819" s="62"/>
      <c r="I819" s="62" t="str">
        <f t="shared" si="12"/>
        <v/>
      </c>
    </row>
    <row r="820" spans="2:9" x14ac:dyDescent="0.25">
      <c r="B820" s="59"/>
      <c r="C820" s="60"/>
      <c r="D820" s="60"/>
      <c r="F820" s="60"/>
      <c r="G820" s="60"/>
      <c r="H820" s="62"/>
      <c r="I820" s="62" t="str">
        <f t="shared" si="12"/>
        <v/>
      </c>
    </row>
    <row r="821" spans="2:9" x14ac:dyDescent="0.25">
      <c r="B821" s="59"/>
      <c r="C821" s="60"/>
      <c r="D821" s="60"/>
      <c r="F821" s="60"/>
      <c r="G821" s="60"/>
      <c r="H821" s="62"/>
      <c r="I821" s="62" t="str">
        <f t="shared" si="12"/>
        <v/>
      </c>
    </row>
    <row r="822" spans="2:9" x14ac:dyDescent="0.25">
      <c r="B822" s="59"/>
      <c r="C822" s="60"/>
      <c r="D822" s="60"/>
      <c r="F822" s="60"/>
      <c r="G822" s="60"/>
      <c r="H822" s="62"/>
      <c r="I822" s="62" t="str">
        <f t="shared" si="12"/>
        <v/>
      </c>
    </row>
    <row r="823" spans="2:9" x14ac:dyDescent="0.25">
      <c r="B823" s="59"/>
      <c r="C823" s="60"/>
      <c r="D823" s="60"/>
      <c r="F823" s="60"/>
      <c r="G823" s="60"/>
      <c r="H823" s="62"/>
      <c r="I823" s="62" t="str">
        <f t="shared" si="12"/>
        <v/>
      </c>
    </row>
    <row r="824" spans="2:9" x14ac:dyDescent="0.25">
      <c r="B824" s="59"/>
      <c r="C824" s="60"/>
      <c r="D824" s="60"/>
      <c r="F824" s="60"/>
      <c r="G824" s="60"/>
      <c r="H824" s="62"/>
      <c r="I824" s="62" t="str">
        <f t="shared" si="12"/>
        <v/>
      </c>
    </row>
    <row r="825" spans="2:9" x14ac:dyDescent="0.25">
      <c r="B825" s="59"/>
      <c r="C825" s="60"/>
      <c r="D825" s="60"/>
      <c r="F825" s="60"/>
      <c r="G825" s="60"/>
      <c r="H825" s="62"/>
      <c r="I825" s="62" t="str">
        <f t="shared" si="12"/>
        <v/>
      </c>
    </row>
    <row r="826" spans="2:9" x14ac:dyDescent="0.25">
      <c r="B826" s="59"/>
      <c r="C826" s="60"/>
      <c r="D826" s="60"/>
      <c r="F826" s="60"/>
      <c r="G826" s="60"/>
      <c r="H826" s="62"/>
      <c r="I826" s="62" t="str">
        <f t="shared" si="12"/>
        <v/>
      </c>
    </row>
    <row r="827" spans="2:9" x14ac:dyDescent="0.25">
      <c r="B827" s="59"/>
      <c r="C827" s="60"/>
      <c r="D827" s="60"/>
      <c r="F827" s="60"/>
      <c r="G827" s="60"/>
      <c r="H827" s="62"/>
      <c r="I827" s="62" t="str">
        <f t="shared" si="12"/>
        <v/>
      </c>
    </row>
    <row r="828" spans="2:9" x14ac:dyDescent="0.25">
      <c r="B828" s="59"/>
      <c r="C828" s="60"/>
      <c r="D828" s="60"/>
      <c r="F828" s="60"/>
      <c r="G828" s="60"/>
      <c r="H828" s="62"/>
      <c r="I828" s="62" t="str">
        <f t="shared" si="12"/>
        <v/>
      </c>
    </row>
    <row r="829" spans="2:9" x14ac:dyDescent="0.25">
      <c r="B829" s="59"/>
      <c r="C829" s="60"/>
      <c r="D829" s="60"/>
      <c r="F829" s="60"/>
      <c r="G829" s="60"/>
      <c r="H829" s="62"/>
      <c r="I829" s="62" t="str">
        <f t="shared" si="12"/>
        <v/>
      </c>
    </row>
    <row r="830" spans="2:9" x14ac:dyDescent="0.25">
      <c r="B830" s="59"/>
      <c r="C830" s="60"/>
      <c r="D830" s="60"/>
      <c r="F830" s="60"/>
      <c r="G830" s="60"/>
      <c r="H830" s="62"/>
      <c r="I830" s="62" t="str">
        <f t="shared" si="12"/>
        <v/>
      </c>
    </row>
    <row r="831" spans="2:9" x14ac:dyDescent="0.25">
      <c r="B831" s="59"/>
      <c r="C831" s="60"/>
      <c r="D831" s="60"/>
      <c r="F831" s="60"/>
      <c r="G831" s="60"/>
      <c r="H831" s="62"/>
      <c r="I831" s="62" t="str">
        <f t="shared" si="12"/>
        <v/>
      </c>
    </row>
    <row r="832" spans="2:9" x14ac:dyDescent="0.25">
      <c r="B832" s="59"/>
      <c r="C832" s="60"/>
      <c r="D832" s="60"/>
      <c r="F832" s="60"/>
      <c r="G832" s="60"/>
      <c r="H832" s="62"/>
      <c r="I832" s="62" t="str">
        <f t="shared" si="12"/>
        <v/>
      </c>
    </row>
    <row r="833" spans="2:9" x14ac:dyDescent="0.25">
      <c r="B833" s="59"/>
      <c r="C833" s="60"/>
      <c r="D833" s="60"/>
      <c r="F833" s="60"/>
      <c r="G833" s="60"/>
      <c r="H833" s="62"/>
      <c r="I833" s="62" t="str">
        <f t="shared" si="12"/>
        <v/>
      </c>
    </row>
    <row r="834" spans="2:9" x14ac:dyDescent="0.25">
      <c r="B834" s="59"/>
      <c r="C834" s="60"/>
      <c r="D834" s="60"/>
      <c r="F834" s="60"/>
      <c r="G834" s="60"/>
      <c r="H834" s="62"/>
      <c r="I834" s="62" t="str">
        <f t="shared" si="12"/>
        <v/>
      </c>
    </row>
    <row r="835" spans="2:9" x14ac:dyDescent="0.25">
      <c r="B835" s="59"/>
      <c r="C835" s="60"/>
      <c r="D835" s="60"/>
      <c r="F835" s="60"/>
      <c r="G835" s="60"/>
      <c r="H835" s="62"/>
      <c r="I835" s="62" t="str">
        <f t="shared" si="12"/>
        <v/>
      </c>
    </row>
    <row r="836" spans="2:9" x14ac:dyDescent="0.25">
      <c r="B836" s="59"/>
      <c r="C836" s="60"/>
      <c r="D836" s="60"/>
      <c r="F836" s="60"/>
      <c r="G836" s="60"/>
      <c r="H836" s="62"/>
      <c r="I836" s="62" t="str">
        <f t="shared" si="12"/>
        <v/>
      </c>
    </row>
    <row r="837" spans="2:9" x14ac:dyDescent="0.25">
      <c r="B837" s="59"/>
      <c r="C837" s="60"/>
      <c r="D837" s="60"/>
      <c r="F837" s="60"/>
      <c r="G837" s="60"/>
      <c r="H837" s="62"/>
      <c r="I837" s="62" t="str">
        <f t="shared" ref="I837:I900" si="13">IF(H837&lt;&gt;"",H837-H836,"")</f>
        <v/>
      </c>
    </row>
    <row r="838" spans="2:9" x14ac:dyDescent="0.25">
      <c r="B838" s="59"/>
      <c r="C838" s="60"/>
      <c r="D838" s="60"/>
      <c r="F838" s="60"/>
      <c r="G838" s="60"/>
      <c r="H838" s="62"/>
      <c r="I838" s="62" t="str">
        <f t="shared" si="13"/>
        <v/>
      </c>
    </row>
    <row r="839" spans="2:9" x14ac:dyDescent="0.25">
      <c r="B839" s="59"/>
      <c r="C839" s="60"/>
      <c r="D839" s="60"/>
      <c r="F839" s="60"/>
      <c r="G839" s="60"/>
      <c r="H839" s="62"/>
      <c r="I839" s="62" t="str">
        <f t="shared" si="13"/>
        <v/>
      </c>
    </row>
    <row r="840" spans="2:9" x14ac:dyDescent="0.25">
      <c r="B840" s="59"/>
      <c r="C840" s="60"/>
      <c r="D840" s="60"/>
      <c r="F840" s="60"/>
      <c r="G840" s="60"/>
      <c r="H840" s="62"/>
      <c r="I840" s="62" t="str">
        <f t="shared" si="13"/>
        <v/>
      </c>
    </row>
    <row r="841" spans="2:9" x14ac:dyDescent="0.25">
      <c r="B841" s="59"/>
      <c r="C841" s="60"/>
      <c r="D841" s="60"/>
      <c r="F841" s="60"/>
      <c r="G841" s="60"/>
      <c r="H841" s="62"/>
      <c r="I841" s="62" t="str">
        <f t="shared" si="13"/>
        <v/>
      </c>
    </row>
    <row r="842" spans="2:9" x14ac:dyDescent="0.25">
      <c r="B842" s="59"/>
      <c r="C842" s="60"/>
      <c r="D842" s="60"/>
      <c r="F842" s="60"/>
      <c r="G842" s="60"/>
      <c r="H842" s="62"/>
      <c r="I842" s="62" t="str">
        <f t="shared" si="13"/>
        <v/>
      </c>
    </row>
    <row r="843" spans="2:9" x14ac:dyDescent="0.25">
      <c r="B843" s="59"/>
      <c r="C843" s="60"/>
      <c r="D843" s="60"/>
      <c r="F843" s="60"/>
      <c r="G843" s="60"/>
      <c r="H843" s="62"/>
      <c r="I843" s="62" t="str">
        <f t="shared" si="13"/>
        <v/>
      </c>
    </row>
    <row r="844" spans="2:9" x14ac:dyDescent="0.25">
      <c r="B844" s="59"/>
      <c r="C844" s="60"/>
      <c r="D844" s="60"/>
      <c r="F844" s="60"/>
      <c r="G844" s="60"/>
      <c r="H844" s="62"/>
      <c r="I844" s="62" t="str">
        <f t="shared" si="13"/>
        <v/>
      </c>
    </row>
    <row r="845" spans="2:9" x14ac:dyDescent="0.25">
      <c r="B845" s="59"/>
      <c r="C845" s="60"/>
      <c r="D845" s="60"/>
      <c r="F845" s="60"/>
      <c r="G845" s="60"/>
      <c r="H845" s="62"/>
      <c r="I845" s="62" t="str">
        <f t="shared" si="13"/>
        <v/>
      </c>
    </row>
    <row r="846" spans="2:9" x14ac:dyDescent="0.25">
      <c r="B846" s="59"/>
      <c r="C846" s="60"/>
      <c r="D846" s="60"/>
      <c r="F846" s="60"/>
      <c r="G846" s="60"/>
      <c r="H846" s="62"/>
      <c r="I846" s="62" t="str">
        <f t="shared" si="13"/>
        <v/>
      </c>
    </row>
    <row r="847" spans="2:9" x14ac:dyDescent="0.25">
      <c r="B847" s="59"/>
      <c r="C847" s="60"/>
      <c r="D847" s="60"/>
      <c r="F847" s="60"/>
      <c r="G847" s="60"/>
      <c r="H847" s="62"/>
      <c r="I847" s="62" t="str">
        <f t="shared" si="13"/>
        <v/>
      </c>
    </row>
    <row r="848" spans="2:9" x14ac:dyDescent="0.25">
      <c r="B848" s="59"/>
      <c r="C848" s="60"/>
      <c r="D848" s="60"/>
      <c r="F848" s="60"/>
      <c r="G848" s="60"/>
      <c r="H848" s="62"/>
      <c r="I848" s="62" t="str">
        <f t="shared" si="13"/>
        <v/>
      </c>
    </row>
    <row r="849" spans="2:9" x14ac:dyDescent="0.25">
      <c r="B849" s="59"/>
      <c r="C849" s="60"/>
      <c r="D849" s="60"/>
      <c r="F849" s="60"/>
      <c r="G849" s="60"/>
      <c r="H849" s="62"/>
      <c r="I849" s="62" t="str">
        <f t="shared" si="13"/>
        <v/>
      </c>
    </row>
    <row r="850" spans="2:9" x14ac:dyDescent="0.25">
      <c r="B850" s="59"/>
      <c r="C850" s="60"/>
      <c r="D850" s="60"/>
      <c r="F850" s="60"/>
      <c r="G850" s="60"/>
      <c r="H850" s="62"/>
      <c r="I850" s="62" t="str">
        <f t="shared" si="13"/>
        <v/>
      </c>
    </row>
    <row r="851" spans="2:9" x14ac:dyDescent="0.25">
      <c r="B851" s="59"/>
      <c r="C851" s="60"/>
      <c r="D851" s="60"/>
      <c r="F851" s="60"/>
      <c r="G851" s="60"/>
      <c r="H851" s="62"/>
      <c r="I851" s="62" t="str">
        <f t="shared" si="13"/>
        <v/>
      </c>
    </row>
    <row r="852" spans="2:9" x14ac:dyDescent="0.25">
      <c r="B852" s="59"/>
      <c r="C852" s="60"/>
      <c r="D852" s="60"/>
      <c r="F852" s="60"/>
      <c r="G852" s="60"/>
      <c r="H852" s="62"/>
      <c r="I852" s="62" t="str">
        <f t="shared" si="13"/>
        <v/>
      </c>
    </row>
    <row r="853" spans="2:9" x14ac:dyDescent="0.25">
      <c r="B853" s="59"/>
      <c r="C853" s="60"/>
      <c r="D853" s="60"/>
      <c r="F853" s="60"/>
      <c r="G853" s="60"/>
      <c r="H853" s="62"/>
      <c r="I853" s="62" t="str">
        <f t="shared" si="13"/>
        <v/>
      </c>
    </row>
    <row r="854" spans="2:9" x14ac:dyDescent="0.25">
      <c r="B854" s="59"/>
      <c r="C854" s="60"/>
      <c r="D854" s="60"/>
      <c r="F854" s="60"/>
      <c r="G854" s="60"/>
      <c r="H854" s="62"/>
      <c r="I854" s="62" t="str">
        <f t="shared" si="13"/>
        <v/>
      </c>
    </row>
    <row r="855" spans="2:9" x14ac:dyDescent="0.25">
      <c r="B855" s="59"/>
      <c r="C855" s="60"/>
      <c r="D855" s="60"/>
      <c r="F855" s="60"/>
      <c r="G855" s="60"/>
      <c r="H855" s="62"/>
      <c r="I855" s="62" t="str">
        <f t="shared" si="13"/>
        <v/>
      </c>
    </row>
    <row r="856" spans="2:9" x14ac:dyDescent="0.25">
      <c r="B856" s="59"/>
      <c r="C856" s="60"/>
      <c r="D856" s="60"/>
      <c r="F856" s="60"/>
      <c r="G856" s="60"/>
      <c r="H856" s="62"/>
      <c r="I856" s="62" t="str">
        <f t="shared" si="13"/>
        <v/>
      </c>
    </row>
    <row r="857" spans="2:9" x14ac:dyDescent="0.25">
      <c r="B857" s="59"/>
      <c r="C857" s="60"/>
      <c r="D857" s="60"/>
      <c r="F857" s="60"/>
      <c r="G857" s="60"/>
      <c r="H857" s="62"/>
      <c r="I857" s="62" t="str">
        <f t="shared" si="13"/>
        <v/>
      </c>
    </row>
    <row r="858" spans="2:9" x14ac:dyDescent="0.25">
      <c r="B858" s="59"/>
      <c r="C858" s="60"/>
      <c r="D858" s="60"/>
      <c r="F858" s="60"/>
      <c r="G858" s="60"/>
      <c r="H858" s="62"/>
      <c r="I858" s="62" t="str">
        <f t="shared" si="13"/>
        <v/>
      </c>
    </row>
    <row r="859" spans="2:9" x14ac:dyDescent="0.25">
      <c r="B859" s="59"/>
      <c r="C859" s="60"/>
      <c r="D859" s="60"/>
      <c r="F859" s="60"/>
      <c r="G859" s="60"/>
      <c r="H859" s="62"/>
      <c r="I859" s="62" t="str">
        <f t="shared" si="13"/>
        <v/>
      </c>
    </row>
    <row r="860" spans="2:9" x14ac:dyDescent="0.25">
      <c r="B860" s="59"/>
      <c r="C860" s="60"/>
      <c r="D860" s="60"/>
      <c r="F860" s="60"/>
      <c r="G860" s="60"/>
      <c r="H860" s="62"/>
      <c r="I860" s="62" t="str">
        <f t="shared" si="13"/>
        <v/>
      </c>
    </row>
    <row r="861" spans="2:9" x14ac:dyDescent="0.25">
      <c r="B861" s="59"/>
      <c r="C861" s="60"/>
      <c r="D861" s="60"/>
      <c r="F861" s="60"/>
      <c r="G861" s="60"/>
      <c r="H861" s="62"/>
      <c r="I861" s="62" t="str">
        <f t="shared" si="13"/>
        <v/>
      </c>
    </row>
    <row r="862" spans="2:9" x14ac:dyDescent="0.25">
      <c r="B862" s="59"/>
      <c r="C862" s="60"/>
      <c r="D862" s="60"/>
      <c r="F862" s="60"/>
      <c r="G862" s="60"/>
      <c r="H862" s="62"/>
      <c r="I862" s="62" t="str">
        <f t="shared" si="13"/>
        <v/>
      </c>
    </row>
    <row r="863" spans="2:9" x14ac:dyDescent="0.25">
      <c r="B863" s="59"/>
      <c r="C863" s="60"/>
      <c r="D863" s="60"/>
      <c r="F863" s="60"/>
      <c r="G863" s="60"/>
      <c r="H863" s="62"/>
      <c r="I863" s="62" t="str">
        <f t="shared" si="13"/>
        <v/>
      </c>
    </row>
    <row r="864" spans="2:9" x14ac:dyDescent="0.25">
      <c r="B864" s="59"/>
      <c r="C864" s="60"/>
      <c r="D864" s="60"/>
      <c r="F864" s="60"/>
      <c r="G864" s="60"/>
      <c r="H864" s="62"/>
      <c r="I864" s="62" t="str">
        <f t="shared" si="13"/>
        <v/>
      </c>
    </row>
    <row r="865" spans="2:9" x14ac:dyDescent="0.25">
      <c r="B865" s="59"/>
      <c r="C865" s="60"/>
      <c r="D865" s="60"/>
      <c r="F865" s="60"/>
      <c r="G865" s="60"/>
      <c r="H865" s="62"/>
      <c r="I865" s="62" t="str">
        <f t="shared" si="13"/>
        <v/>
      </c>
    </row>
    <row r="866" spans="2:9" x14ac:dyDescent="0.25">
      <c r="B866" s="59"/>
      <c r="C866" s="60"/>
      <c r="D866" s="60"/>
      <c r="F866" s="60"/>
      <c r="G866" s="60"/>
      <c r="H866" s="62"/>
      <c r="I866" s="62" t="str">
        <f t="shared" si="13"/>
        <v/>
      </c>
    </row>
    <row r="867" spans="2:9" x14ac:dyDescent="0.25">
      <c r="B867" s="59"/>
      <c r="C867" s="60"/>
      <c r="D867" s="60"/>
      <c r="F867" s="60"/>
      <c r="G867" s="60"/>
      <c r="H867" s="62"/>
      <c r="I867" s="62" t="str">
        <f t="shared" si="13"/>
        <v/>
      </c>
    </row>
    <row r="868" spans="2:9" x14ac:dyDescent="0.25">
      <c r="B868" s="59"/>
      <c r="C868" s="60"/>
      <c r="D868" s="60"/>
      <c r="F868" s="60"/>
      <c r="G868" s="60"/>
      <c r="H868" s="62"/>
      <c r="I868" s="62" t="str">
        <f t="shared" si="13"/>
        <v/>
      </c>
    </row>
    <row r="869" spans="2:9" x14ac:dyDescent="0.25">
      <c r="B869" s="59"/>
      <c r="C869" s="60"/>
      <c r="D869" s="60"/>
      <c r="F869" s="60"/>
      <c r="G869" s="60"/>
      <c r="H869" s="62"/>
      <c r="I869" s="62" t="str">
        <f t="shared" si="13"/>
        <v/>
      </c>
    </row>
    <row r="870" spans="2:9" x14ac:dyDescent="0.25">
      <c r="B870" s="59"/>
      <c r="C870" s="60"/>
      <c r="D870" s="60"/>
      <c r="F870" s="60"/>
      <c r="G870" s="60"/>
      <c r="H870" s="62"/>
      <c r="I870" s="62" t="str">
        <f t="shared" si="13"/>
        <v/>
      </c>
    </row>
    <row r="871" spans="2:9" x14ac:dyDescent="0.25">
      <c r="B871" s="59"/>
      <c r="C871" s="60"/>
      <c r="D871" s="60"/>
      <c r="F871" s="60"/>
      <c r="G871" s="60"/>
      <c r="H871" s="62"/>
      <c r="I871" s="62" t="str">
        <f t="shared" si="13"/>
        <v/>
      </c>
    </row>
    <row r="872" spans="2:9" x14ac:dyDescent="0.25">
      <c r="B872" s="59"/>
      <c r="C872" s="60"/>
      <c r="D872" s="60"/>
      <c r="F872" s="60"/>
      <c r="G872" s="60"/>
      <c r="H872" s="62"/>
      <c r="I872" s="62" t="str">
        <f t="shared" si="13"/>
        <v/>
      </c>
    </row>
    <row r="873" spans="2:9" x14ac:dyDescent="0.25">
      <c r="B873" s="59"/>
      <c r="C873" s="60"/>
      <c r="D873" s="60"/>
      <c r="F873" s="60"/>
      <c r="G873" s="60"/>
      <c r="H873" s="62"/>
      <c r="I873" s="62" t="str">
        <f t="shared" si="13"/>
        <v/>
      </c>
    </row>
    <row r="874" spans="2:9" x14ac:dyDescent="0.25">
      <c r="B874" s="59"/>
      <c r="C874" s="60"/>
      <c r="D874" s="60"/>
      <c r="F874" s="60"/>
      <c r="G874" s="60"/>
      <c r="H874" s="62"/>
      <c r="I874" s="62" t="str">
        <f t="shared" si="13"/>
        <v/>
      </c>
    </row>
    <row r="875" spans="2:9" x14ac:dyDescent="0.25">
      <c r="B875" s="59"/>
      <c r="C875" s="60"/>
      <c r="D875" s="60"/>
      <c r="F875" s="60"/>
      <c r="G875" s="60"/>
      <c r="H875" s="62"/>
      <c r="I875" s="62" t="str">
        <f t="shared" si="13"/>
        <v/>
      </c>
    </row>
    <row r="876" spans="2:9" x14ac:dyDescent="0.25">
      <c r="B876" s="59"/>
      <c r="C876" s="60"/>
      <c r="D876" s="60"/>
      <c r="F876" s="60"/>
      <c r="G876" s="60"/>
      <c r="H876" s="62"/>
      <c r="I876" s="62" t="str">
        <f t="shared" si="13"/>
        <v/>
      </c>
    </row>
    <row r="877" spans="2:9" x14ac:dyDescent="0.25">
      <c r="B877" s="59"/>
      <c r="C877" s="60"/>
      <c r="D877" s="60"/>
      <c r="F877" s="60"/>
      <c r="G877" s="60"/>
      <c r="H877" s="62"/>
      <c r="I877" s="62" t="str">
        <f t="shared" si="13"/>
        <v/>
      </c>
    </row>
    <row r="878" spans="2:9" x14ac:dyDescent="0.25">
      <c r="B878" s="59"/>
      <c r="C878" s="60"/>
      <c r="D878" s="60"/>
      <c r="F878" s="60"/>
      <c r="G878" s="60"/>
      <c r="H878" s="62"/>
      <c r="I878" s="62" t="str">
        <f t="shared" si="13"/>
        <v/>
      </c>
    </row>
    <row r="879" spans="2:9" x14ac:dyDescent="0.25">
      <c r="B879" s="59"/>
      <c r="C879" s="60"/>
      <c r="D879" s="60"/>
      <c r="F879" s="60"/>
      <c r="G879" s="60"/>
      <c r="H879" s="62"/>
      <c r="I879" s="62" t="str">
        <f t="shared" si="13"/>
        <v/>
      </c>
    </row>
    <row r="880" spans="2:9" x14ac:dyDescent="0.25">
      <c r="B880" s="59"/>
      <c r="C880" s="60"/>
      <c r="D880" s="60"/>
      <c r="F880" s="60"/>
      <c r="G880" s="60"/>
      <c r="H880" s="62"/>
      <c r="I880" s="62" t="str">
        <f t="shared" si="13"/>
        <v/>
      </c>
    </row>
    <row r="881" spans="2:9" x14ac:dyDescent="0.25">
      <c r="B881" s="59"/>
      <c r="C881" s="60"/>
      <c r="D881" s="60"/>
      <c r="F881" s="60"/>
      <c r="G881" s="60"/>
      <c r="H881" s="62"/>
      <c r="I881" s="62" t="str">
        <f t="shared" si="13"/>
        <v/>
      </c>
    </row>
    <row r="882" spans="2:9" x14ac:dyDescent="0.25">
      <c r="B882" s="59"/>
      <c r="C882" s="60"/>
      <c r="D882" s="60"/>
      <c r="F882" s="60"/>
      <c r="G882" s="60"/>
      <c r="H882" s="62"/>
      <c r="I882" s="62" t="str">
        <f t="shared" si="13"/>
        <v/>
      </c>
    </row>
    <row r="883" spans="2:9" x14ac:dyDescent="0.25">
      <c r="B883" s="59"/>
      <c r="C883" s="60"/>
      <c r="D883" s="60"/>
      <c r="F883" s="60"/>
      <c r="G883" s="60"/>
      <c r="H883" s="62"/>
      <c r="I883" s="62" t="str">
        <f t="shared" si="13"/>
        <v/>
      </c>
    </row>
    <row r="884" spans="2:9" x14ac:dyDescent="0.25">
      <c r="B884" s="59"/>
      <c r="C884" s="60"/>
      <c r="D884" s="60"/>
      <c r="F884" s="60"/>
      <c r="G884" s="60"/>
      <c r="H884" s="62"/>
      <c r="I884" s="62" t="str">
        <f t="shared" si="13"/>
        <v/>
      </c>
    </row>
    <row r="885" spans="2:9" x14ac:dyDescent="0.25">
      <c r="B885" s="59"/>
      <c r="C885" s="60"/>
      <c r="D885" s="60"/>
      <c r="F885" s="60"/>
      <c r="G885" s="60"/>
      <c r="H885" s="62"/>
      <c r="I885" s="62" t="str">
        <f t="shared" si="13"/>
        <v/>
      </c>
    </row>
    <row r="886" spans="2:9" x14ac:dyDescent="0.25">
      <c r="B886" s="59"/>
      <c r="C886" s="60"/>
      <c r="D886" s="60"/>
      <c r="F886" s="60"/>
      <c r="G886" s="60"/>
      <c r="H886" s="62"/>
      <c r="I886" s="62" t="str">
        <f t="shared" si="13"/>
        <v/>
      </c>
    </row>
    <row r="887" spans="2:9" x14ac:dyDescent="0.25">
      <c r="B887" s="59"/>
      <c r="C887" s="60"/>
      <c r="D887" s="60"/>
      <c r="F887" s="60"/>
      <c r="G887" s="60"/>
      <c r="H887" s="62"/>
      <c r="I887" s="62" t="str">
        <f t="shared" si="13"/>
        <v/>
      </c>
    </row>
    <row r="888" spans="2:9" x14ac:dyDescent="0.25">
      <c r="B888" s="59"/>
      <c r="C888" s="60"/>
      <c r="D888" s="60"/>
      <c r="F888" s="60"/>
      <c r="G888" s="60"/>
      <c r="H888" s="62"/>
      <c r="I888" s="62" t="str">
        <f t="shared" si="13"/>
        <v/>
      </c>
    </row>
    <row r="889" spans="2:9" x14ac:dyDescent="0.25">
      <c r="B889" s="59"/>
      <c r="C889" s="60"/>
      <c r="D889" s="60"/>
      <c r="F889" s="60"/>
      <c r="G889" s="60"/>
      <c r="H889" s="62"/>
      <c r="I889" s="62" t="str">
        <f t="shared" si="13"/>
        <v/>
      </c>
    </row>
    <row r="890" spans="2:9" x14ac:dyDescent="0.25">
      <c r="B890" s="59"/>
      <c r="C890" s="60"/>
      <c r="D890" s="60"/>
      <c r="F890" s="60"/>
      <c r="G890" s="60"/>
      <c r="H890" s="62"/>
      <c r="I890" s="62" t="str">
        <f t="shared" si="13"/>
        <v/>
      </c>
    </row>
    <row r="891" spans="2:9" x14ac:dyDescent="0.25">
      <c r="B891" s="59"/>
      <c r="C891" s="60"/>
      <c r="D891" s="60"/>
      <c r="F891" s="60"/>
      <c r="G891" s="60"/>
      <c r="H891" s="62"/>
      <c r="I891" s="62" t="str">
        <f t="shared" si="13"/>
        <v/>
      </c>
    </row>
    <row r="892" spans="2:9" x14ac:dyDescent="0.25">
      <c r="B892" s="59"/>
      <c r="C892" s="60"/>
      <c r="D892" s="60"/>
      <c r="F892" s="60"/>
      <c r="G892" s="60"/>
      <c r="H892" s="62"/>
      <c r="I892" s="62" t="str">
        <f t="shared" si="13"/>
        <v/>
      </c>
    </row>
    <row r="893" spans="2:9" x14ac:dyDescent="0.25">
      <c r="B893" s="59"/>
      <c r="C893" s="60"/>
      <c r="D893" s="60"/>
      <c r="F893" s="60"/>
      <c r="G893" s="60"/>
      <c r="H893" s="62"/>
      <c r="I893" s="62" t="str">
        <f t="shared" si="13"/>
        <v/>
      </c>
    </row>
    <row r="894" spans="2:9" x14ac:dyDescent="0.25">
      <c r="B894" s="59"/>
      <c r="C894" s="60"/>
      <c r="D894" s="60"/>
      <c r="F894" s="60"/>
      <c r="G894" s="60"/>
      <c r="H894" s="62"/>
      <c r="I894" s="62" t="str">
        <f t="shared" si="13"/>
        <v/>
      </c>
    </row>
    <row r="895" spans="2:9" x14ac:dyDescent="0.25">
      <c r="B895" s="59"/>
      <c r="C895" s="60"/>
      <c r="D895" s="60"/>
      <c r="F895" s="60"/>
      <c r="G895" s="60"/>
      <c r="H895" s="62"/>
      <c r="I895" s="62" t="str">
        <f t="shared" si="13"/>
        <v/>
      </c>
    </row>
    <row r="896" spans="2:9" x14ac:dyDescent="0.25">
      <c r="B896" s="59"/>
      <c r="C896" s="60"/>
      <c r="D896" s="60"/>
      <c r="F896" s="60"/>
      <c r="G896" s="60"/>
      <c r="H896" s="62"/>
      <c r="I896" s="62" t="str">
        <f t="shared" si="13"/>
        <v/>
      </c>
    </row>
    <row r="897" spans="2:9" x14ac:dyDescent="0.25">
      <c r="B897" s="59"/>
      <c r="C897" s="60"/>
      <c r="D897" s="60"/>
      <c r="F897" s="60"/>
      <c r="G897" s="60"/>
      <c r="H897" s="62"/>
      <c r="I897" s="62" t="str">
        <f t="shared" si="13"/>
        <v/>
      </c>
    </row>
    <row r="898" spans="2:9" x14ac:dyDescent="0.25">
      <c r="B898" s="59"/>
      <c r="C898" s="60"/>
      <c r="D898" s="60"/>
      <c r="F898" s="60"/>
      <c r="G898" s="60"/>
      <c r="H898" s="62"/>
      <c r="I898" s="62" t="str">
        <f t="shared" si="13"/>
        <v/>
      </c>
    </row>
    <row r="899" spans="2:9" x14ac:dyDescent="0.25">
      <c r="B899" s="59"/>
      <c r="C899" s="60"/>
      <c r="D899" s="60"/>
      <c r="F899" s="60"/>
      <c r="G899" s="60"/>
      <c r="H899" s="62"/>
      <c r="I899" s="62" t="str">
        <f t="shared" si="13"/>
        <v/>
      </c>
    </row>
    <row r="900" spans="2:9" x14ac:dyDescent="0.25">
      <c r="B900" s="59"/>
      <c r="C900" s="60"/>
      <c r="D900" s="60"/>
      <c r="F900" s="60"/>
      <c r="G900" s="60"/>
      <c r="H900" s="62"/>
      <c r="I900" s="62" t="str">
        <f t="shared" si="13"/>
        <v/>
      </c>
    </row>
    <row r="901" spans="2:9" x14ac:dyDescent="0.25">
      <c r="B901" s="59"/>
      <c r="C901" s="60"/>
      <c r="D901" s="60"/>
      <c r="F901" s="60"/>
      <c r="G901" s="60"/>
      <c r="H901" s="62"/>
      <c r="I901" s="62" t="str">
        <f t="shared" ref="I901:I964" si="14">IF(H901&lt;&gt;"",H901-H900,"")</f>
        <v/>
      </c>
    </row>
    <row r="902" spans="2:9" x14ac:dyDescent="0.25">
      <c r="B902" s="59"/>
      <c r="C902" s="60"/>
      <c r="D902" s="60"/>
      <c r="F902" s="60"/>
      <c r="G902" s="60"/>
      <c r="H902" s="62"/>
      <c r="I902" s="62" t="str">
        <f t="shared" si="14"/>
        <v/>
      </c>
    </row>
    <row r="903" spans="2:9" x14ac:dyDescent="0.25">
      <c r="B903" s="59"/>
      <c r="C903" s="60"/>
      <c r="D903" s="60"/>
      <c r="F903" s="60"/>
      <c r="G903" s="60"/>
      <c r="H903" s="62"/>
      <c r="I903" s="62" t="str">
        <f t="shared" si="14"/>
        <v/>
      </c>
    </row>
    <row r="904" spans="2:9" x14ac:dyDescent="0.25">
      <c r="B904" s="59"/>
      <c r="C904" s="60"/>
      <c r="D904" s="60"/>
      <c r="F904" s="60"/>
      <c r="G904" s="60"/>
      <c r="H904" s="62"/>
      <c r="I904" s="62" t="str">
        <f t="shared" si="14"/>
        <v/>
      </c>
    </row>
    <row r="905" spans="2:9" x14ac:dyDescent="0.25">
      <c r="B905" s="59"/>
      <c r="C905" s="60"/>
      <c r="D905" s="60"/>
      <c r="F905" s="60"/>
      <c r="G905" s="60"/>
      <c r="H905" s="62"/>
      <c r="I905" s="62" t="str">
        <f t="shared" si="14"/>
        <v/>
      </c>
    </row>
    <row r="906" spans="2:9" x14ac:dyDescent="0.25">
      <c r="B906" s="59"/>
      <c r="C906" s="60"/>
      <c r="D906" s="60"/>
      <c r="F906" s="60"/>
      <c r="G906" s="60"/>
      <c r="H906" s="62"/>
      <c r="I906" s="62" t="str">
        <f t="shared" si="14"/>
        <v/>
      </c>
    </row>
    <row r="907" spans="2:9" x14ac:dyDescent="0.25">
      <c r="B907" s="59"/>
      <c r="C907" s="60"/>
      <c r="D907" s="60"/>
      <c r="F907" s="60"/>
      <c r="G907" s="60"/>
      <c r="H907" s="62"/>
      <c r="I907" s="62" t="str">
        <f t="shared" si="14"/>
        <v/>
      </c>
    </row>
    <row r="908" spans="2:9" x14ac:dyDescent="0.25">
      <c r="B908" s="59"/>
      <c r="C908" s="60"/>
      <c r="D908" s="60"/>
      <c r="F908" s="60"/>
      <c r="G908" s="60"/>
      <c r="H908" s="62"/>
      <c r="I908" s="62" t="str">
        <f t="shared" si="14"/>
        <v/>
      </c>
    </row>
    <row r="909" spans="2:9" x14ac:dyDescent="0.25">
      <c r="B909" s="59"/>
      <c r="C909" s="60"/>
      <c r="D909" s="60"/>
      <c r="F909" s="60"/>
      <c r="G909" s="60"/>
      <c r="H909" s="62"/>
      <c r="I909" s="62" t="str">
        <f t="shared" si="14"/>
        <v/>
      </c>
    </row>
    <row r="910" spans="2:9" x14ac:dyDescent="0.25">
      <c r="B910" s="59"/>
      <c r="C910" s="60"/>
      <c r="D910" s="60"/>
      <c r="F910" s="60"/>
      <c r="G910" s="60"/>
      <c r="H910" s="62"/>
      <c r="I910" s="62" t="str">
        <f t="shared" si="14"/>
        <v/>
      </c>
    </row>
    <row r="911" spans="2:9" x14ac:dyDescent="0.25">
      <c r="B911" s="59"/>
      <c r="C911" s="60"/>
      <c r="D911" s="60"/>
      <c r="F911" s="60"/>
      <c r="G911" s="60"/>
      <c r="H911" s="62"/>
      <c r="I911" s="62" t="str">
        <f t="shared" si="14"/>
        <v/>
      </c>
    </row>
    <row r="912" spans="2:9" x14ac:dyDescent="0.25">
      <c r="B912" s="59"/>
      <c r="C912" s="60"/>
      <c r="D912" s="60"/>
      <c r="F912" s="60"/>
      <c r="G912" s="60"/>
      <c r="H912" s="62"/>
      <c r="I912" s="62" t="str">
        <f t="shared" si="14"/>
        <v/>
      </c>
    </row>
    <row r="913" spans="2:9" x14ac:dyDescent="0.25">
      <c r="B913" s="59"/>
      <c r="C913" s="60"/>
      <c r="D913" s="60"/>
      <c r="F913" s="60"/>
      <c r="G913" s="60"/>
      <c r="H913" s="62"/>
      <c r="I913" s="62" t="str">
        <f t="shared" si="14"/>
        <v/>
      </c>
    </row>
    <row r="914" spans="2:9" x14ac:dyDescent="0.25">
      <c r="B914" s="59"/>
      <c r="C914" s="60"/>
      <c r="D914" s="60"/>
      <c r="F914" s="60"/>
      <c r="G914" s="60"/>
      <c r="H914" s="62"/>
      <c r="I914" s="62" t="str">
        <f t="shared" si="14"/>
        <v/>
      </c>
    </row>
    <row r="915" spans="2:9" x14ac:dyDescent="0.25">
      <c r="B915" s="59"/>
      <c r="C915" s="60"/>
      <c r="D915" s="60"/>
      <c r="F915" s="60"/>
      <c r="G915" s="60"/>
      <c r="H915" s="62"/>
      <c r="I915" s="62" t="str">
        <f t="shared" si="14"/>
        <v/>
      </c>
    </row>
    <row r="916" spans="2:9" x14ac:dyDescent="0.25">
      <c r="B916" s="59"/>
      <c r="C916" s="60"/>
      <c r="D916" s="60"/>
      <c r="F916" s="60"/>
      <c r="G916" s="60"/>
      <c r="H916" s="62"/>
      <c r="I916" s="62" t="str">
        <f t="shared" si="14"/>
        <v/>
      </c>
    </row>
    <row r="917" spans="2:9" x14ac:dyDescent="0.25">
      <c r="B917" s="59"/>
      <c r="C917" s="60"/>
      <c r="D917" s="60"/>
      <c r="F917" s="60"/>
      <c r="G917" s="60"/>
      <c r="H917" s="62"/>
      <c r="I917" s="62" t="str">
        <f t="shared" si="14"/>
        <v/>
      </c>
    </row>
    <row r="918" spans="2:9" x14ac:dyDescent="0.25">
      <c r="B918" s="59"/>
      <c r="C918" s="60"/>
      <c r="D918" s="60"/>
      <c r="F918" s="60"/>
      <c r="G918" s="60"/>
      <c r="H918" s="62"/>
      <c r="I918" s="62" t="str">
        <f t="shared" si="14"/>
        <v/>
      </c>
    </row>
    <row r="919" spans="2:9" x14ac:dyDescent="0.25">
      <c r="B919" s="59"/>
      <c r="C919" s="60"/>
      <c r="D919" s="60"/>
      <c r="F919" s="60"/>
      <c r="G919" s="60"/>
      <c r="H919" s="62"/>
      <c r="I919" s="62" t="str">
        <f t="shared" si="14"/>
        <v/>
      </c>
    </row>
    <row r="920" spans="2:9" x14ac:dyDescent="0.25">
      <c r="B920" s="59"/>
      <c r="C920" s="60"/>
      <c r="D920" s="60"/>
      <c r="F920" s="60"/>
      <c r="G920" s="60"/>
      <c r="H920" s="62"/>
      <c r="I920" s="62" t="str">
        <f t="shared" si="14"/>
        <v/>
      </c>
    </row>
    <row r="921" spans="2:9" x14ac:dyDescent="0.25">
      <c r="B921" s="59"/>
      <c r="C921" s="60"/>
      <c r="D921" s="60"/>
      <c r="F921" s="60"/>
      <c r="G921" s="60"/>
      <c r="H921" s="62"/>
      <c r="I921" s="62" t="str">
        <f t="shared" si="14"/>
        <v/>
      </c>
    </row>
    <row r="922" spans="2:9" x14ac:dyDescent="0.25">
      <c r="B922" s="59"/>
      <c r="C922" s="60"/>
      <c r="D922" s="60"/>
      <c r="F922" s="60"/>
      <c r="G922" s="60"/>
      <c r="H922" s="62"/>
      <c r="I922" s="62" t="str">
        <f t="shared" si="14"/>
        <v/>
      </c>
    </row>
    <row r="923" spans="2:9" x14ac:dyDescent="0.25">
      <c r="B923" s="59"/>
      <c r="C923" s="60"/>
      <c r="D923" s="60"/>
      <c r="F923" s="60"/>
      <c r="G923" s="60"/>
      <c r="H923" s="62"/>
      <c r="I923" s="62" t="str">
        <f t="shared" si="14"/>
        <v/>
      </c>
    </row>
    <row r="924" spans="2:9" x14ac:dyDescent="0.25">
      <c r="B924" s="59"/>
      <c r="C924" s="60"/>
      <c r="D924" s="60"/>
      <c r="F924" s="60"/>
      <c r="G924" s="60"/>
      <c r="H924" s="62"/>
      <c r="I924" s="62" t="str">
        <f t="shared" si="14"/>
        <v/>
      </c>
    </row>
    <row r="925" spans="2:9" x14ac:dyDescent="0.25">
      <c r="B925" s="59"/>
      <c r="C925" s="60"/>
      <c r="D925" s="60"/>
      <c r="F925" s="60"/>
      <c r="G925" s="60"/>
      <c r="H925" s="62"/>
      <c r="I925" s="62" t="str">
        <f t="shared" si="14"/>
        <v/>
      </c>
    </row>
    <row r="926" spans="2:9" x14ac:dyDescent="0.25">
      <c r="B926" s="59"/>
      <c r="C926" s="60"/>
      <c r="D926" s="60"/>
      <c r="F926" s="60"/>
      <c r="G926" s="60"/>
      <c r="H926" s="62"/>
      <c r="I926" s="62" t="str">
        <f t="shared" si="14"/>
        <v/>
      </c>
    </row>
    <row r="927" spans="2:9" x14ac:dyDescent="0.25">
      <c r="B927" s="59"/>
      <c r="C927" s="60"/>
      <c r="D927" s="60"/>
      <c r="F927" s="60"/>
      <c r="G927" s="60"/>
      <c r="H927" s="62"/>
      <c r="I927" s="62" t="str">
        <f t="shared" si="14"/>
        <v/>
      </c>
    </row>
    <row r="928" spans="2:9" x14ac:dyDescent="0.25">
      <c r="B928" s="59"/>
      <c r="C928" s="60"/>
      <c r="D928" s="60"/>
      <c r="F928" s="60"/>
      <c r="G928" s="60"/>
      <c r="H928" s="62"/>
      <c r="I928" s="62" t="str">
        <f t="shared" si="14"/>
        <v/>
      </c>
    </row>
    <row r="929" spans="2:9" x14ac:dyDescent="0.25">
      <c r="B929" s="59"/>
      <c r="C929" s="60"/>
      <c r="D929" s="60"/>
      <c r="F929" s="60"/>
      <c r="G929" s="60"/>
      <c r="H929" s="62"/>
      <c r="I929" s="62" t="str">
        <f t="shared" si="14"/>
        <v/>
      </c>
    </row>
    <row r="930" spans="2:9" x14ac:dyDescent="0.25">
      <c r="B930" s="59"/>
      <c r="C930" s="60"/>
      <c r="D930" s="60"/>
      <c r="F930" s="60"/>
      <c r="G930" s="60"/>
      <c r="H930" s="62"/>
      <c r="I930" s="62" t="str">
        <f t="shared" si="14"/>
        <v/>
      </c>
    </row>
    <row r="931" spans="2:9" x14ac:dyDescent="0.25">
      <c r="B931" s="59"/>
      <c r="C931" s="60"/>
      <c r="D931" s="60"/>
      <c r="F931" s="60"/>
      <c r="G931" s="60"/>
      <c r="H931" s="62"/>
      <c r="I931" s="62" t="str">
        <f t="shared" si="14"/>
        <v/>
      </c>
    </row>
    <row r="932" spans="2:9" x14ac:dyDescent="0.25">
      <c r="B932" s="59"/>
      <c r="C932" s="60"/>
      <c r="D932" s="60"/>
      <c r="F932" s="60"/>
      <c r="G932" s="60"/>
      <c r="H932" s="62"/>
      <c r="I932" s="62" t="str">
        <f t="shared" si="14"/>
        <v/>
      </c>
    </row>
    <row r="933" spans="2:9" x14ac:dyDescent="0.25">
      <c r="B933" s="59"/>
      <c r="C933" s="60"/>
      <c r="D933" s="60"/>
      <c r="F933" s="60"/>
      <c r="G933" s="60"/>
      <c r="H933" s="62"/>
      <c r="I933" s="62" t="str">
        <f t="shared" si="14"/>
        <v/>
      </c>
    </row>
    <row r="934" spans="2:9" x14ac:dyDescent="0.25">
      <c r="B934" s="59"/>
      <c r="C934" s="60"/>
      <c r="D934" s="60"/>
      <c r="F934" s="60"/>
      <c r="G934" s="60"/>
      <c r="H934" s="62"/>
      <c r="I934" s="62" t="str">
        <f t="shared" si="14"/>
        <v/>
      </c>
    </row>
    <row r="935" spans="2:9" x14ac:dyDescent="0.25">
      <c r="B935" s="59"/>
      <c r="C935" s="60"/>
      <c r="D935" s="60"/>
      <c r="F935" s="60"/>
      <c r="G935" s="60"/>
      <c r="H935" s="62"/>
      <c r="I935" s="62" t="str">
        <f t="shared" si="14"/>
        <v/>
      </c>
    </row>
    <row r="936" spans="2:9" x14ac:dyDescent="0.25">
      <c r="B936" s="59"/>
      <c r="C936" s="60"/>
      <c r="D936" s="60"/>
      <c r="F936" s="60"/>
      <c r="G936" s="60"/>
      <c r="H936" s="62"/>
      <c r="I936" s="62" t="str">
        <f t="shared" si="14"/>
        <v/>
      </c>
    </row>
    <row r="937" spans="2:9" x14ac:dyDescent="0.25">
      <c r="B937" s="59"/>
      <c r="C937" s="60"/>
      <c r="D937" s="60"/>
      <c r="F937" s="60"/>
      <c r="G937" s="60"/>
      <c r="H937" s="62"/>
      <c r="I937" s="62" t="str">
        <f t="shared" si="14"/>
        <v/>
      </c>
    </row>
    <row r="938" spans="2:9" x14ac:dyDescent="0.25">
      <c r="B938" s="59"/>
      <c r="C938" s="60"/>
      <c r="D938" s="60"/>
      <c r="F938" s="60"/>
      <c r="G938" s="60"/>
      <c r="H938" s="62"/>
      <c r="I938" s="62" t="str">
        <f t="shared" si="14"/>
        <v/>
      </c>
    </row>
    <row r="939" spans="2:9" x14ac:dyDescent="0.25">
      <c r="B939" s="59"/>
      <c r="C939" s="60"/>
      <c r="D939" s="60"/>
      <c r="F939" s="60"/>
      <c r="G939" s="60"/>
      <c r="H939" s="62"/>
      <c r="I939" s="62" t="str">
        <f t="shared" si="14"/>
        <v/>
      </c>
    </row>
    <row r="940" spans="2:9" x14ac:dyDescent="0.25">
      <c r="B940" s="59"/>
      <c r="C940" s="60"/>
      <c r="D940" s="60"/>
      <c r="F940" s="60"/>
      <c r="G940" s="60"/>
      <c r="H940" s="62"/>
      <c r="I940" s="62" t="str">
        <f t="shared" si="14"/>
        <v/>
      </c>
    </row>
    <row r="941" spans="2:9" x14ac:dyDescent="0.25">
      <c r="B941" s="59"/>
      <c r="C941" s="60"/>
      <c r="D941" s="60"/>
      <c r="F941" s="60"/>
      <c r="G941" s="60"/>
      <c r="H941" s="62"/>
      <c r="I941" s="62" t="str">
        <f t="shared" si="14"/>
        <v/>
      </c>
    </row>
    <row r="942" spans="2:9" x14ac:dyDescent="0.25">
      <c r="B942" s="59"/>
      <c r="C942" s="60"/>
      <c r="D942" s="60"/>
      <c r="F942" s="60"/>
      <c r="G942" s="60"/>
      <c r="H942" s="62"/>
      <c r="I942" s="62" t="str">
        <f t="shared" si="14"/>
        <v/>
      </c>
    </row>
    <row r="943" spans="2:9" x14ac:dyDescent="0.25">
      <c r="B943" s="59"/>
      <c r="C943" s="60"/>
      <c r="D943" s="60"/>
      <c r="F943" s="60"/>
      <c r="G943" s="60"/>
      <c r="H943" s="62"/>
      <c r="I943" s="62" t="str">
        <f t="shared" si="14"/>
        <v/>
      </c>
    </row>
    <row r="944" spans="2:9" x14ac:dyDescent="0.25">
      <c r="B944" s="59"/>
      <c r="C944" s="60"/>
      <c r="D944" s="60"/>
      <c r="F944" s="60"/>
      <c r="G944" s="60"/>
      <c r="H944" s="62"/>
      <c r="I944" s="62" t="str">
        <f t="shared" si="14"/>
        <v/>
      </c>
    </row>
    <row r="945" spans="2:9" x14ac:dyDescent="0.25">
      <c r="B945" s="59"/>
      <c r="C945" s="60"/>
      <c r="D945" s="60"/>
      <c r="F945" s="60"/>
      <c r="G945" s="60"/>
      <c r="H945" s="62"/>
      <c r="I945" s="62" t="str">
        <f t="shared" si="14"/>
        <v/>
      </c>
    </row>
    <row r="946" spans="2:9" x14ac:dyDescent="0.25">
      <c r="B946" s="59"/>
      <c r="C946" s="60"/>
      <c r="D946" s="60"/>
      <c r="F946" s="60"/>
      <c r="G946" s="60"/>
      <c r="H946" s="62"/>
      <c r="I946" s="62" t="str">
        <f t="shared" si="14"/>
        <v/>
      </c>
    </row>
    <row r="947" spans="2:9" x14ac:dyDescent="0.25">
      <c r="B947" s="59"/>
      <c r="C947" s="60"/>
      <c r="D947" s="60"/>
      <c r="F947" s="60"/>
      <c r="G947" s="60"/>
      <c r="H947" s="62"/>
      <c r="I947" s="62" t="str">
        <f t="shared" si="14"/>
        <v/>
      </c>
    </row>
    <row r="948" spans="2:9" x14ac:dyDescent="0.25">
      <c r="B948" s="59"/>
      <c r="C948" s="60"/>
      <c r="D948" s="60"/>
      <c r="F948" s="60"/>
      <c r="G948" s="60"/>
      <c r="H948" s="62"/>
      <c r="I948" s="62" t="str">
        <f t="shared" si="14"/>
        <v/>
      </c>
    </row>
    <row r="949" spans="2:9" x14ac:dyDescent="0.25">
      <c r="B949" s="59"/>
      <c r="C949" s="60"/>
      <c r="D949" s="60"/>
      <c r="F949" s="60"/>
      <c r="G949" s="60"/>
      <c r="H949" s="62"/>
      <c r="I949" s="62" t="str">
        <f t="shared" si="14"/>
        <v/>
      </c>
    </row>
    <row r="950" spans="2:9" x14ac:dyDescent="0.25">
      <c r="B950" s="59"/>
      <c r="C950" s="60"/>
      <c r="D950" s="60"/>
      <c r="F950" s="60"/>
      <c r="G950" s="60"/>
      <c r="H950" s="62"/>
      <c r="I950" s="62" t="str">
        <f t="shared" si="14"/>
        <v/>
      </c>
    </row>
    <row r="951" spans="2:9" x14ac:dyDescent="0.25">
      <c r="B951" s="59"/>
      <c r="C951" s="60"/>
      <c r="D951" s="60"/>
      <c r="F951" s="60"/>
      <c r="G951" s="60"/>
      <c r="H951" s="62"/>
      <c r="I951" s="62" t="str">
        <f t="shared" si="14"/>
        <v/>
      </c>
    </row>
    <row r="952" spans="2:9" x14ac:dyDescent="0.25">
      <c r="B952" s="59"/>
      <c r="C952" s="60"/>
      <c r="D952" s="60"/>
      <c r="F952" s="60"/>
      <c r="G952" s="60"/>
      <c r="H952" s="62"/>
      <c r="I952" s="62" t="str">
        <f t="shared" si="14"/>
        <v/>
      </c>
    </row>
    <row r="953" spans="2:9" x14ac:dyDescent="0.25">
      <c r="B953" s="59"/>
      <c r="C953" s="60"/>
      <c r="D953" s="60"/>
      <c r="F953" s="60"/>
      <c r="G953" s="60"/>
      <c r="H953" s="62"/>
      <c r="I953" s="62" t="str">
        <f t="shared" si="14"/>
        <v/>
      </c>
    </row>
    <row r="954" spans="2:9" x14ac:dyDescent="0.25">
      <c r="B954" s="59"/>
      <c r="C954" s="60"/>
      <c r="D954" s="60"/>
      <c r="F954" s="60"/>
      <c r="G954" s="60"/>
      <c r="H954" s="62"/>
      <c r="I954" s="62" t="str">
        <f t="shared" si="14"/>
        <v/>
      </c>
    </row>
    <row r="955" spans="2:9" x14ac:dyDescent="0.25">
      <c r="B955" s="59"/>
      <c r="C955" s="60"/>
      <c r="D955" s="60"/>
      <c r="F955" s="60"/>
      <c r="G955" s="60"/>
      <c r="H955" s="62"/>
      <c r="I955" s="62" t="str">
        <f t="shared" si="14"/>
        <v/>
      </c>
    </row>
    <row r="956" spans="2:9" x14ac:dyDescent="0.25">
      <c r="B956" s="59"/>
      <c r="C956" s="60"/>
      <c r="D956" s="60"/>
      <c r="F956" s="60"/>
      <c r="G956" s="60"/>
      <c r="H956" s="62"/>
      <c r="I956" s="62" t="str">
        <f t="shared" si="14"/>
        <v/>
      </c>
    </row>
    <row r="957" spans="2:9" x14ac:dyDescent="0.25">
      <c r="B957" s="59"/>
      <c r="C957" s="60"/>
      <c r="D957" s="60"/>
      <c r="F957" s="60"/>
      <c r="G957" s="60"/>
      <c r="H957" s="62"/>
      <c r="I957" s="62" t="str">
        <f t="shared" si="14"/>
        <v/>
      </c>
    </row>
    <row r="958" spans="2:9" x14ac:dyDescent="0.25">
      <c r="B958" s="59"/>
      <c r="C958" s="60"/>
      <c r="D958" s="60"/>
      <c r="F958" s="60"/>
      <c r="G958" s="60"/>
      <c r="H958" s="62"/>
      <c r="I958" s="62" t="str">
        <f t="shared" si="14"/>
        <v/>
      </c>
    </row>
    <row r="959" spans="2:9" x14ac:dyDescent="0.25">
      <c r="B959" s="59"/>
      <c r="C959" s="60"/>
      <c r="D959" s="60"/>
      <c r="F959" s="60"/>
      <c r="G959" s="60"/>
      <c r="H959" s="62"/>
      <c r="I959" s="62" t="str">
        <f t="shared" si="14"/>
        <v/>
      </c>
    </row>
    <row r="960" spans="2:9" x14ac:dyDescent="0.25">
      <c r="B960" s="59"/>
      <c r="C960" s="60"/>
      <c r="D960" s="60"/>
      <c r="F960" s="60"/>
      <c r="G960" s="60"/>
      <c r="H960" s="62"/>
      <c r="I960" s="62" t="str">
        <f t="shared" si="14"/>
        <v/>
      </c>
    </row>
    <row r="961" spans="2:9" x14ac:dyDescent="0.25">
      <c r="B961" s="59"/>
      <c r="C961" s="60"/>
      <c r="D961" s="60"/>
      <c r="F961" s="60"/>
      <c r="G961" s="60"/>
      <c r="H961" s="62"/>
      <c r="I961" s="62" t="str">
        <f t="shared" si="14"/>
        <v/>
      </c>
    </row>
    <row r="962" spans="2:9" x14ac:dyDescent="0.25">
      <c r="B962" s="59"/>
      <c r="C962" s="60"/>
      <c r="D962" s="60"/>
      <c r="F962" s="60"/>
      <c r="G962" s="60"/>
      <c r="H962" s="62"/>
      <c r="I962" s="62" t="str">
        <f t="shared" si="14"/>
        <v/>
      </c>
    </row>
    <row r="963" spans="2:9" x14ac:dyDescent="0.25">
      <c r="B963" s="59"/>
      <c r="C963" s="60"/>
      <c r="D963" s="60"/>
      <c r="F963" s="60"/>
      <c r="G963" s="60"/>
      <c r="H963" s="62"/>
      <c r="I963" s="62" t="str">
        <f t="shared" si="14"/>
        <v/>
      </c>
    </row>
    <row r="964" spans="2:9" x14ac:dyDescent="0.25">
      <c r="B964" s="59"/>
      <c r="C964" s="60"/>
      <c r="D964" s="60"/>
      <c r="F964" s="60"/>
      <c r="G964" s="60"/>
      <c r="H964" s="62"/>
      <c r="I964" s="62" t="str">
        <f t="shared" si="14"/>
        <v/>
      </c>
    </row>
    <row r="965" spans="2:9" x14ac:dyDescent="0.25">
      <c r="B965" s="59"/>
      <c r="C965" s="60"/>
      <c r="D965" s="60"/>
      <c r="F965" s="60"/>
      <c r="G965" s="60"/>
      <c r="H965" s="62"/>
      <c r="I965" s="62" t="str">
        <f t="shared" ref="I965:I1028" si="15">IF(H965&lt;&gt;"",H965-H964,"")</f>
        <v/>
      </c>
    </row>
    <row r="966" spans="2:9" x14ac:dyDescent="0.25">
      <c r="B966" s="59"/>
      <c r="C966" s="60"/>
      <c r="D966" s="60"/>
      <c r="F966" s="60"/>
      <c r="G966" s="60"/>
      <c r="H966" s="62"/>
      <c r="I966" s="62" t="str">
        <f t="shared" si="15"/>
        <v/>
      </c>
    </row>
    <row r="967" spans="2:9" x14ac:dyDescent="0.25">
      <c r="B967" s="59"/>
      <c r="C967" s="60"/>
      <c r="D967" s="60"/>
      <c r="F967" s="60"/>
      <c r="G967" s="60"/>
      <c r="H967" s="62"/>
      <c r="I967" s="62" t="str">
        <f t="shared" si="15"/>
        <v/>
      </c>
    </row>
    <row r="968" spans="2:9" x14ac:dyDescent="0.25">
      <c r="B968" s="59"/>
      <c r="C968" s="60"/>
      <c r="D968" s="60"/>
      <c r="F968" s="60"/>
      <c r="G968" s="60"/>
      <c r="H968" s="62"/>
      <c r="I968" s="62" t="str">
        <f t="shared" si="15"/>
        <v/>
      </c>
    </row>
    <row r="969" spans="2:9" x14ac:dyDescent="0.25">
      <c r="B969" s="59"/>
      <c r="C969" s="60"/>
      <c r="D969" s="60"/>
      <c r="F969" s="60"/>
      <c r="G969" s="60"/>
      <c r="H969" s="62"/>
      <c r="I969" s="62" t="str">
        <f t="shared" si="15"/>
        <v/>
      </c>
    </row>
    <row r="970" spans="2:9" x14ac:dyDescent="0.25">
      <c r="B970" s="59"/>
      <c r="C970" s="60"/>
      <c r="D970" s="60"/>
      <c r="F970" s="60"/>
      <c r="G970" s="60"/>
      <c r="H970" s="62"/>
      <c r="I970" s="62" t="str">
        <f t="shared" si="15"/>
        <v/>
      </c>
    </row>
    <row r="971" spans="2:9" x14ac:dyDescent="0.25">
      <c r="B971" s="59"/>
      <c r="C971" s="60"/>
      <c r="D971" s="60"/>
      <c r="F971" s="60"/>
      <c r="G971" s="60"/>
      <c r="H971" s="62"/>
      <c r="I971" s="62" t="str">
        <f t="shared" si="15"/>
        <v/>
      </c>
    </row>
    <row r="972" spans="2:9" x14ac:dyDescent="0.25">
      <c r="B972" s="59"/>
      <c r="C972" s="60"/>
      <c r="D972" s="60"/>
      <c r="F972" s="60"/>
      <c r="G972" s="60"/>
      <c r="H972" s="62"/>
      <c r="I972" s="62" t="str">
        <f t="shared" si="15"/>
        <v/>
      </c>
    </row>
    <row r="973" spans="2:9" x14ac:dyDescent="0.25">
      <c r="B973" s="59"/>
      <c r="C973" s="60"/>
      <c r="D973" s="60"/>
      <c r="F973" s="60"/>
      <c r="G973" s="60"/>
      <c r="H973" s="62"/>
      <c r="I973" s="62" t="str">
        <f t="shared" si="15"/>
        <v/>
      </c>
    </row>
    <row r="974" spans="2:9" x14ac:dyDescent="0.25">
      <c r="B974" s="59"/>
      <c r="C974" s="60"/>
      <c r="D974" s="60"/>
      <c r="F974" s="60"/>
      <c r="G974" s="60"/>
      <c r="H974" s="62"/>
      <c r="I974" s="62" t="str">
        <f t="shared" si="15"/>
        <v/>
      </c>
    </row>
    <row r="975" spans="2:9" x14ac:dyDescent="0.25">
      <c r="B975" s="59"/>
      <c r="C975" s="60"/>
      <c r="D975" s="60"/>
      <c r="F975" s="60"/>
      <c r="G975" s="60"/>
      <c r="H975" s="62"/>
      <c r="I975" s="62" t="str">
        <f t="shared" si="15"/>
        <v/>
      </c>
    </row>
    <row r="976" spans="2:9" x14ac:dyDescent="0.25">
      <c r="B976" s="59"/>
      <c r="C976" s="60"/>
      <c r="D976" s="60"/>
      <c r="F976" s="60"/>
      <c r="G976" s="60"/>
      <c r="H976" s="62"/>
      <c r="I976" s="62" t="str">
        <f t="shared" si="15"/>
        <v/>
      </c>
    </row>
    <row r="977" spans="2:9" x14ac:dyDescent="0.25">
      <c r="B977" s="59"/>
      <c r="C977" s="60"/>
      <c r="D977" s="60"/>
      <c r="F977" s="60"/>
      <c r="G977" s="60"/>
      <c r="H977" s="62"/>
      <c r="I977" s="62" t="str">
        <f t="shared" si="15"/>
        <v/>
      </c>
    </row>
    <row r="978" spans="2:9" x14ac:dyDescent="0.25">
      <c r="B978" s="59"/>
      <c r="C978" s="60"/>
      <c r="D978" s="60"/>
      <c r="F978" s="60"/>
      <c r="G978" s="60"/>
      <c r="H978" s="62"/>
      <c r="I978" s="62" t="str">
        <f t="shared" si="15"/>
        <v/>
      </c>
    </row>
    <row r="979" spans="2:9" x14ac:dyDescent="0.25">
      <c r="B979" s="59"/>
      <c r="C979" s="60"/>
      <c r="D979" s="60"/>
      <c r="F979" s="60"/>
      <c r="G979" s="60"/>
      <c r="H979" s="62"/>
      <c r="I979" s="62" t="str">
        <f t="shared" si="15"/>
        <v/>
      </c>
    </row>
    <row r="980" spans="2:9" x14ac:dyDescent="0.25">
      <c r="B980" s="59"/>
      <c r="C980" s="60"/>
      <c r="D980" s="60"/>
      <c r="F980" s="60"/>
      <c r="G980" s="60"/>
      <c r="H980" s="62"/>
      <c r="I980" s="62" t="str">
        <f t="shared" si="15"/>
        <v/>
      </c>
    </row>
    <row r="981" spans="2:9" x14ac:dyDescent="0.25">
      <c r="B981" s="59"/>
      <c r="C981" s="60"/>
      <c r="D981" s="60"/>
      <c r="F981" s="60"/>
      <c r="G981" s="60"/>
      <c r="H981" s="62"/>
      <c r="I981" s="62" t="str">
        <f t="shared" si="15"/>
        <v/>
      </c>
    </row>
    <row r="982" spans="2:9" x14ac:dyDescent="0.25">
      <c r="B982" s="59"/>
      <c r="C982" s="60"/>
      <c r="D982" s="60"/>
      <c r="F982" s="60"/>
      <c r="G982" s="60"/>
      <c r="H982" s="62"/>
      <c r="I982" s="62" t="str">
        <f t="shared" si="15"/>
        <v/>
      </c>
    </row>
    <row r="983" spans="2:9" x14ac:dyDescent="0.25">
      <c r="B983" s="59"/>
      <c r="C983" s="60"/>
      <c r="D983" s="60"/>
      <c r="F983" s="60"/>
      <c r="G983" s="60"/>
      <c r="H983" s="62"/>
      <c r="I983" s="62" t="str">
        <f t="shared" si="15"/>
        <v/>
      </c>
    </row>
    <row r="984" spans="2:9" x14ac:dyDescent="0.25">
      <c r="B984" s="59"/>
      <c r="C984" s="60"/>
      <c r="D984" s="60"/>
      <c r="F984" s="60"/>
      <c r="G984" s="60"/>
      <c r="H984" s="62"/>
      <c r="I984" s="62" t="str">
        <f t="shared" si="15"/>
        <v/>
      </c>
    </row>
    <row r="985" spans="2:9" x14ac:dyDescent="0.25">
      <c r="B985" s="59"/>
      <c r="C985" s="60"/>
      <c r="D985" s="60"/>
      <c r="F985" s="60"/>
      <c r="G985" s="60"/>
      <c r="H985" s="62"/>
      <c r="I985" s="62" t="str">
        <f t="shared" si="15"/>
        <v/>
      </c>
    </row>
    <row r="986" spans="2:9" x14ac:dyDescent="0.25">
      <c r="B986" s="59"/>
      <c r="C986" s="60"/>
      <c r="D986" s="60"/>
      <c r="F986" s="60"/>
      <c r="G986" s="60"/>
      <c r="H986" s="62"/>
      <c r="I986" s="62" t="str">
        <f t="shared" si="15"/>
        <v/>
      </c>
    </row>
    <row r="987" spans="2:9" x14ac:dyDescent="0.25">
      <c r="B987" s="59"/>
      <c r="C987" s="60"/>
      <c r="D987" s="60"/>
      <c r="F987" s="60"/>
      <c r="G987" s="60"/>
      <c r="H987" s="62"/>
      <c r="I987" s="62" t="str">
        <f t="shared" si="15"/>
        <v/>
      </c>
    </row>
    <row r="988" spans="2:9" x14ac:dyDescent="0.25">
      <c r="B988" s="59"/>
      <c r="C988" s="60"/>
      <c r="D988" s="60"/>
      <c r="F988" s="60"/>
      <c r="G988" s="60"/>
      <c r="H988" s="62"/>
      <c r="I988" s="62" t="str">
        <f t="shared" si="15"/>
        <v/>
      </c>
    </row>
    <row r="989" spans="2:9" x14ac:dyDescent="0.25">
      <c r="B989" s="59"/>
      <c r="C989" s="60"/>
      <c r="D989" s="60"/>
      <c r="F989" s="60"/>
      <c r="G989" s="60"/>
      <c r="H989" s="62"/>
      <c r="I989" s="62" t="str">
        <f t="shared" si="15"/>
        <v/>
      </c>
    </row>
    <row r="990" spans="2:9" x14ac:dyDescent="0.25">
      <c r="B990" s="59"/>
      <c r="C990" s="60"/>
      <c r="D990" s="60"/>
      <c r="F990" s="60"/>
      <c r="G990" s="60"/>
      <c r="H990" s="62"/>
      <c r="I990" s="62" t="str">
        <f t="shared" si="15"/>
        <v/>
      </c>
    </row>
    <row r="991" spans="2:9" x14ac:dyDescent="0.25">
      <c r="B991" s="59"/>
      <c r="C991" s="60"/>
      <c r="D991" s="60"/>
      <c r="F991" s="60"/>
      <c r="G991" s="60"/>
      <c r="H991" s="62"/>
      <c r="I991" s="62" t="str">
        <f t="shared" si="15"/>
        <v/>
      </c>
    </row>
    <row r="992" spans="2:9" x14ac:dyDescent="0.25">
      <c r="B992" s="59"/>
      <c r="C992" s="60"/>
      <c r="D992" s="60"/>
      <c r="F992" s="60"/>
      <c r="G992" s="60"/>
      <c r="H992" s="62"/>
      <c r="I992" s="62" t="str">
        <f t="shared" si="15"/>
        <v/>
      </c>
    </row>
    <row r="993" spans="2:9" x14ac:dyDescent="0.25">
      <c r="B993" s="59"/>
      <c r="C993" s="60"/>
      <c r="D993" s="60"/>
      <c r="F993" s="60"/>
      <c r="G993" s="60"/>
      <c r="H993" s="62"/>
      <c r="I993" s="62" t="str">
        <f t="shared" si="15"/>
        <v/>
      </c>
    </row>
    <row r="994" spans="2:9" x14ac:dyDescent="0.25">
      <c r="B994" s="59"/>
      <c r="C994" s="60"/>
      <c r="D994" s="60"/>
      <c r="F994" s="60"/>
      <c r="G994" s="60"/>
      <c r="H994" s="62"/>
      <c r="I994" s="62" t="str">
        <f t="shared" si="15"/>
        <v/>
      </c>
    </row>
    <row r="995" spans="2:9" x14ac:dyDescent="0.25">
      <c r="B995" s="59"/>
      <c r="C995" s="60"/>
      <c r="D995" s="60"/>
      <c r="F995" s="60"/>
      <c r="G995" s="60"/>
      <c r="H995" s="62"/>
      <c r="I995" s="62" t="str">
        <f t="shared" si="15"/>
        <v/>
      </c>
    </row>
    <row r="996" spans="2:9" x14ac:dyDescent="0.25">
      <c r="B996" s="59"/>
      <c r="C996" s="60"/>
      <c r="D996" s="60"/>
      <c r="F996" s="60"/>
      <c r="G996" s="60"/>
      <c r="H996" s="62"/>
      <c r="I996" s="62" t="str">
        <f t="shared" si="15"/>
        <v/>
      </c>
    </row>
    <row r="997" spans="2:9" x14ac:dyDescent="0.25">
      <c r="B997" s="59"/>
      <c r="C997" s="60"/>
      <c r="D997" s="60"/>
      <c r="F997" s="60"/>
      <c r="G997" s="60"/>
      <c r="H997" s="62"/>
      <c r="I997" s="62" t="str">
        <f t="shared" si="15"/>
        <v/>
      </c>
    </row>
    <row r="998" spans="2:9" x14ac:dyDescent="0.25">
      <c r="B998" s="59"/>
      <c r="C998" s="60"/>
      <c r="D998" s="60"/>
      <c r="F998" s="60"/>
      <c r="G998" s="60"/>
      <c r="H998" s="62"/>
      <c r="I998" s="62" t="str">
        <f t="shared" si="15"/>
        <v/>
      </c>
    </row>
    <row r="999" spans="2:9" x14ac:dyDescent="0.25">
      <c r="B999" s="59"/>
      <c r="C999" s="60"/>
      <c r="D999" s="60"/>
      <c r="F999" s="60"/>
      <c r="G999" s="60"/>
      <c r="H999" s="62"/>
      <c r="I999" s="62" t="str">
        <f t="shared" si="15"/>
        <v/>
      </c>
    </row>
    <row r="1000" spans="2:9" x14ac:dyDescent="0.25">
      <c r="B1000" s="59"/>
      <c r="C1000" s="60"/>
      <c r="D1000" s="60"/>
      <c r="F1000" s="60"/>
      <c r="G1000" s="60"/>
      <c r="H1000" s="62"/>
      <c r="I1000" s="62" t="str">
        <f t="shared" si="15"/>
        <v/>
      </c>
    </row>
    <row r="1001" spans="2:9" x14ac:dyDescent="0.25">
      <c r="B1001" s="59"/>
      <c r="C1001" s="60"/>
      <c r="D1001" s="60"/>
      <c r="F1001" s="60"/>
      <c r="G1001" s="60"/>
      <c r="H1001" s="62"/>
      <c r="I1001" s="62" t="str">
        <f t="shared" si="15"/>
        <v/>
      </c>
    </row>
    <row r="1002" spans="2:9" x14ac:dyDescent="0.25">
      <c r="B1002" s="59"/>
      <c r="C1002" s="60"/>
      <c r="D1002" s="60"/>
      <c r="F1002" s="60"/>
      <c r="G1002" s="60"/>
      <c r="H1002" s="62"/>
      <c r="I1002" s="62" t="str">
        <f t="shared" si="15"/>
        <v/>
      </c>
    </row>
    <row r="1003" spans="2:9" x14ac:dyDescent="0.25">
      <c r="B1003" s="59"/>
      <c r="C1003" s="60"/>
      <c r="D1003" s="60"/>
      <c r="F1003" s="60"/>
      <c r="G1003" s="60"/>
      <c r="H1003" s="62"/>
      <c r="I1003" s="62" t="str">
        <f t="shared" si="15"/>
        <v/>
      </c>
    </row>
    <row r="1004" spans="2:9" x14ac:dyDescent="0.25">
      <c r="B1004" s="59"/>
      <c r="C1004" s="60"/>
      <c r="D1004" s="60"/>
      <c r="F1004" s="60"/>
      <c r="G1004" s="60"/>
      <c r="H1004" s="62"/>
      <c r="I1004" s="62" t="str">
        <f t="shared" si="15"/>
        <v/>
      </c>
    </row>
    <row r="1005" spans="2:9" x14ac:dyDescent="0.25">
      <c r="B1005" s="59"/>
      <c r="C1005" s="60"/>
      <c r="D1005" s="60"/>
      <c r="F1005" s="60"/>
      <c r="G1005" s="60"/>
      <c r="H1005" s="62"/>
      <c r="I1005" s="62" t="str">
        <f t="shared" si="15"/>
        <v/>
      </c>
    </row>
    <row r="1006" spans="2:9" x14ac:dyDescent="0.25">
      <c r="B1006" s="59"/>
      <c r="C1006" s="60"/>
      <c r="D1006" s="60"/>
      <c r="F1006" s="60"/>
      <c r="G1006" s="60"/>
      <c r="H1006" s="62"/>
      <c r="I1006" s="62" t="str">
        <f t="shared" si="15"/>
        <v/>
      </c>
    </row>
    <row r="1007" spans="2:9" x14ac:dyDescent="0.25">
      <c r="B1007" s="59"/>
      <c r="C1007" s="60"/>
      <c r="D1007" s="60"/>
      <c r="F1007" s="60"/>
      <c r="G1007" s="60"/>
      <c r="H1007" s="62"/>
      <c r="I1007" s="62" t="str">
        <f t="shared" si="15"/>
        <v/>
      </c>
    </row>
    <row r="1008" spans="2:9" x14ac:dyDescent="0.25">
      <c r="B1008" s="59"/>
      <c r="C1008" s="60"/>
      <c r="D1008" s="60"/>
      <c r="F1008" s="60"/>
      <c r="G1008" s="60"/>
      <c r="H1008" s="62"/>
      <c r="I1008" s="62" t="str">
        <f t="shared" si="15"/>
        <v/>
      </c>
    </row>
    <row r="1009" spans="2:9" x14ac:dyDescent="0.25">
      <c r="B1009" s="59"/>
      <c r="C1009" s="60"/>
      <c r="D1009" s="60"/>
      <c r="F1009" s="60"/>
      <c r="G1009" s="60"/>
      <c r="H1009" s="62"/>
      <c r="I1009" s="62" t="str">
        <f t="shared" si="15"/>
        <v/>
      </c>
    </row>
    <row r="1010" spans="2:9" x14ac:dyDescent="0.25">
      <c r="B1010" s="59"/>
      <c r="C1010" s="60"/>
      <c r="D1010" s="60"/>
      <c r="F1010" s="60"/>
      <c r="G1010" s="60"/>
      <c r="H1010" s="62"/>
      <c r="I1010" s="62" t="str">
        <f t="shared" si="15"/>
        <v/>
      </c>
    </row>
    <row r="1011" spans="2:9" x14ac:dyDescent="0.25">
      <c r="B1011" s="59"/>
      <c r="C1011" s="60"/>
      <c r="D1011" s="60"/>
      <c r="F1011" s="60"/>
      <c r="G1011" s="60"/>
      <c r="H1011" s="62"/>
      <c r="I1011" s="62" t="str">
        <f t="shared" si="15"/>
        <v/>
      </c>
    </row>
    <row r="1012" spans="2:9" x14ac:dyDescent="0.25">
      <c r="B1012" s="59"/>
      <c r="C1012" s="60"/>
      <c r="D1012" s="60"/>
      <c r="F1012" s="60"/>
      <c r="G1012" s="60"/>
      <c r="H1012" s="62"/>
      <c r="I1012" s="62" t="str">
        <f t="shared" si="15"/>
        <v/>
      </c>
    </row>
    <row r="1013" spans="2:9" x14ac:dyDescent="0.25">
      <c r="B1013" s="59"/>
      <c r="C1013" s="60"/>
      <c r="D1013" s="60"/>
      <c r="F1013" s="60"/>
      <c r="G1013" s="60"/>
      <c r="H1013" s="62"/>
      <c r="I1013" s="62" t="str">
        <f t="shared" si="15"/>
        <v/>
      </c>
    </row>
    <row r="1014" spans="2:9" x14ac:dyDescent="0.25">
      <c r="B1014" s="59"/>
      <c r="C1014" s="60"/>
      <c r="D1014" s="60"/>
      <c r="F1014" s="60"/>
      <c r="G1014" s="60"/>
      <c r="H1014" s="62"/>
      <c r="I1014" s="62" t="str">
        <f t="shared" si="15"/>
        <v/>
      </c>
    </row>
    <row r="1015" spans="2:9" x14ac:dyDescent="0.25">
      <c r="B1015" s="59"/>
      <c r="C1015" s="60"/>
      <c r="D1015" s="60"/>
      <c r="F1015" s="60"/>
      <c r="G1015" s="60"/>
      <c r="H1015" s="62"/>
      <c r="I1015" s="62" t="str">
        <f t="shared" si="15"/>
        <v/>
      </c>
    </row>
    <row r="1016" spans="2:9" x14ac:dyDescent="0.25">
      <c r="B1016" s="59"/>
      <c r="C1016" s="60"/>
      <c r="D1016" s="60"/>
      <c r="F1016" s="60"/>
      <c r="G1016" s="60"/>
      <c r="H1016" s="62"/>
      <c r="I1016" s="62" t="str">
        <f t="shared" si="15"/>
        <v/>
      </c>
    </row>
    <row r="1017" spans="2:9" x14ac:dyDescent="0.25">
      <c r="B1017" s="59"/>
      <c r="C1017" s="60"/>
      <c r="D1017" s="60"/>
      <c r="F1017" s="60"/>
      <c r="G1017" s="60"/>
      <c r="H1017" s="62"/>
      <c r="I1017" s="62" t="str">
        <f t="shared" si="15"/>
        <v/>
      </c>
    </row>
    <row r="1018" spans="2:9" x14ac:dyDescent="0.25">
      <c r="B1018" s="59"/>
      <c r="C1018" s="60"/>
      <c r="D1018" s="60"/>
      <c r="F1018" s="60"/>
      <c r="G1018" s="60"/>
      <c r="H1018" s="62"/>
      <c r="I1018" s="62" t="str">
        <f t="shared" si="15"/>
        <v/>
      </c>
    </row>
    <row r="1019" spans="2:9" x14ac:dyDescent="0.25">
      <c r="B1019" s="59"/>
      <c r="C1019" s="60"/>
      <c r="D1019" s="60"/>
      <c r="F1019" s="60"/>
      <c r="G1019" s="60"/>
      <c r="H1019" s="62"/>
      <c r="I1019" s="62" t="str">
        <f t="shared" si="15"/>
        <v/>
      </c>
    </row>
    <row r="1020" spans="2:9" x14ac:dyDescent="0.25">
      <c r="B1020" s="59"/>
      <c r="C1020" s="60"/>
      <c r="D1020" s="60"/>
      <c r="F1020" s="60"/>
      <c r="G1020" s="60"/>
      <c r="H1020" s="62"/>
      <c r="I1020" s="62" t="str">
        <f t="shared" si="15"/>
        <v/>
      </c>
    </row>
    <row r="1021" spans="2:9" x14ac:dyDescent="0.25">
      <c r="B1021" s="59"/>
      <c r="C1021" s="60"/>
      <c r="D1021" s="60"/>
      <c r="F1021" s="60"/>
      <c r="G1021" s="60"/>
      <c r="H1021" s="62"/>
      <c r="I1021" s="62" t="str">
        <f t="shared" si="15"/>
        <v/>
      </c>
    </row>
    <row r="1022" spans="2:9" x14ac:dyDescent="0.25">
      <c r="B1022" s="59"/>
      <c r="C1022" s="60"/>
      <c r="D1022" s="60"/>
      <c r="F1022" s="60"/>
      <c r="G1022" s="60"/>
      <c r="H1022" s="62"/>
      <c r="I1022" s="62" t="str">
        <f t="shared" si="15"/>
        <v/>
      </c>
    </row>
    <row r="1023" spans="2:9" x14ac:dyDescent="0.25">
      <c r="B1023" s="59"/>
      <c r="C1023" s="60"/>
      <c r="D1023" s="60"/>
      <c r="F1023" s="60"/>
      <c r="G1023" s="60"/>
      <c r="H1023" s="62"/>
      <c r="I1023" s="62" t="str">
        <f t="shared" si="15"/>
        <v/>
      </c>
    </row>
    <row r="1024" spans="2:9" x14ac:dyDescent="0.25">
      <c r="B1024" s="59"/>
      <c r="C1024" s="60"/>
      <c r="D1024" s="60"/>
      <c r="F1024" s="60"/>
      <c r="G1024" s="60"/>
      <c r="H1024" s="62"/>
      <c r="I1024" s="62" t="str">
        <f t="shared" si="15"/>
        <v/>
      </c>
    </row>
    <row r="1025" spans="2:9" x14ac:dyDescent="0.25">
      <c r="B1025" s="59"/>
      <c r="C1025" s="60"/>
      <c r="D1025" s="60"/>
      <c r="F1025" s="60"/>
      <c r="G1025" s="60"/>
      <c r="H1025" s="62"/>
      <c r="I1025" s="62" t="str">
        <f t="shared" si="15"/>
        <v/>
      </c>
    </row>
    <row r="1026" spans="2:9" x14ac:dyDescent="0.25">
      <c r="B1026" s="59"/>
      <c r="C1026" s="60"/>
      <c r="D1026" s="60"/>
      <c r="F1026" s="60"/>
      <c r="G1026" s="60"/>
      <c r="H1026" s="62"/>
      <c r="I1026" s="62" t="str">
        <f t="shared" si="15"/>
        <v/>
      </c>
    </row>
    <row r="1027" spans="2:9" x14ac:dyDescent="0.25">
      <c r="B1027" s="59"/>
      <c r="C1027" s="60"/>
      <c r="D1027" s="60"/>
      <c r="F1027" s="60"/>
      <c r="G1027" s="60"/>
      <c r="H1027" s="62"/>
      <c r="I1027" s="62" t="str">
        <f t="shared" si="15"/>
        <v/>
      </c>
    </row>
    <row r="1028" spans="2:9" x14ac:dyDescent="0.25">
      <c r="B1028" s="59"/>
      <c r="C1028" s="60"/>
      <c r="D1028" s="60"/>
      <c r="F1028" s="60"/>
      <c r="G1028" s="60"/>
      <c r="H1028" s="62"/>
      <c r="I1028" s="62" t="str">
        <f t="shared" si="15"/>
        <v/>
      </c>
    </row>
    <row r="1029" spans="2:9" x14ac:dyDescent="0.25">
      <c r="B1029" s="59"/>
      <c r="C1029" s="60"/>
      <c r="D1029" s="60"/>
      <c r="F1029" s="60"/>
      <c r="G1029" s="60"/>
      <c r="H1029" s="62"/>
      <c r="I1029" s="62" t="str">
        <f t="shared" ref="I1029:I1092" si="16">IF(H1029&lt;&gt;"",H1029-H1028,"")</f>
        <v/>
      </c>
    </row>
    <row r="1030" spans="2:9" x14ac:dyDescent="0.25">
      <c r="B1030" s="59"/>
      <c r="C1030" s="60"/>
      <c r="D1030" s="60"/>
      <c r="F1030" s="60"/>
      <c r="G1030" s="60"/>
      <c r="H1030" s="62"/>
      <c r="I1030" s="62" t="str">
        <f t="shared" si="16"/>
        <v/>
      </c>
    </row>
    <row r="1031" spans="2:9" x14ac:dyDescent="0.25">
      <c r="B1031" s="59"/>
      <c r="C1031" s="60"/>
      <c r="D1031" s="60"/>
      <c r="F1031" s="60"/>
      <c r="G1031" s="60"/>
      <c r="H1031" s="62"/>
      <c r="I1031" s="62" t="str">
        <f t="shared" si="16"/>
        <v/>
      </c>
    </row>
    <row r="1032" spans="2:9" x14ac:dyDescent="0.25">
      <c r="B1032" s="59"/>
      <c r="C1032" s="60"/>
      <c r="D1032" s="60"/>
      <c r="F1032" s="60"/>
      <c r="G1032" s="60"/>
      <c r="H1032" s="62"/>
      <c r="I1032" s="62" t="str">
        <f t="shared" si="16"/>
        <v/>
      </c>
    </row>
    <row r="1033" spans="2:9" x14ac:dyDescent="0.25">
      <c r="B1033" s="59"/>
      <c r="C1033" s="60"/>
      <c r="D1033" s="60"/>
      <c r="F1033" s="60"/>
      <c r="G1033" s="60"/>
      <c r="H1033" s="62"/>
      <c r="I1033" s="62" t="str">
        <f t="shared" si="16"/>
        <v/>
      </c>
    </row>
    <row r="1034" spans="2:9" x14ac:dyDescent="0.25">
      <c r="B1034" s="59"/>
      <c r="C1034" s="60"/>
      <c r="D1034" s="60"/>
      <c r="F1034" s="60"/>
      <c r="G1034" s="60"/>
      <c r="H1034" s="62"/>
      <c r="I1034" s="62" t="str">
        <f t="shared" si="16"/>
        <v/>
      </c>
    </row>
    <row r="1035" spans="2:9" x14ac:dyDescent="0.25">
      <c r="B1035" s="59"/>
      <c r="C1035" s="60"/>
      <c r="D1035" s="60"/>
      <c r="F1035" s="60"/>
      <c r="G1035" s="60"/>
      <c r="H1035" s="62"/>
      <c r="I1035" s="62" t="str">
        <f t="shared" si="16"/>
        <v/>
      </c>
    </row>
    <row r="1036" spans="2:9" x14ac:dyDescent="0.25">
      <c r="B1036" s="59"/>
      <c r="C1036" s="60"/>
      <c r="D1036" s="60"/>
      <c r="F1036" s="60"/>
      <c r="G1036" s="60"/>
      <c r="H1036" s="62"/>
      <c r="I1036" s="62" t="str">
        <f t="shared" si="16"/>
        <v/>
      </c>
    </row>
    <row r="1037" spans="2:9" x14ac:dyDescent="0.25">
      <c r="B1037" s="59"/>
      <c r="C1037" s="60"/>
      <c r="D1037" s="60"/>
      <c r="F1037" s="60"/>
      <c r="G1037" s="60"/>
      <c r="H1037" s="62"/>
      <c r="I1037" s="62" t="str">
        <f t="shared" si="16"/>
        <v/>
      </c>
    </row>
    <row r="1038" spans="2:9" x14ac:dyDescent="0.25">
      <c r="B1038" s="59"/>
      <c r="C1038" s="60"/>
      <c r="D1038" s="60"/>
      <c r="F1038" s="60"/>
      <c r="G1038" s="60"/>
      <c r="H1038" s="62"/>
      <c r="I1038" s="62" t="str">
        <f t="shared" si="16"/>
        <v/>
      </c>
    </row>
    <row r="1039" spans="2:9" x14ac:dyDescent="0.25">
      <c r="B1039" s="59"/>
      <c r="C1039" s="60"/>
      <c r="D1039" s="60"/>
      <c r="F1039" s="60"/>
      <c r="G1039" s="60"/>
      <c r="H1039" s="62"/>
      <c r="I1039" s="62" t="str">
        <f t="shared" si="16"/>
        <v/>
      </c>
    </row>
    <row r="1040" spans="2:9" x14ac:dyDescent="0.25">
      <c r="B1040" s="59"/>
      <c r="C1040" s="60"/>
      <c r="D1040" s="60"/>
      <c r="F1040" s="60"/>
      <c r="G1040" s="60"/>
      <c r="H1040" s="62"/>
      <c r="I1040" s="62" t="str">
        <f t="shared" si="16"/>
        <v/>
      </c>
    </row>
    <row r="1041" spans="2:9" x14ac:dyDescent="0.25">
      <c r="B1041" s="59"/>
      <c r="C1041" s="60"/>
      <c r="D1041" s="60"/>
      <c r="F1041" s="60"/>
      <c r="G1041" s="60"/>
      <c r="H1041" s="62"/>
      <c r="I1041" s="62" t="str">
        <f t="shared" si="16"/>
        <v/>
      </c>
    </row>
    <row r="1042" spans="2:9" x14ac:dyDescent="0.25">
      <c r="B1042" s="59"/>
      <c r="C1042" s="60"/>
      <c r="D1042" s="60"/>
      <c r="F1042" s="60"/>
      <c r="G1042" s="60"/>
      <c r="H1042" s="62"/>
      <c r="I1042" s="62" t="str">
        <f t="shared" si="16"/>
        <v/>
      </c>
    </row>
    <row r="1043" spans="2:9" x14ac:dyDescent="0.25">
      <c r="B1043" s="59"/>
      <c r="C1043" s="60"/>
      <c r="D1043" s="60"/>
      <c r="F1043" s="60"/>
      <c r="G1043" s="60"/>
      <c r="H1043" s="62"/>
      <c r="I1043" s="62" t="str">
        <f t="shared" si="16"/>
        <v/>
      </c>
    </row>
    <row r="1044" spans="2:9" x14ac:dyDescent="0.25">
      <c r="B1044" s="59"/>
      <c r="C1044" s="60"/>
      <c r="D1044" s="60"/>
      <c r="F1044" s="60"/>
      <c r="G1044" s="60"/>
      <c r="H1044" s="62"/>
      <c r="I1044" s="62" t="str">
        <f t="shared" si="16"/>
        <v/>
      </c>
    </row>
    <row r="1045" spans="2:9" x14ac:dyDescent="0.25">
      <c r="B1045" s="59"/>
      <c r="C1045" s="60"/>
      <c r="D1045" s="60"/>
      <c r="F1045" s="60"/>
      <c r="G1045" s="60"/>
      <c r="H1045" s="62"/>
      <c r="I1045" s="62" t="str">
        <f t="shared" si="16"/>
        <v/>
      </c>
    </row>
    <row r="1046" spans="2:9" x14ac:dyDescent="0.25">
      <c r="B1046" s="59"/>
      <c r="C1046" s="60"/>
      <c r="D1046" s="60"/>
      <c r="F1046" s="60"/>
      <c r="G1046" s="60"/>
      <c r="H1046" s="62"/>
      <c r="I1046" s="62" t="str">
        <f t="shared" si="16"/>
        <v/>
      </c>
    </row>
    <row r="1047" spans="2:9" x14ac:dyDescent="0.25">
      <c r="B1047" s="59"/>
      <c r="C1047" s="60"/>
      <c r="D1047" s="60"/>
      <c r="F1047" s="60"/>
      <c r="G1047" s="60"/>
      <c r="H1047" s="62"/>
      <c r="I1047" s="62" t="str">
        <f t="shared" si="16"/>
        <v/>
      </c>
    </row>
    <row r="1048" spans="2:9" x14ac:dyDescent="0.25">
      <c r="B1048" s="59"/>
      <c r="C1048" s="60"/>
      <c r="D1048" s="60"/>
      <c r="F1048" s="60"/>
      <c r="G1048" s="60"/>
      <c r="H1048" s="62"/>
      <c r="I1048" s="62" t="str">
        <f t="shared" si="16"/>
        <v/>
      </c>
    </row>
    <row r="1049" spans="2:9" x14ac:dyDescent="0.25">
      <c r="B1049" s="59"/>
      <c r="C1049" s="60"/>
      <c r="D1049" s="60"/>
      <c r="F1049" s="60"/>
      <c r="G1049" s="60"/>
      <c r="H1049" s="62"/>
      <c r="I1049" s="62" t="str">
        <f t="shared" si="16"/>
        <v/>
      </c>
    </row>
    <row r="1050" spans="2:9" x14ac:dyDescent="0.25">
      <c r="B1050" s="59"/>
      <c r="C1050" s="60"/>
      <c r="D1050" s="60"/>
      <c r="F1050" s="60"/>
      <c r="G1050" s="60"/>
      <c r="H1050" s="62"/>
      <c r="I1050" s="62" t="str">
        <f t="shared" si="16"/>
        <v/>
      </c>
    </row>
    <row r="1051" spans="2:9" x14ac:dyDescent="0.25">
      <c r="B1051" s="59"/>
      <c r="C1051" s="60"/>
      <c r="D1051" s="60"/>
      <c r="F1051" s="60"/>
      <c r="G1051" s="60"/>
      <c r="H1051" s="62"/>
      <c r="I1051" s="62" t="str">
        <f t="shared" si="16"/>
        <v/>
      </c>
    </row>
    <row r="1052" spans="2:9" x14ac:dyDescent="0.25">
      <c r="B1052" s="59"/>
      <c r="C1052" s="60"/>
      <c r="D1052" s="60"/>
      <c r="F1052" s="60"/>
      <c r="G1052" s="60"/>
      <c r="H1052" s="62"/>
      <c r="I1052" s="62" t="str">
        <f t="shared" si="16"/>
        <v/>
      </c>
    </row>
    <row r="1053" spans="2:9" x14ac:dyDescent="0.25">
      <c r="B1053" s="59"/>
      <c r="C1053" s="60"/>
      <c r="D1053" s="60"/>
      <c r="F1053" s="60"/>
      <c r="G1053" s="60"/>
      <c r="H1053" s="62"/>
      <c r="I1053" s="62" t="str">
        <f t="shared" si="16"/>
        <v/>
      </c>
    </row>
    <row r="1054" spans="2:9" x14ac:dyDescent="0.25">
      <c r="B1054" s="59"/>
      <c r="C1054" s="60"/>
      <c r="D1054" s="60"/>
      <c r="F1054" s="60"/>
      <c r="G1054" s="60"/>
      <c r="H1054" s="62"/>
      <c r="I1054" s="62" t="str">
        <f t="shared" si="16"/>
        <v/>
      </c>
    </row>
    <row r="1055" spans="2:9" x14ac:dyDescent="0.25">
      <c r="B1055" s="59"/>
      <c r="C1055" s="60"/>
      <c r="D1055" s="60"/>
      <c r="F1055" s="60"/>
      <c r="G1055" s="60"/>
      <c r="H1055" s="62"/>
      <c r="I1055" s="62" t="str">
        <f t="shared" si="16"/>
        <v/>
      </c>
    </row>
    <row r="1056" spans="2:9" x14ac:dyDescent="0.25">
      <c r="B1056" s="59"/>
      <c r="C1056" s="60"/>
      <c r="D1056" s="60"/>
      <c r="F1056" s="60"/>
      <c r="G1056" s="60"/>
      <c r="H1056" s="62"/>
      <c r="I1056" s="62" t="str">
        <f t="shared" si="16"/>
        <v/>
      </c>
    </row>
    <row r="1057" spans="2:9" x14ac:dyDescent="0.25">
      <c r="B1057" s="59"/>
      <c r="C1057" s="60"/>
      <c r="D1057" s="60"/>
      <c r="F1057" s="60"/>
      <c r="G1057" s="60"/>
      <c r="H1057" s="62"/>
      <c r="I1057" s="62" t="str">
        <f t="shared" si="16"/>
        <v/>
      </c>
    </row>
    <row r="1058" spans="2:9" x14ac:dyDescent="0.25">
      <c r="B1058" s="59"/>
      <c r="C1058" s="60"/>
      <c r="D1058" s="60"/>
      <c r="F1058" s="60"/>
      <c r="G1058" s="60"/>
      <c r="H1058" s="62"/>
      <c r="I1058" s="62" t="str">
        <f t="shared" si="16"/>
        <v/>
      </c>
    </row>
    <row r="1059" spans="2:9" x14ac:dyDescent="0.25">
      <c r="B1059" s="59"/>
      <c r="C1059" s="60"/>
      <c r="D1059" s="60"/>
      <c r="F1059" s="60"/>
      <c r="G1059" s="60"/>
      <c r="H1059" s="62"/>
      <c r="I1059" s="62" t="str">
        <f t="shared" si="16"/>
        <v/>
      </c>
    </row>
    <row r="1060" spans="2:9" x14ac:dyDescent="0.25">
      <c r="B1060" s="59"/>
      <c r="C1060" s="60"/>
      <c r="D1060" s="60"/>
      <c r="F1060" s="60"/>
      <c r="G1060" s="60"/>
      <c r="H1060" s="62"/>
      <c r="I1060" s="62" t="str">
        <f t="shared" si="16"/>
        <v/>
      </c>
    </row>
    <row r="1061" spans="2:9" x14ac:dyDescent="0.25">
      <c r="B1061" s="59"/>
      <c r="C1061" s="60"/>
      <c r="D1061" s="60"/>
      <c r="F1061" s="60"/>
      <c r="G1061" s="60"/>
      <c r="H1061" s="62"/>
      <c r="I1061" s="62" t="str">
        <f t="shared" si="16"/>
        <v/>
      </c>
    </row>
    <row r="1062" spans="2:9" x14ac:dyDescent="0.25">
      <c r="B1062" s="59"/>
      <c r="C1062" s="60"/>
      <c r="D1062" s="60"/>
      <c r="F1062" s="60"/>
      <c r="G1062" s="60"/>
      <c r="H1062" s="62"/>
      <c r="I1062" s="62" t="str">
        <f t="shared" si="16"/>
        <v/>
      </c>
    </row>
    <row r="1063" spans="2:9" x14ac:dyDescent="0.25">
      <c r="B1063" s="59"/>
      <c r="C1063" s="60"/>
      <c r="D1063" s="60"/>
      <c r="F1063" s="60"/>
      <c r="G1063" s="60"/>
      <c r="H1063" s="62"/>
      <c r="I1063" s="62" t="str">
        <f t="shared" si="16"/>
        <v/>
      </c>
    </row>
    <row r="1064" spans="2:9" x14ac:dyDescent="0.25">
      <c r="B1064" s="59"/>
      <c r="C1064" s="60"/>
      <c r="D1064" s="60"/>
      <c r="F1064" s="60"/>
      <c r="G1064" s="60"/>
      <c r="H1064" s="62"/>
      <c r="I1064" s="62" t="str">
        <f t="shared" si="16"/>
        <v/>
      </c>
    </row>
    <row r="1065" spans="2:9" x14ac:dyDescent="0.25">
      <c r="B1065" s="59"/>
      <c r="C1065" s="60"/>
      <c r="D1065" s="60"/>
      <c r="F1065" s="60"/>
      <c r="G1065" s="60"/>
      <c r="H1065" s="62"/>
      <c r="I1065" s="62" t="str">
        <f t="shared" si="16"/>
        <v/>
      </c>
    </row>
    <row r="1066" spans="2:9" x14ac:dyDescent="0.25">
      <c r="B1066" s="59"/>
      <c r="C1066" s="60"/>
      <c r="D1066" s="60"/>
      <c r="F1066" s="60"/>
      <c r="G1066" s="60"/>
      <c r="H1066" s="62"/>
      <c r="I1066" s="62" t="str">
        <f t="shared" si="16"/>
        <v/>
      </c>
    </row>
    <row r="1067" spans="2:9" x14ac:dyDescent="0.25">
      <c r="B1067" s="59"/>
      <c r="C1067" s="60"/>
      <c r="D1067" s="60"/>
      <c r="F1067" s="60"/>
      <c r="G1067" s="60"/>
      <c r="H1067" s="62"/>
      <c r="I1067" s="62" t="str">
        <f t="shared" si="16"/>
        <v/>
      </c>
    </row>
    <row r="1068" spans="2:9" x14ac:dyDescent="0.25">
      <c r="B1068" s="59"/>
      <c r="C1068" s="60"/>
      <c r="D1068" s="60"/>
      <c r="F1068" s="60"/>
      <c r="G1068" s="60"/>
      <c r="H1068" s="62"/>
      <c r="I1068" s="62" t="str">
        <f t="shared" si="16"/>
        <v/>
      </c>
    </row>
    <row r="1069" spans="2:9" x14ac:dyDescent="0.25">
      <c r="B1069" s="59"/>
      <c r="C1069" s="60"/>
      <c r="D1069" s="60"/>
      <c r="F1069" s="60"/>
      <c r="G1069" s="60"/>
      <c r="H1069" s="62"/>
      <c r="I1069" s="62" t="str">
        <f t="shared" si="16"/>
        <v/>
      </c>
    </row>
    <row r="1070" spans="2:9" x14ac:dyDescent="0.25">
      <c r="B1070" s="59"/>
      <c r="C1070" s="60"/>
      <c r="D1070" s="60"/>
      <c r="F1070" s="60"/>
      <c r="G1070" s="60"/>
      <c r="H1070" s="62"/>
      <c r="I1070" s="62" t="str">
        <f t="shared" si="16"/>
        <v/>
      </c>
    </row>
    <row r="1071" spans="2:9" x14ac:dyDescent="0.25">
      <c r="B1071" s="59"/>
      <c r="C1071" s="60"/>
      <c r="D1071" s="60"/>
      <c r="F1071" s="60"/>
      <c r="G1071" s="60"/>
      <c r="H1071" s="62"/>
      <c r="I1071" s="62" t="str">
        <f t="shared" si="16"/>
        <v/>
      </c>
    </row>
    <row r="1072" spans="2:9" x14ac:dyDescent="0.25">
      <c r="B1072" s="59"/>
      <c r="C1072" s="60"/>
      <c r="D1072" s="60"/>
      <c r="F1072" s="60"/>
      <c r="G1072" s="60"/>
      <c r="H1072" s="62"/>
      <c r="I1072" s="62" t="str">
        <f t="shared" si="16"/>
        <v/>
      </c>
    </row>
    <row r="1073" spans="2:9" x14ac:dyDescent="0.25">
      <c r="B1073" s="59"/>
      <c r="C1073" s="60"/>
      <c r="D1073" s="60"/>
      <c r="F1073" s="60"/>
      <c r="G1073" s="60"/>
      <c r="H1073" s="62"/>
      <c r="I1073" s="62" t="str">
        <f t="shared" si="16"/>
        <v/>
      </c>
    </row>
    <row r="1074" spans="2:9" x14ac:dyDescent="0.25">
      <c r="B1074" s="59"/>
      <c r="C1074" s="60"/>
      <c r="D1074" s="60"/>
      <c r="F1074" s="60"/>
      <c r="G1074" s="60"/>
      <c r="H1074" s="62"/>
      <c r="I1074" s="62" t="str">
        <f t="shared" si="16"/>
        <v/>
      </c>
    </row>
    <row r="1075" spans="2:9" x14ac:dyDescent="0.25">
      <c r="B1075" s="59"/>
      <c r="C1075" s="60"/>
      <c r="D1075" s="60"/>
      <c r="F1075" s="60"/>
      <c r="G1075" s="60"/>
      <c r="H1075" s="62"/>
      <c r="I1075" s="62" t="str">
        <f t="shared" si="16"/>
        <v/>
      </c>
    </row>
    <row r="1076" spans="2:9" x14ac:dyDescent="0.25">
      <c r="B1076" s="59"/>
      <c r="C1076" s="60"/>
      <c r="D1076" s="60"/>
      <c r="F1076" s="60"/>
      <c r="G1076" s="60"/>
      <c r="H1076" s="62"/>
      <c r="I1076" s="62" t="str">
        <f t="shared" si="16"/>
        <v/>
      </c>
    </row>
    <row r="1077" spans="2:9" x14ac:dyDescent="0.25">
      <c r="B1077" s="59"/>
      <c r="C1077" s="60"/>
      <c r="D1077" s="60"/>
      <c r="F1077" s="60"/>
      <c r="G1077" s="60"/>
      <c r="H1077" s="62"/>
      <c r="I1077" s="62" t="str">
        <f t="shared" si="16"/>
        <v/>
      </c>
    </row>
    <row r="1078" spans="2:9" x14ac:dyDescent="0.25">
      <c r="B1078" s="59"/>
      <c r="C1078" s="60"/>
      <c r="D1078" s="60"/>
      <c r="F1078" s="60"/>
      <c r="G1078" s="60"/>
      <c r="H1078" s="62"/>
      <c r="I1078" s="62" t="str">
        <f t="shared" si="16"/>
        <v/>
      </c>
    </row>
    <row r="1079" spans="2:9" x14ac:dyDescent="0.25">
      <c r="B1079" s="59"/>
      <c r="C1079" s="60"/>
      <c r="D1079" s="60"/>
      <c r="F1079" s="60"/>
      <c r="G1079" s="60"/>
      <c r="H1079" s="62"/>
      <c r="I1079" s="62" t="str">
        <f t="shared" si="16"/>
        <v/>
      </c>
    </row>
    <row r="1080" spans="2:9" x14ac:dyDescent="0.25">
      <c r="B1080" s="59"/>
      <c r="C1080" s="60"/>
      <c r="D1080" s="60"/>
      <c r="F1080" s="60"/>
      <c r="G1080" s="60"/>
      <c r="H1080" s="62"/>
      <c r="I1080" s="62" t="str">
        <f t="shared" si="16"/>
        <v/>
      </c>
    </row>
    <row r="1081" spans="2:9" x14ac:dyDescent="0.25">
      <c r="B1081" s="59"/>
      <c r="C1081" s="60"/>
      <c r="D1081" s="60"/>
      <c r="F1081" s="60"/>
      <c r="G1081" s="60"/>
      <c r="H1081" s="62"/>
      <c r="I1081" s="62" t="str">
        <f t="shared" si="16"/>
        <v/>
      </c>
    </row>
    <row r="1082" spans="2:9" x14ac:dyDescent="0.25">
      <c r="B1082" s="59"/>
      <c r="C1082" s="60"/>
      <c r="D1082" s="60"/>
      <c r="F1082" s="60"/>
      <c r="G1082" s="60"/>
      <c r="H1082" s="62"/>
      <c r="I1082" s="62" t="str">
        <f t="shared" si="16"/>
        <v/>
      </c>
    </row>
    <row r="1083" spans="2:9" x14ac:dyDescent="0.25">
      <c r="B1083" s="59"/>
      <c r="C1083" s="60"/>
      <c r="D1083" s="60"/>
      <c r="F1083" s="60"/>
      <c r="G1083" s="60"/>
      <c r="H1083" s="62"/>
      <c r="I1083" s="62" t="str">
        <f t="shared" si="16"/>
        <v/>
      </c>
    </row>
    <row r="1084" spans="2:9" x14ac:dyDescent="0.25">
      <c r="B1084" s="59"/>
      <c r="C1084" s="60"/>
      <c r="D1084" s="60"/>
      <c r="F1084" s="60"/>
      <c r="G1084" s="60"/>
      <c r="H1084" s="62"/>
      <c r="I1084" s="62" t="str">
        <f t="shared" si="16"/>
        <v/>
      </c>
    </row>
    <row r="1085" spans="2:9" x14ac:dyDescent="0.25">
      <c r="B1085" s="59"/>
      <c r="C1085" s="60"/>
      <c r="D1085" s="60"/>
      <c r="F1085" s="60"/>
      <c r="G1085" s="60"/>
      <c r="H1085" s="62"/>
      <c r="I1085" s="62" t="str">
        <f t="shared" si="16"/>
        <v/>
      </c>
    </row>
    <row r="1086" spans="2:9" x14ac:dyDescent="0.25">
      <c r="B1086" s="59"/>
      <c r="C1086" s="60"/>
      <c r="D1086" s="60"/>
      <c r="F1086" s="60"/>
      <c r="G1086" s="60"/>
      <c r="H1086" s="62"/>
      <c r="I1086" s="62" t="str">
        <f t="shared" si="16"/>
        <v/>
      </c>
    </row>
    <row r="1087" spans="2:9" x14ac:dyDescent="0.25">
      <c r="B1087" s="59"/>
      <c r="C1087" s="60"/>
      <c r="D1087" s="60"/>
      <c r="F1087" s="60"/>
      <c r="G1087" s="60"/>
      <c r="H1087" s="62"/>
      <c r="I1087" s="62" t="str">
        <f t="shared" si="16"/>
        <v/>
      </c>
    </row>
    <row r="1088" spans="2:9" x14ac:dyDescent="0.25">
      <c r="B1088" s="59"/>
      <c r="C1088" s="60"/>
      <c r="D1088" s="60"/>
      <c r="F1088" s="60"/>
      <c r="G1088" s="60"/>
      <c r="H1088" s="62"/>
      <c r="I1088" s="62" t="str">
        <f t="shared" si="16"/>
        <v/>
      </c>
    </row>
    <row r="1089" spans="2:9" x14ac:dyDescent="0.25">
      <c r="B1089" s="59"/>
      <c r="C1089" s="60"/>
      <c r="D1089" s="60"/>
      <c r="F1089" s="60"/>
      <c r="G1089" s="60"/>
      <c r="H1089" s="62"/>
      <c r="I1089" s="62" t="str">
        <f t="shared" si="16"/>
        <v/>
      </c>
    </row>
    <row r="1090" spans="2:9" x14ac:dyDescent="0.25">
      <c r="B1090" s="59"/>
      <c r="C1090" s="60"/>
      <c r="D1090" s="60"/>
      <c r="F1090" s="60"/>
      <c r="G1090" s="60"/>
      <c r="H1090" s="62"/>
      <c r="I1090" s="62" t="str">
        <f t="shared" si="16"/>
        <v/>
      </c>
    </row>
    <row r="1091" spans="2:9" x14ac:dyDescent="0.25">
      <c r="B1091" s="59"/>
      <c r="C1091" s="60"/>
      <c r="D1091" s="60"/>
      <c r="F1091" s="60"/>
      <c r="G1091" s="60"/>
      <c r="H1091" s="62"/>
      <c r="I1091" s="62" t="str">
        <f t="shared" si="16"/>
        <v/>
      </c>
    </row>
    <row r="1092" spans="2:9" x14ac:dyDescent="0.25">
      <c r="B1092" s="59"/>
      <c r="C1092" s="60"/>
      <c r="D1092" s="60"/>
      <c r="F1092" s="60"/>
      <c r="G1092" s="60"/>
      <c r="H1092" s="62"/>
      <c r="I1092" s="62" t="str">
        <f t="shared" si="16"/>
        <v/>
      </c>
    </row>
    <row r="1093" spans="2:9" x14ac:dyDescent="0.25">
      <c r="B1093" s="59"/>
      <c r="C1093" s="60"/>
      <c r="D1093" s="60"/>
      <c r="F1093" s="60"/>
      <c r="G1093" s="60"/>
      <c r="H1093" s="62"/>
      <c r="I1093" s="62" t="str">
        <f t="shared" ref="I1093:I1156" si="17">IF(H1093&lt;&gt;"",H1093-H1092,"")</f>
        <v/>
      </c>
    </row>
    <row r="1094" spans="2:9" x14ac:dyDescent="0.25">
      <c r="B1094" s="59"/>
      <c r="C1094" s="60"/>
      <c r="D1094" s="60"/>
      <c r="F1094" s="60"/>
      <c r="G1094" s="60"/>
      <c r="H1094" s="62"/>
      <c r="I1094" s="62" t="str">
        <f t="shared" si="17"/>
        <v/>
      </c>
    </row>
    <row r="1095" spans="2:9" x14ac:dyDescent="0.25">
      <c r="B1095" s="59"/>
      <c r="C1095" s="60"/>
      <c r="D1095" s="60"/>
      <c r="F1095" s="60"/>
      <c r="G1095" s="60"/>
      <c r="H1095" s="62"/>
      <c r="I1095" s="62" t="str">
        <f t="shared" si="17"/>
        <v/>
      </c>
    </row>
    <row r="1096" spans="2:9" x14ac:dyDescent="0.25">
      <c r="B1096" s="59"/>
      <c r="C1096" s="60"/>
      <c r="D1096" s="60"/>
      <c r="F1096" s="60"/>
      <c r="G1096" s="60"/>
      <c r="H1096" s="62"/>
      <c r="I1096" s="62" t="str">
        <f t="shared" si="17"/>
        <v/>
      </c>
    </row>
    <row r="1097" spans="2:9" x14ac:dyDescent="0.25">
      <c r="B1097" s="59"/>
      <c r="C1097" s="60"/>
      <c r="D1097" s="60"/>
      <c r="F1097" s="60"/>
      <c r="G1097" s="60"/>
      <c r="H1097" s="62"/>
      <c r="I1097" s="62" t="str">
        <f t="shared" si="17"/>
        <v/>
      </c>
    </row>
    <row r="1098" spans="2:9" x14ac:dyDescent="0.25">
      <c r="B1098" s="59"/>
      <c r="C1098" s="60"/>
      <c r="D1098" s="60"/>
      <c r="F1098" s="60"/>
      <c r="G1098" s="60"/>
      <c r="H1098" s="62"/>
      <c r="I1098" s="62" t="str">
        <f t="shared" si="17"/>
        <v/>
      </c>
    </row>
    <row r="1099" spans="2:9" x14ac:dyDescent="0.25">
      <c r="B1099" s="59"/>
      <c r="C1099" s="60"/>
      <c r="D1099" s="60"/>
      <c r="F1099" s="60"/>
      <c r="G1099" s="60"/>
      <c r="H1099" s="62"/>
      <c r="I1099" s="62" t="str">
        <f t="shared" si="17"/>
        <v/>
      </c>
    </row>
    <row r="1100" spans="2:9" x14ac:dyDescent="0.25">
      <c r="B1100" s="59"/>
      <c r="C1100" s="60"/>
      <c r="D1100" s="60"/>
      <c r="F1100" s="60"/>
      <c r="G1100" s="60"/>
      <c r="H1100" s="62"/>
      <c r="I1100" s="62" t="str">
        <f t="shared" si="17"/>
        <v/>
      </c>
    </row>
    <row r="1101" spans="2:9" x14ac:dyDescent="0.25">
      <c r="B1101" s="59"/>
      <c r="C1101" s="60"/>
      <c r="D1101" s="60"/>
      <c r="F1101" s="60"/>
      <c r="G1101" s="60"/>
      <c r="H1101" s="62"/>
      <c r="I1101" s="62" t="str">
        <f t="shared" si="17"/>
        <v/>
      </c>
    </row>
    <row r="1102" spans="2:9" x14ac:dyDescent="0.25">
      <c r="B1102" s="59"/>
      <c r="C1102" s="60"/>
      <c r="D1102" s="60"/>
      <c r="F1102" s="60"/>
      <c r="G1102" s="60"/>
      <c r="H1102" s="62"/>
      <c r="I1102" s="62" t="str">
        <f t="shared" si="17"/>
        <v/>
      </c>
    </row>
    <row r="1103" spans="2:9" x14ac:dyDescent="0.25">
      <c r="B1103" s="59"/>
      <c r="C1103" s="60"/>
      <c r="D1103" s="60"/>
      <c r="F1103" s="60"/>
      <c r="G1103" s="60"/>
      <c r="H1103" s="62"/>
      <c r="I1103" s="62" t="str">
        <f t="shared" si="17"/>
        <v/>
      </c>
    </row>
    <row r="1104" spans="2:9" x14ac:dyDescent="0.25">
      <c r="B1104" s="59"/>
      <c r="C1104" s="60"/>
      <c r="D1104" s="60"/>
      <c r="F1104" s="60"/>
      <c r="G1104" s="60"/>
      <c r="H1104" s="62"/>
      <c r="I1104" s="62" t="str">
        <f t="shared" si="17"/>
        <v/>
      </c>
    </row>
    <row r="1105" spans="2:9" x14ac:dyDescent="0.25">
      <c r="B1105" s="59"/>
      <c r="C1105" s="60"/>
      <c r="D1105" s="60"/>
      <c r="F1105" s="60"/>
      <c r="G1105" s="60"/>
      <c r="H1105" s="62"/>
      <c r="I1105" s="62" t="str">
        <f t="shared" si="17"/>
        <v/>
      </c>
    </row>
    <row r="1106" spans="2:9" x14ac:dyDescent="0.25">
      <c r="B1106" s="59"/>
      <c r="C1106" s="60"/>
      <c r="D1106" s="60"/>
      <c r="F1106" s="60"/>
      <c r="G1106" s="60"/>
      <c r="H1106" s="62"/>
      <c r="I1106" s="62" t="str">
        <f t="shared" si="17"/>
        <v/>
      </c>
    </row>
    <row r="1107" spans="2:9" x14ac:dyDescent="0.25">
      <c r="B1107" s="59"/>
      <c r="C1107" s="60"/>
      <c r="D1107" s="60"/>
      <c r="F1107" s="60"/>
      <c r="G1107" s="60"/>
      <c r="H1107" s="62"/>
      <c r="I1107" s="62" t="str">
        <f t="shared" si="17"/>
        <v/>
      </c>
    </row>
    <row r="1108" spans="2:9" x14ac:dyDescent="0.25">
      <c r="B1108" s="59"/>
      <c r="C1108" s="60"/>
      <c r="D1108" s="60"/>
      <c r="F1108" s="60"/>
      <c r="G1108" s="60"/>
      <c r="H1108" s="62"/>
      <c r="I1108" s="62" t="str">
        <f t="shared" si="17"/>
        <v/>
      </c>
    </row>
    <row r="1109" spans="2:9" x14ac:dyDescent="0.25">
      <c r="B1109" s="59"/>
      <c r="C1109" s="60"/>
      <c r="D1109" s="60"/>
      <c r="F1109" s="60"/>
      <c r="G1109" s="60"/>
      <c r="H1109" s="62"/>
      <c r="I1109" s="62" t="str">
        <f t="shared" si="17"/>
        <v/>
      </c>
    </row>
    <row r="1110" spans="2:9" x14ac:dyDescent="0.25">
      <c r="B1110" s="59"/>
      <c r="C1110" s="60"/>
      <c r="D1110" s="60"/>
      <c r="F1110" s="60"/>
      <c r="G1110" s="60"/>
      <c r="H1110" s="62"/>
      <c r="I1110" s="62" t="str">
        <f t="shared" si="17"/>
        <v/>
      </c>
    </row>
    <row r="1111" spans="2:9" x14ac:dyDescent="0.25">
      <c r="B1111" s="59"/>
      <c r="C1111" s="60"/>
      <c r="D1111" s="60"/>
      <c r="F1111" s="60"/>
      <c r="G1111" s="60"/>
      <c r="H1111" s="62"/>
      <c r="I1111" s="62" t="str">
        <f t="shared" si="17"/>
        <v/>
      </c>
    </row>
    <row r="1112" spans="2:9" x14ac:dyDescent="0.25">
      <c r="B1112" s="59"/>
      <c r="C1112" s="60"/>
      <c r="D1112" s="60"/>
      <c r="F1112" s="60"/>
      <c r="G1112" s="60"/>
      <c r="H1112" s="62"/>
      <c r="I1112" s="62" t="str">
        <f t="shared" si="17"/>
        <v/>
      </c>
    </row>
    <row r="1113" spans="2:9" x14ac:dyDescent="0.25">
      <c r="B1113" s="59"/>
      <c r="C1113" s="60"/>
      <c r="D1113" s="60"/>
      <c r="F1113" s="60"/>
      <c r="G1113" s="60"/>
      <c r="H1113" s="62"/>
      <c r="I1113" s="62" t="str">
        <f t="shared" si="17"/>
        <v/>
      </c>
    </row>
    <row r="1114" spans="2:9" x14ac:dyDescent="0.25">
      <c r="B1114" s="59"/>
      <c r="C1114" s="60"/>
      <c r="D1114" s="60"/>
      <c r="F1114" s="60"/>
      <c r="G1114" s="60"/>
      <c r="H1114" s="62"/>
      <c r="I1114" s="62" t="str">
        <f t="shared" si="17"/>
        <v/>
      </c>
    </row>
    <row r="1115" spans="2:9" x14ac:dyDescent="0.25">
      <c r="B1115" s="59"/>
      <c r="C1115" s="60"/>
      <c r="D1115" s="60"/>
      <c r="F1115" s="60"/>
      <c r="G1115" s="60"/>
      <c r="H1115" s="62"/>
      <c r="I1115" s="62" t="str">
        <f t="shared" si="17"/>
        <v/>
      </c>
    </row>
    <row r="1116" spans="2:9" x14ac:dyDescent="0.25">
      <c r="B1116" s="59"/>
      <c r="C1116" s="60"/>
      <c r="D1116" s="60"/>
      <c r="F1116" s="60"/>
      <c r="G1116" s="60"/>
      <c r="H1116" s="62"/>
      <c r="I1116" s="62" t="str">
        <f t="shared" si="17"/>
        <v/>
      </c>
    </row>
    <row r="1117" spans="2:9" x14ac:dyDescent="0.25">
      <c r="B1117" s="59"/>
      <c r="C1117" s="60"/>
      <c r="D1117" s="60"/>
      <c r="F1117" s="60"/>
      <c r="G1117" s="60"/>
      <c r="H1117" s="62"/>
      <c r="I1117" s="62" t="str">
        <f t="shared" si="17"/>
        <v/>
      </c>
    </row>
    <row r="1118" spans="2:9" x14ac:dyDescent="0.25">
      <c r="B1118" s="59"/>
      <c r="C1118" s="60"/>
      <c r="D1118" s="60"/>
      <c r="F1118" s="60"/>
      <c r="G1118" s="60"/>
      <c r="H1118" s="62"/>
      <c r="I1118" s="62" t="str">
        <f t="shared" si="17"/>
        <v/>
      </c>
    </row>
    <row r="1119" spans="2:9" x14ac:dyDescent="0.25">
      <c r="B1119" s="59"/>
      <c r="C1119" s="60"/>
      <c r="D1119" s="60"/>
      <c r="F1119" s="60"/>
      <c r="G1119" s="60"/>
      <c r="H1119" s="62"/>
      <c r="I1119" s="62" t="str">
        <f t="shared" si="17"/>
        <v/>
      </c>
    </row>
    <row r="1120" spans="2:9" x14ac:dyDescent="0.25">
      <c r="B1120" s="59"/>
      <c r="C1120" s="60"/>
      <c r="D1120" s="60"/>
      <c r="F1120" s="60"/>
      <c r="G1120" s="60"/>
      <c r="H1120" s="62"/>
      <c r="I1120" s="62" t="str">
        <f t="shared" si="17"/>
        <v/>
      </c>
    </row>
    <row r="1121" spans="2:9" x14ac:dyDescent="0.25">
      <c r="B1121" s="59"/>
      <c r="C1121" s="60"/>
      <c r="D1121" s="60"/>
      <c r="F1121" s="60"/>
      <c r="G1121" s="60"/>
      <c r="H1121" s="62"/>
      <c r="I1121" s="62" t="str">
        <f t="shared" si="17"/>
        <v/>
      </c>
    </row>
    <row r="1122" spans="2:9" x14ac:dyDescent="0.25">
      <c r="B1122" s="59"/>
      <c r="C1122" s="60"/>
      <c r="D1122" s="60"/>
      <c r="F1122" s="60"/>
      <c r="G1122" s="60"/>
      <c r="H1122" s="62"/>
      <c r="I1122" s="62" t="str">
        <f t="shared" si="17"/>
        <v/>
      </c>
    </row>
    <row r="1123" spans="2:9" x14ac:dyDescent="0.25">
      <c r="B1123" s="59"/>
      <c r="C1123" s="60"/>
      <c r="D1123" s="60"/>
      <c r="F1123" s="60"/>
      <c r="G1123" s="60"/>
      <c r="H1123" s="62"/>
      <c r="I1123" s="62" t="str">
        <f t="shared" si="17"/>
        <v/>
      </c>
    </row>
    <row r="1124" spans="2:9" x14ac:dyDescent="0.25">
      <c r="B1124" s="59"/>
      <c r="C1124" s="60"/>
      <c r="D1124" s="60"/>
      <c r="F1124" s="60"/>
      <c r="G1124" s="60"/>
      <c r="H1124" s="62"/>
      <c r="I1124" s="62" t="str">
        <f t="shared" si="17"/>
        <v/>
      </c>
    </row>
    <row r="1125" spans="2:9" x14ac:dyDescent="0.25">
      <c r="B1125" s="59"/>
      <c r="C1125" s="60"/>
      <c r="D1125" s="60"/>
      <c r="F1125" s="60"/>
      <c r="G1125" s="60"/>
      <c r="H1125" s="62"/>
      <c r="I1125" s="62" t="str">
        <f t="shared" si="17"/>
        <v/>
      </c>
    </row>
    <row r="1126" spans="2:9" x14ac:dyDescent="0.25">
      <c r="B1126" s="59"/>
      <c r="C1126" s="60"/>
      <c r="D1126" s="60"/>
      <c r="F1126" s="60"/>
      <c r="G1126" s="60"/>
      <c r="H1126" s="62"/>
      <c r="I1126" s="62" t="str">
        <f t="shared" si="17"/>
        <v/>
      </c>
    </row>
    <row r="1127" spans="2:9" x14ac:dyDescent="0.25">
      <c r="B1127" s="59"/>
      <c r="C1127" s="60"/>
      <c r="D1127" s="60"/>
      <c r="F1127" s="60"/>
      <c r="G1127" s="60"/>
      <c r="H1127" s="62"/>
      <c r="I1127" s="62" t="str">
        <f t="shared" si="17"/>
        <v/>
      </c>
    </row>
    <row r="1128" spans="2:9" x14ac:dyDescent="0.25">
      <c r="B1128" s="59"/>
      <c r="C1128" s="60"/>
      <c r="D1128" s="60"/>
      <c r="F1128" s="60"/>
      <c r="G1128" s="60"/>
      <c r="H1128" s="62"/>
      <c r="I1128" s="62" t="str">
        <f t="shared" si="17"/>
        <v/>
      </c>
    </row>
    <row r="1129" spans="2:9" x14ac:dyDescent="0.25">
      <c r="B1129" s="59"/>
      <c r="C1129" s="60"/>
      <c r="D1129" s="60"/>
      <c r="F1129" s="60"/>
      <c r="G1129" s="60"/>
      <c r="H1129" s="62"/>
      <c r="I1129" s="62" t="str">
        <f t="shared" si="17"/>
        <v/>
      </c>
    </row>
    <row r="1130" spans="2:9" x14ac:dyDescent="0.25">
      <c r="B1130" s="59"/>
      <c r="C1130" s="60"/>
      <c r="D1130" s="60"/>
      <c r="F1130" s="60"/>
      <c r="G1130" s="60"/>
      <c r="H1130" s="62"/>
      <c r="I1130" s="62" t="str">
        <f t="shared" si="17"/>
        <v/>
      </c>
    </row>
    <row r="1131" spans="2:9" x14ac:dyDescent="0.25">
      <c r="B1131" s="59"/>
      <c r="C1131" s="60"/>
      <c r="D1131" s="60"/>
      <c r="F1131" s="60"/>
      <c r="G1131" s="60"/>
      <c r="H1131" s="62"/>
      <c r="I1131" s="62" t="str">
        <f t="shared" si="17"/>
        <v/>
      </c>
    </row>
    <row r="1132" spans="2:9" x14ac:dyDescent="0.25">
      <c r="B1132" s="59"/>
      <c r="C1132" s="60"/>
      <c r="D1132" s="60"/>
      <c r="F1132" s="60"/>
      <c r="G1132" s="60"/>
      <c r="H1132" s="62"/>
      <c r="I1132" s="62" t="str">
        <f t="shared" si="17"/>
        <v/>
      </c>
    </row>
    <row r="1133" spans="2:9" x14ac:dyDescent="0.25">
      <c r="B1133" s="59"/>
      <c r="C1133" s="60"/>
      <c r="D1133" s="60"/>
      <c r="F1133" s="60"/>
      <c r="G1133" s="60"/>
      <c r="H1133" s="62"/>
      <c r="I1133" s="62" t="str">
        <f t="shared" si="17"/>
        <v/>
      </c>
    </row>
    <row r="1134" spans="2:9" x14ac:dyDescent="0.25">
      <c r="B1134" s="59"/>
      <c r="C1134" s="60"/>
      <c r="D1134" s="60"/>
      <c r="F1134" s="60"/>
      <c r="G1134" s="60"/>
      <c r="H1134" s="62"/>
      <c r="I1134" s="62" t="str">
        <f t="shared" si="17"/>
        <v/>
      </c>
    </row>
    <row r="1135" spans="2:9" x14ac:dyDescent="0.25">
      <c r="B1135" s="59"/>
      <c r="C1135" s="60"/>
      <c r="D1135" s="60"/>
      <c r="F1135" s="60"/>
      <c r="G1135" s="60"/>
      <c r="H1135" s="62"/>
      <c r="I1135" s="62" t="str">
        <f t="shared" si="17"/>
        <v/>
      </c>
    </row>
    <row r="1136" spans="2:9" x14ac:dyDescent="0.25">
      <c r="B1136" s="59"/>
      <c r="C1136" s="60"/>
      <c r="D1136" s="60"/>
      <c r="F1136" s="60"/>
      <c r="G1136" s="60"/>
      <c r="H1136" s="62"/>
      <c r="I1136" s="62" t="str">
        <f t="shared" si="17"/>
        <v/>
      </c>
    </row>
    <row r="1137" spans="2:9" x14ac:dyDescent="0.25">
      <c r="B1137" s="59"/>
      <c r="C1137" s="60"/>
      <c r="D1137" s="60"/>
      <c r="F1137" s="60"/>
      <c r="G1137" s="60"/>
      <c r="H1137" s="62"/>
      <c r="I1137" s="62" t="str">
        <f t="shared" si="17"/>
        <v/>
      </c>
    </row>
    <row r="1138" spans="2:9" x14ac:dyDescent="0.25">
      <c r="B1138" s="59"/>
      <c r="C1138" s="60"/>
      <c r="D1138" s="60"/>
      <c r="F1138" s="60"/>
      <c r="G1138" s="60"/>
      <c r="H1138" s="62"/>
      <c r="I1138" s="62" t="str">
        <f t="shared" si="17"/>
        <v/>
      </c>
    </row>
    <row r="1139" spans="2:9" x14ac:dyDescent="0.25">
      <c r="B1139" s="59"/>
      <c r="C1139" s="60"/>
      <c r="D1139" s="60"/>
      <c r="F1139" s="60"/>
      <c r="G1139" s="60"/>
      <c r="H1139" s="62"/>
      <c r="I1139" s="62" t="str">
        <f t="shared" si="17"/>
        <v/>
      </c>
    </row>
    <row r="1140" spans="2:9" x14ac:dyDescent="0.25">
      <c r="B1140" s="59"/>
      <c r="C1140" s="60"/>
      <c r="D1140" s="60"/>
      <c r="F1140" s="60"/>
      <c r="G1140" s="60"/>
      <c r="H1140" s="62"/>
      <c r="I1140" s="62" t="str">
        <f t="shared" si="17"/>
        <v/>
      </c>
    </row>
    <row r="1141" spans="2:9" x14ac:dyDescent="0.25">
      <c r="B1141" s="59"/>
      <c r="C1141" s="60"/>
      <c r="D1141" s="60"/>
      <c r="F1141" s="60"/>
      <c r="G1141" s="60"/>
      <c r="H1141" s="62"/>
      <c r="I1141" s="62" t="str">
        <f t="shared" si="17"/>
        <v/>
      </c>
    </row>
    <row r="1142" spans="2:9" x14ac:dyDescent="0.25">
      <c r="B1142" s="59"/>
      <c r="C1142" s="60"/>
      <c r="D1142" s="60"/>
      <c r="F1142" s="60"/>
      <c r="G1142" s="60"/>
      <c r="H1142" s="62"/>
      <c r="I1142" s="62" t="str">
        <f t="shared" si="17"/>
        <v/>
      </c>
    </row>
    <row r="1143" spans="2:9" x14ac:dyDescent="0.25">
      <c r="B1143" s="59"/>
      <c r="C1143" s="60"/>
      <c r="D1143" s="60"/>
      <c r="F1143" s="60"/>
      <c r="G1143" s="60"/>
      <c r="H1143" s="62"/>
      <c r="I1143" s="62" t="str">
        <f t="shared" si="17"/>
        <v/>
      </c>
    </row>
    <row r="1144" spans="2:9" x14ac:dyDescent="0.25">
      <c r="B1144" s="59"/>
      <c r="C1144" s="60"/>
      <c r="D1144" s="60"/>
      <c r="F1144" s="60"/>
      <c r="G1144" s="60"/>
      <c r="H1144" s="62"/>
      <c r="I1144" s="62" t="str">
        <f t="shared" si="17"/>
        <v/>
      </c>
    </row>
    <row r="1145" spans="2:9" x14ac:dyDescent="0.25">
      <c r="B1145" s="59"/>
      <c r="C1145" s="60"/>
      <c r="D1145" s="60"/>
      <c r="F1145" s="60"/>
      <c r="G1145" s="60"/>
      <c r="H1145" s="62"/>
      <c r="I1145" s="62" t="str">
        <f t="shared" si="17"/>
        <v/>
      </c>
    </row>
    <row r="1146" spans="2:9" x14ac:dyDescent="0.25">
      <c r="B1146" s="59"/>
      <c r="C1146" s="60"/>
      <c r="D1146" s="60"/>
      <c r="F1146" s="60"/>
      <c r="G1146" s="60"/>
      <c r="H1146" s="62"/>
      <c r="I1146" s="62" t="str">
        <f t="shared" si="17"/>
        <v/>
      </c>
    </row>
    <row r="1147" spans="2:9" x14ac:dyDescent="0.25">
      <c r="B1147" s="59"/>
      <c r="C1147" s="60"/>
      <c r="D1147" s="60"/>
      <c r="F1147" s="60"/>
      <c r="G1147" s="60"/>
      <c r="H1147" s="62"/>
      <c r="I1147" s="62" t="str">
        <f t="shared" si="17"/>
        <v/>
      </c>
    </row>
    <row r="1148" spans="2:9" x14ac:dyDescent="0.25">
      <c r="B1148" s="59"/>
      <c r="C1148" s="60"/>
      <c r="D1148" s="60"/>
      <c r="F1148" s="60"/>
      <c r="G1148" s="60"/>
      <c r="H1148" s="62"/>
      <c r="I1148" s="62" t="str">
        <f t="shared" si="17"/>
        <v/>
      </c>
    </row>
    <row r="1149" spans="2:9" x14ac:dyDescent="0.25">
      <c r="B1149" s="59"/>
      <c r="C1149" s="60"/>
      <c r="D1149" s="60"/>
      <c r="F1149" s="60"/>
      <c r="G1149" s="60"/>
      <c r="H1149" s="62"/>
      <c r="I1149" s="62" t="str">
        <f t="shared" si="17"/>
        <v/>
      </c>
    </row>
    <row r="1150" spans="2:9" x14ac:dyDescent="0.25">
      <c r="B1150" s="59"/>
      <c r="C1150" s="60"/>
      <c r="D1150" s="60"/>
      <c r="F1150" s="60"/>
      <c r="G1150" s="60"/>
      <c r="H1150" s="62"/>
      <c r="I1150" s="62" t="str">
        <f t="shared" si="17"/>
        <v/>
      </c>
    </row>
    <row r="1151" spans="2:9" x14ac:dyDescent="0.25">
      <c r="B1151" s="59"/>
      <c r="C1151" s="60"/>
      <c r="D1151" s="60"/>
      <c r="F1151" s="60"/>
      <c r="G1151" s="60"/>
      <c r="H1151" s="62"/>
      <c r="I1151" s="62" t="str">
        <f t="shared" si="17"/>
        <v/>
      </c>
    </row>
    <row r="1152" spans="2:9" x14ac:dyDescent="0.25">
      <c r="B1152" s="59"/>
      <c r="C1152" s="60"/>
      <c r="D1152" s="60"/>
      <c r="F1152" s="60"/>
      <c r="G1152" s="60"/>
      <c r="H1152" s="62"/>
      <c r="I1152" s="62" t="str">
        <f t="shared" si="17"/>
        <v/>
      </c>
    </row>
    <row r="1153" spans="2:9" x14ac:dyDescent="0.25">
      <c r="B1153" s="59"/>
      <c r="C1153" s="60"/>
      <c r="D1153" s="60"/>
      <c r="F1153" s="60"/>
      <c r="G1153" s="60"/>
      <c r="H1153" s="62"/>
      <c r="I1153" s="62" t="str">
        <f t="shared" si="17"/>
        <v/>
      </c>
    </row>
    <row r="1154" spans="2:9" x14ac:dyDescent="0.25">
      <c r="B1154" s="59"/>
      <c r="C1154" s="60"/>
      <c r="D1154" s="60"/>
      <c r="F1154" s="60"/>
      <c r="G1154" s="60"/>
      <c r="H1154" s="62"/>
      <c r="I1154" s="62" t="str">
        <f t="shared" si="17"/>
        <v/>
      </c>
    </row>
    <row r="1155" spans="2:9" x14ac:dyDescent="0.25">
      <c r="B1155" s="59"/>
      <c r="C1155" s="60"/>
      <c r="D1155" s="60"/>
      <c r="F1155" s="60"/>
      <c r="G1155" s="60"/>
      <c r="H1155" s="62"/>
      <c r="I1155" s="62" t="str">
        <f t="shared" si="17"/>
        <v/>
      </c>
    </row>
    <row r="1156" spans="2:9" x14ac:dyDescent="0.25">
      <c r="B1156" s="59"/>
      <c r="C1156" s="60"/>
      <c r="D1156" s="60"/>
      <c r="F1156" s="60"/>
      <c r="G1156" s="60"/>
      <c r="H1156" s="62"/>
      <c r="I1156" s="62" t="str">
        <f t="shared" si="17"/>
        <v/>
      </c>
    </row>
    <row r="1157" spans="2:9" x14ac:dyDescent="0.25">
      <c r="B1157" s="59"/>
      <c r="C1157" s="60"/>
      <c r="D1157" s="60"/>
      <c r="F1157" s="60"/>
      <c r="G1157" s="60"/>
      <c r="H1157" s="62"/>
      <c r="I1157" s="62" t="str">
        <f t="shared" ref="I1157:I1220" si="18">IF(H1157&lt;&gt;"",H1157-H1156,"")</f>
        <v/>
      </c>
    </row>
    <row r="1158" spans="2:9" x14ac:dyDescent="0.25">
      <c r="B1158" s="59"/>
      <c r="C1158" s="60"/>
      <c r="D1158" s="60"/>
      <c r="F1158" s="60"/>
      <c r="G1158" s="60"/>
      <c r="H1158" s="62"/>
      <c r="I1158" s="62" t="str">
        <f t="shared" si="18"/>
        <v/>
      </c>
    </row>
    <row r="1159" spans="2:9" x14ac:dyDescent="0.25">
      <c r="B1159" s="59"/>
      <c r="C1159" s="60"/>
      <c r="D1159" s="60"/>
      <c r="F1159" s="60"/>
      <c r="G1159" s="60"/>
      <c r="H1159" s="62"/>
      <c r="I1159" s="62" t="str">
        <f t="shared" si="18"/>
        <v/>
      </c>
    </row>
    <row r="1160" spans="2:9" x14ac:dyDescent="0.25">
      <c r="B1160" s="59"/>
      <c r="C1160" s="60"/>
      <c r="D1160" s="60"/>
      <c r="F1160" s="60"/>
      <c r="G1160" s="60"/>
      <c r="H1160" s="62"/>
      <c r="I1160" s="62" t="str">
        <f t="shared" si="18"/>
        <v/>
      </c>
    </row>
    <row r="1161" spans="2:9" x14ac:dyDescent="0.25">
      <c r="B1161" s="59"/>
      <c r="C1161" s="60"/>
      <c r="D1161" s="60"/>
      <c r="F1161" s="60"/>
      <c r="G1161" s="60"/>
      <c r="H1161" s="62"/>
      <c r="I1161" s="62" t="str">
        <f t="shared" si="18"/>
        <v/>
      </c>
    </row>
    <row r="1162" spans="2:9" x14ac:dyDescent="0.25">
      <c r="B1162" s="59"/>
      <c r="C1162" s="60"/>
      <c r="D1162" s="60"/>
      <c r="F1162" s="60"/>
      <c r="G1162" s="60"/>
      <c r="H1162" s="62"/>
      <c r="I1162" s="62" t="str">
        <f t="shared" si="18"/>
        <v/>
      </c>
    </row>
    <row r="1163" spans="2:9" x14ac:dyDescent="0.25">
      <c r="B1163" s="59"/>
      <c r="C1163" s="60"/>
      <c r="D1163" s="60"/>
      <c r="F1163" s="60"/>
      <c r="G1163" s="60"/>
      <c r="H1163" s="62"/>
      <c r="I1163" s="62" t="str">
        <f t="shared" si="18"/>
        <v/>
      </c>
    </row>
    <row r="1164" spans="2:9" x14ac:dyDescent="0.25">
      <c r="B1164" s="59"/>
      <c r="C1164" s="60"/>
      <c r="D1164" s="60"/>
      <c r="F1164" s="60"/>
      <c r="G1164" s="60"/>
      <c r="H1164" s="62"/>
      <c r="I1164" s="62" t="str">
        <f t="shared" si="18"/>
        <v/>
      </c>
    </row>
    <row r="1165" spans="2:9" x14ac:dyDescent="0.25">
      <c r="B1165" s="59"/>
      <c r="C1165" s="60"/>
      <c r="D1165" s="60"/>
      <c r="F1165" s="60"/>
      <c r="G1165" s="60"/>
      <c r="H1165" s="62"/>
      <c r="I1165" s="62" t="str">
        <f t="shared" si="18"/>
        <v/>
      </c>
    </row>
    <row r="1166" spans="2:9" x14ac:dyDescent="0.25">
      <c r="B1166" s="59"/>
      <c r="C1166" s="60"/>
      <c r="D1166" s="60"/>
      <c r="F1166" s="60"/>
      <c r="G1166" s="60"/>
      <c r="H1166" s="62"/>
      <c r="I1166" s="62" t="str">
        <f t="shared" si="18"/>
        <v/>
      </c>
    </row>
    <row r="1167" spans="2:9" x14ac:dyDescent="0.25">
      <c r="B1167" s="59"/>
      <c r="C1167" s="60"/>
      <c r="D1167" s="60"/>
      <c r="F1167" s="60"/>
      <c r="G1167" s="60"/>
      <c r="H1167" s="62"/>
      <c r="I1167" s="62" t="str">
        <f t="shared" si="18"/>
        <v/>
      </c>
    </row>
    <row r="1168" spans="2:9" x14ac:dyDescent="0.25">
      <c r="B1168" s="59"/>
      <c r="C1168" s="60"/>
      <c r="D1168" s="60"/>
      <c r="F1168" s="60"/>
      <c r="G1168" s="60"/>
      <c r="H1168" s="62"/>
      <c r="I1168" s="62" t="str">
        <f t="shared" si="18"/>
        <v/>
      </c>
    </row>
    <row r="1169" spans="2:9" x14ac:dyDescent="0.25">
      <c r="B1169" s="59"/>
      <c r="C1169" s="60"/>
      <c r="D1169" s="60"/>
      <c r="F1169" s="60"/>
      <c r="G1169" s="60"/>
      <c r="H1169" s="62"/>
      <c r="I1169" s="62" t="str">
        <f t="shared" si="18"/>
        <v/>
      </c>
    </row>
    <row r="1170" spans="2:9" x14ac:dyDescent="0.25">
      <c r="B1170" s="59"/>
      <c r="C1170" s="60"/>
      <c r="D1170" s="60"/>
      <c r="F1170" s="60"/>
      <c r="G1170" s="60"/>
      <c r="H1170" s="62"/>
      <c r="I1170" s="62" t="str">
        <f t="shared" si="18"/>
        <v/>
      </c>
    </row>
    <row r="1171" spans="2:9" x14ac:dyDescent="0.25">
      <c r="B1171" s="59"/>
      <c r="C1171" s="60"/>
      <c r="D1171" s="60"/>
      <c r="F1171" s="60"/>
      <c r="G1171" s="60"/>
      <c r="H1171" s="62"/>
      <c r="I1171" s="62" t="str">
        <f t="shared" si="18"/>
        <v/>
      </c>
    </row>
    <row r="1172" spans="2:9" x14ac:dyDescent="0.25">
      <c r="B1172" s="59"/>
      <c r="C1172" s="60"/>
      <c r="D1172" s="60"/>
      <c r="F1172" s="60"/>
      <c r="G1172" s="60"/>
      <c r="H1172" s="62"/>
      <c r="I1172" s="62" t="str">
        <f t="shared" si="18"/>
        <v/>
      </c>
    </row>
    <row r="1173" spans="2:9" x14ac:dyDescent="0.25">
      <c r="B1173" s="59"/>
      <c r="C1173" s="60"/>
      <c r="D1173" s="60"/>
      <c r="F1173" s="60"/>
      <c r="G1173" s="60"/>
      <c r="H1173" s="62"/>
      <c r="I1173" s="62" t="str">
        <f t="shared" si="18"/>
        <v/>
      </c>
    </row>
    <row r="1174" spans="2:9" x14ac:dyDescent="0.25">
      <c r="B1174" s="59"/>
      <c r="C1174" s="60"/>
      <c r="D1174" s="60"/>
      <c r="F1174" s="60"/>
      <c r="G1174" s="60"/>
      <c r="H1174" s="62"/>
      <c r="I1174" s="62" t="str">
        <f t="shared" si="18"/>
        <v/>
      </c>
    </row>
    <row r="1175" spans="2:9" x14ac:dyDescent="0.25">
      <c r="B1175" s="59"/>
      <c r="C1175" s="60"/>
      <c r="D1175" s="60"/>
      <c r="F1175" s="60"/>
      <c r="G1175" s="60"/>
      <c r="H1175" s="62"/>
      <c r="I1175" s="62" t="str">
        <f t="shared" si="18"/>
        <v/>
      </c>
    </row>
    <row r="1176" spans="2:9" x14ac:dyDescent="0.25">
      <c r="B1176" s="59"/>
      <c r="C1176" s="60"/>
      <c r="D1176" s="60"/>
      <c r="F1176" s="60"/>
      <c r="G1176" s="60"/>
      <c r="H1176" s="62"/>
      <c r="I1176" s="62" t="str">
        <f t="shared" si="18"/>
        <v/>
      </c>
    </row>
    <row r="1177" spans="2:9" x14ac:dyDescent="0.25">
      <c r="B1177" s="59"/>
      <c r="C1177" s="60"/>
      <c r="D1177" s="60"/>
      <c r="F1177" s="60"/>
      <c r="G1177" s="60"/>
      <c r="H1177" s="62"/>
      <c r="I1177" s="62" t="str">
        <f t="shared" si="18"/>
        <v/>
      </c>
    </row>
    <row r="1178" spans="2:9" x14ac:dyDescent="0.25">
      <c r="B1178" s="59"/>
      <c r="C1178" s="60"/>
      <c r="D1178" s="60"/>
      <c r="F1178" s="60"/>
      <c r="G1178" s="60"/>
      <c r="H1178" s="62"/>
      <c r="I1178" s="62" t="str">
        <f t="shared" si="18"/>
        <v/>
      </c>
    </row>
    <row r="1179" spans="2:9" x14ac:dyDescent="0.25">
      <c r="B1179" s="59"/>
      <c r="C1179" s="60"/>
      <c r="D1179" s="60"/>
      <c r="F1179" s="60"/>
      <c r="G1179" s="60"/>
      <c r="H1179" s="62"/>
      <c r="I1179" s="62" t="str">
        <f t="shared" si="18"/>
        <v/>
      </c>
    </row>
    <row r="1180" spans="2:9" x14ac:dyDescent="0.25">
      <c r="B1180" s="59"/>
      <c r="C1180" s="60"/>
      <c r="D1180" s="60"/>
      <c r="F1180" s="60"/>
      <c r="G1180" s="60"/>
      <c r="H1180" s="62"/>
      <c r="I1180" s="62" t="str">
        <f t="shared" si="18"/>
        <v/>
      </c>
    </row>
    <row r="1181" spans="2:9" x14ac:dyDescent="0.25">
      <c r="B1181" s="59"/>
      <c r="C1181" s="60"/>
      <c r="D1181" s="60"/>
      <c r="F1181" s="60"/>
      <c r="G1181" s="60"/>
      <c r="H1181" s="62"/>
      <c r="I1181" s="62" t="str">
        <f t="shared" si="18"/>
        <v/>
      </c>
    </row>
    <row r="1182" spans="2:9" x14ac:dyDescent="0.25">
      <c r="B1182" s="59"/>
      <c r="C1182" s="60"/>
      <c r="D1182" s="60"/>
      <c r="F1182" s="60"/>
      <c r="G1182" s="60"/>
      <c r="H1182" s="62"/>
      <c r="I1182" s="62" t="str">
        <f t="shared" si="18"/>
        <v/>
      </c>
    </row>
    <row r="1183" spans="2:9" x14ac:dyDescent="0.25">
      <c r="B1183" s="59"/>
      <c r="C1183" s="60"/>
      <c r="D1183" s="60"/>
      <c r="F1183" s="60"/>
      <c r="G1183" s="60"/>
      <c r="H1183" s="62"/>
      <c r="I1183" s="62" t="str">
        <f t="shared" si="18"/>
        <v/>
      </c>
    </row>
    <row r="1184" spans="2:9" x14ac:dyDescent="0.25">
      <c r="B1184" s="59"/>
      <c r="C1184" s="60"/>
      <c r="D1184" s="60"/>
      <c r="F1184" s="60"/>
      <c r="G1184" s="60"/>
      <c r="H1184" s="62"/>
      <c r="I1184" s="62" t="str">
        <f t="shared" si="18"/>
        <v/>
      </c>
    </row>
    <row r="1185" spans="2:9" x14ac:dyDescent="0.25">
      <c r="B1185" s="59"/>
      <c r="C1185" s="60"/>
      <c r="D1185" s="60"/>
      <c r="F1185" s="60"/>
      <c r="G1185" s="60"/>
      <c r="H1185" s="62"/>
      <c r="I1185" s="62" t="str">
        <f t="shared" si="18"/>
        <v/>
      </c>
    </row>
    <row r="1186" spans="2:9" x14ac:dyDescent="0.25">
      <c r="B1186" s="59"/>
      <c r="C1186" s="60"/>
      <c r="D1186" s="60"/>
      <c r="F1186" s="60"/>
      <c r="G1186" s="60"/>
      <c r="H1186" s="62"/>
      <c r="I1186" s="62" t="str">
        <f t="shared" si="18"/>
        <v/>
      </c>
    </row>
    <row r="1187" spans="2:9" x14ac:dyDescent="0.25">
      <c r="B1187" s="59"/>
      <c r="C1187" s="60"/>
      <c r="D1187" s="60"/>
      <c r="F1187" s="60"/>
      <c r="G1187" s="60"/>
      <c r="H1187" s="62"/>
      <c r="I1187" s="62" t="str">
        <f t="shared" si="18"/>
        <v/>
      </c>
    </row>
    <row r="1188" spans="2:9" x14ac:dyDescent="0.25">
      <c r="B1188" s="59"/>
      <c r="C1188" s="60"/>
      <c r="D1188" s="60"/>
      <c r="F1188" s="60"/>
      <c r="G1188" s="60"/>
      <c r="H1188" s="62"/>
      <c r="I1188" s="62" t="str">
        <f t="shared" si="18"/>
        <v/>
      </c>
    </row>
    <row r="1189" spans="2:9" x14ac:dyDescent="0.25">
      <c r="B1189" s="59"/>
      <c r="C1189" s="60"/>
      <c r="D1189" s="60"/>
      <c r="F1189" s="60"/>
      <c r="G1189" s="60"/>
      <c r="H1189" s="62"/>
      <c r="I1189" s="62" t="str">
        <f t="shared" si="18"/>
        <v/>
      </c>
    </row>
    <row r="1190" spans="2:9" x14ac:dyDescent="0.25">
      <c r="B1190" s="59"/>
      <c r="C1190" s="60"/>
      <c r="D1190" s="60"/>
      <c r="F1190" s="60"/>
      <c r="G1190" s="60"/>
      <c r="H1190" s="62"/>
      <c r="I1190" s="62" t="str">
        <f t="shared" si="18"/>
        <v/>
      </c>
    </row>
    <row r="1191" spans="2:9" x14ac:dyDescent="0.25">
      <c r="B1191" s="59"/>
      <c r="C1191" s="60"/>
      <c r="D1191" s="60"/>
      <c r="F1191" s="60"/>
      <c r="G1191" s="60"/>
      <c r="H1191" s="62"/>
      <c r="I1191" s="62" t="str">
        <f t="shared" si="18"/>
        <v/>
      </c>
    </row>
    <row r="1192" spans="2:9" x14ac:dyDescent="0.25">
      <c r="B1192" s="59"/>
      <c r="C1192" s="60"/>
      <c r="D1192" s="60"/>
      <c r="F1192" s="60"/>
      <c r="G1192" s="60"/>
      <c r="H1192" s="62"/>
      <c r="I1192" s="62" t="str">
        <f t="shared" si="18"/>
        <v/>
      </c>
    </row>
    <row r="1193" spans="2:9" x14ac:dyDescent="0.25">
      <c r="B1193" s="59"/>
      <c r="C1193" s="60"/>
      <c r="D1193" s="60"/>
      <c r="F1193" s="60"/>
      <c r="G1193" s="60"/>
      <c r="H1193" s="62"/>
      <c r="I1193" s="62" t="str">
        <f t="shared" si="18"/>
        <v/>
      </c>
    </row>
    <row r="1194" spans="2:9" x14ac:dyDescent="0.25">
      <c r="B1194" s="59"/>
      <c r="C1194" s="60"/>
      <c r="D1194" s="60"/>
      <c r="F1194" s="60"/>
      <c r="G1194" s="60"/>
      <c r="H1194" s="62"/>
      <c r="I1194" s="62" t="str">
        <f t="shared" si="18"/>
        <v/>
      </c>
    </row>
    <row r="1195" spans="2:9" x14ac:dyDescent="0.25">
      <c r="B1195" s="59"/>
      <c r="C1195" s="60"/>
      <c r="D1195" s="60"/>
      <c r="F1195" s="60"/>
      <c r="G1195" s="60"/>
      <c r="H1195" s="62"/>
      <c r="I1195" s="62" t="str">
        <f t="shared" si="18"/>
        <v/>
      </c>
    </row>
    <row r="1196" spans="2:9" x14ac:dyDescent="0.25">
      <c r="B1196" s="59"/>
      <c r="C1196" s="60"/>
      <c r="D1196" s="60"/>
      <c r="F1196" s="60"/>
      <c r="G1196" s="60"/>
      <c r="H1196" s="62"/>
      <c r="I1196" s="62" t="str">
        <f t="shared" si="18"/>
        <v/>
      </c>
    </row>
    <row r="1197" spans="2:9" x14ac:dyDescent="0.25">
      <c r="B1197" s="59"/>
      <c r="C1197" s="60"/>
      <c r="D1197" s="60"/>
      <c r="F1197" s="60"/>
      <c r="G1197" s="60"/>
      <c r="H1197" s="62"/>
      <c r="I1197" s="62" t="str">
        <f t="shared" si="18"/>
        <v/>
      </c>
    </row>
    <row r="1198" spans="2:9" x14ac:dyDescent="0.25">
      <c r="B1198" s="59"/>
      <c r="C1198" s="60"/>
      <c r="D1198" s="60"/>
      <c r="F1198" s="60"/>
      <c r="G1198" s="60"/>
      <c r="H1198" s="62"/>
      <c r="I1198" s="62" t="str">
        <f t="shared" si="18"/>
        <v/>
      </c>
    </row>
    <row r="1199" spans="2:9" x14ac:dyDescent="0.25">
      <c r="B1199" s="59"/>
      <c r="C1199" s="60"/>
      <c r="D1199" s="60"/>
      <c r="F1199" s="60"/>
      <c r="G1199" s="60"/>
      <c r="H1199" s="62"/>
      <c r="I1199" s="62" t="str">
        <f t="shared" si="18"/>
        <v/>
      </c>
    </row>
    <row r="1200" spans="2:9" x14ac:dyDescent="0.25">
      <c r="B1200" s="59"/>
      <c r="C1200" s="60"/>
      <c r="D1200" s="60"/>
      <c r="F1200" s="60"/>
      <c r="G1200" s="60"/>
      <c r="H1200" s="62"/>
      <c r="I1200" s="62" t="str">
        <f t="shared" si="18"/>
        <v/>
      </c>
    </row>
    <row r="1201" spans="2:9" x14ac:dyDescent="0.25">
      <c r="B1201" s="59"/>
      <c r="C1201" s="60"/>
      <c r="D1201" s="60"/>
      <c r="F1201" s="60"/>
      <c r="G1201" s="60"/>
      <c r="H1201" s="62"/>
      <c r="I1201" s="62" t="str">
        <f t="shared" si="18"/>
        <v/>
      </c>
    </row>
    <row r="1202" spans="2:9" x14ac:dyDescent="0.25">
      <c r="B1202" s="59"/>
      <c r="C1202" s="60"/>
      <c r="D1202" s="60"/>
      <c r="F1202" s="60"/>
      <c r="G1202" s="60"/>
      <c r="H1202" s="62"/>
      <c r="I1202" s="62" t="str">
        <f t="shared" si="18"/>
        <v/>
      </c>
    </row>
    <row r="1203" spans="2:9" x14ac:dyDescent="0.25">
      <c r="B1203" s="59"/>
      <c r="C1203" s="60"/>
      <c r="D1203" s="60"/>
      <c r="F1203" s="60"/>
      <c r="G1203" s="60"/>
      <c r="H1203" s="62"/>
      <c r="I1203" s="62" t="str">
        <f t="shared" si="18"/>
        <v/>
      </c>
    </row>
    <row r="1204" spans="2:9" x14ac:dyDescent="0.25">
      <c r="B1204" s="59"/>
      <c r="C1204" s="60"/>
      <c r="D1204" s="60"/>
      <c r="F1204" s="60"/>
      <c r="G1204" s="60"/>
      <c r="H1204" s="62"/>
      <c r="I1204" s="62" t="str">
        <f t="shared" si="18"/>
        <v/>
      </c>
    </row>
    <row r="1205" spans="2:9" x14ac:dyDescent="0.25">
      <c r="B1205" s="59"/>
      <c r="C1205" s="60"/>
      <c r="D1205" s="60"/>
      <c r="F1205" s="60"/>
      <c r="G1205" s="60"/>
      <c r="H1205" s="62"/>
      <c r="I1205" s="62" t="str">
        <f t="shared" si="18"/>
        <v/>
      </c>
    </row>
    <row r="1206" spans="2:9" x14ac:dyDescent="0.25">
      <c r="B1206" s="59"/>
      <c r="C1206" s="60"/>
      <c r="D1206" s="60"/>
      <c r="F1206" s="60"/>
      <c r="G1206" s="60"/>
      <c r="H1206" s="62"/>
      <c r="I1206" s="62" t="str">
        <f t="shared" si="18"/>
        <v/>
      </c>
    </row>
    <row r="1207" spans="2:9" x14ac:dyDescent="0.25">
      <c r="B1207" s="59"/>
      <c r="C1207" s="60"/>
      <c r="D1207" s="60"/>
      <c r="F1207" s="60"/>
      <c r="G1207" s="60"/>
      <c r="H1207" s="62"/>
      <c r="I1207" s="62" t="str">
        <f t="shared" si="18"/>
        <v/>
      </c>
    </row>
    <row r="1208" spans="2:9" x14ac:dyDescent="0.25">
      <c r="B1208" s="59"/>
      <c r="C1208" s="60"/>
      <c r="D1208" s="60"/>
      <c r="F1208" s="60"/>
      <c r="G1208" s="60"/>
      <c r="H1208" s="62"/>
      <c r="I1208" s="62" t="str">
        <f t="shared" si="18"/>
        <v/>
      </c>
    </row>
    <row r="1209" spans="2:9" x14ac:dyDescent="0.25">
      <c r="B1209" s="59"/>
      <c r="C1209" s="60"/>
      <c r="D1209" s="60"/>
      <c r="F1209" s="60"/>
      <c r="G1209" s="60"/>
      <c r="H1209" s="62"/>
      <c r="I1209" s="62" t="str">
        <f t="shared" si="18"/>
        <v/>
      </c>
    </row>
    <row r="1210" spans="2:9" x14ac:dyDescent="0.25">
      <c r="B1210" s="59"/>
      <c r="C1210" s="60"/>
      <c r="D1210" s="60"/>
      <c r="F1210" s="60"/>
      <c r="G1210" s="60"/>
      <c r="H1210" s="62"/>
      <c r="I1210" s="62" t="str">
        <f t="shared" si="18"/>
        <v/>
      </c>
    </row>
    <row r="1211" spans="2:9" x14ac:dyDescent="0.25">
      <c r="B1211" s="59"/>
      <c r="C1211" s="60"/>
      <c r="D1211" s="60"/>
      <c r="F1211" s="60"/>
      <c r="G1211" s="60"/>
      <c r="H1211" s="62"/>
      <c r="I1211" s="62" t="str">
        <f t="shared" si="18"/>
        <v/>
      </c>
    </row>
    <row r="1212" spans="2:9" x14ac:dyDescent="0.25">
      <c r="B1212" s="59"/>
      <c r="C1212" s="60"/>
      <c r="D1212" s="60"/>
      <c r="F1212" s="60"/>
      <c r="G1212" s="60"/>
      <c r="H1212" s="62"/>
      <c r="I1212" s="62" t="str">
        <f t="shared" si="18"/>
        <v/>
      </c>
    </row>
    <row r="1213" spans="2:9" x14ac:dyDescent="0.25">
      <c r="B1213" s="59"/>
      <c r="C1213" s="60"/>
      <c r="D1213" s="60"/>
      <c r="F1213" s="60"/>
      <c r="G1213" s="60"/>
      <c r="H1213" s="62"/>
      <c r="I1213" s="62" t="str">
        <f t="shared" si="18"/>
        <v/>
      </c>
    </row>
    <row r="1214" spans="2:9" x14ac:dyDescent="0.25">
      <c r="B1214" s="59"/>
      <c r="C1214" s="60"/>
      <c r="D1214" s="60"/>
      <c r="F1214" s="60"/>
      <c r="G1214" s="60"/>
      <c r="H1214" s="62"/>
      <c r="I1214" s="62" t="str">
        <f t="shared" si="18"/>
        <v/>
      </c>
    </row>
    <row r="1215" spans="2:9" x14ac:dyDescent="0.25">
      <c r="B1215" s="59"/>
      <c r="C1215" s="60"/>
      <c r="D1215" s="60"/>
      <c r="F1215" s="60"/>
      <c r="G1215" s="60"/>
      <c r="H1215" s="62"/>
      <c r="I1215" s="62" t="str">
        <f t="shared" si="18"/>
        <v/>
      </c>
    </row>
    <row r="1216" spans="2:9" x14ac:dyDescent="0.25">
      <c r="B1216" s="59"/>
      <c r="C1216" s="60"/>
      <c r="D1216" s="60"/>
      <c r="F1216" s="60"/>
      <c r="G1216" s="60"/>
      <c r="H1216" s="62"/>
      <c r="I1216" s="62" t="str">
        <f t="shared" si="18"/>
        <v/>
      </c>
    </row>
    <row r="1217" spans="2:9" x14ac:dyDescent="0.25">
      <c r="B1217" s="59"/>
      <c r="C1217" s="60"/>
      <c r="D1217" s="60"/>
      <c r="F1217" s="60"/>
      <c r="G1217" s="60"/>
      <c r="H1217" s="62"/>
      <c r="I1217" s="62" t="str">
        <f t="shared" si="18"/>
        <v/>
      </c>
    </row>
    <row r="1218" spans="2:9" x14ac:dyDescent="0.25">
      <c r="B1218" s="59"/>
      <c r="C1218" s="60"/>
      <c r="D1218" s="60"/>
      <c r="F1218" s="60"/>
      <c r="G1218" s="60"/>
      <c r="H1218" s="62"/>
      <c r="I1218" s="62" t="str">
        <f t="shared" si="18"/>
        <v/>
      </c>
    </row>
    <row r="1219" spans="2:9" x14ac:dyDescent="0.25">
      <c r="B1219" s="59"/>
      <c r="C1219" s="60"/>
      <c r="D1219" s="60"/>
      <c r="F1219" s="60"/>
      <c r="G1219" s="60"/>
      <c r="H1219" s="62"/>
      <c r="I1219" s="62" t="str">
        <f t="shared" si="18"/>
        <v/>
      </c>
    </row>
    <row r="1220" spans="2:9" x14ac:dyDescent="0.25">
      <c r="B1220" s="59"/>
      <c r="C1220" s="60"/>
      <c r="D1220" s="60"/>
      <c r="F1220" s="60"/>
      <c r="G1220" s="60"/>
      <c r="H1220" s="62"/>
      <c r="I1220" s="62" t="str">
        <f t="shared" si="18"/>
        <v/>
      </c>
    </row>
    <row r="1221" spans="2:9" x14ac:dyDescent="0.25">
      <c r="B1221" s="59"/>
      <c r="C1221" s="60"/>
      <c r="D1221" s="60"/>
      <c r="F1221" s="60"/>
      <c r="G1221" s="60"/>
      <c r="H1221" s="62"/>
      <c r="I1221" s="62" t="str">
        <f t="shared" ref="I1221:I1284" si="19">IF(H1221&lt;&gt;"",H1221-H1220,"")</f>
        <v/>
      </c>
    </row>
    <row r="1222" spans="2:9" x14ac:dyDescent="0.25">
      <c r="B1222" s="59"/>
      <c r="C1222" s="60"/>
      <c r="D1222" s="60"/>
      <c r="F1222" s="60"/>
      <c r="G1222" s="60"/>
      <c r="H1222" s="62"/>
      <c r="I1222" s="62" t="str">
        <f t="shared" si="19"/>
        <v/>
      </c>
    </row>
    <row r="1223" spans="2:9" x14ac:dyDescent="0.25">
      <c r="B1223" s="59"/>
      <c r="C1223" s="60"/>
      <c r="D1223" s="60"/>
      <c r="F1223" s="60"/>
      <c r="G1223" s="60"/>
      <c r="H1223" s="62"/>
      <c r="I1223" s="62" t="str">
        <f t="shared" si="19"/>
        <v/>
      </c>
    </row>
    <row r="1224" spans="2:9" x14ac:dyDescent="0.25">
      <c r="B1224" s="59"/>
      <c r="C1224" s="60"/>
      <c r="D1224" s="60"/>
      <c r="F1224" s="60"/>
      <c r="G1224" s="60"/>
      <c r="H1224" s="62"/>
      <c r="I1224" s="62" t="str">
        <f t="shared" si="19"/>
        <v/>
      </c>
    </row>
    <row r="1225" spans="2:9" x14ac:dyDescent="0.25">
      <c r="B1225" s="59"/>
      <c r="C1225" s="60"/>
      <c r="D1225" s="60"/>
      <c r="F1225" s="60"/>
      <c r="G1225" s="60"/>
      <c r="H1225" s="62"/>
      <c r="I1225" s="62" t="str">
        <f t="shared" si="19"/>
        <v/>
      </c>
    </row>
    <row r="1226" spans="2:9" x14ac:dyDescent="0.25">
      <c r="B1226" s="59"/>
      <c r="C1226" s="60"/>
      <c r="D1226" s="60"/>
      <c r="F1226" s="60"/>
      <c r="G1226" s="60"/>
      <c r="H1226" s="62"/>
      <c r="I1226" s="62" t="str">
        <f t="shared" si="19"/>
        <v/>
      </c>
    </row>
    <row r="1227" spans="2:9" x14ac:dyDescent="0.25">
      <c r="B1227" s="59"/>
      <c r="C1227" s="60"/>
      <c r="D1227" s="60"/>
      <c r="F1227" s="60"/>
      <c r="G1227" s="60"/>
      <c r="H1227" s="62"/>
      <c r="I1227" s="62" t="str">
        <f t="shared" si="19"/>
        <v/>
      </c>
    </row>
    <row r="1228" spans="2:9" x14ac:dyDescent="0.25">
      <c r="B1228" s="59"/>
      <c r="C1228" s="60"/>
      <c r="D1228" s="60"/>
      <c r="F1228" s="60"/>
      <c r="G1228" s="60"/>
      <c r="H1228" s="62"/>
      <c r="I1228" s="62" t="str">
        <f t="shared" si="19"/>
        <v/>
      </c>
    </row>
    <row r="1229" spans="2:9" x14ac:dyDescent="0.25">
      <c r="B1229" s="59"/>
      <c r="C1229" s="60"/>
      <c r="D1229" s="60"/>
      <c r="F1229" s="60"/>
      <c r="G1229" s="60"/>
      <c r="H1229" s="62"/>
      <c r="I1229" s="62" t="str">
        <f t="shared" si="19"/>
        <v/>
      </c>
    </row>
    <row r="1230" spans="2:9" x14ac:dyDescent="0.25">
      <c r="B1230" s="59"/>
      <c r="C1230" s="60"/>
      <c r="D1230" s="60"/>
      <c r="F1230" s="60"/>
      <c r="G1230" s="60"/>
      <c r="H1230" s="62"/>
      <c r="I1230" s="62" t="str">
        <f t="shared" si="19"/>
        <v/>
      </c>
    </row>
    <row r="1231" spans="2:9" x14ac:dyDescent="0.25">
      <c r="B1231" s="59"/>
      <c r="C1231" s="60"/>
      <c r="D1231" s="60"/>
      <c r="F1231" s="60"/>
      <c r="G1231" s="60"/>
      <c r="H1231" s="62"/>
      <c r="I1231" s="62" t="str">
        <f t="shared" si="19"/>
        <v/>
      </c>
    </row>
    <row r="1232" spans="2:9" x14ac:dyDescent="0.25">
      <c r="B1232" s="59"/>
      <c r="C1232" s="60"/>
      <c r="D1232" s="60"/>
      <c r="F1232" s="60"/>
      <c r="G1232" s="60"/>
      <c r="H1232" s="62"/>
      <c r="I1232" s="62" t="str">
        <f t="shared" si="19"/>
        <v/>
      </c>
    </row>
    <row r="1233" spans="2:9" x14ac:dyDescent="0.25">
      <c r="B1233" s="59"/>
      <c r="C1233" s="60"/>
      <c r="D1233" s="60"/>
      <c r="F1233" s="60"/>
      <c r="G1233" s="60"/>
      <c r="H1233" s="62"/>
      <c r="I1233" s="62" t="str">
        <f t="shared" si="19"/>
        <v/>
      </c>
    </row>
    <row r="1234" spans="2:9" x14ac:dyDescent="0.25">
      <c r="B1234" s="59"/>
      <c r="C1234" s="60"/>
      <c r="D1234" s="60"/>
      <c r="F1234" s="60"/>
      <c r="G1234" s="60"/>
      <c r="H1234" s="62"/>
      <c r="I1234" s="62" t="str">
        <f t="shared" si="19"/>
        <v/>
      </c>
    </row>
    <row r="1235" spans="2:9" x14ac:dyDescent="0.25">
      <c r="B1235" s="59"/>
      <c r="C1235" s="60"/>
      <c r="D1235" s="60"/>
      <c r="F1235" s="60"/>
      <c r="G1235" s="60"/>
      <c r="H1235" s="62"/>
      <c r="I1235" s="62" t="str">
        <f t="shared" si="19"/>
        <v/>
      </c>
    </row>
    <row r="1236" spans="2:9" x14ac:dyDescent="0.25">
      <c r="B1236" s="59"/>
      <c r="C1236" s="60"/>
      <c r="D1236" s="60"/>
      <c r="F1236" s="60"/>
      <c r="G1236" s="60"/>
      <c r="H1236" s="62"/>
      <c r="I1236" s="62" t="str">
        <f t="shared" si="19"/>
        <v/>
      </c>
    </row>
    <row r="1237" spans="2:9" x14ac:dyDescent="0.25">
      <c r="B1237" s="59"/>
      <c r="C1237" s="60"/>
      <c r="D1237" s="60"/>
      <c r="F1237" s="60"/>
      <c r="G1237" s="60"/>
      <c r="H1237" s="62"/>
      <c r="I1237" s="62" t="str">
        <f t="shared" si="19"/>
        <v/>
      </c>
    </row>
    <row r="1238" spans="2:9" x14ac:dyDescent="0.25">
      <c r="B1238" s="59"/>
      <c r="C1238" s="60"/>
      <c r="D1238" s="60"/>
      <c r="F1238" s="60"/>
      <c r="G1238" s="60"/>
      <c r="H1238" s="62"/>
      <c r="I1238" s="62" t="str">
        <f t="shared" si="19"/>
        <v/>
      </c>
    </row>
    <row r="1239" spans="2:9" x14ac:dyDescent="0.25">
      <c r="B1239" s="59"/>
      <c r="C1239" s="60"/>
      <c r="D1239" s="60"/>
      <c r="F1239" s="60"/>
      <c r="G1239" s="60"/>
      <c r="H1239" s="62"/>
      <c r="I1239" s="62" t="str">
        <f t="shared" si="19"/>
        <v/>
      </c>
    </row>
    <row r="1240" spans="2:9" x14ac:dyDescent="0.25">
      <c r="B1240" s="59"/>
      <c r="C1240" s="60"/>
      <c r="D1240" s="60"/>
      <c r="F1240" s="60"/>
      <c r="G1240" s="60"/>
      <c r="H1240" s="62"/>
      <c r="I1240" s="62" t="str">
        <f t="shared" si="19"/>
        <v/>
      </c>
    </row>
    <row r="1241" spans="2:9" x14ac:dyDescent="0.25">
      <c r="B1241" s="59"/>
      <c r="C1241" s="60"/>
      <c r="D1241" s="60"/>
      <c r="F1241" s="60"/>
      <c r="G1241" s="60"/>
      <c r="H1241" s="62"/>
      <c r="I1241" s="62" t="str">
        <f t="shared" si="19"/>
        <v/>
      </c>
    </row>
    <row r="1242" spans="2:9" x14ac:dyDescent="0.25">
      <c r="B1242" s="59"/>
      <c r="C1242" s="60"/>
      <c r="D1242" s="60"/>
      <c r="F1242" s="60"/>
      <c r="G1242" s="60"/>
      <c r="H1242" s="62"/>
      <c r="I1242" s="62" t="str">
        <f t="shared" si="19"/>
        <v/>
      </c>
    </row>
    <row r="1243" spans="2:9" x14ac:dyDescent="0.25">
      <c r="B1243" s="59"/>
      <c r="C1243" s="60"/>
      <c r="D1243" s="60"/>
      <c r="F1243" s="60"/>
      <c r="G1243" s="60"/>
      <c r="H1243" s="62"/>
      <c r="I1243" s="62" t="str">
        <f t="shared" si="19"/>
        <v/>
      </c>
    </row>
    <row r="1244" spans="2:9" x14ac:dyDescent="0.25">
      <c r="B1244" s="59"/>
      <c r="C1244" s="60"/>
      <c r="D1244" s="60"/>
      <c r="F1244" s="60"/>
      <c r="G1244" s="60"/>
      <c r="H1244" s="62"/>
      <c r="I1244" s="62" t="str">
        <f t="shared" si="19"/>
        <v/>
      </c>
    </row>
    <row r="1245" spans="2:9" x14ac:dyDescent="0.25">
      <c r="B1245" s="59"/>
      <c r="C1245" s="60"/>
      <c r="D1245" s="60"/>
      <c r="F1245" s="60"/>
      <c r="G1245" s="60"/>
      <c r="H1245" s="62"/>
      <c r="I1245" s="62" t="str">
        <f t="shared" si="19"/>
        <v/>
      </c>
    </row>
    <row r="1246" spans="2:9" x14ac:dyDescent="0.25">
      <c r="B1246" s="59"/>
      <c r="C1246" s="60"/>
      <c r="D1246" s="60"/>
      <c r="F1246" s="60"/>
      <c r="G1246" s="60"/>
      <c r="H1246" s="62"/>
      <c r="I1246" s="62" t="str">
        <f t="shared" si="19"/>
        <v/>
      </c>
    </row>
    <row r="1247" spans="2:9" x14ac:dyDescent="0.25">
      <c r="B1247" s="59"/>
      <c r="C1247" s="60"/>
      <c r="D1247" s="60"/>
      <c r="F1247" s="60"/>
      <c r="G1247" s="60"/>
      <c r="H1247" s="62"/>
      <c r="I1247" s="62" t="str">
        <f t="shared" si="19"/>
        <v/>
      </c>
    </row>
    <row r="1248" spans="2:9" x14ac:dyDescent="0.25">
      <c r="B1248" s="59"/>
      <c r="C1248" s="60"/>
      <c r="D1248" s="60"/>
      <c r="F1248" s="60"/>
      <c r="G1248" s="60"/>
      <c r="H1248" s="62"/>
      <c r="I1248" s="62" t="str">
        <f t="shared" si="19"/>
        <v/>
      </c>
    </row>
    <row r="1249" spans="2:9" x14ac:dyDescent="0.25">
      <c r="B1249" s="59"/>
      <c r="C1249" s="60"/>
      <c r="D1249" s="60"/>
      <c r="F1249" s="60"/>
      <c r="G1249" s="60"/>
      <c r="H1249" s="62"/>
      <c r="I1249" s="62" t="str">
        <f t="shared" si="19"/>
        <v/>
      </c>
    </row>
    <row r="1250" spans="2:9" x14ac:dyDescent="0.25">
      <c r="B1250" s="59"/>
      <c r="C1250" s="60"/>
      <c r="D1250" s="60"/>
      <c r="F1250" s="60"/>
      <c r="G1250" s="60"/>
      <c r="H1250" s="62"/>
      <c r="I1250" s="62" t="str">
        <f t="shared" si="19"/>
        <v/>
      </c>
    </row>
    <row r="1251" spans="2:9" x14ac:dyDescent="0.25">
      <c r="B1251" s="59"/>
      <c r="C1251" s="60"/>
      <c r="D1251" s="60"/>
      <c r="F1251" s="60"/>
      <c r="G1251" s="60"/>
      <c r="H1251" s="62"/>
      <c r="I1251" s="62" t="str">
        <f t="shared" si="19"/>
        <v/>
      </c>
    </row>
    <row r="1252" spans="2:9" x14ac:dyDescent="0.25">
      <c r="B1252" s="59"/>
      <c r="C1252" s="60"/>
      <c r="D1252" s="60"/>
      <c r="F1252" s="60"/>
      <c r="G1252" s="60"/>
      <c r="H1252" s="62"/>
      <c r="I1252" s="62" t="str">
        <f t="shared" si="19"/>
        <v/>
      </c>
    </row>
    <row r="1253" spans="2:9" x14ac:dyDescent="0.25">
      <c r="B1253" s="59"/>
      <c r="C1253" s="60"/>
      <c r="D1253" s="60"/>
      <c r="F1253" s="60"/>
      <c r="G1253" s="60"/>
      <c r="H1253" s="62"/>
      <c r="I1253" s="62" t="str">
        <f t="shared" si="19"/>
        <v/>
      </c>
    </row>
    <row r="1254" spans="2:9" x14ac:dyDescent="0.25">
      <c r="B1254" s="59"/>
      <c r="C1254" s="60"/>
      <c r="D1254" s="60"/>
      <c r="F1254" s="60"/>
      <c r="G1254" s="60"/>
      <c r="H1254" s="62"/>
      <c r="I1254" s="62" t="str">
        <f t="shared" si="19"/>
        <v/>
      </c>
    </row>
    <row r="1255" spans="2:9" x14ac:dyDescent="0.25">
      <c r="B1255" s="59"/>
      <c r="C1255" s="60"/>
      <c r="D1255" s="60"/>
      <c r="F1255" s="60"/>
      <c r="G1255" s="60"/>
      <c r="H1255" s="62"/>
      <c r="I1255" s="62" t="str">
        <f t="shared" si="19"/>
        <v/>
      </c>
    </row>
    <row r="1256" spans="2:9" x14ac:dyDescent="0.25">
      <c r="B1256" s="59"/>
      <c r="C1256" s="60"/>
      <c r="D1256" s="60"/>
      <c r="F1256" s="60"/>
      <c r="G1256" s="60"/>
      <c r="H1256" s="62"/>
      <c r="I1256" s="62" t="str">
        <f t="shared" si="19"/>
        <v/>
      </c>
    </row>
    <row r="1257" spans="2:9" x14ac:dyDescent="0.25">
      <c r="B1257" s="59"/>
      <c r="C1257" s="60"/>
      <c r="D1257" s="60"/>
      <c r="F1257" s="60"/>
      <c r="G1257" s="60"/>
      <c r="H1257" s="62"/>
      <c r="I1257" s="62" t="str">
        <f t="shared" si="19"/>
        <v/>
      </c>
    </row>
    <row r="1258" spans="2:9" x14ac:dyDescent="0.25">
      <c r="B1258" s="59"/>
      <c r="C1258" s="60"/>
      <c r="D1258" s="60"/>
      <c r="F1258" s="60"/>
      <c r="G1258" s="60"/>
      <c r="H1258" s="62"/>
      <c r="I1258" s="62" t="str">
        <f t="shared" si="19"/>
        <v/>
      </c>
    </row>
    <row r="1259" spans="2:9" x14ac:dyDescent="0.25">
      <c r="B1259" s="59"/>
      <c r="C1259" s="60"/>
      <c r="D1259" s="60"/>
      <c r="F1259" s="60"/>
      <c r="G1259" s="60"/>
      <c r="H1259" s="62"/>
      <c r="I1259" s="62" t="str">
        <f t="shared" si="19"/>
        <v/>
      </c>
    </row>
    <row r="1260" spans="2:9" x14ac:dyDescent="0.25">
      <c r="B1260" s="59"/>
      <c r="C1260" s="60"/>
      <c r="D1260" s="60"/>
      <c r="F1260" s="60"/>
      <c r="G1260" s="60"/>
      <c r="H1260" s="62"/>
      <c r="I1260" s="62" t="str">
        <f t="shared" si="19"/>
        <v/>
      </c>
    </row>
    <row r="1261" spans="2:9" x14ac:dyDescent="0.25">
      <c r="B1261" s="59"/>
      <c r="C1261" s="60"/>
      <c r="D1261" s="60"/>
      <c r="F1261" s="60"/>
      <c r="G1261" s="60"/>
      <c r="H1261" s="62"/>
      <c r="I1261" s="62" t="str">
        <f t="shared" si="19"/>
        <v/>
      </c>
    </row>
    <row r="1262" spans="2:9" x14ac:dyDescent="0.25">
      <c r="B1262" s="59"/>
      <c r="C1262" s="60"/>
      <c r="D1262" s="60"/>
      <c r="F1262" s="60"/>
      <c r="G1262" s="60"/>
      <c r="H1262" s="62"/>
      <c r="I1262" s="62" t="str">
        <f t="shared" si="19"/>
        <v/>
      </c>
    </row>
    <row r="1263" spans="2:9" x14ac:dyDescent="0.25">
      <c r="B1263" s="59"/>
      <c r="C1263" s="60"/>
      <c r="D1263" s="60"/>
      <c r="F1263" s="60"/>
      <c r="G1263" s="60"/>
      <c r="H1263" s="62"/>
      <c r="I1263" s="62" t="str">
        <f t="shared" si="19"/>
        <v/>
      </c>
    </row>
    <row r="1264" spans="2:9" x14ac:dyDescent="0.25">
      <c r="B1264" s="59"/>
      <c r="C1264" s="60"/>
      <c r="D1264" s="60"/>
      <c r="F1264" s="60"/>
      <c r="G1264" s="60"/>
      <c r="H1264" s="62"/>
      <c r="I1264" s="62" t="str">
        <f t="shared" si="19"/>
        <v/>
      </c>
    </row>
    <row r="1265" spans="2:9" x14ac:dyDescent="0.25">
      <c r="B1265" s="59"/>
      <c r="C1265" s="60"/>
      <c r="D1265" s="60"/>
      <c r="F1265" s="60"/>
      <c r="G1265" s="60"/>
      <c r="H1265" s="62"/>
      <c r="I1265" s="62" t="str">
        <f t="shared" si="19"/>
        <v/>
      </c>
    </row>
    <row r="1266" spans="2:9" x14ac:dyDescent="0.25">
      <c r="B1266" s="59"/>
      <c r="C1266" s="60"/>
      <c r="D1266" s="60"/>
      <c r="F1266" s="60"/>
      <c r="G1266" s="60"/>
      <c r="H1266" s="62"/>
      <c r="I1266" s="62" t="str">
        <f t="shared" si="19"/>
        <v/>
      </c>
    </row>
    <row r="1267" spans="2:9" x14ac:dyDescent="0.25">
      <c r="B1267" s="59"/>
      <c r="C1267" s="60"/>
      <c r="D1267" s="60"/>
      <c r="F1267" s="60"/>
      <c r="G1267" s="60"/>
      <c r="H1267" s="62"/>
      <c r="I1267" s="62" t="str">
        <f t="shared" si="19"/>
        <v/>
      </c>
    </row>
    <row r="1268" spans="2:9" x14ac:dyDescent="0.25">
      <c r="B1268" s="59"/>
      <c r="C1268" s="60"/>
      <c r="D1268" s="60"/>
      <c r="F1268" s="60"/>
      <c r="G1268" s="60"/>
      <c r="H1268" s="62"/>
      <c r="I1268" s="62" t="str">
        <f t="shared" si="19"/>
        <v/>
      </c>
    </row>
    <row r="1269" spans="2:9" x14ac:dyDescent="0.25">
      <c r="B1269" s="59"/>
      <c r="C1269" s="60"/>
      <c r="D1269" s="60"/>
      <c r="F1269" s="60"/>
      <c r="G1269" s="60"/>
      <c r="H1269" s="62"/>
      <c r="I1269" s="62" t="str">
        <f t="shared" si="19"/>
        <v/>
      </c>
    </row>
    <row r="1270" spans="2:9" x14ac:dyDescent="0.25">
      <c r="B1270" s="59"/>
      <c r="C1270" s="60"/>
      <c r="D1270" s="60"/>
      <c r="F1270" s="60"/>
      <c r="G1270" s="60"/>
      <c r="H1270" s="62"/>
      <c r="I1270" s="62" t="str">
        <f t="shared" si="19"/>
        <v/>
      </c>
    </row>
    <row r="1271" spans="2:9" x14ac:dyDescent="0.25">
      <c r="B1271" s="59"/>
      <c r="C1271" s="60"/>
      <c r="D1271" s="60"/>
      <c r="F1271" s="60"/>
      <c r="G1271" s="60"/>
      <c r="H1271" s="62"/>
      <c r="I1271" s="62" t="str">
        <f t="shared" si="19"/>
        <v/>
      </c>
    </row>
    <row r="1272" spans="2:9" x14ac:dyDescent="0.25">
      <c r="B1272" s="59"/>
      <c r="C1272" s="60"/>
      <c r="D1272" s="60"/>
      <c r="F1272" s="60"/>
      <c r="G1272" s="60"/>
      <c r="H1272" s="62"/>
      <c r="I1272" s="62" t="str">
        <f t="shared" si="19"/>
        <v/>
      </c>
    </row>
    <row r="1273" spans="2:9" x14ac:dyDescent="0.25">
      <c r="B1273" s="59"/>
      <c r="C1273" s="60"/>
      <c r="D1273" s="60"/>
      <c r="F1273" s="60"/>
      <c r="G1273" s="60"/>
      <c r="H1273" s="62"/>
      <c r="I1273" s="62" t="str">
        <f t="shared" si="19"/>
        <v/>
      </c>
    </row>
    <row r="1274" spans="2:9" x14ac:dyDescent="0.25">
      <c r="B1274" s="59"/>
      <c r="C1274" s="60"/>
      <c r="D1274" s="60"/>
      <c r="F1274" s="60"/>
      <c r="G1274" s="60"/>
      <c r="H1274" s="62"/>
      <c r="I1274" s="62" t="str">
        <f t="shared" si="19"/>
        <v/>
      </c>
    </row>
    <row r="1275" spans="2:9" x14ac:dyDescent="0.25">
      <c r="B1275" s="59"/>
      <c r="C1275" s="60"/>
      <c r="D1275" s="60"/>
      <c r="F1275" s="60"/>
      <c r="G1275" s="60"/>
      <c r="H1275" s="62"/>
      <c r="I1275" s="62" t="str">
        <f t="shared" si="19"/>
        <v/>
      </c>
    </row>
    <row r="1276" spans="2:9" x14ac:dyDescent="0.25">
      <c r="B1276" s="59"/>
      <c r="C1276" s="60"/>
      <c r="D1276" s="60"/>
      <c r="F1276" s="60"/>
      <c r="G1276" s="60"/>
      <c r="H1276" s="62"/>
      <c r="I1276" s="62" t="str">
        <f t="shared" si="19"/>
        <v/>
      </c>
    </row>
    <row r="1277" spans="2:9" x14ac:dyDescent="0.25">
      <c r="B1277" s="59"/>
      <c r="C1277" s="60"/>
      <c r="D1277" s="60"/>
      <c r="F1277" s="60"/>
      <c r="G1277" s="60"/>
      <c r="H1277" s="62"/>
      <c r="I1277" s="62" t="str">
        <f t="shared" si="19"/>
        <v/>
      </c>
    </row>
    <row r="1278" spans="2:9" x14ac:dyDescent="0.25">
      <c r="B1278" s="59"/>
      <c r="C1278" s="60"/>
      <c r="D1278" s="60"/>
      <c r="F1278" s="60"/>
      <c r="G1278" s="60"/>
      <c r="H1278" s="62"/>
      <c r="I1278" s="62" t="str">
        <f t="shared" si="19"/>
        <v/>
      </c>
    </row>
    <row r="1279" spans="2:9" x14ac:dyDescent="0.25">
      <c r="B1279" s="59"/>
      <c r="C1279" s="60"/>
      <c r="D1279" s="60"/>
      <c r="F1279" s="60"/>
      <c r="G1279" s="60"/>
      <c r="H1279" s="62"/>
      <c r="I1279" s="62" t="str">
        <f t="shared" si="19"/>
        <v/>
      </c>
    </row>
    <row r="1280" spans="2:9" x14ac:dyDescent="0.25">
      <c r="B1280" s="59"/>
      <c r="C1280" s="60"/>
      <c r="D1280" s="60"/>
      <c r="F1280" s="60"/>
      <c r="G1280" s="60"/>
      <c r="H1280" s="62"/>
      <c r="I1280" s="62" t="str">
        <f t="shared" si="19"/>
        <v/>
      </c>
    </row>
    <row r="1281" spans="2:9" x14ac:dyDescent="0.25">
      <c r="B1281" s="59"/>
      <c r="C1281" s="60"/>
      <c r="D1281" s="60"/>
      <c r="F1281" s="60"/>
      <c r="G1281" s="60"/>
      <c r="H1281" s="62"/>
      <c r="I1281" s="62" t="str">
        <f t="shared" si="19"/>
        <v/>
      </c>
    </row>
    <row r="1282" spans="2:9" x14ac:dyDescent="0.25">
      <c r="B1282" s="59"/>
      <c r="C1282" s="60"/>
      <c r="D1282" s="60"/>
      <c r="F1282" s="60"/>
      <c r="G1282" s="60"/>
      <c r="H1282" s="62"/>
      <c r="I1282" s="62" t="str">
        <f t="shared" si="19"/>
        <v/>
      </c>
    </row>
    <row r="1283" spans="2:9" x14ac:dyDescent="0.25">
      <c r="B1283" s="59"/>
      <c r="C1283" s="60"/>
      <c r="D1283" s="60"/>
      <c r="F1283" s="60"/>
      <c r="G1283" s="60"/>
      <c r="H1283" s="62"/>
      <c r="I1283" s="62" t="str">
        <f t="shared" si="19"/>
        <v/>
      </c>
    </row>
    <row r="1284" spans="2:9" x14ac:dyDescent="0.25">
      <c r="B1284" s="59"/>
      <c r="C1284" s="60"/>
      <c r="D1284" s="60"/>
      <c r="F1284" s="60"/>
      <c r="G1284" s="60"/>
      <c r="H1284" s="62"/>
      <c r="I1284" s="62" t="str">
        <f t="shared" si="19"/>
        <v/>
      </c>
    </row>
    <row r="1285" spans="2:9" x14ac:dyDescent="0.25">
      <c r="B1285" s="59"/>
      <c r="C1285" s="60"/>
      <c r="D1285" s="60"/>
      <c r="F1285" s="60"/>
      <c r="G1285" s="60"/>
      <c r="H1285" s="62"/>
      <c r="I1285" s="62" t="str">
        <f t="shared" ref="I1285:I1348" si="20">IF(H1285&lt;&gt;"",H1285-H1284,"")</f>
        <v/>
      </c>
    </row>
    <row r="1286" spans="2:9" x14ac:dyDescent="0.25">
      <c r="B1286" s="59"/>
      <c r="C1286" s="60"/>
      <c r="D1286" s="60"/>
      <c r="F1286" s="60"/>
      <c r="G1286" s="60"/>
      <c r="H1286" s="62"/>
      <c r="I1286" s="62" t="str">
        <f t="shared" si="20"/>
        <v/>
      </c>
    </row>
    <row r="1287" spans="2:9" x14ac:dyDescent="0.25">
      <c r="B1287" s="59"/>
      <c r="C1287" s="60"/>
      <c r="D1287" s="60"/>
      <c r="F1287" s="60"/>
      <c r="G1287" s="60"/>
      <c r="H1287" s="62"/>
      <c r="I1287" s="62" t="str">
        <f t="shared" si="20"/>
        <v/>
      </c>
    </row>
    <row r="1288" spans="2:9" x14ac:dyDescent="0.25">
      <c r="B1288" s="59"/>
      <c r="C1288" s="60"/>
      <c r="D1288" s="60"/>
      <c r="F1288" s="60"/>
      <c r="G1288" s="60"/>
      <c r="H1288" s="62"/>
      <c r="I1288" s="62" t="str">
        <f t="shared" si="20"/>
        <v/>
      </c>
    </row>
    <row r="1289" spans="2:9" x14ac:dyDescent="0.25">
      <c r="B1289" s="59"/>
      <c r="C1289" s="60"/>
      <c r="D1289" s="60"/>
      <c r="F1289" s="60"/>
      <c r="G1289" s="60"/>
      <c r="H1289" s="62"/>
      <c r="I1289" s="62" t="str">
        <f t="shared" si="20"/>
        <v/>
      </c>
    </row>
    <row r="1290" spans="2:9" x14ac:dyDescent="0.25">
      <c r="B1290" s="59"/>
      <c r="C1290" s="60"/>
      <c r="D1290" s="60"/>
      <c r="F1290" s="60"/>
      <c r="G1290" s="60"/>
      <c r="H1290" s="62"/>
      <c r="I1290" s="62" t="str">
        <f t="shared" si="20"/>
        <v/>
      </c>
    </row>
    <row r="1291" spans="2:9" x14ac:dyDescent="0.25">
      <c r="B1291" s="59"/>
      <c r="C1291" s="60"/>
      <c r="D1291" s="60"/>
      <c r="F1291" s="60"/>
      <c r="G1291" s="60"/>
      <c r="H1291" s="62"/>
      <c r="I1291" s="62" t="str">
        <f t="shared" si="20"/>
        <v/>
      </c>
    </row>
    <row r="1292" spans="2:9" x14ac:dyDescent="0.25">
      <c r="B1292" s="59"/>
      <c r="C1292" s="60"/>
      <c r="D1292" s="60"/>
      <c r="F1292" s="60"/>
      <c r="G1292" s="60"/>
      <c r="H1292" s="62"/>
      <c r="I1292" s="62" t="str">
        <f t="shared" si="20"/>
        <v/>
      </c>
    </row>
    <row r="1293" spans="2:9" x14ac:dyDescent="0.25">
      <c r="B1293" s="59"/>
      <c r="C1293" s="60"/>
      <c r="D1293" s="60"/>
      <c r="F1293" s="60"/>
      <c r="G1293" s="60"/>
      <c r="H1293" s="62"/>
      <c r="I1293" s="62" t="str">
        <f t="shared" si="20"/>
        <v/>
      </c>
    </row>
    <row r="1294" spans="2:9" x14ac:dyDescent="0.25">
      <c r="B1294" s="59"/>
      <c r="C1294" s="60"/>
      <c r="D1294" s="60"/>
      <c r="F1294" s="60"/>
      <c r="G1294" s="60"/>
      <c r="H1294" s="62"/>
      <c r="I1294" s="62" t="str">
        <f t="shared" si="20"/>
        <v/>
      </c>
    </row>
    <row r="1295" spans="2:9" x14ac:dyDescent="0.25">
      <c r="B1295" s="59"/>
      <c r="C1295" s="60"/>
      <c r="D1295" s="60"/>
      <c r="F1295" s="60"/>
      <c r="G1295" s="60"/>
      <c r="H1295" s="62"/>
      <c r="I1295" s="62" t="str">
        <f t="shared" si="20"/>
        <v/>
      </c>
    </row>
    <row r="1296" spans="2:9" x14ac:dyDescent="0.25">
      <c r="B1296" s="59"/>
      <c r="C1296" s="60"/>
      <c r="D1296" s="60"/>
      <c r="F1296" s="60"/>
      <c r="G1296" s="60"/>
      <c r="H1296" s="62"/>
      <c r="I1296" s="62" t="str">
        <f t="shared" si="20"/>
        <v/>
      </c>
    </row>
    <row r="1297" spans="2:9" x14ac:dyDescent="0.25">
      <c r="B1297" s="59"/>
      <c r="C1297" s="60"/>
      <c r="D1297" s="60"/>
      <c r="F1297" s="60"/>
      <c r="G1297" s="60"/>
      <c r="H1297" s="62"/>
      <c r="I1297" s="62" t="str">
        <f t="shared" si="20"/>
        <v/>
      </c>
    </row>
    <row r="1298" spans="2:9" x14ac:dyDescent="0.25">
      <c r="B1298" s="59"/>
      <c r="C1298" s="60"/>
      <c r="D1298" s="60"/>
      <c r="F1298" s="60"/>
      <c r="G1298" s="60"/>
      <c r="H1298" s="62"/>
      <c r="I1298" s="62" t="str">
        <f t="shared" si="20"/>
        <v/>
      </c>
    </row>
    <row r="1299" spans="2:9" x14ac:dyDescent="0.25">
      <c r="B1299" s="59"/>
      <c r="C1299" s="60"/>
      <c r="D1299" s="60"/>
      <c r="F1299" s="60"/>
      <c r="G1299" s="60"/>
      <c r="H1299" s="62"/>
      <c r="I1299" s="62" t="str">
        <f t="shared" si="20"/>
        <v/>
      </c>
    </row>
    <row r="1300" spans="2:9" x14ac:dyDescent="0.25">
      <c r="B1300" s="59"/>
      <c r="C1300" s="60"/>
      <c r="D1300" s="60"/>
      <c r="F1300" s="60"/>
      <c r="G1300" s="60"/>
      <c r="H1300" s="62"/>
      <c r="I1300" s="62" t="str">
        <f t="shared" si="20"/>
        <v/>
      </c>
    </row>
    <row r="1301" spans="2:9" x14ac:dyDescent="0.25">
      <c r="B1301" s="59"/>
      <c r="C1301" s="60"/>
      <c r="D1301" s="60"/>
      <c r="F1301" s="60"/>
      <c r="G1301" s="60"/>
      <c r="H1301" s="62"/>
      <c r="I1301" s="62" t="str">
        <f t="shared" si="20"/>
        <v/>
      </c>
    </row>
    <row r="1302" spans="2:9" x14ac:dyDescent="0.25">
      <c r="B1302" s="59"/>
      <c r="C1302" s="60"/>
      <c r="D1302" s="60"/>
      <c r="F1302" s="60"/>
      <c r="G1302" s="60"/>
      <c r="H1302" s="62"/>
      <c r="I1302" s="62" t="str">
        <f t="shared" si="20"/>
        <v/>
      </c>
    </row>
    <row r="1303" spans="2:9" x14ac:dyDescent="0.25">
      <c r="B1303" s="59"/>
      <c r="C1303" s="60"/>
      <c r="D1303" s="60"/>
      <c r="F1303" s="60"/>
      <c r="G1303" s="60"/>
      <c r="H1303" s="62"/>
      <c r="I1303" s="62" t="str">
        <f t="shared" si="20"/>
        <v/>
      </c>
    </row>
    <row r="1304" spans="2:9" x14ac:dyDescent="0.25">
      <c r="B1304" s="59"/>
      <c r="C1304" s="60"/>
      <c r="D1304" s="60"/>
      <c r="F1304" s="60"/>
      <c r="G1304" s="60"/>
      <c r="H1304" s="62"/>
      <c r="I1304" s="62" t="str">
        <f t="shared" si="20"/>
        <v/>
      </c>
    </row>
    <row r="1305" spans="2:9" x14ac:dyDescent="0.25">
      <c r="B1305" s="59"/>
      <c r="C1305" s="60"/>
      <c r="D1305" s="60"/>
      <c r="F1305" s="60"/>
      <c r="G1305" s="60"/>
      <c r="H1305" s="62"/>
      <c r="I1305" s="62" t="str">
        <f t="shared" si="20"/>
        <v/>
      </c>
    </row>
    <row r="1306" spans="2:9" x14ac:dyDescent="0.25">
      <c r="B1306" s="59"/>
      <c r="C1306" s="60"/>
      <c r="D1306" s="60"/>
      <c r="F1306" s="60"/>
      <c r="G1306" s="60"/>
      <c r="H1306" s="62"/>
      <c r="I1306" s="62" t="str">
        <f t="shared" si="20"/>
        <v/>
      </c>
    </row>
    <row r="1307" spans="2:9" x14ac:dyDescent="0.25">
      <c r="B1307" s="59"/>
      <c r="C1307" s="60"/>
      <c r="D1307" s="60"/>
      <c r="F1307" s="60"/>
      <c r="G1307" s="60"/>
      <c r="H1307" s="62"/>
      <c r="I1307" s="62" t="str">
        <f t="shared" si="20"/>
        <v/>
      </c>
    </row>
    <row r="1308" spans="2:9" x14ac:dyDescent="0.25">
      <c r="B1308" s="59"/>
      <c r="C1308" s="60"/>
      <c r="D1308" s="60"/>
      <c r="F1308" s="60"/>
      <c r="G1308" s="60"/>
      <c r="H1308" s="62"/>
      <c r="I1308" s="62" t="str">
        <f t="shared" si="20"/>
        <v/>
      </c>
    </row>
    <row r="1309" spans="2:9" x14ac:dyDescent="0.25">
      <c r="B1309" s="59"/>
      <c r="C1309" s="60"/>
      <c r="D1309" s="60"/>
      <c r="F1309" s="60"/>
      <c r="G1309" s="60"/>
      <c r="H1309" s="62"/>
      <c r="I1309" s="62" t="str">
        <f t="shared" si="20"/>
        <v/>
      </c>
    </row>
    <row r="1310" spans="2:9" x14ac:dyDescent="0.25">
      <c r="B1310" s="59"/>
      <c r="C1310" s="60"/>
      <c r="D1310" s="60"/>
      <c r="F1310" s="60"/>
      <c r="G1310" s="60"/>
      <c r="H1310" s="62"/>
      <c r="I1310" s="62" t="str">
        <f t="shared" si="20"/>
        <v/>
      </c>
    </row>
    <row r="1311" spans="2:9" x14ac:dyDescent="0.25">
      <c r="B1311" s="59"/>
      <c r="C1311" s="60"/>
      <c r="D1311" s="60"/>
      <c r="F1311" s="60"/>
      <c r="G1311" s="60"/>
      <c r="H1311" s="62"/>
      <c r="I1311" s="62" t="str">
        <f t="shared" si="20"/>
        <v/>
      </c>
    </row>
    <row r="1312" spans="2:9" x14ac:dyDescent="0.25">
      <c r="B1312" s="59"/>
      <c r="C1312" s="60"/>
      <c r="D1312" s="60"/>
      <c r="F1312" s="60"/>
      <c r="G1312" s="60"/>
      <c r="H1312" s="62"/>
      <c r="I1312" s="62" t="str">
        <f t="shared" si="20"/>
        <v/>
      </c>
    </row>
    <row r="1313" spans="2:9" x14ac:dyDescent="0.25">
      <c r="B1313" s="59"/>
      <c r="C1313" s="60"/>
      <c r="D1313" s="60"/>
      <c r="F1313" s="60"/>
      <c r="G1313" s="60"/>
      <c r="H1313" s="62"/>
      <c r="I1313" s="62" t="str">
        <f t="shared" si="20"/>
        <v/>
      </c>
    </row>
    <row r="1314" spans="2:9" x14ac:dyDescent="0.25">
      <c r="B1314" s="59"/>
      <c r="C1314" s="60"/>
      <c r="D1314" s="60"/>
      <c r="F1314" s="60"/>
      <c r="G1314" s="60"/>
      <c r="H1314" s="62"/>
      <c r="I1314" s="62" t="str">
        <f t="shared" si="20"/>
        <v/>
      </c>
    </row>
    <row r="1315" spans="2:9" x14ac:dyDescent="0.25">
      <c r="B1315" s="59"/>
      <c r="C1315" s="60"/>
      <c r="D1315" s="60"/>
      <c r="F1315" s="60"/>
      <c r="G1315" s="60"/>
      <c r="H1315" s="62"/>
      <c r="I1315" s="62" t="str">
        <f t="shared" si="20"/>
        <v/>
      </c>
    </row>
    <row r="1316" spans="2:9" x14ac:dyDescent="0.25">
      <c r="B1316" s="59"/>
      <c r="C1316" s="60"/>
      <c r="D1316" s="60"/>
      <c r="F1316" s="60"/>
      <c r="G1316" s="60"/>
      <c r="H1316" s="62"/>
      <c r="I1316" s="62" t="str">
        <f t="shared" si="20"/>
        <v/>
      </c>
    </row>
    <row r="1317" spans="2:9" x14ac:dyDescent="0.25">
      <c r="B1317" s="59"/>
      <c r="C1317" s="60"/>
      <c r="D1317" s="60"/>
      <c r="F1317" s="60"/>
      <c r="G1317" s="60"/>
      <c r="H1317" s="62"/>
      <c r="I1317" s="62" t="str">
        <f t="shared" si="20"/>
        <v/>
      </c>
    </row>
    <row r="1318" spans="2:9" x14ac:dyDescent="0.25">
      <c r="B1318" s="59"/>
      <c r="C1318" s="60"/>
      <c r="D1318" s="60"/>
      <c r="F1318" s="60"/>
      <c r="G1318" s="60"/>
      <c r="H1318" s="62"/>
      <c r="I1318" s="62" t="str">
        <f t="shared" si="20"/>
        <v/>
      </c>
    </row>
    <row r="1319" spans="2:9" x14ac:dyDescent="0.25">
      <c r="B1319" s="59"/>
      <c r="C1319" s="60"/>
      <c r="D1319" s="60"/>
      <c r="F1319" s="60"/>
      <c r="G1319" s="60"/>
      <c r="H1319" s="62"/>
      <c r="I1319" s="62" t="str">
        <f t="shared" si="20"/>
        <v/>
      </c>
    </row>
    <row r="1320" spans="2:9" x14ac:dyDescent="0.25">
      <c r="B1320" s="59"/>
      <c r="C1320" s="60"/>
      <c r="D1320" s="60"/>
      <c r="F1320" s="60"/>
      <c r="G1320" s="60"/>
      <c r="H1320" s="62"/>
      <c r="I1320" s="62" t="str">
        <f t="shared" si="20"/>
        <v/>
      </c>
    </row>
    <row r="1321" spans="2:9" x14ac:dyDescent="0.25">
      <c r="B1321" s="59"/>
      <c r="C1321" s="60"/>
      <c r="D1321" s="60"/>
      <c r="F1321" s="60"/>
      <c r="G1321" s="60"/>
      <c r="H1321" s="62"/>
      <c r="I1321" s="62" t="str">
        <f t="shared" si="20"/>
        <v/>
      </c>
    </row>
    <row r="1322" spans="2:9" x14ac:dyDescent="0.25">
      <c r="B1322" s="59"/>
      <c r="C1322" s="60"/>
      <c r="D1322" s="60"/>
      <c r="F1322" s="60"/>
      <c r="G1322" s="60"/>
      <c r="H1322" s="62"/>
      <c r="I1322" s="62" t="str">
        <f t="shared" si="20"/>
        <v/>
      </c>
    </row>
    <row r="1323" spans="2:9" x14ac:dyDescent="0.25">
      <c r="B1323" s="59"/>
      <c r="C1323" s="60"/>
      <c r="D1323" s="60"/>
      <c r="F1323" s="60"/>
      <c r="G1323" s="60"/>
      <c r="H1323" s="62"/>
      <c r="I1323" s="62" t="str">
        <f t="shared" si="20"/>
        <v/>
      </c>
    </row>
    <row r="1324" spans="2:9" x14ac:dyDescent="0.25">
      <c r="B1324" s="59"/>
      <c r="C1324" s="60"/>
      <c r="D1324" s="60"/>
      <c r="F1324" s="60"/>
      <c r="G1324" s="60"/>
      <c r="H1324" s="62"/>
      <c r="I1324" s="62" t="str">
        <f t="shared" si="20"/>
        <v/>
      </c>
    </row>
    <row r="1325" spans="2:9" x14ac:dyDescent="0.25">
      <c r="B1325" s="59"/>
      <c r="C1325" s="60"/>
      <c r="D1325" s="60"/>
      <c r="F1325" s="60"/>
      <c r="G1325" s="60"/>
      <c r="H1325" s="62"/>
      <c r="I1325" s="62" t="str">
        <f t="shared" si="20"/>
        <v/>
      </c>
    </row>
    <row r="1326" spans="2:9" x14ac:dyDescent="0.25">
      <c r="B1326" s="59"/>
      <c r="C1326" s="60"/>
      <c r="D1326" s="60"/>
      <c r="F1326" s="60"/>
      <c r="G1326" s="60"/>
      <c r="H1326" s="62"/>
      <c r="I1326" s="62" t="str">
        <f t="shared" si="20"/>
        <v/>
      </c>
    </row>
    <row r="1327" spans="2:9" x14ac:dyDescent="0.25">
      <c r="B1327" s="59"/>
      <c r="C1327" s="60"/>
      <c r="D1327" s="60"/>
      <c r="F1327" s="60"/>
      <c r="G1327" s="60"/>
      <c r="H1327" s="62"/>
      <c r="I1327" s="62" t="str">
        <f t="shared" si="20"/>
        <v/>
      </c>
    </row>
    <row r="1328" spans="2:9" x14ac:dyDescent="0.25">
      <c r="B1328" s="59"/>
      <c r="C1328" s="60"/>
      <c r="D1328" s="60"/>
      <c r="F1328" s="60"/>
      <c r="G1328" s="60"/>
      <c r="H1328" s="62"/>
      <c r="I1328" s="62" t="str">
        <f t="shared" si="20"/>
        <v/>
      </c>
    </row>
    <row r="1329" spans="2:9" x14ac:dyDescent="0.25">
      <c r="B1329" s="59"/>
      <c r="C1329" s="60"/>
      <c r="D1329" s="60"/>
      <c r="F1329" s="60"/>
      <c r="G1329" s="60"/>
      <c r="H1329" s="62"/>
      <c r="I1329" s="62" t="str">
        <f t="shared" si="20"/>
        <v/>
      </c>
    </row>
    <row r="1330" spans="2:9" x14ac:dyDescent="0.25">
      <c r="B1330" s="59"/>
      <c r="C1330" s="60"/>
      <c r="D1330" s="60"/>
      <c r="F1330" s="60"/>
      <c r="G1330" s="60"/>
      <c r="H1330" s="62"/>
      <c r="I1330" s="62" t="str">
        <f t="shared" si="20"/>
        <v/>
      </c>
    </row>
    <row r="1331" spans="2:9" x14ac:dyDescent="0.25">
      <c r="B1331" s="59"/>
      <c r="C1331" s="60"/>
      <c r="D1331" s="60"/>
      <c r="F1331" s="60"/>
      <c r="G1331" s="60"/>
      <c r="H1331" s="62"/>
      <c r="I1331" s="62" t="str">
        <f t="shared" si="20"/>
        <v/>
      </c>
    </row>
    <row r="1332" spans="2:9" x14ac:dyDescent="0.25">
      <c r="B1332" s="59"/>
      <c r="C1332" s="60"/>
      <c r="D1332" s="60"/>
      <c r="F1332" s="60"/>
      <c r="G1332" s="60"/>
      <c r="H1332" s="62"/>
      <c r="I1332" s="62" t="str">
        <f t="shared" si="20"/>
        <v/>
      </c>
    </row>
    <row r="1333" spans="2:9" x14ac:dyDescent="0.25">
      <c r="B1333" s="59"/>
      <c r="C1333" s="60"/>
      <c r="D1333" s="60"/>
      <c r="F1333" s="60"/>
      <c r="G1333" s="60"/>
      <c r="H1333" s="62"/>
      <c r="I1333" s="62" t="str">
        <f t="shared" si="20"/>
        <v/>
      </c>
    </row>
    <row r="1334" spans="2:9" x14ac:dyDescent="0.25">
      <c r="B1334" s="59"/>
      <c r="C1334" s="60"/>
      <c r="D1334" s="60"/>
      <c r="F1334" s="60"/>
      <c r="G1334" s="60"/>
      <c r="H1334" s="62"/>
      <c r="I1334" s="62" t="str">
        <f t="shared" si="20"/>
        <v/>
      </c>
    </row>
    <row r="1335" spans="2:9" x14ac:dyDescent="0.25">
      <c r="B1335" s="59"/>
      <c r="C1335" s="60"/>
      <c r="D1335" s="60"/>
      <c r="F1335" s="60"/>
      <c r="G1335" s="60"/>
      <c r="H1335" s="62"/>
      <c r="I1335" s="62" t="str">
        <f t="shared" si="20"/>
        <v/>
      </c>
    </row>
    <row r="1336" spans="2:9" x14ac:dyDescent="0.25">
      <c r="B1336" s="59"/>
      <c r="C1336" s="60"/>
      <c r="D1336" s="60"/>
      <c r="F1336" s="60"/>
      <c r="G1336" s="60"/>
      <c r="H1336" s="62"/>
      <c r="I1336" s="62" t="str">
        <f t="shared" si="20"/>
        <v/>
      </c>
    </row>
    <row r="1337" spans="2:9" x14ac:dyDescent="0.25">
      <c r="B1337" s="59"/>
      <c r="C1337" s="60"/>
      <c r="D1337" s="60"/>
      <c r="F1337" s="60"/>
      <c r="G1337" s="60"/>
      <c r="H1337" s="62"/>
      <c r="I1337" s="62" t="str">
        <f t="shared" si="20"/>
        <v/>
      </c>
    </row>
    <row r="1338" spans="2:9" x14ac:dyDescent="0.25">
      <c r="B1338" s="59"/>
      <c r="C1338" s="60"/>
      <c r="D1338" s="60"/>
      <c r="F1338" s="60"/>
      <c r="G1338" s="60"/>
      <c r="H1338" s="62"/>
      <c r="I1338" s="62" t="str">
        <f t="shared" si="20"/>
        <v/>
      </c>
    </row>
    <row r="1339" spans="2:9" x14ac:dyDescent="0.25">
      <c r="B1339" s="59"/>
      <c r="C1339" s="60"/>
      <c r="D1339" s="60"/>
      <c r="F1339" s="60"/>
      <c r="G1339" s="60"/>
      <c r="H1339" s="62"/>
      <c r="I1339" s="62" t="str">
        <f t="shared" si="20"/>
        <v/>
      </c>
    </row>
    <row r="1340" spans="2:9" x14ac:dyDescent="0.25">
      <c r="B1340" s="59"/>
      <c r="C1340" s="60"/>
      <c r="D1340" s="60"/>
      <c r="F1340" s="60"/>
      <c r="G1340" s="60"/>
      <c r="H1340" s="62"/>
      <c r="I1340" s="62" t="str">
        <f t="shared" si="20"/>
        <v/>
      </c>
    </row>
    <row r="1341" spans="2:9" x14ac:dyDescent="0.25">
      <c r="B1341" s="59"/>
      <c r="C1341" s="60"/>
      <c r="D1341" s="60"/>
      <c r="F1341" s="60"/>
      <c r="G1341" s="60"/>
      <c r="H1341" s="62"/>
      <c r="I1341" s="62" t="str">
        <f t="shared" si="20"/>
        <v/>
      </c>
    </row>
    <row r="1342" spans="2:9" x14ac:dyDescent="0.25">
      <c r="B1342" s="59"/>
      <c r="C1342" s="60"/>
      <c r="D1342" s="60"/>
      <c r="F1342" s="60"/>
      <c r="G1342" s="60"/>
      <c r="H1342" s="62"/>
      <c r="I1342" s="62" t="str">
        <f t="shared" si="20"/>
        <v/>
      </c>
    </row>
    <row r="1343" spans="2:9" x14ac:dyDescent="0.25">
      <c r="B1343" s="59"/>
      <c r="C1343" s="60"/>
      <c r="D1343" s="60"/>
      <c r="F1343" s="60"/>
      <c r="G1343" s="60"/>
      <c r="H1343" s="62"/>
      <c r="I1343" s="62" t="str">
        <f t="shared" si="20"/>
        <v/>
      </c>
    </row>
    <row r="1344" spans="2:9" x14ac:dyDescent="0.25">
      <c r="B1344" s="59"/>
      <c r="C1344" s="60"/>
      <c r="D1344" s="60"/>
      <c r="F1344" s="60"/>
      <c r="G1344" s="60"/>
      <c r="H1344" s="62"/>
      <c r="I1344" s="62" t="str">
        <f t="shared" si="20"/>
        <v/>
      </c>
    </row>
    <row r="1345" spans="2:9" x14ac:dyDescent="0.25">
      <c r="B1345" s="59"/>
      <c r="C1345" s="60"/>
      <c r="D1345" s="60"/>
      <c r="F1345" s="60"/>
      <c r="G1345" s="60"/>
      <c r="H1345" s="62"/>
      <c r="I1345" s="62" t="str">
        <f t="shared" si="20"/>
        <v/>
      </c>
    </row>
    <row r="1346" spans="2:9" x14ac:dyDescent="0.25">
      <c r="B1346" s="59"/>
      <c r="C1346" s="60"/>
      <c r="D1346" s="60"/>
      <c r="F1346" s="60"/>
      <c r="G1346" s="60"/>
      <c r="H1346" s="62"/>
      <c r="I1346" s="62" t="str">
        <f t="shared" si="20"/>
        <v/>
      </c>
    </row>
    <row r="1347" spans="2:9" x14ac:dyDescent="0.25">
      <c r="B1347" s="59"/>
      <c r="C1347" s="60"/>
      <c r="D1347" s="60"/>
      <c r="F1347" s="60"/>
      <c r="G1347" s="60"/>
      <c r="H1347" s="62"/>
      <c r="I1347" s="62" t="str">
        <f t="shared" si="20"/>
        <v/>
      </c>
    </row>
    <row r="1348" spans="2:9" x14ac:dyDescent="0.25">
      <c r="B1348" s="59"/>
      <c r="C1348" s="60"/>
      <c r="D1348" s="60"/>
      <c r="F1348" s="60"/>
      <c r="G1348" s="60"/>
      <c r="H1348" s="62"/>
      <c r="I1348" s="62" t="str">
        <f t="shared" si="20"/>
        <v/>
      </c>
    </row>
    <row r="1349" spans="2:9" x14ac:dyDescent="0.25">
      <c r="B1349" s="59"/>
      <c r="C1349" s="60"/>
      <c r="D1349" s="60"/>
      <c r="F1349" s="60"/>
      <c r="G1349" s="60"/>
      <c r="H1349" s="62"/>
      <c r="I1349" s="62" t="str">
        <f t="shared" ref="I1349:I1412" si="21">IF(H1349&lt;&gt;"",H1349-H1348,"")</f>
        <v/>
      </c>
    </row>
    <row r="1350" spans="2:9" x14ac:dyDescent="0.25">
      <c r="B1350" s="59"/>
      <c r="C1350" s="60"/>
      <c r="D1350" s="60"/>
      <c r="F1350" s="60"/>
      <c r="G1350" s="60"/>
      <c r="H1350" s="62"/>
      <c r="I1350" s="62" t="str">
        <f t="shared" si="21"/>
        <v/>
      </c>
    </row>
    <row r="1351" spans="2:9" x14ac:dyDescent="0.25">
      <c r="B1351" s="59"/>
      <c r="C1351" s="60"/>
      <c r="D1351" s="60"/>
      <c r="F1351" s="60"/>
      <c r="G1351" s="60"/>
      <c r="H1351" s="62"/>
      <c r="I1351" s="62" t="str">
        <f t="shared" si="21"/>
        <v/>
      </c>
    </row>
    <row r="1352" spans="2:9" x14ac:dyDescent="0.25">
      <c r="B1352" s="59"/>
      <c r="C1352" s="60"/>
      <c r="D1352" s="60"/>
      <c r="F1352" s="60"/>
      <c r="G1352" s="60"/>
      <c r="H1352" s="62"/>
      <c r="I1352" s="62" t="str">
        <f t="shared" si="21"/>
        <v/>
      </c>
    </row>
    <row r="1353" spans="2:9" x14ac:dyDescent="0.25">
      <c r="B1353" s="59"/>
      <c r="C1353" s="60"/>
      <c r="D1353" s="60"/>
      <c r="F1353" s="60"/>
      <c r="G1353" s="60"/>
      <c r="H1353" s="62"/>
      <c r="I1353" s="62" t="str">
        <f t="shared" si="21"/>
        <v/>
      </c>
    </row>
    <row r="1354" spans="2:9" x14ac:dyDescent="0.25">
      <c r="B1354" s="59"/>
      <c r="C1354" s="60"/>
      <c r="D1354" s="60"/>
      <c r="F1354" s="60"/>
      <c r="G1354" s="60"/>
      <c r="H1354" s="62"/>
      <c r="I1354" s="62" t="str">
        <f t="shared" si="21"/>
        <v/>
      </c>
    </row>
    <row r="1355" spans="2:9" x14ac:dyDescent="0.25">
      <c r="B1355" s="59"/>
      <c r="C1355" s="60"/>
      <c r="D1355" s="60"/>
      <c r="F1355" s="60"/>
      <c r="G1355" s="60"/>
      <c r="H1355" s="62"/>
      <c r="I1355" s="62" t="str">
        <f t="shared" si="21"/>
        <v/>
      </c>
    </row>
    <row r="1356" spans="2:9" x14ac:dyDescent="0.25">
      <c r="B1356" s="59"/>
      <c r="C1356" s="60"/>
      <c r="D1356" s="60"/>
      <c r="F1356" s="60"/>
      <c r="G1356" s="60"/>
      <c r="H1356" s="62"/>
      <c r="I1356" s="62" t="str">
        <f t="shared" si="21"/>
        <v/>
      </c>
    </row>
    <row r="1357" spans="2:9" x14ac:dyDescent="0.25">
      <c r="B1357" s="59"/>
      <c r="C1357" s="60"/>
      <c r="D1357" s="60"/>
      <c r="F1357" s="60"/>
      <c r="G1357" s="60"/>
      <c r="H1357" s="62"/>
      <c r="I1357" s="62" t="str">
        <f t="shared" si="21"/>
        <v/>
      </c>
    </row>
    <row r="1358" spans="2:9" x14ac:dyDescent="0.25">
      <c r="B1358" s="59"/>
      <c r="C1358" s="60"/>
      <c r="D1358" s="60"/>
      <c r="F1358" s="60"/>
      <c r="G1358" s="60"/>
      <c r="H1358" s="62"/>
      <c r="I1358" s="62" t="str">
        <f t="shared" si="21"/>
        <v/>
      </c>
    </row>
    <row r="1359" spans="2:9" x14ac:dyDescent="0.25">
      <c r="B1359" s="59"/>
      <c r="C1359" s="60"/>
      <c r="D1359" s="60"/>
      <c r="F1359" s="60"/>
      <c r="G1359" s="60"/>
      <c r="H1359" s="62"/>
      <c r="I1359" s="62" t="str">
        <f t="shared" si="21"/>
        <v/>
      </c>
    </row>
    <row r="1360" spans="2:9" x14ac:dyDescent="0.25">
      <c r="B1360" s="59"/>
      <c r="C1360" s="60"/>
      <c r="D1360" s="60"/>
      <c r="F1360" s="60"/>
      <c r="G1360" s="60"/>
      <c r="H1360" s="62"/>
      <c r="I1360" s="62" t="str">
        <f t="shared" si="21"/>
        <v/>
      </c>
    </row>
    <row r="1361" spans="2:9" x14ac:dyDescent="0.25">
      <c r="B1361" s="59"/>
      <c r="C1361" s="60"/>
      <c r="D1361" s="60"/>
      <c r="F1361" s="60"/>
      <c r="G1361" s="60"/>
      <c r="H1361" s="62"/>
      <c r="I1361" s="62" t="str">
        <f t="shared" si="21"/>
        <v/>
      </c>
    </row>
    <row r="1362" spans="2:9" x14ac:dyDescent="0.25">
      <c r="B1362" s="59"/>
      <c r="C1362" s="60"/>
      <c r="D1362" s="60"/>
      <c r="F1362" s="60"/>
      <c r="G1362" s="60"/>
      <c r="H1362" s="62"/>
      <c r="I1362" s="62" t="str">
        <f t="shared" si="21"/>
        <v/>
      </c>
    </row>
    <row r="1363" spans="2:9" x14ac:dyDescent="0.25">
      <c r="B1363" s="59"/>
      <c r="C1363" s="60"/>
      <c r="D1363" s="60"/>
      <c r="F1363" s="60"/>
      <c r="G1363" s="60"/>
      <c r="H1363" s="62"/>
      <c r="I1363" s="62" t="str">
        <f t="shared" si="21"/>
        <v/>
      </c>
    </row>
    <row r="1364" spans="2:9" x14ac:dyDescent="0.25">
      <c r="B1364" s="59"/>
      <c r="C1364" s="60"/>
      <c r="D1364" s="60"/>
      <c r="F1364" s="60"/>
      <c r="G1364" s="60"/>
      <c r="H1364" s="62"/>
      <c r="I1364" s="62" t="str">
        <f t="shared" si="21"/>
        <v/>
      </c>
    </row>
    <row r="1365" spans="2:9" x14ac:dyDescent="0.25">
      <c r="B1365" s="59"/>
      <c r="C1365" s="60"/>
      <c r="D1365" s="60"/>
      <c r="F1365" s="60"/>
      <c r="G1365" s="60"/>
      <c r="H1365" s="62"/>
      <c r="I1365" s="62" t="str">
        <f t="shared" si="21"/>
        <v/>
      </c>
    </row>
    <row r="1366" spans="2:9" x14ac:dyDescent="0.25">
      <c r="B1366" s="59"/>
      <c r="C1366" s="60"/>
      <c r="D1366" s="60"/>
      <c r="F1366" s="60"/>
      <c r="G1366" s="60"/>
      <c r="H1366" s="62"/>
      <c r="I1366" s="62" t="str">
        <f t="shared" si="21"/>
        <v/>
      </c>
    </row>
    <row r="1367" spans="2:9" x14ac:dyDescent="0.25">
      <c r="B1367" s="59"/>
      <c r="C1367" s="60"/>
      <c r="D1367" s="60"/>
      <c r="F1367" s="60"/>
      <c r="G1367" s="60"/>
      <c r="H1367" s="62"/>
      <c r="I1367" s="62" t="str">
        <f t="shared" si="21"/>
        <v/>
      </c>
    </row>
    <row r="1368" spans="2:9" x14ac:dyDescent="0.25">
      <c r="B1368" s="59"/>
      <c r="C1368" s="60"/>
      <c r="D1368" s="60"/>
      <c r="F1368" s="60"/>
      <c r="G1368" s="60"/>
      <c r="H1368" s="62"/>
      <c r="I1368" s="62" t="str">
        <f t="shared" si="21"/>
        <v/>
      </c>
    </row>
    <row r="1369" spans="2:9" x14ac:dyDescent="0.25">
      <c r="B1369" s="59"/>
      <c r="C1369" s="60"/>
      <c r="D1369" s="60"/>
      <c r="F1369" s="60"/>
      <c r="G1369" s="60"/>
      <c r="H1369" s="62"/>
      <c r="I1369" s="62" t="str">
        <f t="shared" si="21"/>
        <v/>
      </c>
    </row>
    <row r="1370" spans="2:9" x14ac:dyDescent="0.25">
      <c r="B1370" s="59"/>
      <c r="C1370" s="60"/>
      <c r="D1370" s="60"/>
      <c r="F1370" s="60"/>
      <c r="G1370" s="60"/>
      <c r="H1370" s="62"/>
      <c r="I1370" s="62" t="str">
        <f t="shared" si="21"/>
        <v/>
      </c>
    </row>
    <row r="1371" spans="2:9" x14ac:dyDescent="0.25">
      <c r="B1371" s="59"/>
      <c r="C1371" s="60"/>
      <c r="D1371" s="60"/>
      <c r="F1371" s="60"/>
      <c r="G1371" s="60"/>
      <c r="H1371" s="62"/>
      <c r="I1371" s="62" t="str">
        <f t="shared" si="21"/>
        <v/>
      </c>
    </row>
    <row r="1372" spans="2:9" x14ac:dyDescent="0.25">
      <c r="B1372" s="59"/>
      <c r="C1372" s="60"/>
      <c r="D1372" s="60"/>
      <c r="F1372" s="60"/>
      <c r="G1372" s="60"/>
      <c r="H1372" s="62"/>
      <c r="I1372" s="62" t="str">
        <f t="shared" si="21"/>
        <v/>
      </c>
    </row>
    <row r="1373" spans="2:9" x14ac:dyDescent="0.25">
      <c r="B1373" s="59"/>
      <c r="C1373" s="60"/>
      <c r="D1373" s="60"/>
      <c r="F1373" s="60"/>
      <c r="G1373" s="60"/>
      <c r="H1373" s="62"/>
      <c r="I1373" s="62" t="str">
        <f t="shared" si="21"/>
        <v/>
      </c>
    </row>
    <row r="1374" spans="2:9" x14ac:dyDescent="0.25">
      <c r="B1374" s="59"/>
      <c r="C1374" s="60"/>
      <c r="D1374" s="60"/>
      <c r="F1374" s="60"/>
      <c r="G1374" s="60"/>
      <c r="H1374" s="62"/>
      <c r="I1374" s="62" t="str">
        <f t="shared" si="21"/>
        <v/>
      </c>
    </row>
    <row r="1375" spans="2:9" x14ac:dyDescent="0.25">
      <c r="B1375" s="59"/>
      <c r="C1375" s="60"/>
      <c r="D1375" s="60"/>
      <c r="F1375" s="60"/>
      <c r="G1375" s="60"/>
      <c r="H1375" s="62"/>
      <c r="I1375" s="62" t="str">
        <f t="shared" si="21"/>
        <v/>
      </c>
    </row>
    <row r="1376" spans="2:9" x14ac:dyDescent="0.25">
      <c r="B1376" s="59"/>
      <c r="C1376" s="60"/>
      <c r="D1376" s="60"/>
      <c r="F1376" s="60"/>
      <c r="G1376" s="60"/>
      <c r="H1376" s="62"/>
      <c r="I1376" s="62" t="str">
        <f t="shared" si="21"/>
        <v/>
      </c>
    </row>
    <row r="1377" spans="2:9" x14ac:dyDescent="0.25">
      <c r="B1377" s="59"/>
      <c r="C1377" s="60"/>
      <c r="D1377" s="60"/>
      <c r="F1377" s="60"/>
      <c r="G1377" s="60"/>
      <c r="H1377" s="62"/>
      <c r="I1377" s="62" t="str">
        <f t="shared" si="21"/>
        <v/>
      </c>
    </row>
    <row r="1378" spans="2:9" x14ac:dyDescent="0.25">
      <c r="B1378" s="59"/>
      <c r="C1378" s="60"/>
      <c r="D1378" s="60"/>
      <c r="F1378" s="60"/>
      <c r="G1378" s="60"/>
      <c r="H1378" s="62"/>
      <c r="I1378" s="62" t="str">
        <f t="shared" si="21"/>
        <v/>
      </c>
    </row>
    <row r="1379" spans="2:9" x14ac:dyDescent="0.25">
      <c r="B1379" s="59"/>
      <c r="C1379" s="60"/>
      <c r="D1379" s="60"/>
      <c r="F1379" s="60"/>
      <c r="G1379" s="60"/>
      <c r="H1379" s="62"/>
      <c r="I1379" s="62" t="str">
        <f t="shared" si="21"/>
        <v/>
      </c>
    </row>
    <row r="1380" spans="2:9" x14ac:dyDescent="0.25">
      <c r="B1380" s="59"/>
      <c r="C1380" s="60"/>
      <c r="D1380" s="60"/>
      <c r="F1380" s="60"/>
      <c r="G1380" s="60"/>
      <c r="H1380" s="62"/>
      <c r="I1380" s="62" t="str">
        <f t="shared" si="21"/>
        <v/>
      </c>
    </row>
    <row r="1381" spans="2:9" x14ac:dyDescent="0.25">
      <c r="B1381" s="59"/>
      <c r="C1381" s="60"/>
      <c r="D1381" s="60"/>
      <c r="F1381" s="60"/>
      <c r="G1381" s="60"/>
      <c r="H1381" s="62"/>
      <c r="I1381" s="62" t="str">
        <f t="shared" si="21"/>
        <v/>
      </c>
    </row>
    <row r="1382" spans="2:9" x14ac:dyDescent="0.25">
      <c r="B1382" s="59"/>
      <c r="C1382" s="60"/>
      <c r="D1382" s="60"/>
      <c r="F1382" s="60"/>
      <c r="G1382" s="60"/>
      <c r="H1382" s="62"/>
      <c r="I1382" s="62" t="str">
        <f t="shared" si="21"/>
        <v/>
      </c>
    </row>
    <row r="1383" spans="2:9" x14ac:dyDescent="0.25">
      <c r="B1383" s="59"/>
      <c r="C1383" s="60"/>
      <c r="D1383" s="60"/>
      <c r="F1383" s="60"/>
      <c r="G1383" s="60"/>
      <c r="H1383" s="62"/>
      <c r="I1383" s="62" t="str">
        <f t="shared" si="21"/>
        <v/>
      </c>
    </row>
    <row r="1384" spans="2:9" x14ac:dyDescent="0.25">
      <c r="B1384" s="59"/>
      <c r="C1384" s="60"/>
      <c r="D1384" s="60"/>
      <c r="F1384" s="60"/>
      <c r="G1384" s="60"/>
      <c r="H1384" s="62"/>
      <c r="I1384" s="62" t="str">
        <f t="shared" si="21"/>
        <v/>
      </c>
    </row>
    <row r="1385" spans="2:9" x14ac:dyDescent="0.25">
      <c r="B1385" s="59"/>
      <c r="C1385" s="60"/>
      <c r="D1385" s="60"/>
      <c r="F1385" s="60"/>
      <c r="G1385" s="60"/>
      <c r="H1385" s="62"/>
      <c r="I1385" s="62" t="str">
        <f t="shared" si="21"/>
        <v/>
      </c>
    </row>
    <row r="1386" spans="2:9" x14ac:dyDescent="0.25">
      <c r="B1386" s="59"/>
      <c r="C1386" s="60"/>
      <c r="D1386" s="60"/>
      <c r="F1386" s="60"/>
      <c r="G1386" s="60"/>
      <c r="H1386" s="62"/>
      <c r="I1386" s="62" t="str">
        <f t="shared" si="21"/>
        <v/>
      </c>
    </row>
    <row r="1387" spans="2:9" x14ac:dyDescent="0.25">
      <c r="B1387" s="59"/>
      <c r="C1387" s="60"/>
      <c r="D1387" s="60"/>
      <c r="F1387" s="60"/>
      <c r="G1387" s="60"/>
      <c r="H1387" s="62"/>
      <c r="I1387" s="62" t="str">
        <f t="shared" si="21"/>
        <v/>
      </c>
    </row>
    <row r="1388" spans="2:9" x14ac:dyDescent="0.25">
      <c r="B1388" s="59"/>
      <c r="C1388" s="60"/>
      <c r="D1388" s="60"/>
      <c r="F1388" s="60"/>
      <c r="G1388" s="60"/>
      <c r="H1388" s="62"/>
      <c r="I1388" s="62" t="str">
        <f t="shared" si="21"/>
        <v/>
      </c>
    </row>
    <row r="1389" spans="2:9" x14ac:dyDescent="0.25">
      <c r="B1389" s="59"/>
      <c r="C1389" s="60"/>
      <c r="D1389" s="60"/>
      <c r="F1389" s="60"/>
      <c r="G1389" s="60"/>
      <c r="H1389" s="62"/>
      <c r="I1389" s="62" t="str">
        <f t="shared" si="21"/>
        <v/>
      </c>
    </row>
    <row r="1390" spans="2:9" x14ac:dyDescent="0.25">
      <c r="B1390" s="59"/>
      <c r="C1390" s="60"/>
      <c r="D1390" s="60"/>
      <c r="F1390" s="60"/>
      <c r="G1390" s="60"/>
      <c r="H1390" s="62"/>
      <c r="I1390" s="62" t="str">
        <f t="shared" si="21"/>
        <v/>
      </c>
    </row>
    <row r="1391" spans="2:9" x14ac:dyDescent="0.25">
      <c r="B1391" s="59"/>
      <c r="C1391" s="60"/>
      <c r="D1391" s="60"/>
      <c r="F1391" s="60"/>
      <c r="G1391" s="60"/>
      <c r="H1391" s="62"/>
      <c r="I1391" s="62" t="str">
        <f t="shared" si="21"/>
        <v/>
      </c>
    </row>
    <row r="1392" spans="2:9" x14ac:dyDescent="0.25">
      <c r="B1392" s="59"/>
      <c r="C1392" s="60"/>
      <c r="D1392" s="60"/>
      <c r="F1392" s="60"/>
      <c r="G1392" s="60"/>
      <c r="H1392" s="62"/>
      <c r="I1392" s="62" t="str">
        <f t="shared" si="21"/>
        <v/>
      </c>
    </row>
    <row r="1393" spans="2:9" x14ac:dyDescent="0.25">
      <c r="B1393" s="59"/>
      <c r="C1393" s="60"/>
      <c r="D1393" s="60"/>
      <c r="F1393" s="60"/>
      <c r="G1393" s="60"/>
      <c r="H1393" s="62"/>
      <c r="I1393" s="62" t="str">
        <f t="shared" si="21"/>
        <v/>
      </c>
    </row>
    <row r="1394" spans="2:9" x14ac:dyDescent="0.25">
      <c r="B1394" s="59"/>
      <c r="C1394" s="60"/>
      <c r="D1394" s="60"/>
      <c r="F1394" s="60"/>
      <c r="G1394" s="60"/>
      <c r="H1394" s="62"/>
      <c r="I1394" s="62" t="str">
        <f t="shared" si="21"/>
        <v/>
      </c>
    </row>
    <row r="1395" spans="2:9" x14ac:dyDescent="0.25">
      <c r="B1395" s="59"/>
      <c r="C1395" s="60"/>
      <c r="D1395" s="60"/>
      <c r="F1395" s="60"/>
      <c r="G1395" s="60"/>
      <c r="H1395" s="62"/>
      <c r="I1395" s="62" t="str">
        <f t="shared" si="21"/>
        <v/>
      </c>
    </row>
    <row r="1396" spans="2:9" x14ac:dyDescent="0.25">
      <c r="B1396" s="59"/>
      <c r="C1396" s="60"/>
      <c r="D1396" s="60"/>
      <c r="F1396" s="60"/>
      <c r="G1396" s="60"/>
      <c r="H1396" s="62"/>
      <c r="I1396" s="62" t="str">
        <f t="shared" si="21"/>
        <v/>
      </c>
    </row>
    <row r="1397" spans="2:9" x14ac:dyDescent="0.25">
      <c r="B1397" s="59"/>
      <c r="C1397" s="60"/>
      <c r="D1397" s="60"/>
      <c r="F1397" s="60"/>
      <c r="G1397" s="60"/>
      <c r="H1397" s="62"/>
      <c r="I1397" s="62" t="str">
        <f t="shared" si="21"/>
        <v/>
      </c>
    </row>
    <row r="1398" spans="2:9" x14ac:dyDescent="0.25">
      <c r="B1398" s="59"/>
      <c r="C1398" s="60"/>
      <c r="D1398" s="60"/>
      <c r="F1398" s="60"/>
      <c r="G1398" s="60"/>
      <c r="H1398" s="62"/>
      <c r="I1398" s="62" t="str">
        <f t="shared" si="21"/>
        <v/>
      </c>
    </row>
    <row r="1399" spans="2:9" x14ac:dyDescent="0.25">
      <c r="B1399" s="59"/>
      <c r="C1399" s="60"/>
      <c r="D1399" s="60"/>
      <c r="F1399" s="60"/>
      <c r="G1399" s="60"/>
      <c r="H1399" s="62"/>
      <c r="I1399" s="62" t="str">
        <f t="shared" si="21"/>
        <v/>
      </c>
    </row>
    <row r="1400" spans="2:9" x14ac:dyDescent="0.25">
      <c r="B1400" s="59"/>
      <c r="C1400" s="60"/>
      <c r="D1400" s="60"/>
      <c r="F1400" s="60"/>
      <c r="G1400" s="60"/>
      <c r="H1400" s="62"/>
      <c r="I1400" s="62" t="str">
        <f t="shared" si="21"/>
        <v/>
      </c>
    </row>
    <row r="1401" spans="2:9" x14ac:dyDescent="0.25">
      <c r="B1401" s="59"/>
      <c r="C1401" s="60"/>
      <c r="D1401" s="60"/>
      <c r="F1401" s="60"/>
      <c r="G1401" s="60"/>
      <c r="H1401" s="62"/>
      <c r="I1401" s="62" t="str">
        <f t="shared" si="21"/>
        <v/>
      </c>
    </row>
    <row r="1402" spans="2:9" x14ac:dyDescent="0.25">
      <c r="B1402" s="59"/>
      <c r="C1402" s="60"/>
      <c r="D1402" s="60"/>
      <c r="F1402" s="60"/>
      <c r="G1402" s="60"/>
      <c r="H1402" s="62"/>
      <c r="I1402" s="62" t="str">
        <f t="shared" si="21"/>
        <v/>
      </c>
    </row>
    <row r="1403" spans="2:9" x14ac:dyDescent="0.25">
      <c r="B1403" s="59"/>
      <c r="C1403" s="60"/>
      <c r="D1403" s="60"/>
      <c r="F1403" s="60"/>
      <c r="G1403" s="60"/>
      <c r="H1403" s="62"/>
      <c r="I1403" s="62" t="str">
        <f t="shared" si="21"/>
        <v/>
      </c>
    </row>
    <row r="1404" spans="2:9" x14ac:dyDescent="0.25">
      <c r="B1404" s="59"/>
      <c r="C1404" s="60"/>
      <c r="D1404" s="60"/>
      <c r="F1404" s="60"/>
      <c r="G1404" s="60"/>
      <c r="H1404" s="62"/>
      <c r="I1404" s="62" t="str">
        <f t="shared" si="21"/>
        <v/>
      </c>
    </row>
    <row r="1405" spans="2:9" x14ac:dyDescent="0.25">
      <c r="B1405" s="59"/>
      <c r="C1405" s="60"/>
      <c r="D1405" s="60"/>
      <c r="F1405" s="60"/>
      <c r="G1405" s="60"/>
      <c r="H1405" s="62"/>
      <c r="I1405" s="62" t="str">
        <f t="shared" si="21"/>
        <v/>
      </c>
    </row>
    <row r="1406" spans="2:9" x14ac:dyDescent="0.25">
      <c r="B1406" s="59"/>
      <c r="C1406" s="60"/>
      <c r="D1406" s="60"/>
      <c r="F1406" s="60"/>
      <c r="G1406" s="60"/>
      <c r="H1406" s="62"/>
      <c r="I1406" s="62" t="str">
        <f t="shared" si="21"/>
        <v/>
      </c>
    </row>
    <row r="1407" spans="2:9" x14ac:dyDescent="0.25">
      <c r="B1407" s="59"/>
      <c r="C1407" s="60"/>
      <c r="D1407" s="60"/>
      <c r="F1407" s="60"/>
      <c r="G1407" s="60"/>
      <c r="H1407" s="62"/>
      <c r="I1407" s="62" t="str">
        <f t="shared" si="21"/>
        <v/>
      </c>
    </row>
    <row r="1408" spans="2:9" x14ac:dyDescent="0.25">
      <c r="B1408" s="59"/>
      <c r="C1408" s="60"/>
      <c r="D1408" s="60"/>
      <c r="F1408" s="60"/>
      <c r="G1408" s="60"/>
      <c r="H1408" s="62"/>
      <c r="I1408" s="62" t="str">
        <f t="shared" si="21"/>
        <v/>
      </c>
    </row>
    <row r="1409" spans="2:9" x14ac:dyDescent="0.25">
      <c r="B1409" s="59"/>
      <c r="C1409" s="60"/>
      <c r="D1409" s="60"/>
      <c r="F1409" s="60"/>
      <c r="G1409" s="60"/>
      <c r="H1409" s="62"/>
      <c r="I1409" s="62" t="str">
        <f t="shared" si="21"/>
        <v/>
      </c>
    </row>
    <row r="1410" spans="2:9" x14ac:dyDescent="0.25">
      <c r="B1410" s="59"/>
      <c r="C1410" s="60"/>
      <c r="D1410" s="60"/>
      <c r="F1410" s="60"/>
      <c r="G1410" s="60"/>
      <c r="H1410" s="62"/>
      <c r="I1410" s="62" t="str">
        <f t="shared" si="21"/>
        <v/>
      </c>
    </row>
    <row r="1411" spans="2:9" x14ac:dyDescent="0.25">
      <c r="B1411" s="59"/>
      <c r="C1411" s="60"/>
      <c r="D1411" s="60"/>
      <c r="F1411" s="60"/>
      <c r="G1411" s="60"/>
      <c r="H1411" s="62"/>
      <c r="I1411" s="62" t="str">
        <f t="shared" si="21"/>
        <v/>
      </c>
    </row>
    <row r="1412" spans="2:9" x14ac:dyDescent="0.25">
      <c r="B1412" s="59"/>
      <c r="C1412" s="60"/>
      <c r="D1412" s="60"/>
      <c r="F1412" s="60"/>
      <c r="G1412" s="60"/>
      <c r="H1412" s="62"/>
      <c r="I1412" s="62" t="str">
        <f t="shared" si="21"/>
        <v/>
      </c>
    </row>
    <row r="1413" spans="2:9" x14ac:dyDescent="0.25">
      <c r="B1413" s="59"/>
      <c r="C1413" s="60"/>
      <c r="D1413" s="60"/>
      <c r="F1413" s="60"/>
      <c r="G1413" s="60"/>
      <c r="H1413" s="62"/>
      <c r="I1413" s="62" t="str">
        <f t="shared" ref="I1413:I1476" si="22">IF(H1413&lt;&gt;"",H1413-H1412,"")</f>
        <v/>
      </c>
    </row>
    <row r="1414" spans="2:9" x14ac:dyDescent="0.25">
      <c r="B1414" s="59"/>
      <c r="C1414" s="60"/>
      <c r="D1414" s="60"/>
      <c r="F1414" s="60"/>
      <c r="G1414" s="60"/>
      <c r="H1414" s="62"/>
      <c r="I1414" s="62" t="str">
        <f t="shared" si="22"/>
        <v/>
      </c>
    </row>
    <row r="1415" spans="2:9" x14ac:dyDescent="0.25">
      <c r="B1415" s="59"/>
      <c r="C1415" s="60"/>
      <c r="D1415" s="60"/>
      <c r="F1415" s="60"/>
      <c r="G1415" s="60"/>
      <c r="H1415" s="62"/>
      <c r="I1415" s="62" t="str">
        <f t="shared" si="22"/>
        <v/>
      </c>
    </row>
    <row r="1416" spans="2:9" x14ac:dyDescent="0.25">
      <c r="B1416" s="59"/>
      <c r="C1416" s="60"/>
      <c r="D1416" s="60"/>
      <c r="F1416" s="60"/>
      <c r="G1416" s="60"/>
      <c r="H1416" s="62"/>
      <c r="I1416" s="62" t="str">
        <f t="shared" si="22"/>
        <v/>
      </c>
    </row>
    <row r="1417" spans="2:9" x14ac:dyDescent="0.25">
      <c r="B1417" s="59"/>
      <c r="C1417" s="60"/>
      <c r="D1417" s="60"/>
      <c r="F1417" s="60"/>
      <c r="G1417" s="60"/>
      <c r="H1417" s="62"/>
      <c r="I1417" s="62" t="str">
        <f t="shared" si="22"/>
        <v/>
      </c>
    </row>
    <row r="1418" spans="2:9" x14ac:dyDescent="0.25">
      <c r="B1418" s="59"/>
      <c r="C1418" s="60"/>
      <c r="D1418" s="60"/>
      <c r="F1418" s="60"/>
      <c r="G1418" s="60"/>
      <c r="H1418" s="62"/>
      <c r="I1418" s="62" t="str">
        <f t="shared" si="22"/>
        <v/>
      </c>
    </row>
    <row r="1419" spans="2:9" x14ac:dyDescent="0.25">
      <c r="B1419" s="59"/>
      <c r="C1419" s="60"/>
      <c r="D1419" s="60"/>
      <c r="F1419" s="60"/>
      <c r="G1419" s="60"/>
      <c r="H1419" s="62"/>
      <c r="I1419" s="62" t="str">
        <f t="shared" si="22"/>
        <v/>
      </c>
    </row>
    <row r="1420" spans="2:9" x14ac:dyDescent="0.25">
      <c r="B1420" s="59"/>
      <c r="C1420" s="60"/>
      <c r="D1420" s="60"/>
      <c r="F1420" s="60"/>
      <c r="G1420" s="60"/>
      <c r="H1420" s="62"/>
      <c r="I1420" s="62" t="str">
        <f t="shared" si="22"/>
        <v/>
      </c>
    </row>
    <row r="1421" spans="2:9" x14ac:dyDescent="0.25">
      <c r="B1421" s="59"/>
      <c r="C1421" s="60"/>
      <c r="D1421" s="60"/>
      <c r="F1421" s="60"/>
      <c r="G1421" s="60"/>
      <c r="H1421" s="62"/>
      <c r="I1421" s="62" t="str">
        <f t="shared" si="22"/>
        <v/>
      </c>
    </row>
    <row r="1422" spans="2:9" x14ac:dyDescent="0.25">
      <c r="B1422" s="59"/>
      <c r="C1422" s="60"/>
      <c r="D1422" s="60"/>
      <c r="F1422" s="60"/>
      <c r="G1422" s="60"/>
      <c r="H1422" s="62"/>
      <c r="I1422" s="62" t="str">
        <f t="shared" si="22"/>
        <v/>
      </c>
    </row>
    <row r="1423" spans="2:9" x14ac:dyDescent="0.25">
      <c r="B1423" s="59"/>
      <c r="C1423" s="60"/>
      <c r="D1423" s="60"/>
      <c r="F1423" s="60"/>
      <c r="G1423" s="60"/>
      <c r="H1423" s="62"/>
      <c r="I1423" s="62" t="str">
        <f t="shared" si="22"/>
        <v/>
      </c>
    </row>
    <row r="1424" spans="2:9" x14ac:dyDescent="0.25">
      <c r="B1424" s="59"/>
      <c r="C1424" s="60"/>
      <c r="D1424" s="60"/>
      <c r="F1424" s="60"/>
      <c r="G1424" s="60"/>
      <c r="H1424" s="62"/>
      <c r="I1424" s="62" t="str">
        <f t="shared" si="22"/>
        <v/>
      </c>
    </row>
    <row r="1425" spans="2:9" x14ac:dyDescent="0.25">
      <c r="B1425" s="59"/>
      <c r="C1425" s="60"/>
      <c r="D1425" s="60"/>
      <c r="F1425" s="60"/>
      <c r="G1425" s="60"/>
      <c r="H1425" s="62"/>
      <c r="I1425" s="62" t="str">
        <f t="shared" si="22"/>
        <v/>
      </c>
    </row>
    <row r="1426" spans="2:9" x14ac:dyDescent="0.25">
      <c r="B1426" s="59"/>
      <c r="C1426" s="60"/>
      <c r="D1426" s="60"/>
      <c r="F1426" s="60"/>
      <c r="G1426" s="60"/>
      <c r="H1426" s="62"/>
      <c r="I1426" s="62" t="str">
        <f t="shared" si="22"/>
        <v/>
      </c>
    </row>
    <row r="1427" spans="2:9" x14ac:dyDescent="0.25">
      <c r="B1427" s="59"/>
      <c r="C1427" s="60"/>
      <c r="D1427" s="60"/>
      <c r="F1427" s="60"/>
      <c r="G1427" s="60"/>
      <c r="H1427" s="62"/>
      <c r="I1427" s="62" t="str">
        <f t="shared" si="22"/>
        <v/>
      </c>
    </row>
    <row r="1428" spans="2:9" x14ac:dyDescent="0.25">
      <c r="B1428" s="59"/>
      <c r="C1428" s="60"/>
      <c r="D1428" s="60"/>
      <c r="F1428" s="60"/>
      <c r="G1428" s="60"/>
      <c r="H1428" s="62"/>
      <c r="I1428" s="62" t="str">
        <f t="shared" si="22"/>
        <v/>
      </c>
    </row>
    <row r="1429" spans="2:9" x14ac:dyDescent="0.25">
      <c r="B1429" s="59"/>
      <c r="C1429" s="60"/>
      <c r="D1429" s="60"/>
      <c r="F1429" s="60"/>
      <c r="G1429" s="60"/>
      <c r="H1429" s="62"/>
      <c r="I1429" s="62" t="str">
        <f t="shared" si="22"/>
        <v/>
      </c>
    </row>
    <row r="1430" spans="2:9" x14ac:dyDescent="0.25">
      <c r="B1430" s="59"/>
      <c r="C1430" s="60"/>
      <c r="D1430" s="60"/>
      <c r="F1430" s="60"/>
      <c r="G1430" s="60"/>
      <c r="H1430" s="62"/>
      <c r="I1430" s="62" t="str">
        <f t="shared" si="22"/>
        <v/>
      </c>
    </row>
    <row r="1431" spans="2:9" x14ac:dyDescent="0.25">
      <c r="B1431" s="59"/>
      <c r="C1431" s="60"/>
      <c r="D1431" s="60"/>
      <c r="F1431" s="60"/>
      <c r="G1431" s="60"/>
      <c r="H1431" s="62"/>
      <c r="I1431" s="62" t="str">
        <f t="shared" si="22"/>
        <v/>
      </c>
    </row>
    <row r="1432" spans="2:9" x14ac:dyDescent="0.25">
      <c r="B1432" s="59"/>
      <c r="C1432" s="60"/>
      <c r="D1432" s="60"/>
      <c r="F1432" s="60"/>
      <c r="G1432" s="60"/>
      <c r="H1432" s="62"/>
      <c r="I1432" s="62" t="str">
        <f t="shared" si="22"/>
        <v/>
      </c>
    </row>
    <row r="1433" spans="2:9" x14ac:dyDescent="0.25">
      <c r="B1433" s="59"/>
      <c r="C1433" s="60"/>
      <c r="D1433" s="60"/>
      <c r="F1433" s="60"/>
      <c r="G1433" s="60"/>
      <c r="H1433" s="62"/>
      <c r="I1433" s="62" t="str">
        <f t="shared" si="22"/>
        <v/>
      </c>
    </row>
    <row r="1434" spans="2:9" x14ac:dyDescent="0.25">
      <c r="B1434" s="59"/>
      <c r="C1434" s="60"/>
      <c r="D1434" s="60"/>
      <c r="F1434" s="60"/>
      <c r="G1434" s="60"/>
      <c r="H1434" s="62"/>
      <c r="I1434" s="62" t="str">
        <f t="shared" si="22"/>
        <v/>
      </c>
    </row>
    <row r="1435" spans="2:9" x14ac:dyDescent="0.25">
      <c r="B1435" s="59"/>
      <c r="C1435" s="60"/>
      <c r="D1435" s="60"/>
      <c r="F1435" s="60"/>
      <c r="G1435" s="60"/>
      <c r="H1435" s="62"/>
      <c r="I1435" s="62" t="str">
        <f t="shared" si="22"/>
        <v/>
      </c>
    </row>
    <row r="1436" spans="2:9" x14ac:dyDescent="0.25">
      <c r="B1436" s="59"/>
      <c r="C1436" s="60"/>
      <c r="D1436" s="60"/>
      <c r="F1436" s="60"/>
      <c r="G1436" s="60"/>
      <c r="H1436" s="62"/>
      <c r="I1436" s="62" t="str">
        <f t="shared" si="22"/>
        <v/>
      </c>
    </row>
    <row r="1437" spans="2:9" x14ac:dyDescent="0.25">
      <c r="B1437" s="59"/>
      <c r="C1437" s="60"/>
      <c r="D1437" s="60"/>
      <c r="F1437" s="60"/>
      <c r="G1437" s="60"/>
      <c r="H1437" s="62"/>
      <c r="I1437" s="62" t="str">
        <f t="shared" si="22"/>
        <v/>
      </c>
    </row>
    <row r="1438" spans="2:9" x14ac:dyDescent="0.25">
      <c r="B1438" s="59"/>
      <c r="C1438" s="60"/>
      <c r="D1438" s="60"/>
      <c r="F1438" s="60"/>
      <c r="G1438" s="60"/>
      <c r="H1438" s="62"/>
      <c r="I1438" s="62" t="str">
        <f t="shared" si="22"/>
        <v/>
      </c>
    </row>
    <row r="1439" spans="2:9" x14ac:dyDescent="0.25">
      <c r="B1439" s="59"/>
      <c r="C1439" s="60"/>
      <c r="D1439" s="60"/>
      <c r="F1439" s="60"/>
      <c r="G1439" s="60"/>
      <c r="H1439" s="62"/>
      <c r="I1439" s="62" t="str">
        <f t="shared" si="22"/>
        <v/>
      </c>
    </row>
    <row r="1440" spans="2:9" x14ac:dyDescent="0.25">
      <c r="B1440" s="59"/>
      <c r="C1440" s="60"/>
      <c r="D1440" s="60"/>
      <c r="F1440" s="60"/>
      <c r="G1440" s="60"/>
      <c r="H1440" s="62"/>
      <c r="I1440" s="62" t="str">
        <f t="shared" si="22"/>
        <v/>
      </c>
    </row>
    <row r="1441" spans="2:9" x14ac:dyDescent="0.25">
      <c r="B1441" s="59"/>
      <c r="C1441" s="60"/>
      <c r="D1441" s="60"/>
      <c r="F1441" s="60"/>
      <c r="G1441" s="60"/>
      <c r="H1441" s="62"/>
      <c r="I1441" s="62" t="str">
        <f t="shared" si="22"/>
        <v/>
      </c>
    </row>
    <row r="1442" spans="2:9" x14ac:dyDescent="0.25">
      <c r="B1442" s="59"/>
      <c r="C1442" s="60"/>
      <c r="D1442" s="60"/>
      <c r="F1442" s="60"/>
      <c r="G1442" s="60"/>
      <c r="H1442" s="62"/>
      <c r="I1442" s="62" t="str">
        <f t="shared" si="22"/>
        <v/>
      </c>
    </row>
    <row r="1443" spans="2:9" x14ac:dyDescent="0.25">
      <c r="B1443" s="59"/>
      <c r="C1443" s="60"/>
      <c r="D1443" s="60"/>
      <c r="F1443" s="60"/>
      <c r="G1443" s="60"/>
      <c r="H1443" s="62"/>
      <c r="I1443" s="62" t="str">
        <f t="shared" si="22"/>
        <v/>
      </c>
    </row>
    <row r="1444" spans="2:9" x14ac:dyDescent="0.25">
      <c r="B1444" s="59"/>
      <c r="C1444" s="60"/>
      <c r="D1444" s="60"/>
      <c r="F1444" s="60"/>
      <c r="G1444" s="60"/>
      <c r="H1444" s="62"/>
      <c r="I1444" s="62" t="str">
        <f t="shared" si="22"/>
        <v/>
      </c>
    </row>
    <row r="1445" spans="2:9" x14ac:dyDescent="0.25">
      <c r="B1445" s="59"/>
      <c r="C1445" s="60"/>
      <c r="D1445" s="60"/>
      <c r="F1445" s="60"/>
      <c r="G1445" s="60"/>
      <c r="H1445" s="62"/>
      <c r="I1445" s="62" t="str">
        <f t="shared" si="22"/>
        <v/>
      </c>
    </row>
    <row r="1446" spans="2:9" x14ac:dyDescent="0.25">
      <c r="B1446" s="59"/>
      <c r="C1446" s="60"/>
      <c r="D1446" s="60"/>
      <c r="F1446" s="60"/>
      <c r="G1446" s="60"/>
      <c r="H1446" s="62"/>
      <c r="I1446" s="62" t="str">
        <f t="shared" si="22"/>
        <v/>
      </c>
    </row>
    <row r="1447" spans="2:9" x14ac:dyDescent="0.25">
      <c r="B1447" s="59"/>
      <c r="C1447" s="60"/>
      <c r="D1447" s="60"/>
      <c r="F1447" s="60"/>
      <c r="G1447" s="60"/>
      <c r="H1447" s="62"/>
      <c r="I1447" s="62" t="str">
        <f t="shared" si="22"/>
        <v/>
      </c>
    </row>
    <row r="1448" spans="2:9" x14ac:dyDescent="0.25">
      <c r="B1448" s="59"/>
      <c r="C1448" s="60"/>
      <c r="D1448" s="60"/>
      <c r="F1448" s="60"/>
      <c r="G1448" s="60"/>
      <c r="H1448" s="62"/>
      <c r="I1448" s="62" t="str">
        <f t="shared" si="22"/>
        <v/>
      </c>
    </row>
    <row r="1449" spans="2:9" x14ac:dyDescent="0.25">
      <c r="B1449" s="59"/>
      <c r="C1449" s="60"/>
      <c r="D1449" s="60"/>
      <c r="F1449" s="60"/>
      <c r="G1449" s="60"/>
      <c r="H1449" s="62"/>
      <c r="I1449" s="62" t="str">
        <f t="shared" si="22"/>
        <v/>
      </c>
    </row>
    <row r="1450" spans="2:9" x14ac:dyDescent="0.25">
      <c r="B1450" s="59"/>
      <c r="C1450" s="60"/>
      <c r="D1450" s="60"/>
      <c r="F1450" s="60"/>
      <c r="G1450" s="60"/>
      <c r="H1450" s="62"/>
      <c r="I1450" s="62" t="str">
        <f t="shared" si="22"/>
        <v/>
      </c>
    </row>
    <row r="1451" spans="2:9" x14ac:dyDescent="0.25">
      <c r="B1451" s="59"/>
      <c r="C1451" s="60"/>
      <c r="D1451" s="60"/>
      <c r="F1451" s="60"/>
      <c r="G1451" s="60"/>
      <c r="H1451" s="62"/>
      <c r="I1451" s="62" t="str">
        <f t="shared" si="22"/>
        <v/>
      </c>
    </row>
    <row r="1452" spans="2:9" x14ac:dyDescent="0.25">
      <c r="B1452" s="59"/>
      <c r="C1452" s="60"/>
      <c r="D1452" s="60"/>
      <c r="F1452" s="60"/>
      <c r="G1452" s="60"/>
      <c r="H1452" s="62"/>
      <c r="I1452" s="62" t="str">
        <f t="shared" si="22"/>
        <v/>
      </c>
    </row>
    <row r="1453" spans="2:9" x14ac:dyDescent="0.25">
      <c r="B1453" s="59"/>
      <c r="C1453" s="60"/>
      <c r="D1453" s="60"/>
      <c r="F1453" s="60"/>
      <c r="G1453" s="60"/>
      <c r="H1453" s="62"/>
      <c r="I1453" s="62" t="str">
        <f t="shared" si="22"/>
        <v/>
      </c>
    </row>
    <row r="1454" spans="2:9" x14ac:dyDescent="0.25">
      <c r="B1454" s="59"/>
      <c r="C1454" s="60"/>
      <c r="D1454" s="60"/>
      <c r="F1454" s="60"/>
      <c r="G1454" s="60"/>
      <c r="H1454" s="62"/>
      <c r="I1454" s="62" t="str">
        <f t="shared" si="22"/>
        <v/>
      </c>
    </row>
    <row r="1455" spans="2:9" x14ac:dyDescent="0.25">
      <c r="B1455" s="59"/>
      <c r="C1455" s="60"/>
      <c r="D1455" s="60"/>
      <c r="F1455" s="60"/>
      <c r="G1455" s="60"/>
      <c r="H1455" s="62"/>
      <c r="I1455" s="62" t="str">
        <f t="shared" si="22"/>
        <v/>
      </c>
    </row>
    <row r="1456" spans="2:9" x14ac:dyDescent="0.25">
      <c r="B1456" s="59"/>
      <c r="C1456" s="60"/>
      <c r="D1456" s="60"/>
      <c r="F1456" s="60"/>
      <c r="G1456" s="60"/>
      <c r="H1456" s="62"/>
      <c r="I1456" s="62" t="str">
        <f t="shared" si="22"/>
        <v/>
      </c>
    </row>
    <row r="1457" spans="2:9" x14ac:dyDescent="0.25">
      <c r="B1457" s="59"/>
      <c r="C1457" s="60"/>
      <c r="D1457" s="60"/>
      <c r="F1457" s="60"/>
      <c r="G1457" s="60"/>
      <c r="H1457" s="62"/>
      <c r="I1457" s="62" t="str">
        <f t="shared" si="22"/>
        <v/>
      </c>
    </row>
    <row r="1458" spans="2:9" x14ac:dyDescent="0.25">
      <c r="B1458" s="59"/>
      <c r="C1458" s="60"/>
      <c r="D1458" s="60"/>
      <c r="F1458" s="60"/>
      <c r="G1458" s="60"/>
      <c r="H1458" s="62"/>
      <c r="I1458" s="62" t="str">
        <f t="shared" si="22"/>
        <v/>
      </c>
    </row>
    <row r="1459" spans="2:9" x14ac:dyDescent="0.25">
      <c r="B1459" s="59"/>
      <c r="C1459" s="60"/>
      <c r="D1459" s="60"/>
      <c r="F1459" s="60"/>
      <c r="G1459" s="60"/>
      <c r="H1459" s="62"/>
      <c r="I1459" s="62" t="str">
        <f t="shared" si="22"/>
        <v/>
      </c>
    </row>
    <row r="1460" spans="2:9" x14ac:dyDescent="0.25">
      <c r="B1460" s="59"/>
      <c r="C1460" s="60"/>
      <c r="D1460" s="60"/>
      <c r="F1460" s="60"/>
      <c r="G1460" s="60"/>
      <c r="H1460" s="62"/>
      <c r="I1460" s="62" t="str">
        <f t="shared" si="22"/>
        <v/>
      </c>
    </row>
    <row r="1461" spans="2:9" x14ac:dyDescent="0.25">
      <c r="B1461" s="59"/>
      <c r="C1461" s="60"/>
      <c r="D1461" s="60"/>
      <c r="F1461" s="60"/>
      <c r="G1461" s="60"/>
      <c r="H1461" s="62"/>
      <c r="I1461" s="62" t="str">
        <f t="shared" si="22"/>
        <v/>
      </c>
    </row>
    <row r="1462" spans="2:9" x14ac:dyDescent="0.25">
      <c r="B1462" s="59"/>
      <c r="C1462" s="60"/>
      <c r="D1462" s="60"/>
      <c r="F1462" s="60"/>
      <c r="G1462" s="60"/>
      <c r="H1462" s="62"/>
      <c r="I1462" s="62" t="str">
        <f t="shared" si="22"/>
        <v/>
      </c>
    </row>
    <row r="1463" spans="2:9" x14ac:dyDescent="0.25">
      <c r="B1463" s="59"/>
      <c r="C1463" s="60"/>
      <c r="D1463" s="60"/>
      <c r="F1463" s="60"/>
      <c r="G1463" s="60"/>
      <c r="H1463" s="62"/>
      <c r="I1463" s="62" t="str">
        <f t="shared" si="22"/>
        <v/>
      </c>
    </row>
    <row r="1464" spans="2:9" x14ac:dyDescent="0.25">
      <c r="B1464" s="59"/>
      <c r="C1464" s="60"/>
      <c r="D1464" s="60"/>
      <c r="F1464" s="60"/>
      <c r="G1464" s="60"/>
      <c r="H1464" s="62"/>
      <c r="I1464" s="62" t="str">
        <f t="shared" si="22"/>
        <v/>
      </c>
    </row>
    <row r="1465" spans="2:9" x14ac:dyDescent="0.25">
      <c r="B1465" s="59"/>
      <c r="C1465" s="60"/>
      <c r="D1465" s="60"/>
      <c r="F1465" s="60"/>
      <c r="G1465" s="60"/>
      <c r="H1465" s="62"/>
      <c r="I1465" s="62" t="str">
        <f t="shared" si="22"/>
        <v/>
      </c>
    </row>
    <row r="1466" spans="2:9" x14ac:dyDescent="0.25">
      <c r="B1466" s="59"/>
      <c r="C1466" s="60"/>
      <c r="D1466" s="60"/>
      <c r="F1466" s="60"/>
      <c r="G1466" s="60"/>
      <c r="H1466" s="62"/>
      <c r="I1466" s="62" t="str">
        <f t="shared" si="22"/>
        <v/>
      </c>
    </row>
    <row r="1467" spans="2:9" x14ac:dyDescent="0.25">
      <c r="B1467" s="59"/>
      <c r="C1467" s="60"/>
      <c r="D1467" s="60"/>
      <c r="F1467" s="60"/>
      <c r="G1467" s="60"/>
      <c r="H1467" s="62"/>
      <c r="I1467" s="62" t="str">
        <f t="shared" si="22"/>
        <v/>
      </c>
    </row>
    <row r="1468" spans="2:9" x14ac:dyDescent="0.25">
      <c r="B1468" s="59"/>
      <c r="C1468" s="60"/>
      <c r="D1468" s="60"/>
      <c r="F1468" s="60"/>
      <c r="G1468" s="60"/>
      <c r="H1468" s="62"/>
      <c r="I1468" s="62" t="str">
        <f t="shared" si="22"/>
        <v/>
      </c>
    </row>
    <row r="1469" spans="2:9" x14ac:dyDescent="0.25">
      <c r="B1469" s="59"/>
      <c r="C1469" s="60"/>
      <c r="D1469" s="60"/>
      <c r="F1469" s="60"/>
      <c r="G1469" s="60"/>
      <c r="H1469" s="62"/>
      <c r="I1469" s="62" t="str">
        <f t="shared" si="22"/>
        <v/>
      </c>
    </row>
    <row r="1470" spans="2:9" x14ac:dyDescent="0.25">
      <c r="B1470" s="59"/>
      <c r="C1470" s="60"/>
      <c r="D1470" s="60"/>
      <c r="F1470" s="60"/>
      <c r="G1470" s="60"/>
      <c r="H1470" s="62"/>
      <c r="I1470" s="62" t="str">
        <f t="shared" si="22"/>
        <v/>
      </c>
    </row>
    <row r="1471" spans="2:9" x14ac:dyDescent="0.25">
      <c r="B1471" s="59"/>
      <c r="C1471" s="60"/>
      <c r="D1471" s="60"/>
      <c r="F1471" s="60"/>
      <c r="G1471" s="60"/>
      <c r="H1471" s="62"/>
      <c r="I1471" s="62" t="str">
        <f t="shared" si="22"/>
        <v/>
      </c>
    </row>
    <row r="1472" spans="2:9" x14ac:dyDescent="0.25">
      <c r="B1472" s="59"/>
      <c r="C1472" s="60"/>
      <c r="D1472" s="60"/>
      <c r="F1472" s="60"/>
      <c r="G1472" s="60"/>
      <c r="H1472" s="62"/>
      <c r="I1472" s="62" t="str">
        <f t="shared" si="22"/>
        <v/>
      </c>
    </row>
    <row r="1473" spans="2:9" x14ac:dyDescent="0.25">
      <c r="B1473" s="59"/>
      <c r="C1473" s="60"/>
      <c r="D1473" s="60"/>
      <c r="F1473" s="60"/>
      <c r="G1473" s="60"/>
      <c r="H1473" s="62"/>
      <c r="I1473" s="62" t="str">
        <f t="shared" si="22"/>
        <v/>
      </c>
    </row>
    <row r="1474" spans="2:9" x14ac:dyDescent="0.25">
      <c r="B1474" s="59"/>
      <c r="C1474" s="60"/>
      <c r="D1474" s="60"/>
      <c r="F1474" s="60"/>
      <c r="G1474" s="60"/>
      <c r="H1474" s="62"/>
      <c r="I1474" s="62" t="str">
        <f t="shared" si="22"/>
        <v/>
      </c>
    </row>
    <row r="1475" spans="2:9" x14ac:dyDescent="0.25">
      <c r="B1475" s="59"/>
      <c r="C1475" s="60"/>
      <c r="D1475" s="60"/>
      <c r="F1475" s="60"/>
      <c r="G1475" s="60"/>
      <c r="H1475" s="62"/>
      <c r="I1475" s="62" t="str">
        <f t="shared" si="22"/>
        <v/>
      </c>
    </row>
    <row r="1476" spans="2:9" x14ac:dyDescent="0.25">
      <c r="B1476" s="59"/>
      <c r="C1476" s="60"/>
      <c r="D1476" s="60"/>
      <c r="F1476" s="60"/>
      <c r="G1476" s="60"/>
      <c r="H1476" s="62"/>
      <c r="I1476" s="62" t="str">
        <f t="shared" si="22"/>
        <v/>
      </c>
    </row>
    <row r="1477" spans="2:9" x14ac:dyDescent="0.25">
      <c r="B1477" s="59"/>
      <c r="C1477" s="60"/>
      <c r="D1477" s="60"/>
      <c r="F1477" s="60"/>
      <c r="G1477" s="60"/>
      <c r="H1477" s="62"/>
      <c r="I1477" s="62" t="str">
        <f t="shared" ref="I1477:I1540" si="23">IF(H1477&lt;&gt;"",H1477-H1476,"")</f>
        <v/>
      </c>
    </row>
    <row r="1478" spans="2:9" x14ac:dyDescent="0.25">
      <c r="B1478" s="59"/>
      <c r="C1478" s="60"/>
      <c r="D1478" s="60"/>
      <c r="F1478" s="60"/>
      <c r="G1478" s="60"/>
      <c r="H1478" s="62"/>
      <c r="I1478" s="62" t="str">
        <f t="shared" si="23"/>
        <v/>
      </c>
    </row>
    <row r="1479" spans="2:9" x14ac:dyDescent="0.25">
      <c r="B1479" s="59"/>
      <c r="C1479" s="60"/>
      <c r="D1479" s="60"/>
      <c r="F1479" s="60"/>
      <c r="G1479" s="60"/>
      <c r="H1479" s="62"/>
      <c r="I1479" s="62" t="str">
        <f t="shared" si="23"/>
        <v/>
      </c>
    </row>
    <row r="1480" spans="2:9" x14ac:dyDescent="0.25">
      <c r="B1480" s="59"/>
      <c r="C1480" s="60"/>
      <c r="D1480" s="60"/>
      <c r="F1480" s="60"/>
      <c r="G1480" s="60"/>
      <c r="H1480" s="62"/>
      <c r="I1480" s="62" t="str">
        <f t="shared" si="23"/>
        <v/>
      </c>
    </row>
    <row r="1481" spans="2:9" x14ac:dyDescent="0.25">
      <c r="B1481" s="59"/>
      <c r="C1481" s="60"/>
      <c r="D1481" s="60"/>
      <c r="F1481" s="60"/>
      <c r="G1481" s="60"/>
      <c r="H1481" s="62"/>
      <c r="I1481" s="62" t="str">
        <f t="shared" si="23"/>
        <v/>
      </c>
    </row>
    <row r="1482" spans="2:9" x14ac:dyDescent="0.25">
      <c r="B1482" s="59"/>
      <c r="C1482" s="60"/>
      <c r="D1482" s="60"/>
      <c r="F1482" s="60"/>
      <c r="G1482" s="60"/>
      <c r="H1482" s="62"/>
      <c r="I1482" s="62" t="str">
        <f t="shared" si="23"/>
        <v/>
      </c>
    </row>
    <row r="1483" spans="2:9" x14ac:dyDescent="0.25">
      <c r="B1483" s="59"/>
      <c r="C1483" s="60"/>
      <c r="D1483" s="60"/>
      <c r="F1483" s="60"/>
      <c r="G1483" s="60"/>
      <c r="H1483" s="62"/>
      <c r="I1483" s="62" t="str">
        <f t="shared" si="23"/>
        <v/>
      </c>
    </row>
    <row r="1484" spans="2:9" x14ac:dyDescent="0.25">
      <c r="B1484" s="59"/>
      <c r="C1484" s="60"/>
      <c r="D1484" s="60"/>
      <c r="F1484" s="60"/>
      <c r="G1484" s="60"/>
      <c r="H1484" s="62"/>
      <c r="I1484" s="62" t="str">
        <f t="shared" si="23"/>
        <v/>
      </c>
    </row>
    <row r="1485" spans="2:9" x14ac:dyDescent="0.25">
      <c r="B1485" s="59"/>
      <c r="C1485" s="60"/>
      <c r="D1485" s="60"/>
      <c r="F1485" s="60"/>
      <c r="G1485" s="60"/>
      <c r="H1485" s="62"/>
      <c r="I1485" s="62" t="str">
        <f t="shared" si="23"/>
        <v/>
      </c>
    </row>
    <row r="1486" spans="2:9" x14ac:dyDescent="0.25">
      <c r="B1486" s="59"/>
      <c r="C1486" s="60"/>
      <c r="D1486" s="60"/>
      <c r="F1486" s="60"/>
      <c r="G1486" s="60"/>
      <c r="H1486" s="62"/>
      <c r="I1486" s="62" t="str">
        <f t="shared" si="23"/>
        <v/>
      </c>
    </row>
    <row r="1487" spans="2:9" x14ac:dyDescent="0.25">
      <c r="B1487" s="59"/>
      <c r="C1487" s="60"/>
      <c r="D1487" s="60"/>
      <c r="F1487" s="60"/>
      <c r="G1487" s="60"/>
      <c r="H1487" s="62"/>
      <c r="I1487" s="62" t="str">
        <f t="shared" si="23"/>
        <v/>
      </c>
    </row>
    <row r="1488" spans="2:9" x14ac:dyDescent="0.25">
      <c r="B1488" s="59"/>
      <c r="C1488" s="60"/>
      <c r="D1488" s="60"/>
      <c r="F1488" s="60"/>
      <c r="G1488" s="60"/>
      <c r="H1488" s="62"/>
      <c r="I1488" s="62" t="str">
        <f t="shared" si="23"/>
        <v/>
      </c>
    </row>
    <row r="1489" spans="2:9" x14ac:dyDescent="0.25">
      <c r="B1489" s="59"/>
      <c r="C1489" s="60"/>
      <c r="D1489" s="60"/>
      <c r="F1489" s="60"/>
      <c r="G1489" s="60"/>
      <c r="H1489" s="62"/>
      <c r="I1489" s="62" t="str">
        <f t="shared" si="23"/>
        <v/>
      </c>
    </row>
    <row r="1490" spans="2:9" x14ac:dyDescent="0.25">
      <c r="B1490" s="59"/>
      <c r="C1490" s="60"/>
      <c r="D1490" s="60"/>
      <c r="F1490" s="60"/>
      <c r="G1490" s="60"/>
      <c r="H1490" s="62"/>
      <c r="I1490" s="62" t="str">
        <f t="shared" si="23"/>
        <v/>
      </c>
    </row>
    <row r="1491" spans="2:9" x14ac:dyDescent="0.25">
      <c r="B1491" s="59"/>
      <c r="C1491" s="60"/>
      <c r="D1491" s="60"/>
      <c r="F1491" s="60"/>
      <c r="G1491" s="60"/>
      <c r="H1491" s="62"/>
      <c r="I1491" s="62" t="str">
        <f t="shared" si="23"/>
        <v/>
      </c>
    </row>
    <row r="1492" spans="2:9" x14ac:dyDescent="0.25">
      <c r="B1492" s="59"/>
      <c r="C1492" s="60"/>
      <c r="D1492" s="60"/>
      <c r="F1492" s="60"/>
      <c r="G1492" s="60"/>
      <c r="H1492" s="62"/>
      <c r="I1492" s="62" t="str">
        <f t="shared" si="23"/>
        <v/>
      </c>
    </row>
    <row r="1493" spans="2:9" x14ac:dyDescent="0.25">
      <c r="B1493" s="59"/>
      <c r="C1493" s="60"/>
      <c r="D1493" s="60"/>
      <c r="F1493" s="60"/>
      <c r="G1493" s="60"/>
      <c r="H1493" s="62"/>
      <c r="I1493" s="62" t="str">
        <f t="shared" si="23"/>
        <v/>
      </c>
    </row>
    <row r="1494" spans="2:9" x14ac:dyDescent="0.25">
      <c r="B1494" s="59"/>
      <c r="C1494" s="60"/>
      <c r="D1494" s="60"/>
      <c r="F1494" s="60"/>
      <c r="G1494" s="60"/>
      <c r="H1494" s="62"/>
      <c r="I1494" s="62" t="str">
        <f t="shared" si="23"/>
        <v/>
      </c>
    </row>
    <row r="1495" spans="2:9" x14ac:dyDescent="0.25">
      <c r="B1495" s="59"/>
      <c r="C1495" s="60"/>
      <c r="D1495" s="60"/>
      <c r="F1495" s="60"/>
      <c r="G1495" s="60"/>
      <c r="H1495" s="62"/>
      <c r="I1495" s="62" t="str">
        <f t="shared" si="23"/>
        <v/>
      </c>
    </row>
    <row r="1496" spans="2:9" x14ac:dyDescent="0.25">
      <c r="B1496" s="59"/>
      <c r="C1496" s="60"/>
      <c r="D1496" s="60"/>
      <c r="F1496" s="60"/>
      <c r="G1496" s="60"/>
      <c r="H1496" s="62"/>
      <c r="I1496" s="62" t="str">
        <f t="shared" si="23"/>
        <v/>
      </c>
    </row>
    <row r="1497" spans="2:9" x14ac:dyDescent="0.25">
      <c r="B1497" s="59"/>
      <c r="C1497" s="60"/>
      <c r="D1497" s="60"/>
      <c r="F1497" s="60"/>
      <c r="G1497" s="60"/>
      <c r="H1497" s="62"/>
      <c r="I1497" s="62" t="str">
        <f t="shared" si="23"/>
        <v/>
      </c>
    </row>
    <row r="1498" spans="2:9" x14ac:dyDescent="0.25">
      <c r="B1498" s="59"/>
      <c r="C1498" s="60"/>
      <c r="D1498" s="60"/>
      <c r="F1498" s="60"/>
      <c r="G1498" s="60"/>
      <c r="H1498" s="62"/>
      <c r="I1498" s="62" t="str">
        <f t="shared" si="23"/>
        <v/>
      </c>
    </row>
    <row r="1499" spans="2:9" x14ac:dyDescent="0.25">
      <c r="B1499" s="59"/>
      <c r="C1499" s="60"/>
      <c r="D1499" s="60"/>
      <c r="F1499" s="60"/>
      <c r="G1499" s="60"/>
      <c r="H1499" s="62"/>
      <c r="I1499" s="62" t="str">
        <f t="shared" si="23"/>
        <v/>
      </c>
    </row>
    <row r="1500" spans="2:9" x14ac:dyDescent="0.25">
      <c r="B1500" s="59"/>
      <c r="C1500" s="60"/>
      <c r="D1500" s="60"/>
      <c r="F1500" s="60"/>
      <c r="G1500" s="60"/>
      <c r="H1500" s="62"/>
      <c r="I1500" s="62" t="str">
        <f t="shared" si="23"/>
        <v/>
      </c>
    </row>
    <row r="1501" spans="2:9" x14ac:dyDescent="0.25">
      <c r="B1501" s="59"/>
      <c r="C1501" s="60"/>
      <c r="D1501" s="60"/>
      <c r="F1501" s="60"/>
      <c r="G1501" s="60"/>
      <c r="H1501" s="62"/>
      <c r="I1501" s="62" t="str">
        <f t="shared" si="23"/>
        <v/>
      </c>
    </row>
    <row r="1502" spans="2:9" x14ac:dyDescent="0.25">
      <c r="B1502" s="59"/>
      <c r="C1502" s="60"/>
      <c r="D1502" s="60"/>
      <c r="F1502" s="60"/>
      <c r="G1502" s="60"/>
      <c r="H1502" s="62"/>
      <c r="I1502" s="62" t="str">
        <f t="shared" si="23"/>
        <v/>
      </c>
    </row>
    <row r="1503" spans="2:9" x14ac:dyDescent="0.25">
      <c r="B1503" s="59"/>
      <c r="C1503" s="60"/>
      <c r="D1503" s="60"/>
      <c r="F1503" s="60"/>
      <c r="G1503" s="60"/>
      <c r="H1503" s="62"/>
      <c r="I1503" s="62" t="str">
        <f t="shared" si="23"/>
        <v/>
      </c>
    </row>
    <row r="1504" spans="2:9" x14ac:dyDescent="0.25">
      <c r="B1504" s="59"/>
      <c r="C1504" s="60"/>
      <c r="D1504" s="60"/>
      <c r="F1504" s="60"/>
      <c r="G1504" s="60"/>
      <c r="H1504" s="62"/>
      <c r="I1504" s="62" t="str">
        <f t="shared" si="23"/>
        <v/>
      </c>
    </row>
    <row r="1505" spans="2:9" x14ac:dyDescent="0.25">
      <c r="B1505" s="59"/>
      <c r="C1505" s="60"/>
      <c r="D1505" s="60"/>
      <c r="F1505" s="60"/>
      <c r="G1505" s="60"/>
      <c r="H1505" s="62"/>
      <c r="I1505" s="62" t="str">
        <f t="shared" si="23"/>
        <v/>
      </c>
    </row>
    <row r="1506" spans="2:9" x14ac:dyDescent="0.25">
      <c r="B1506" s="59"/>
      <c r="C1506" s="60"/>
      <c r="D1506" s="60"/>
      <c r="F1506" s="60"/>
      <c r="G1506" s="60"/>
      <c r="H1506" s="62"/>
      <c r="I1506" s="62" t="str">
        <f t="shared" si="23"/>
        <v/>
      </c>
    </row>
    <row r="1507" spans="2:9" x14ac:dyDescent="0.25">
      <c r="B1507" s="59"/>
      <c r="C1507" s="60"/>
      <c r="D1507" s="60"/>
      <c r="F1507" s="60"/>
      <c r="G1507" s="60"/>
      <c r="H1507" s="62"/>
      <c r="I1507" s="62" t="str">
        <f t="shared" si="23"/>
        <v/>
      </c>
    </row>
    <row r="1508" spans="2:9" x14ac:dyDescent="0.25">
      <c r="B1508" s="59"/>
      <c r="C1508" s="60"/>
      <c r="D1508" s="60"/>
      <c r="F1508" s="60"/>
      <c r="G1508" s="60"/>
      <c r="H1508" s="62"/>
      <c r="I1508" s="62" t="str">
        <f t="shared" si="23"/>
        <v/>
      </c>
    </row>
    <row r="1509" spans="2:9" x14ac:dyDescent="0.25">
      <c r="B1509" s="59"/>
      <c r="C1509" s="60"/>
      <c r="D1509" s="60"/>
      <c r="F1509" s="60"/>
      <c r="G1509" s="60"/>
      <c r="H1509" s="62"/>
      <c r="I1509" s="62" t="str">
        <f t="shared" si="23"/>
        <v/>
      </c>
    </row>
    <row r="1510" spans="2:9" x14ac:dyDescent="0.25">
      <c r="B1510" s="59"/>
      <c r="C1510" s="60"/>
      <c r="D1510" s="60"/>
      <c r="F1510" s="60"/>
      <c r="G1510" s="60"/>
      <c r="H1510" s="62"/>
      <c r="I1510" s="62" t="str">
        <f t="shared" si="23"/>
        <v/>
      </c>
    </row>
    <row r="1511" spans="2:9" x14ac:dyDescent="0.25">
      <c r="B1511" s="59"/>
      <c r="C1511" s="60"/>
      <c r="D1511" s="60"/>
      <c r="F1511" s="60"/>
      <c r="G1511" s="60"/>
      <c r="H1511" s="62"/>
      <c r="I1511" s="62" t="str">
        <f t="shared" si="23"/>
        <v/>
      </c>
    </row>
    <row r="1512" spans="2:9" x14ac:dyDescent="0.25">
      <c r="B1512" s="59"/>
      <c r="C1512" s="60"/>
      <c r="D1512" s="60"/>
      <c r="F1512" s="60"/>
      <c r="G1512" s="60"/>
      <c r="H1512" s="62"/>
      <c r="I1512" s="62" t="str">
        <f t="shared" si="23"/>
        <v/>
      </c>
    </row>
    <row r="1513" spans="2:9" x14ac:dyDescent="0.25">
      <c r="B1513" s="59"/>
      <c r="C1513" s="60"/>
      <c r="D1513" s="60"/>
      <c r="F1513" s="60"/>
      <c r="G1513" s="60"/>
      <c r="H1513" s="62"/>
      <c r="I1513" s="62" t="str">
        <f t="shared" si="23"/>
        <v/>
      </c>
    </row>
    <row r="1514" spans="2:9" x14ac:dyDescent="0.25">
      <c r="B1514" s="59"/>
      <c r="C1514" s="60"/>
      <c r="D1514" s="60"/>
      <c r="F1514" s="60"/>
      <c r="G1514" s="60"/>
      <c r="H1514" s="62"/>
      <c r="I1514" s="62" t="str">
        <f t="shared" si="23"/>
        <v/>
      </c>
    </row>
    <row r="1515" spans="2:9" x14ac:dyDescent="0.25">
      <c r="B1515" s="59"/>
      <c r="C1515" s="60"/>
      <c r="D1515" s="60"/>
      <c r="F1515" s="60"/>
      <c r="G1515" s="60"/>
      <c r="H1515" s="62"/>
      <c r="I1515" s="62" t="str">
        <f t="shared" si="23"/>
        <v/>
      </c>
    </row>
    <row r="1516" spans="2:9" x14ac:dyDescent="0.25">
      <c r="B1516" s="59"/>
      <c r="C1516" s="60"/>
      <c r="D1516" s="60"/>
      <c r="F1516" s="60"/>
      <c r="G1516" s="60"/>
      <c r="H1516" s="62"/>
      <c r="I1516" s="62" t="str">
        <f t="shared" si="23"/>
        <v/>
      </c>
    </row>
    <row r="1517" spans="2:9" x14ac:dyDescent="0.25">
      <c r="B1517" s="59"/>
      <c r="C1517" s="60"/>
      <c r="D1517" s="60"/>
      <c r="F1517" s="60"/>
      <c r="G1517" s="60"/>
      <c r="H1517" s="62"/>
      <c r="I1517" s="62" t="str">
        <f t="shared" si="23"/>
        <v/>
      </c>
    </row>
    <row r="1518" spans="2:9" x14ac:dyDescent="0.25">
      <c r="B1518" s="59"/>
      <c r="C1518" s="60"/>
      <c r="D1518" s="60"/>
      <c r="F1518" s="60"/>
      <c r="G1518" s="60"/>
      <c r="H1518" s="62"/>
      <c r="I1518" s="62" t="str">
        <f t="shared" si="23"/>
        <v/>
      </c>
    </row>
    <row r="1519" spans="2:9" x14ac:dyDescent="0.25">
      <c r="B1519" s="59"/>
      <c r="C1519" s="60"/>
      <c r="D1519" s="60"/>
      <c r="F1519" s="60"/>
      <c r="G1519" s="60"/>
      <c r="H1519" s="62"/>
      <c r="I1519" s="62" t="str">
        <f t="shared" si="23"/>
        <v/>
      </c>
    </row>
    <row r="1520" spans="2:9" x14ac:dyDescent="0.25">
      <c r="B1520" s="59"/>
      <c r="C1520" s="60"/>
      <c r="D1520" s="60"/>
      <c r="F1520" s="60"/>
      <c r="G1520" s="60"/>
      <c r="H1520" s="62"/>
      <c r="I1520" s="62" t="str">
        <f t="shared" si="23"/>
        <v/>
      </c>
    </row>
    <row r="1521" spans="2:9" x14ac:dyDescent="0.25">
      <c r="B1521" s="59"/>
      <c r="C1521" s="60"/>
      <c r="D1521" s="60"/>
      <c r="F1521" s="60"/>
      <c r="G1521" s="60"/>
      <c r="H1521" s="62"/>
      <c r="I1521" s="62" t="str">
        <f t="shared" si="23"/>
        <v/>
      </c>
    </row>
    <row r="1522" spans="2:9" x14ac:dyDescent="0.25">
      <c r="B1522" s="59"/>
      <c r="C1522" s="60"/>
      <c r="D1522" s="60"/>
      <c r="F1522" s="60"/>
      <c r="G1522" s="60"/>
      <c r="H1522" s="62"/>
      <c r="I1522" s="62" t="str">
        <f t="shared" si="23"/>
        <v/>
      </c>
    </row>
    <row r="1523" spans="2:9" x14ac:dyDescent="0.25">
      <c r="B1523" s="59"/>
      <c r="C1523" s="60"/>
      <c r="D1523" s="60"/>
      <c r="F1523" s="60"/>
      <c r="G1523" s="60"/>
      <c r="H1523" s="62"/>
      <c r="I1523" s="62" t="str">
        <f t="shared" si="23"/>
        <v/>
      </c>
    </row>
    <row r="1524" spans="2:9" x14ac:dyDescent="0.25">
      <c r="B1524" s="59"/>
      <c r="C1524" s="60"/>
      <c r="D1524" s="60"/>
      <c r="F1524" s="60"/>
      <c r="G1524" s="60"/>
      <c r="H1524" s="62"/>
      <c r="I1524" s="62" t="str">
        <f t="shared" si="23"/>
        <v/>
      </c>
    </row>
    <row r="1525" spans="2:9" x14ac:dyDescent="0.25">
      <c r="B1525" s="59"/>
      <c r="C1525" s="60"/>
      <c r="D1525" s="60"/>
      <c r="F1525" s="60"/>
      <c r="G1525" s="60"/>
      <c r="H1525" s="62"/>
      <c r="I1525" s="62" t="str">
        <f t="shared" si="23"/>
        <v/>
      </c>
    </row>
    <row r="1526" spans="2:9" x14ac:dyDescent="0.25">
      <c r="B1526" s="59"/>
      <c r="C1526" s="60"/>
      <c r="D1526" s="60"/>
      <c r="F1526" s="60"/>
      <c r="G1526" s="60"/>
      <c r="H1526" s="62"/>
      <c r="I1526" s="62" t="str">
        <f t="shared" si="23"/>
        <v/>
      </c>
    </row>
    <row r="1527" spans="2:9" x14ac:dyDescent="0.25">
      <c r="B1527" s="59"/>
      <c r="C1527" s="60"/>
      <c r="D1527" s="60"/>
      <c r="F1527" s="60"/>
      <c r="G1527" s="60"/>
      <c r="H1527" s="62"/>
      <c r="I1527" s="62" t="str">
        <f t="shared" si="23"/>
        <v/>
      </c>
    </row>
    <row r="1528" spans="2:9" x14ac:dyDescent="0.25">
      <c r="B1528" s="59"/>
      <c r="C1528" s="60"/>
      <c r="D1528" s="60"/>
      <c r="F1528" s="60"/>
      <c r="G1528" s="60"/>
      <c r="H1528" s="62"/>
      <c r="I1528" s="62" t="str">
        <f t="shared" si="23"/>
        <v/>
      </c>
    </row>
    <row r="1529" spans="2:9" x14ac:dyDescent="0.25">
      <c r="B1529" s="59"/>
      <c r="C1529" s="60"/>
      <c r="D1529" s="60"/>
      <c r="F1529" s="60"/>
      <c r="G1529" s="60"/>
      <c r="H1529" s="62"/>
      <c r="I1529" s="62" t="str">
        <f t="shared" si="23"/>
        <v/>
      </c>
    </row>
    <row r="1530" spans="2:9" x14ac:dyDescent="0.25">
      <c r="B1530" s="59"/>
      <c r="C1530" s="60"/>
      <c r="D1530" s="60"/>
      <c r="F1530" s="60"/>
      <c r="G1530" s="60"/>
      <c r="H1530" s="62"/>
      <c r="I1530" s="62" t="str">
        <f t="shared" si="23"/>
        <v/>
      </c>
    </row>
    <row r="1531" spans="2:9" x14ac:dyDescent="0.25">
      <c r="B1531" s="59"/>
      <c r="C1531" s="60"/>
      <c r="D1531" s="60"/>
      <c r="F1531" s="60"/>
      <c r="G1531" s="60"/>
      <c r="H1531" s="62"/>
      <c r="I1531" s="62" t="str">
        <f t="shared" si="23"/>
        <v/>
      </c>
    </row>
    <row r="1532" spans="2:9" x14ac:dyDescent="0.25">
      <c r="B1532" s="59"/>
      <c r="C1532" s="60"/>
      <c r="D1532" s="60"/>
      <c r="F1532" s="60"/>
      <c r="G1532" s="60"/>
      <c r="H1532" s="62"/>
      <c r="I1532" s="62" t="str">
        <f t="shared" si="23"/>
        <v/>
      </c>
    </row>
    <row r="1533" spans="2:9" x14ac:dyDescent="0.25">
      <c r="B1533" s="59"/>
      <c r="C1533" s="60"/>
      <c r="D1533" s="60"/>
      <c r="F1533" s="60"/>
      <c r="G1533" s="60"/>
      <c r="H1533" s="62"/>
      <c r="I1533" s="62" t="str">
        <f t="shared" si="23"/>
        <v/>
      </c>
    </row>
    <row r="1534" spans="2:9" x14ac:dyDescent="0.25">
      <c r="B1534" s="59"/>
      <c r="C1534" s="60"/>
      <c r="D1534" s="60"/>
      <c r="F1534" s="60"/>
      <c r="G1534" s="60"/>
      <c r="H1534" s="62"/>
      <c r="I1534" s="62" t="str">
        <f t="shared" si="23"/>
        <v/>
      </c>
    </row>
    <row r="1535" spans="2:9" x14ac:dyDescent="0.25">
      <c r="B1535" s="59"/>
      <c r="C1535" s="60"/>
      <c r="D1535" s="60"/>
      <c r="F1535" s="60"/>
      <c r="G1535" s="60"/>
      <c r="H1535" s="62"/>
      <c r="I1535" s="62" t="str">
        <f t="shared" si="23"/>
        <v/>
      </c>
    </row>
    <row r="1536" spans="2:9" x14ac:dyDescent="0.25">
      <c r="B1536" s="59"/>
      <c r="C1536" s="60"/>
      <c r="D1536" s="60"/>
      <c r="F1536" s="60"/>
      <c r="G1536" s="60"/>
      <c r="H1536" s="62"/>
      <c r="I1536" s="62" t="str">
        <f t="shared" si="23"/>
        <v/>
      </c>
    </row>
    <row r="1537" spans="2:9" x14ac:dyDescent="0.25">
      <c r="B1537" s="59"/>
      <c r="C1537" s="60"/>
      <c r="D1537" s="60"/>
      <c r="F1537" s="60"/>
      <c r="G1537" s="60"/>
      <c r="H1537" s="62"/>
      <c r="I1537" s="62" t="str">
        <f t="shared" si="23"/>
        <v/>
      </c>
    </row>
    <row r="1538" spans="2:9" x14ac:dyDescent="0.25">
      <c r="B1538" s="59"/>
      <c r="C1538" s="60"/>
      <c r="D1538" s="60"/>
      <c r="F1538" s="60"/>
      <c r="G1538" s="60"/>
      <c r="H1538" s="62"/>
      <c r="I1538" s="62" t="str">
        <f t="shared" si="23"/>
        <v/>
      </c>
    </row>
    <row r="1539" spans="2:9" x14ac:dyDescent="0.25">
      <c r="B1539" s="59"/>
      <c r="C1539" s="60"/>
      <c r="D1539" s="60"/>
      <c r="F1539" s="60"/>
      <c r="G1539" s="60"/>
      <c r="H1539" s="62"/>
      <c r="I1539" s="62" t="str">
        <f t="shared" si="23"/>
        <v/>
      </c>
    </row>
    <row r="1540" spans="2:9" x14ac:dyDescent="0.25">
      <c r="B1540" s="59"/>
      <c r="C1540" s="60"/>
      <c r="D1540" s="60"/>
      <c r="F1540" s="60"/>
      <c r="G1540" s="60"/>
      <c r="H1540" s="62"/>
      <c r="I1540" s="62" t="str">
        <f t="shared" si="23"/>
        <v/>
      </c>
    </row>
    <row r="1541" spans="2:9" x14ac:dyDescent="0.25">
      <c r="B1541" s="59"/>
      <c r="C1541" s="60"/>
      <c r="D1541" s="60"/>
      <c r="F1541" s="60"/>
      <c r="G1541" s="60"/>
      <c r="H1541" s="62"/>
      <c r="I1541" s="62" t="str">
        <f t="shared" ref="I1541:I1604" si="24">IF(H1541&lt;&gt;"",H1541-H1540,"")</f>
        <v/>
      </c>
    </row>
    <row r="1542" spans="2:9" x14ac:dyDescent="0.25">
      <c r="B1542" s="59"/>
      <c r="C1542" s="60"/>
      <c r="D1542" s="60"/>
      <c r="F1542" s="60"/>
      <c r="G1542" s="60"/>
      <c r="H1542" s="62"/>
      <c r="I1542" s="62" t="str">
        <f t="shared" si="24"/>
        <v/>
      </c>
    </row>
    <row r="1543" spans="2:9" x14ac:dyDescent="0.25">
      <c r="B1543" s="59"/>
      <c r="C1543" s="60"/>
      <c r="D1543" s="60"/>
      <c r="F1543" s="60"/>
      <c r="G1543" s="60"/>
      <c r="H1543" s="62"/>
      <c r="I1543" s="62" t="str">
        <f t="shared" si="24"/>
        <v/>
      </c>
    </row>
    <row r="1544" spans="2:9" x14ac:dyDescent="0.25">
      <c r="B1544" s="59"/>
      <c r="C1544" s="60"/>
      <c r="D1544" s="60"/>
      <c r="F1544" s="60"/>
      <c r="G1544" s="60"/>
      <c r="H1544" s="62"/>
      <c r="I1544" s="62" t="str">
        <f t="shared" si="24"/>
        <v/>
      </c>
    </row>
    <row r="1545" spans="2:9" x14ac:dyDescent="0.25">
      <c r="B1545" s="59"/>
      <c r="C1545" s="60"/>
      <c r="D1545" s="60"/>
      <c r="F1545" s="60"/>
      <c r="G1545" s="60"/>
      <c r="H1545" s="62"/>
      <c r="I1545" s="62" t="str">
        <f t="shared" si="24"/>
        <v/>
      </c>
    </row>
    <row r="1546" spans="2:9" x14ac:dyDescent="0.25">
      <c r="B1546" s="59"/>
      <c r="C1546" s="60"/>
      <c r="D1546" s="60"/>
      <c r="F1546" s="60"/>
      <c r="G1546" s="60"/>
      <c r="H1546" s="62"/>
      <c r="I1546" s="62" t="str">
        <f t="shared" si="24"/>
        <v/>
      </c>
    </row>
    <row r="1547" spans="2:9" x14ac:dyDescent="0.25">
      <c r="B1547" s="59"/>
      <c r="C1547" s="60"/>
      <c r="D1547" s="60"/>
      <c r="F1547" s="60"/>
      <c r="G1547" s="60"/>
      <c r="H1547" s="62"/>
      <c r="I1547" s="62" t="str">
        <f t="shared" si="24"/>
        <v/>
      </c>
    </row>
    <row r="1548" spans="2:9" x14ac:dyDescent="0.25">
      <c r="B1548" s="59"/>
      <c r="C1548" s="60"/>
      <c r="D1548" s="60"/>
      <c r="F1548" s="60"/>
      <c r="G1548" s="60"/>
      <c r="H1548" s="62"/>
      <c r="I1548" s="62" t="str">
        <f t="shared" si="24"/>
        <v/>
      </c>
    </row>
    <row r="1549" spans="2:9" x14ac:dyDescent="0.25">
      <c r="B1549" s="59"/>
      <c r="C1549" s="60"/>
      <c r="D1549" s="60"/>
      <c r="F1549" s="60"/>
      <c r="G1549" s="60"/>
      <c r="H1549" s="62"/>
      <c r="I1549" s="62" t="str">
        <f t="shared" si="24"/>
        <v/>
      </c>
    </row>
    <row r="1550" spans="2:9" x14ac:dyDescent="0.25">
      <c r="B1550" s="59"/>
      <c r="C1550" s="60"/>
      <c r="D1550" s="60"/>
      <c r="F1550" s="60"/>
      <c r="G1550" s="60"/>
      <c r="H1550" s="62"/>
      <c r="I1550" s="62" t="str">
        <f t="shared" si="24"/>
        <v/>
      </c>
    </row>
    <row r="1551" spans="2:9" x14ac:dyDescent="0.25">
      <c r="B1551" s="59"/>
      <c r="C1551" s="60"/>
      <c r="D1551" s="60"/>
      <c r="F1551" s="60"/>
      <c r="G1551" s="60"/>
      <c r="H1551" s="62"/>
      <c r="I1551" s="62" t="str">
        <f t="shared" si="24"/>
        <v/>
      </c>
    </row>
    <row r="1552" spans="2:9" x14ac:dyDescent="0.25">
      <c r="B1552" s="59"/>
      <c r="C1552" s="60"/>
      <c r="D1552" s="60"/>
      <c r="F1552" s="60"/>
      <c r="G1552" s="60"/>
      <c r="H1552" s="62"/>
      <c r="I1552" s="62" t="str">
        <f t="shared" si="24"/>
        <v/>
      </c>
    </row>
    <row r="1553" spans="2:9" x14ac:dyDescent="0.25">
      <c r="B1553" s="59"/>
      <c r="C1553" s="60"/>
      <c r="D1553" s="60"/>
      <c r="F1553" s="60"/>
      <c r="G1553" s="60"/>
      <c r="H1553" s="62"/>
      <c r="I1553" s="62" t="str">
        <f t="shared" si="24"/>
        <v/>
      </c>
    </row>
    <row r="1554" spans="2:9" x14ac:dyDescent="0.25">
      <c r="B1554" s="59"/>
      <c r="C1554" s="60"/>
      <c r="D1554" s="60"/>
      <c r="F1554" s="60"/>
      <c r="G1554" s="60"/>
      <c r="H1554" s="62"/>
      <c r="I1554" s="62" t="str">
        <f t="shared" si="24"/>
        <v/>
      </c>
    </row>
    <row r="1555" spans="2:9" x14ac:dyDescent="0.25">
      <c r="B1555" s="59"/>
      <c r="C1555" s="60"/>
      <c r="D1555" s="60"/>
      <c r="F1555" s="60"/>
      <c r="G1555" s="60"/>
      <c r="H1555" s="62"/>
      <c r="I1555" s="62" t="str">
        <f t="shared" si="24"/>
        <v/>
      </c>
    </row>
    <row r="1556" spans="2:9" x14ac:dyDescent="0.25">
      <c r="B1556" s="59"/>
      <c r="C1556" s="60"/>
      <c r="D1556" s="60"/>
      <c r="F1556" s="60"/>
      <c r="G1556" s="60"/>
      <c r="H1556" s="62"/>
      <c r="I1556" s="62" t="str">
        <f t="shared" si="24"/>
        <v/>
      </c>
    </row>
    <row r="1557" spans="2:9" x14ac:dyDescent="0.25">
      <c r="B1557" s="59"/>
      <c r="C1557" s="60"/>
      <c r="D1557" s="60"/>
      <c r="F1557" s="60"/>
      <c r="G1557" s="60"/>
      <c r="H1557" s="62"/>
      <c r="I1557" s="62" t="str">
        <f t="shared" si="24"/>
        <v/>
      </c>
    </row>
    <row r="1558" spans="2:9" x14ac:dyDescent="0.25">
      <c r="B1558" s="59"/>
      <c r="C1558" s="60"/>
      <c r="D1558" s="60"/>
      <c r="F1558" s="60"/>
      <c r="G1558" s="60"/>
      <c r="H1558" s="62"/>
      <c r="I1558" s="62" t="str">
        <f t="shared" si="24"/>
        <v/>
      </c>
    </row>
    <row r="1559" spans="2:9" x14ac:dyDescent="0.25">
      <c r="B1559" s="59"/>
      <c r="C1559" s="60"/>
      <c r="D1559" s="60"/>
      <c r="F1559" s="60"/>
      <c r="G1559" s="60"/>
      <c r="H1559" s="62"/>
      <c r="I1559" s="62" t="str">
        <f t="shared" si="24"/>
        <v/>
      </c>
    </row>
    <row r="1560" spans="2:9" x14ac:dyDescent="0.25">
      <c r="B1560" s="59"/>
      <c r="C1560" s="60"/>
      <c r="D1560" s="60"/>
      <c r="F1560" s="60"/>
      <c r="G1560" s="60"/>
      <c r="H1560" s="62"/>
      <c r="I1560" s="62" t="str">
        <f t="shared" si="24"/>
        <v/>
      </c>
    </row>
    <row r="1561" spans="2:9" x14ac:dyDescent="0.25">
      <c r="B1561" s="59"/>
      <c r="C1561" s="60"/>
      <c r="D1561" s="60"/>
      <c r="F1561" s="60"/>
      <c r="G1561" s="60"/>
      <c r="H1561" s="62"/>
      <c r="I1561" s="62" t="str">
        <f t="shared" si="24"/>
        <v/>
      </c>
    </row>
    <row r="1562" spans="2:9" x14ac:dyDescent="0.25">
      <c r="B1562" s="59"/>
      <c r="C1562" s="60"/>
      <c r="D1562" s="60"/>
      <c r="F1562" s="60"/>
      <c r="G1562" s="60"/>
      <c r="H1562" s="62"/>
      <c r="I1562" s="62" t="str">
        <f t="shared" si="24"/>
        <v/>
      </c>
    </row>
    <row r="1563" spans="2:9" x14ac:dyDescent="0.25">
      <c r="B1563" s="59"/>
      <c r="C1563" s="60"/>
      <c r="D1563" s="60"/>
      <c r="F1563" s="60"/>
      <c r="G1563" s="60"/>
      <c r="H1563" s="62"/>
      <c r="I1563" s="62" t="str">
        <f t="shared" si="24"/>
        <v/>
      </c>
    </row>
    <row r="1564" spans="2:9" x14ac:dyDescent="0.25">
      <c r="B1564" s="59"/>
      <c r="C1564" s="60"/>
      <c r="D1564" s="60"/>
      <c r="F1564" s="60"/>
      <c r="G1564" s="60"/>
      <c r="H1564" s="62"/>
      <c r="I1564" s="62" t="str">
        <f t="shared" si="24"/>
        <v/>
      </c>
    </row>
    <row r="1565" spans="2:9" x14ac:dyDescent="0.25">
      <c r="B1565" s="59"/>
      <c r="C1565" s="60"/>
      <c r="D1565" s="60"/>
      <c r="F1565" s="60"/>
      <c r="G1565" s="60"/>
      <c r="H1565" s="62"/>
      <c r="I1565" s="62" t="str">
        <f t="shared" si="24"/>
        <v/>
      </c>
    </row>
    <row r="1566" spans="2:9" x14ac:dyDescent="0.25">
      <c r="B1566" s="59"/>
      <c r="C1566" s="60"/>
      <c r="D1566" s="60"/>
      <c r="F1566" s="60"/>
      <c r="G1566" s="60"/>
      <c r="H1566" s="62"/>
      <c r="I1566" s="62" t="str">
        <f t="shared" si="24"/>
        <v/>
      </c>
    </row>
    <row r="1567" spans="2:9" x14ac:dyDescent="0.25">
      <c r="B1567" s="59"/>
      <c r="C1567" s="60"/>
      <c r="D1567" s="60"/>
      <c r="F1567" s="60"/>
      <c r="G1567" s="60"/>
      <c r="H1567" s="62"/>
      <c r="I1567" s="62" t="str">
        <f t="shared" si="24"/>
        <v/>
      </c>
    </row>
    <row r="1568" spans="2:9" x14ac:dyDescent="0.25">
      <c r="B1568" s="59"/>
      <c r="C1568" s="60"/>
      <c r="D1568" s="60"/>
      <c r="F1568" s="60"/>
      <c r="G1568" s="60"/>
      <c r="H1568" s="62"/>
      <c r="I1568" s="62" t="str">
        <f t="shared" si="24"/>
        <v/>
      </c>
    </row>
    <row r="1569" spans="2:9" x14ac:dyDescent="0.25">
      <c r="B1569" s="59"/>
      <c r="C1569" s="60"/>
      <c r="D1569" s="60"/>
      <c r="F1569" s="60"/>
      <c r="G1569" s="60"/>
      <c r="H1569" s="62"/>
      <c r="I1569" s="62" t="str">
        <f t="shared" si="24"/>
        <v/>
      </c>
    </row>
    <row r="1570" spans="2:9" x14ac:dyDescent="0.25">
      <c r="B1570" s="59"/>
      <c r="C1570" s="60"/>
      <c r="D1570" s="60"/>
      <c r="F1570" s="60"/>
      <c r="G1570" s="60"/>
      <c r="H1570" s="62"/>
      <c r="I1570" s="62" t="str">
        <f t="shared" si="24"/>
        <v/>
      </c>
    </row>
    <row r="1571" spans="2:9" x14ac:dyDescent="0.25">
      <c r="B1571" s="59"/>
      <c r="C1571" s="60"/>
      <c r="D1571" s="60"/>
      <c r="F1571" s="60"/>
      <c r="G1571" s="60"/>
      <c r="H1571" s="62"/>
      <c r="I1571" s="62" t="str">
        <f t="shared" si="24"/>
        <v/>
      </c>
    </row>
    <row r="1572" spans="2:9" x14ac:dyDescent="0.25">
      <c r="B1572" s="59"/>
      <c r="C1572" s="60"/>
      <c r="D1572" s="60"/>
      <c r="F1572" s="60"/>
      <c r="G1572" s="60"/>
      <c r="H1572" s="62"/>
      <c r="I1572" s="62" t="str">
        <f t="shared" si="24"/>
        <v/>
      </c>
    </row>
    <row r="1573" spans="2:9" x14ac:dyDescent="0.25">
      <c r="B1573" s="59"/>
      <c r="C1573" s="60"/>
      <c r="D1573" s="60"/>
      <c r="F1573" s="60"/>
      <c r="G1573" s="60"/>
      <c r="H1573" s="62"/>
      <c r="I1573" s="62" t="str">
        <f t="shared" si="24"/>
        <v/>
      </c>
    </row>
    <row r="1574" spans="2:9" x14ac:dyDescent="0.25">
      <c r="B1574" s="59"/>
      <c r="C1574" s="60"/>
      <c r="D1574" s="60"/>
      <c r="F1574" s="60"/>
      <c r="G1574" s="60"/>
      <c r="H1574" s="62"/>
      <c r="I1574" s="62" t="str">
        <f t="shared" si="24"/>
        <v/>
      </c>
    </row>
    <row r="1575" spans="2:9" x14ac:dyDescent="0.25">
      <c r="B1575" s="59"/>
      <c r="C1575" s="60"/>
      <c r="D1575" s="60"/>
      <c r="F1575" s="60"/>
      <c r="G1575" s="60"/>
      <c r="H1575" s="62"/>
      <c r="I1575" s="62" t="str">
        <f t="shared" si="24"/>
        <v/>
      </c>
    </row>
    <row r="1576" spans="2:9" x14ac:dyDescent="0.25">
      <c r="B1576" s="59"/>
      <c r="C1576" s="60"/>
      <c r="D1576" s="60"/>
      <c r="F1576" s="60"/>
      <c r="G1576" s="60"/>
      <c r="H1576" s="62"/>
      <c r="I1576" s="62" t="str">
        <f t="shared" si="24"/>
        <v/>
      </c>
    </row>
    <row r="1577" spans="2:9" x14ac:dyDescent="0.25">
      <c r="B1577" s="59"/>
      <c r="C1577" s="60"/>
      <c r="D1577" s="60"/>
      <c r="F1577" s="60"/>
      <c r="G1577" s="60"/>
      <c r="H1577" s="62"/>
      <c r="I1577" s="62" t="str">
        <f t="shared" si="24"/>
        <v/>
      </c>
    </row>
    <row r="1578" spans="2:9" x14ac:dyDescent="0.25">
      <c r="B1578" s="59"/>
      <c r="C1578" s="60"/>
      <c r="D1578" s="60"/>
      <c r="F1578" s="60"/>
      <c r="G1578" s="60"/>
      <c r="H1578" s="62"/>
      <c r="I1578" s="62" t="str">
        <f t="shared" si="24"/>
        <v/>
      </c>
    </row>
    <row r="1579" spans="2:9" x14ac:dyDescent="0.25">
      <c r="B1579" s="59"/>
      <c r="C1579" s="60"/>
      <c r="D1579" s="60"/>
      <c r="F1579" s="60"/>
      <c r="G1579" s="60"/>
      <c r="H1579" s="62"/>
      <c r="I1579" s="62" t="str">
        <f t="shared" si="24"/>
        <v/>
      </c>
    </row>
    <row r="1580" spans="2:9" x14ac:dyDescent="0.25">
      <c r="B1580" s="59"/>
      <c r="C1580" s="60"/>
      <c r="D1580" s="60"/>
      <c r="F1580" s="60"/>
      <c r="G1580" s="60"/>
      <c r="H1580" s="62"/>
      <c r="I1580" s="62" t="str">
        <f t="shared" si="24"/>
        <v/>
      </c>
    </row>
    <row r="1581" spans="2:9" x14ac:dyDescent="0.25">
      <c r="B1581" s="59"/>
      <c r="C1581" s="60"/>
      <c r="D1581" s="60"/>
      <c r="F1581" s="60"/>
      <c r="G1581" s="60"/>
      <c r="H1581" s="62"/>
      <c r="I1581" s="62" t="str">
        <f t="shared" si="24"/>
        <v/>
      </c>
    </row>
    <row r="1582" spans="2:9" x14ac:dyDescent="0.25">
      <c r="B1582" s="59"/>
      <c r="C1582" s="60"/>
      <c r="D1582" s="60"/>
      <c r="F1582" s="60"/>
      <c r="G1582" s="60"/>
      <c r="H1582" s="62"/>
      <c r="I1582" s="62" t="str">
        <f t="shared" si="24"/>
        <v/>
      </c>
    </row>
    <row r="1583" spans="2:9" x14ac:dyDescent="0.25">
      <c r="B1583" s="59"/>
      <c r="C1583" s="60"/>
      <c r="D1583" s="60"/>
      <c r="F1583" s="60"/>
      <c r="G1583" s="60"/>
      <c r="H1583" s="62"/>
      <c r="I1583" s="62" t="str">
        <f t="shared" si="24"/>
        <v/>
      </c>
    </row>
    <row r="1584" spans="2:9" x14ac:dyDescent="0.25">
      <c r="B1584" s="59"/>
      <c r="C1584" s="60"/>
      <c r="D1584" s="60"/>
      <c r="F1584" s="60"/>
      <c r="G1584" s="60"/>
      <c r="H1584" s="62"/>
      <c r="I1584" s="62" t="str">
        <f t="shared" si="24"/>
        <v/>
      </c>
    </row>
    <row r="1585" spans="2:9" x14ac:dyDescent="0.25">
      <c r="B1585" s="59"/>
      <c r="C1585" s="60"/>
      <c r="D1585" s="60"/>
      <c r="F1585" s="60"/>
      <c r="G1585" s="60"/>
      <c r="H1585" s="62"/>
      <c r="I1585" s="62" t="str">
        <f t="shared" si="24"/>
        <v/>
      </c>
    </row>
    <row r="1586" spans="2:9" x14ac:dyDescent="0.25">
      <c r="B1586" s="59"/>
      <c r="C1586" s="60"/>
      <c r="D1586" s="60"/>
      <c r="F1586" s="60"/>
      <c r="G1586" s="60"/>
      <c r="H1586" s="62"/>
      <c r="I1586" s="62" t="str">
        <f t="shared" si="24"/>
        <v/>
      </c>
    </row>
    <row r="1587" spans="2:9" x14ac:dyDescent="0.25">
      <c r="B1587" s="59"/>
      <c r="C1587" s="60"/>
      <c r="D1587" s="60"/>
      <c r="F1587" s="60"/>
      <c r="G1587" s="60"/>
      <c r="H1587" s="62"/>
      <c r="I1587" s="62" t="str">
        <f t="shared" si="24"/>
        <v/>
      </c>
    </row>
    <row r="1588" spans="2:9" x14ac:dyDescent="0.25">
      <c r="B1588" s="59"/>
      <c r="C1588" s="60"/>
      <c r="D1588" s="60"/>
      <c r="F1588" s="60"/>
      <c r="G1588" s="60"/>
      <c r="H1588" s="62"/>
      <c r="I1588" s="62" t="str">
        <f t="shared" si="24"/>
        <v/>
      </c>
    </row>
    <row r="1589" spans="2:9" x14ac:dyDescent="0.25">
      <c r="B1589" s="59"/>
      <c r="C1589" s="60"/>
      <c r="D1589" s="60"/>
      <c r="F1589" s="60"/>
      <c r="G1589" s="60"/>
      <c r="H1589" s="62"/>
      <c r="I1589" s="62" t="str">
        <f t="shared" si="24"/>
        <v/>
      </c>
    </row>
    <row r="1590" spans="2:9" x14ac:dyDescent="0.25">
      <c r="B1590" s="59"/>
      <c r="C1590" s="60"/>
      <c r="D1590" s="60"/>
      <c r="F1590" s="60"/>
      <c r="G1590" s="60"/>
      <c r="H1590" s="62"/>
      <c r="I1590" s="62" t="str">
        <f t="shared" si="24"/>
        <v/>
      </c>
    </row>
    <row r="1591" spans="2:9" x14ac:dyDescent="0.25">
      <c r="B1591" s="59"/>
      <c r="C1591" s="60"/>
      <c r="D1591" s="60"/>
      <c r="F1591" s="60"/>
      <c r="G1591" s="60"/>
      <c r="H1591" s="62"/>
      <c r="I1591" s="62" t="str">
        <f t="shared" si="24"/>
        <v/>
      </c>
    </row>
    <row r="1592" spans="2:9" x14ac:dyDescent="0.25">
      <c r="B1592" s="59"/>
      <c r="C1592" s="60"/>
      <c r="D1592" s="60"/>
      <c r="F1592" s="60"/>
      <c r="G1592" s="60"/>
      <c r="H1592" s="62"/>
      <c r="I1592" s="62" t="str">
        <f t="shared" si="24"/>
        <v/>
      </c>
    </row>
    <row r="1593" spans="2:9" x14ac:dyDescent="0.25">
      <c r="B1593" s="59"/>
      <c r="C1593" s="60"/>
      <c r="D1593" s="60"/>
      <c r="F1593" s="60"/>
      <c r="G1593" s="60"/>
      <c r="H1593" s="62"/>
      <c r="I1593" s="62" t="str">
        <f t="shared" si="24"/>
        <v/>
      </c>
    </row>
    <row r="1594" spans="2:9" x14ac:dyDescent="0.25">
      <c r="B1594" s="59"/>
      <c r="C1594" s="60"/>
      <c r="D1594" s="60"/>
      <c r="F1594" s="60"/>
      <c r="G1594" s="60"/>
      <c r="H1594" s="62"/>
      <c r="I1594" s="62" t="str">
        <f t="shared" si="24"/>
        <v/>
      </c>
    </row>
    <row r="1595" spans="2:9" x14ac:dyDescent="0.25">
      <c r="B1595" s="59"/>
      <c r="C1595" s="60"/>
      <c r="D1595" s="60"/>
      <c r="F1595" s="60"/>
      <c r="G1595" s="60"/>
      <c r="H1595" s="62"/>
      <c r="I1595" s="62" t="str">
        <f t="shared" si="24"/>
        <v/>
      </c>
    </row>
    <row r="1596" spans="2:9" x14ac:dyDescent="0.25">
      <c r="B1596" s="59"/>
      <c r="C1596" s="60"/>
      <c r="D1596" s="60"/>
      <c r="F1596" s="60"/>
      <c r="G1596" s="60"/>
      <c r="H1596" s="62"/>
      <c r="I1596" s="62" t="str">
        <f t="shared" si="24"/>
        <v/>
      </c>
    </row>
    <row r="1597" spans="2:9" x14ac:dyDescent="0.25">
      <c r="B1597" s="59"/>
      <c r="C1597" s="60"/>
      <c r="D1597" s="60"/>
      <c r="F1597" s="60"/>
      <c r="G1597" s="60"/>
      <c r="H1597" s="62"/>
      <c r="I1597" s="62" t="str">
        <f t="shared" si="24"/>
        <v/>
      </c>
    </row>
    <row r="1598" spans="2:9" x14ac:dyDescent="0.25">
      <c r="B1598" s="59"/>
      <c r="C1598" s="60"/>
      <c r="D1598" s="60"/>
      <c r="F1598" s="60"/>
      <c r="G1598" s="60"/>
      <c r="H1598" s="62"/>
      <c r="I1598" s="62" t="str">
        <f t="shared" si="24"/>
        <v/>
      </c>
    </row>
    <row r="1599" spans="2:9" x14ac:dyDescent="0.25">
      <c r="B1599" s="59"/>
      <c r="C1599" s="60"/>
      <c r="D1599" s="60"/>
      <c r="F1599" s="60"/>
      <c r="G1599" s="60"/>
      <c r="H1599" s="62"/>
      <c r="I1599" s="62" t="str">
        <f t="shared" si="24"/>
        <v/>
      </c>
    </row>
    <row r="1600" spans="2:9" x14ac:dyDescent="0.25">
      <c r="B1600" s="59"/>
      <c r="C1600" s="60"/>
      <c r="D1600" s="60"/>
      <c r="F1600" s="60"/>
      <c r="G1600" s="60"/>
      <c r="H1600" s="62"/>
      <c r="I1600" s="62" t="str">
        <f t="shared" si="24"/>
        <v/>
      </c>
    </row>
    <row r="1601" spans="2:9" x14ac:dyDescent="0.25">
      <c r="B1601" s="59"/>
      <c r="C1601" s="60"/>
      <c r="D1601" s="60"/>
      <c r="F1601" s="60"/>
      <c r="G1601" s="60"/>
      <c r="H1601" s="62"/>
      <c r="I1601" s="62" t="str">
        <f t="shared" si="24"/>
        <v/>
      </c>
    </row>
    <row r="1602" spans="2:9" x14ac:dyDescent="0.25">
      <c r="B1602" s="59"/>
      <c r="C1602" s="60"/>
      <c r="D1602" s="60"/>
      <c r="F1602" s="60"/>
      <c r="G1602" s="60"/>
      <c r="H1602" s="62"/>
      <c r="I1602" s="62" t="str">
        <f t="shared" si="24"/>
        <v/>
      </c>
    </row>
    <row r="1603" spans="2:9" x14ac:dyDescent="0.25">
      <c r="B1603" s="59"/>
      <c r="C1603" s="60"/>
      <c r="D1603" s="60"/>
      <c r="F1603" s="60"/>
      <c r="G1603" s="60"/>
      <c r="H1603" s="62"/>
      <c r="I1603" s="62" t="str">
        <f t="shared" si="24"/>
        <v/>
      </c>
    </row>
    <row r="1604" spans="2:9" x14ac:dyDescent="0.25">
      <c r="B1604" s="59"/>
      <c r="C1604" s="60"/>
      <c r="D1604" s="60"/>
      <c r="F1604" s="60"/>
      <c r="G1604" s="60"/>
      <c r="H1604" s="62"/>
      <c r="I1604" s="62" t="str">
        <f t="shared" si="24"/>
        <v/>
      </c>
    </row>
    <row r="1605" spans="2:9" x14ac:dyDescent="0.25">
      <c r="B1605" s="59"/>
      <c r="C1605" s="60"/>
      <c r="D1605" s="60"/>
      <c r="F1605" s="60"/>
      <c r="G1605" s="60"/>
      <c r="H1605" s="62"/>
      <c r="I1605" s="62" t="str">
        <f t="shared" ref="I1605:I1668" si="25">IF(H1605&lt;&gt;"",H1605-H1604,"")</f>
        <v/>
      </c>
    </row>
    <row r="1606" spans="2:9" x14ac:dyDescent="0.25">
      <c r="B1606" s="59"/>
      <c r="C1606" s="60"/>
      <c r="D1606" s="60"/>
      <c r="F1606" s="60"/>
      <c r="G1606" s="60"/>
      <c r="H1606" s="62"/>
      <c r="I1606" s="62" t="str">
        <f t="shared" si="25"/>
        <v/>
      </c>
    </row>
    <row r="1607" spans="2:9" x14ac:dyDescent="0.25">
      <c r="B1607" s="59"/>
      <c r="C1607" s="60"/>
      <c r="D1607" s="60"/>
      <c r="F1607" s="60"/>
      <c r="G1607" s="60"/>
      <c r="H1607" s="62"/>
      <c r="I1607" s="62" t="str">
        <f t="shared" si="25"/>
        <v/>
      </c>
    </row>
    <row r="1608" spans="2:9" x14ac:dyDescent="0.25">
      <c r="B1608" s="59"/>
      <c r="C1608" s="60"/>
      <c r="D1608" s="60"/>
      <c r="F1608" s="60"/>
      <c r="G1608" s="60"/>
      <c r="H1608" s="62"/>
      <c r="I1608" s="62" t="str">
        <f t="shared" si="25"/>
        <v/>
      </c>
    </row>
    <row r="1609" spans="2:9" x14ac:dyDescent="0.25">
      <c r="B1609" s="59"/>
      <c r="C1609" s="60"/>
      <c r="D1609" s="60"/>
      <c r="F1609" s="60"/>
      <c r="G1609" s="60"/>
      <c r="H1609" s="62"/>
      <c r="I1609" s="62" t="str">
        <f t="shared" si="25"/>
        <v/>
      </c>
    </row>
    <row r="1610" spans="2:9" x14ac:dyDescent="0.25">
      <c r="B1610" s="59"/>
      <c r="C1610" s="60"/>
      <c r="D1610" s="60"/>
      <c r="F1610" s="60"/>
      <c r="G1610" s="60"/>
      <c r="H1610" s="62"/>
      <c r="I1610" s="62" t="str">
        <f t="shared" si="25"/>
        <v/>
      </c>
    </row>
    <row r="1611" spans="2:9" x14ac:dyDescent="0.25">
      <c r="B1611" s="59"/>
      <c r="C1611" s="60"/>
      <c r="D1611" s="60"/>
      <c r="F1611" s="60"/>
      <c r="G1611" s="60"/>
      <c r="H1611" s="62"/>
      <c r="I1611" s="62" t="str">
        <f t="shared" si="25"/>
        <v/>
      </c>
    </row>
    <row r="1612" spans="2:9" x14ac:dyDescent="0.25">
      <c r="B1612" s="59"/>
      <c r="C1612" s="60"/>
      <c r="D1612" s="60"/>
      <c r="F1612" s="60"/>
      <c r="G1612" s="60"/>
      <c r="H1612" s="62"/>
      <c r="I1612" s="62" t="str">
        <f t="shared" si="25"/>
        <v/>
      </c>
    </row>
    <row r="1613" spans="2:9" x14ac:dyDescent="0.25">
      <c r="B1613" s="59"/>
      <c r="C1613" s="60"/>
      <c r="D1613" s="60"/>
      <c r="F1613" s="60"/>
      <c r="G1613" s="60"/>
      <c r="H1613" s="62"/>
      <c r="I1613" s="62" t="str">
        <f t="shared" si="25"/>
        <v/>
      </c>
    </row>
    <row r="1614" spans="2:9" x14ac:dyDescent="0.25">
      <c r="B1614" s="59"/>
      <c r="C1614" s="60"/>
      <c r="D1614" s="60"/>
      <c r="F1614" s="60"/>
      <c r="G1614" s="60"/>
      <c r="H1614" s="62"/>
      <c r="I1614" s="62" t="str">
        <f t="shared" si="25"/>
        <v/>
      </c>
    </row>
    <row r="1615" spans="2:9" x14ac:dyDescent="0.25">
      <c r="B1615" s="59"/>
      <c r="C1615" s="60"/>
      <c r="D1615" s="60"/>
      <c r="F1615" s="60"/>
      <c r="G1615" s="60"/>
      <c r="H1615" s="62"/>
      <c r="I1615" s="62" t="str">
        <f t="shared" si="25"/>
        <v/>
      </c>
    </row>
    <row r="1616" spans="2:9" x14ac:dyDescent="0.25">
      <c r="B1616" s="59"/>
      <c r="C1616" s="60"/>
      <c r="D1616" s="60"/>
      <c r="F1616" s="60"/>
      <c r="G1616" s="60"/>
      <c r="H1616" s="62"/>
      <c r="I1616" s="62" t="str">
        <f t="shared" si="25"/>
        <v/>
      </c>
    </row>
    <row r="1617" spans="2:9" x14ac:dyDescent="0.25">
      <c r="B1617" s="59"/>
      <c r="C1617" s="60"/>
      <c r="D1617" s="60"/>
      <c r="F1617" s="60"/>
      <c r="G1617" s="60"/>
      <c r="H1617" s="62"/>
      <c r="I1617" s="62" t="str">
        <f t="shared" si="25"/>
        <v/>
      </c>
    </row>
    <row r="1618" spans="2:9" x14ac:dyDescent="0.25">
      <c r="B1618" s="59"/>
      <c r="C1618" s="60"/>
      <c r="D1618" s="60"/>
      <c r="F1618" s="60"/>
      <c r="G1618" s="60"/>
      <c r="H1618" s="62"/>
      <c r="I1618" s="62" t="str">
        <f t="shared" si="25"/>
        <v/>
      </c>
    </row>
    <row r="1619" spans="2:9" x14ac:dyDescent="0.25">
      <c r="B1619" s="59"/>
      <c r="C1619" s="60"/>
      <c r="D1619" s="60"/>
      <c r="F1619" s="60"/>
      <c r="G1619" s="60"/>
      <c r="H1619" s="62"/>
      <c r="I1619" s="62" t="str">
        <f t="shared" si="25"/>
        <v/>
      </c>
    </row>
    <row r="1620" spans="2:9" x14ac:dyDescent="0.25">
      <c r="B1620" s="59"/>
      <c r="C1620" s="60"/>
      <c r="D1620" s="60"/>
      <c r="F1620" s="60"/>
      <c r="G1620" s="60"/>
      <c r="H1620" s="62"/>
      <c r="I1620" s="62" t="str">
        <f t="shared" si="25"/>
        <v/>
      </c>
    </row>
    <row r="1621" spans="2:9" x14ac:dyDescent="0.25">
      <c r="B1621" s="59"/>
      <c r="C1621" s="60"/>
      <c r="D1621" s="60"/>
      <c r="F1621" s="60"/>
      <c r="G1621" s="60"/>
      <c r="H1621" s="62"/>
      <c r="I1621" s="62" t="str">
        <f t="shared" si="25"/>
        <v/>
      </c>
    </row>
    <row r="1622" spans="2:9" x14ac:dyDescent="0.25">
      <c r="B1622" s="59"/>
      <c r="C1622" s="60"/>
      <c r="D1622" s="60"/>
      <c r="F1622" s="60"/>
      <c r="G1622" s="60"/>
      <c r="H1622" s="62"/>
      <c r="I1622" s="62" t="str">
        <f t="shared" si="25"/>
        <v/>
      </c>
    </row>
    <row r="1623" spans="2:9" x14ac:dyDescent="0.25">
      <c r="B1623" s="59"/>
      <c r="C1623" s="60"/>
      <c r="D1623" s="60"/>
      <c r="F1623" s="60"/>
      <c r="G1623" s="60"/>
      <c r="H1623" s="62"/>
      <c r="I1623" s="62" t="str">
        <f t="shared" si="25"/>
        <v/>
      </c>
    </row>
    <row r="1624" spans="2:9" x14ac:dyDescent="0.25">
      <c r="B1624" s="59"/>
      <c r="C1624" s="60"/>
      <c r="D1624" s="60"/>
      <c r="F1624" s="60"/>
      <c r="G1624" s="60"/>
      <c r="H1624" s="62"/>
      <c r="I1624" s="62" t="str">
        <f t="shared" si="25"/>
        <v/>
      </c>
    </row>
    <row r="1625" spans="2:9" x14ac:dyDescent="0.25">
      <c r="B1625" s="59"/>
      <c r="C1625" s="60"/>
      <c r="D1625" s="60"/>
      <c r="F1625" s="60"/>
      <c r="G1625" s="60"/>
      <c r="H1625" s="62"/>
      <c r="I1625" s="62" t="str">
        <f t="shared" si="25"/>
        <v/>
      </c>
    </row>
    <row r="1626" spans="2:9" x14ac:dyDescent="0.25">
      <c r="B1626" s="59"/>
      <c r="C1626" s="60"/>
      <c r="D1626" s="60"/>
      <c r="F1626" s="60"/>
      <c r="G1626" s="60"/>
      <c r="H1626" s="62"/>
      <c r="I1626" s="62" t="str">
        <f t="shared" si="25"/>
        <v/>
      </c>
    </row>
    <row r="1627" spans="2:9" x14ac:dyDescent="0.25">
      <c r="B1627" s="59"/>
      <c r="C1627" s="60"/>
      <c r="D1627" s="60"/>
      <c r="F1627" s="60"/>
      <c r="G1627" s="60"/>
      <c r="H1627" s="62"/>
      <c r="I1627" s="62" t="str">
        <f t="shared" si="25"/>
        <v/>
      </c>
    </row>
    <row r="1628" spans="2:9" x14ac:dyDescent="0.25">
      <c r="B1628" s="59"/>
      <c r="C1628" s="60"/>
      <c r="D1628" s="60"/>
      <c r="F1628" s="60"/>
      <c r="G1628" s="60"/>
      <c r="H1628" s="62"/>
      <c r="I1628" s="62" t="str">
        <f t="shared" si="25"/>
        <v/>
      </c>
    </row>
    <row r="1629" spans="2:9" x14ac:dyDescent="0.25">
      <c r="B1629" s="59"/>
      <c r="C1629" s="60"/>
      <c r="D1629" s="60"/>
      <c r="F1629" s="60"/>
      <c r="G1629" s="60"/>
      <c r="H1629" s="62"/>
      <c r="I1629" s="62" t="str">
        <f t="shared" si="25"/>
        <v/>
      </c>
    </row>
    <row r="1630" spans="2:9" x14ac:dyDescent="0.25">
      <c r="B1630" s="59"/>
      <c r="C1630" s="60"/>
      <c r="D1630" s="60"/>
      <c r="F1630" s="60"/>
      <c r="G1630" s="60"/>
      <c r="H1630" s="62"/>
      <c r="I1630" s="62" t="str">
        <f t="shared" si="25"/>
        <v/>
      </c>
    </row>
    <row r="1631" spans="2:9" x14ac:dyDescent="0.25">
      <c r="B1631" s="59"/>
      <c r="C1631" s="60"/>
      <c r="D1631" s="60"/>
      <c r="F1631" s="60"/>
      <c r="G1631" s="60"/>
      <c r="H1631" s="62"/>
      <c r="I1631" s="62" t="str">
        <f t="shared" si="25"/>
        <v/>
      </c>
    </row>
    <row r="1632" spans="2:9" x14ac:dyDescent="0.25">
      <c r="B1632" s="59"/>
      <c r="C1632" s="60"/>
      <c r="D1632" s="60"/>
      <c r="F1632" s="60"/>
      <c r="G1632" s="60"/>
      <c r="H1632" s="62"/>
      <c r="I1632" s="62" t="str">
        <f t="shared" si="25"/>
        <v/>
      </c>
    </row>
    <row r="1633" spans="2:9" x14ac:dyDescent="0.25">
      <c r="B1633" s="59"/>
      <c r="C1633" s="60"/>
      <c r="D1633" s="60"/>
      <c r="F1633" s="60"/>
      <c r="G1633" s="60"/>
      <c r="H1633" s="62"/>
      <c r="I1633" s="62" t="str">
        <f t="shared" si="25"/>
        <v/>
      </c>
    </row>
    <row r="1634" spans="2:9" x14ac:dyDescent="0.25">
      <c r="B1634" s="59"/>
      <c r="C1634" s="60"/>
      <c r="D1634" s="60"/>
      <c r="F1634" s="60"/>
      <c r="G1634" s="60"/>
      <c r="H1634" s="62"/>
      <c r="I1634" s="62" t="str">
        <f t="shared" si="25"/>
        <v/>
      </c>
    </row>
    <row r="1635" spans="2:9" x14ac:dyDescent="0.25">
      <c r="B1635" s="59"/>
      <c r="C1635" s="60"/>
      <c r="D1635" s="60"/>
      <c r="F1635" s="60"/>
      <c r="G1635" s="60"/>
      <c r="H1635" s="62"/>
      <c r="I1635" s="62" t="str">
        <f t="shared" si="25"/>
        <v/>
      </c>
    </row>
    <row r="1636" spans="2:9" x14ac:dyDescent="0.25">
      <c r="B1636" s="59"/>
      <c r="C1636" s="60"/>
      <c r="D1636" s="60"/>
      <c r="F1636" s="60"/>
      <c r="G1636" s="60"/>
      <c r="H1636" s="62"/>
      <c r="I1636" s="62" t="str">
        <f t="shared" si="25"/>
        <v/>
      </c>
    </row>
    <row r="1637" spans="2:9" x14ac:dyDescent="0.25">
      <c r="B1637" s="59"/>
      <c r="C1637" s="60"/>
      <c r="D1637" s="60"/>
      <c r="F1637" s="60"/>
      <c r="G1637" s="60"/>
      <c r="H1637" s="62"/>
      <c r="I1637" s="62" t="str">
        <f t="shared" si="25"/>
        <v/>
      </c>
    </row>
    <row r="1638" spans="2:9" x14ac:dyDescent="0.25">
      <c r="B1638" s="59"/>
      <c r="C1638" s="60"/>
      <c r="D1638" s="60"/>
      <c r="F1638" s="60"/>
      <c r="G1638" s="60"/>
      <c r="H1638" s="62"/>
      <c r="I1638" s="62" t="str">
        <f t="shared" si="25"/>
        <v/>
      </c>
    </row>
    <row r="1639" spans="2:9" x14ac:dyDescent="0.25">
      <c r="B1639" s="59"/>
      <c r="C1639" s="60"/>
      <c r="D1639" s="60"/>
      <c r="F1639" s="60"/>
      <c r="G1639" s="60"/>
      <c r="H1639" s="62"/>
      <c r="I1639" s="62" t="str">
        <f t="shared" si="25"/>
        <v/>
      </c>
    </row>
    <row r="1640" spans="2:9" x14ac:dyDescent="0.25">
      <c r="B1640" s="59"/>
      <c r="C1640" s="60"/>
      <c r="D1640" s="60"/>
      <c r="F1640" s="60"/>
      <c r="G1640" s="60"/>
      <c r="H1640" s="62"/>
      <c r="I1640" s="62" t="str">
        <f t="shared" si="25"/>
        <v/>
      </c>
    </row>
    <row r="1641" spans="2:9" x14ac:dyDescent="0.25">
      <c r="B1641" s="59"/>
      <c r="C1641" s="60"/>
      <c r="D1641" s="60"/>
      <c r="F1641" s="60"/>
      <c r="G1641" s="60"/>
      <c r="H1641" s="62"/>
      <c r="I1641" s="62" t="str">
        <f t="shared" si="25"/>
        <v/>
      </c>
    </row>
    <row r="1642" spans="2:9" x14ac:dyDescent="0.25">
      <c r="B1642" s="59"/>
      <c r="C1642" s="60"/>
      <c r="D1642" s="60"/>
      <c r="F1642" s="60"/>
      <c r="G1642" s="60"/>
      <c r="H1642" s="62"/>
      <c r="I1642" s="62" t="str">
        <f t="shared" si="25"/>
        <v/>
      </c>
    </row>
    <row r="1643" spans="2:9" x14ac:dyDescent="0.25">
      <c r="B1643" s="59"/>
      <c r="C1643" s="60"/>
      <c r="D1643" s="60"/>
      <c r="F1643" s="60"/>
      <c r="G1643" s="60"/>
      <c r="H1643" s="62"/>
      <c r="I1643" s="62" t="str">
        <f t="shared" si="25"/>
        <v/>
      </c>
    </row>
    <row r="1644" spans="2:9" x14ac:dyDescent="0.25">
      <c r="B1644" s="59"/>
      <c r="C1644" s="60"/>
      <c r="D1644" s="60"/>
      <c r="F1644" s="60"/>
      <c r="G1644" s="60"/>
      <c r="H1644" s="62"/>
      <c r="I1644" s="62" t="str">
        <f t="shared" si="25"/>
        <v/>
      </c>
    </row>
    <row r="1645" spans="2:9" x14ac:dyDescent="0.25">
      <c r="B1645" s="59"/>
      <c r="C1645" s="60"/>
      <c r="D1645" s="60"/>
      <c r="F1645" s="60"/>
      <c r="G1645" s="60"/>
      <c r="H1645" s="62"/>
      <c r="I1645" s="62" t="str">
        <f t="shared" si="25"/>
        <v/>
      </c>
    </row>
    <row r="1646" spans="2:9" x14ac:dyDescent="0.25">
      <c r="B1646" s="59"/>
      <c r="C1646" s="60"/>
      <c r="D1646" s="60"/>
      <c r="F1646" s="60"/>
      <c r="G1646" s="60"/>
      <c r="H1646" s="62"/>
      <c r="I1646" s="62" t="str">
        <f t="shared" si="25"/>
        <v/>
      </c>
    </row>
    <row r="1647" spans="2:9" x14ac:dyDescent="0.25">
      <c r="B1647" s="59"/>
      <c r="C1647" s="60"/>
      <c r="D1647" s="60"/>
      <c r="F1647" s="60"/>
      <c r="G1647" s="60"/>
      <c r="H1647" s="62"/>
      <c r="I1647" s="62" t="str">
        <f t="shared" si="25"/>
        <v/>
      </c>
    </row>
    <row r="1648" spans="2:9" x14ac:dyDescent="0.25">
      <c r="B1648" s="59"/>
      <c r="C1648" s="60"/>
      <c r="D1648" s="60"/>
      <c r="F1648" s="60"/>
      <c r="G1648" s="60"/>
      <c r="H1648" s="62"/>
      <c r="I1648" s="62" t="str">
        <f t="shared" si="25"/>
        <v/>
      </c>
    </row>
    <row r="1649" spans="2:9" x14ac:dyDescent="0.25">
      <c r="B1649" s="59"/>
      <c r="C1649" s="60"/>
      <c r="D1649" s="60"/>
      <c r="F1649" s="60"/>
      <c r="G1649" s="60"/>
      <c r="H1649" s="62"/>
      <c r="I1649" s="62" t="str">
        <f t="shared" si="25"/>
        <v/>
      </c>
    </row>
    <row r="1650" spans="2:9" x14ac:dyDescent="0.25">
      <c r="B1650" s="59"/>
      <c r="C1650" s="60"/>
      <c r="D1650" s="60"/>
      <c r="F1650" s="60"/>
      <c r="G1650" s="60"/>
      <c r="H1650" s="62"/>
      <c r="I1650" s="62" t="str">
        <f t="shared" si="25"/>
        <v/>
      </c>
    </row>
    <row r="1651" spans="2:9" x14ac:dyDescent="0.25">
      <c r="B1651" s="59"/>
      <c r="C1651" s="60"/>
      <c r="D1651" s="60"/>
      <c r="F1651" s="60"/>
      <c r="G1651" s="60"/>
      <c r="H1651" s="62"/>
      <c r="I1651" s="62" t="str">
        <f t="shared" si="25"/>
        <v/>
      </c>
    </row>
    <row r="1652" spans="2:9" x14ac:dyDescent="0.25">
      <c r="B1652" s="59"/>
      <c r="C1652" s="60"/>
      <c r="D1652" s="60"/>
      <c r="F1652" s="60"/>
      <c r="G1652" s="60"/>
      <c r="H1652" s="62"/>
      <c r="I1652" s="62" t="str">
        <f t="shared" si="25"/>
        <v/>
      </c>
    </row>
    <row r="1653" spans="2:9" x14ac:dyDescent="0.25">
      <c r="B1653" s="59"/>
      <c r="C1653" s="60"/>
      <c r="D1653" s="60"/>
      <c r="F1653" s="60"/>
      <c r="G1653" s="60"/>
      <c r="H1653" s="62"/>
      <c r="I1653" s="62" t="str">
        <f t="shared" si="25"/>
        <v/>
      </c>
    </row>
    <row r="1654" spans="2:9" x14ac:dyDescent="0.25">
      <c r="B1654" s="59"/>
      <c r="C1654" s="60"/>
      <c r="D1654" s="60"/>
      <c r="F1654" s="60"/>
      <c r="G1654" s="60"/>
      <c r="H1654" s="62"/>
      <c r="I1654" s="62" t="str">
        <f t="shared" si="25"/>
        <v/>
      </c>
    </row>
    <row r="1655" spans="2:9" x14ac:dyDescent="0.25">
      <c r="B1655" s="59"/>
      <c r="C1655" s="60"/>
      <c r="D1655" s="60"/>
      <c r="F1655" s="60"/>
      <c r="G1655" s="60"/>
      <c r="H1655" s="62"/>
      <c r="I1655" s="62" t="str">
        <f t="shared" si="25"/>
        <v/>
      </c>
    </row>
    <row r="1656" spans="2:9" x14ac:dyDescent="0.25">
      <c r="B1656" s="59"/>
      <c r="C1656" s="60"/>
      <c r="D1656" s="60"/>
      <c r="F1656" s="60"/>
      <c r="G1656" s="60"/>
      <c r="H1656" s="62"/>
      <c r="I1656" s="62" t="str">
        <f t="shared" si="25"/>
        <v/>
      </c>
    </row>
    <row r="1657" spans="2:9" x14ac:dyDescent="0.25">
      <c r="B1657" s="59"/>
      <c r="C1657" s="60"/>
      <c r="D1657" s="60"/>
      <c r="F1657" s="60"/>
      <c r="G1657" s="60"/>
      <c r="H1657" s="62"/>
      <c r="I1657" s="62" t="str">
        <f t="shared" si="25"/>
        <v/>
      </c>
    </row>
    <row r="1658" spans="2:9" x14ac:dyDescent="0.25">
      <c r="B1658" s="59"/>
      <c r="C1658" s="60"/>
      <c r="D1658" s="60"/>
      <c r="F1658" s="60"/>
      <c r="G1658" s="60"/>
      <c r="H1658" s="62"/>
      <c r="I1658" s="62" t="str">
        <f t="shared" si="25"/>
        <v/>
      </c>
    </row>
    <row r="1659" spans="2:9" x14ac:dyDescent="0.25">
      <c r="B1659" s="59"/>
      <c r="C1659" s="60"/>
      <c r="D1659" s="60"/>
      <c r="F1659" s="60"/>
      <c r="G1659" s="60"/>
      <c r="H1659" s="62"/>
      <c r="I1659" s="62" t="str">
        <f t="shared" si="25"/>
        <v/>
      </c>
    </row>
    <row r="1660" spans="2:9" x14ac:dyDescent="0.25">
      <c r="B1660" s="59"/>
      <c r="C1660" s="60"/>
      <c r="D1660" s="60"/>
      <c r="F1660" s="60"/>
      <c r="G1660" s="60"/>
      <c r="H1660" s="62"/>
      <c r="I1660" s="62" t="str">
        <f t="shared" si="25"/>
        <v/>
      </c>
    </row>
    <row r="1661" spans="2:9" x14ac:dyDescent="0.25">
      <c r="B1661" s="59"/>
      <c r="C1661" s="60"/>
      <c r="D1661" s="60"/>
      <c r="F1661" s="60"/>
      <c r="G1661" s="60"/>
      <c r="H1661" s="62"/>
      <c r="I1661" s="62" t="str">
        <f t="shared" si="25"/>
        <v/>
      </c>
    </row>
    <row r="1662" spans="2:9" x14ac:dyDescent="0.25">
      <c r="B1662" s="59"/>
      <c r="C1662" s="60"/>
      <c r="D1662" s="60"/>
      <c r="F1662" s="60"/>
      <c r="G1662" s="60"/>
      <c r="H1662" s="62"/>
      <c r="I1662" s="62" t="str">
        <f t="shared" si="25"/>
        <v/>
      </c>
    </row>
    <row r="1663" spans="2:9" x14ac:dyDescent="0.25">
      <c r="B1663" s="59"/>
      <c r="C1663" s="60"/>
      <c r="D1663" s="60"/>
      <c r="F1663" s="60"/>
      <c r="G1663" s="60"/>
      <c r="H1663" s="62"/>
      <c r="I1663" s="62" t="str">
        <f t="shared" si="25"/>
        <v/>
      </c>
    </row>
    <row r="1664" spans="2:9" x14ac:dyDescent="0.25">
      <c r="B1664" s="59"/>
      <c r="C1664" s="60"/>
      <c r="D1664" s="60"/>
      <c r="F1664" s="60"/>
      <c r="G1664" s="60"/>
      <c r="H1664" s="62"/>
      <c r="I1664" s="62" t="str">
        <f t="shared" si="25"/>
        <v/>
      </c>
    </row>
    <row r="1665" spans="2:9" x14ac:dyDescent="0.25">
      <c r="B1665" s="59"/>
      <c r="C1665" s="60"/>
      <c r="D1665" s="60"/>
      <c r="F1665" s="60"/>
      <c r="G1665" s="60"/>
      <c r="H1665" s="62"/>
      <c r="I1665" s="62" t="str">
        <f t="shared" si="25"/>
        <v/>
      </c>
    </row>
    <row r="1666" spans="2:9" x14ac:dyDescent="0.25">
      <c r="B1666" s="59"/>
      <c r="C1666" s="60"/>
      <c r="D1666" s="60"/>
      <c r="F1666" s="60"/>
      <c r="G1666" s="60"/>
      <c r="H1666" s="62"/>
      <c r="I1666" s="62" t="str">
        <f t="shared" si="25"/>
        <v/>
      </c>
    </row>
    <row r="1667" spans="2:9" x14ac:dyDescent="0.25">
      <c r="B1667" s="59"/>
      <c r="C1667" s="60"/>
      <c r="D1667" s="60"/>
      <c r="F1667" s="60"/>
      <c r="G1667" s="60"/>
      <c r="H1667" s="62"/>
      <c r="I1667" s="62" t="str">
        <f t="shared" si="25"/>
        <v/>
      </c>
    </row>
    <row r="1668" spans="2:9" x14ac:dyDescent="0.25">
      <c r="B1668" s="59"/>
      <c r="C1668" s="60"/>
      <c r="D1668" s="60"/>
      <c r="F1668" s="60"/>
      <c r="G1668" s="60"/>
      <c r="H1668" s="62"/>
      <c r="I1668" s="62" t="str">
        <f t="shared" si="25"/>
        <v/>
      </c>
    </row>
    <row r="1669" spans="2:9" x14ac:dyDescent="0.25">
      <c r="B1669" s="59"/>
      <c r="C1669" s="60"/>
      <c r="D1669" s="60"/>
      <c r="F1669" s="60"/>
      <c r="G1669" s="60"/>
      <c r="H1669" s="62"/>
      <c r="I1669" s="62" t="str">
        <f t="shared" ref="I1669:I1732" si="26">IF(H1669&lt;&gt;"",H1669-H1668,"")</f>
        <v/>
      </c>
    </row>
    <row r="1670" spans="2:9" x14ac:dyDescent="0.25">
      <c r="B1670" s="59"/>
      <c r="C1670" s="60"/>
      <c r="D1670" s="60"/>
      <c r="F1670" s="60"/>
      <c r="G1670" s="60"/>
      <c r="H1670" s="62"/>
      <c r="I1670" s="62" t="str">
        <f t="shared" si="26"/>
        <v/>
      </c>
    </row>
    <row r="1671" spans="2:9" x14ac:dyDescent="0.25">
      <c r="B1671" s="59"/>
      <c r="C1671" s="60"/>
      <c r="D1671" s="60"/>
      <c r="F1671" s="60"/>
      <c r="G1671" s="60"/>
      <c r="H1671" s="62"/>
      <c r="I1671" s="62" t="str">
        <f t="shared" si="26"/>
        <v/>
      </c>
    </row>
    <row r="1672" spans="2:9" x14ac:dyDescent="0.25">
      <c r="B1672" s="59"/>
      <c r="C1672" s="60"/>
      <c r="D1672" s="60"/>
      <c r="F1672" s="60"/>
      <c r="G1672" s="60"/>
      <c r="H1672" s="62"/>
      <c r="I1672" s="62" t="str">
        <f t="shared" si="26"/>
        <v/>
      </c>
    </row>
    <row r="1673" spans="2:9" x14ac:dyDescent="0.25">
      <c r="B1673" s="59"/>
      <c r="C1673" s="60"/>
      <c r="D1673" s="60"/>
      <c r="F1673" s="60"/>
      <c r="G1673" s="60"/>
      <c r="H1673" s="62"/>
      <c r="I1673" s="62" t="str">
        <f t="shared" si="26"/>
        <v/>
      </c>
    </row>
    <row r="1674" spans="2:9" x14ac:dyDescent="0.25">
      <c r="B1674" s="59"/>
      <c r="C1674" s="60"/>
      <c r="D1674" s="60"/>
      <c r="F1674" s="60"/>
      <c r="G1674" s="60"/>
      <c r="H1674" s="62"/>
      <c r="I1674" s="62" t="str">
        <f t="shared" si="26"/>
        <v/>
      </c>
    </row>
    <row r="1675" spans="2:9" x14ac:dyDescent="0.25">
      <c r="B1675" s="59"/>
      <c r="C1675" s="60"/>
      <c r="D1675" s="60"/>
      <c r="F1675" s="60"/>
      <c r="G1675" s="60"/>
      <c r="H1675" s="62"/>
      <c r="I1675" s="62" t="str">
        <f t="shared" si="26"/>
        <v/>
      </c>
    </row>
    <row r="1676" spans="2:9" x14ac:dyDescent="0.25">
      <c r="B1676" s="59"/>
      <c r="C1676" s="60"/>
      <c r="D1676" s="60"/>
      <c r="F1676" s="60"/>
      <c r="G1676" s="60"/>
      <c r="H1676" s="62"/>
      <c r="I1676" s="62" t="str">
        <f t="shared" si="26"/>
        <v/>
      </c>
    </row>
    <row r="1677" spans="2:9" x14ac:dyDescent="0.25">
      <c r="B1677" s="59"/>
      <c r="C1677" s="60"/>
      <c r="D1677" s="60"/>
      <c r="F1677" s="60"/>
      <c r="G1677" s="60"/>
      <c r="H1677" s="62"/>
      <c r="I1677" s="62" t="str">
        <f t="shared" si="26"/>
        <v/>
      </c>
    </row>
    <row r="1678" spans="2:9" x14ac:dyDescent="0.25">
      <c r="B1678" s="59"/>
      <c r="C1678" s="60"/>
      <c r="D1678" s="60"/>
      <c r="F1678" s="60"/>
      <c r="G1678" s="60"/>
      <c r="H1678" s="62"/>
      <c r="I1678" s="62" t="str">
        <f t="shared" si="26"/>
        <v/>
      </c>
    </row>
    <row r="1679" spans="2:9" x14ac:dyDescent="0.25">
      <c r="B1679" s="59"/>
      <c r="C1679" s="60"/>
      <c r="D1679" s="60"/>
      <c r="F1679" s="60"/>
      <c r="G1679" s="60"/>
      <c r="H1679" s="62"/>
      <c r="I1679" s="62" t="str">
        <f t="shared" si="26"/>
        <v/>
      </c>
    </row>
    <row r="1680" spans="2:9" x14ac:dyDescent="0.25">
      <c r="B1680" s="59"/>
      <c r="C1680" s="60"/>
      <c r="D1680" s="60"/>
      <c r="F1680" s="60"/>
      <c r="G1680" s="60"/>
      <c r="H1680" s="62"/>
      <c r="I1680" s="62" t="str">
        <f t="shared" si="26"/>
        <v/>
      </c>
    </row>
    <row r="1681" spans="2:9" x14ac:dyDescent="0.25">
      <c r="B1681" s="59"/>
      <c r="C1681" s="60"/>
      <c r="D1681" s="60"/>
      <c r="F1681" s="60"/>
      <c r="G1681" s="60"/>
      <c r="H1681" s="62"/>
      <c r="I1681" s="62" t="str">
        <f t="shared" si="26"/>
        <v/>
      </c>
    </row>
    <row r="1682" spans="2:9" x14ac:dyDescent="0.25">
      <c r="B1682" s="59"/>
      <c r="C1682" s="60"/>
      <c r="D1682" s="60"/>
      <c r="F1682" s="60"/>
      <c r="G1682" s="60"/>
      <c r="H1682" s="62"/>
      <c r="I1682" s="62" t="str">
        <f t="shared" si="26"/>
        <v/>
      </c>
    </row>
    <row r="1683" spans="2:9" x14ac:dyDescent="0.25">
      <c r="B1683" s="59"/>
      <c r="C1683" s="60"/>
      <c r="D1683" s="60"/>
      <c r="F1683" s="60"/>
      <c r="G1683" s="60"/>
      <c r="H1683" s="62"/>
      <c r="I1683" s="62" t="str">
        <f t="shared" si="26"/>
        <v/>
      </c>
    </row>
    <row r="1684" spans="2:9" x14ac:dyDescent="0.25">
      <c r="B1684" s="59"/>
      <c r="C1684" s="60"/>
      <c r="D1684" s="60"/>
      <c r="F1684" s="60"/>
      <c r="G1684" s="60"/>
      <c r="H1684" s="62"/>
      <c r="I1684" s="62" t="str">
        <f t="shared" si="26"/>
        <v/>
      </c>
    </row>
    <row r="1685" spans="2:9" x14ac:dyDescent="0.25">
      <c r="B1685" s="59"/>
      <c r="C1685" s="60"/>
      <c r="D1685" s="60"/>
      <c r="F1685" s="60"/>
      <c r="G1685" s="60"/>
      <c r="H1685" s="62"/>
      <c r="I1685" s="62" t="str">
        <f t="shared" si="26"/>
        <v/>
      </c>
    </row>
    <row r="1686" spans="2:9" x14ac:dyDescent="0.25">
      <c r="B1686" s="59"/>
      <c r="C1686" s="60"/>
      <c r="D1686" s="60"/>
      <c r="F1686" s="60"/>
      <c r="G1686" s="60"/>
      <c r="H1686" s="62"/>
      <c r="I1686" s="62" t="str">
        <f t="shared" si="26"/>
        <v/>
      </c>
    </row>
    <row r="1687" spans="2:9" x14ac:dyDescent="0.25">
      <c r="B1687" s="59"/>
      <c r="C1687" s="60"/>
      <c r="D1687" s="60"/>
      <c r="F1687" s="60"/>
      <c r="G1687" s="60"/>
      <c r="H1687" s="62"/>
      <c r="I1687" s="62" t="str">
        <f t="shared" si="26"/>
        <v/>
      </c>
    </row>
    <row r="1688" spans="2:9" x14ac:dyDescent="0.25">
      <c r="B1688" s="59"/>
      <c r="C1688" s="60"/>
      <c r="D1688" s="60"/>
      <c r="F1688" s="60"/>
      <c r="G1688" s="60"/>
      <c r="H1688" s="62"/>
      <c r="I1688" s="62" t="str">
        <f t="shared" si="26"/>
        <v/>
      </c>
    </row>
    <row r="1689" spans="2:9" x14ac:dyDescent="0.25">
      <c r="B1689" s="59"/>
      <c r="C1689" s="60"/>
      <c r="D1689" s="60"/>
      <c r="F1689" s="60"/>
      <c r="G1689" s="60"/>
      <c r="H1689" s="62"/>
      <c r="I1689" s="62" t="str">
        <f t="shared" si="26"/>
        <v/>
      </c>
    </row>
    <row r="1690" spans="2:9" x14ac:dyDescent="0.25">
      <c r="B1690" s="59"/>
      <c r="C1690" s="60"/>
      <c r="D1690" s="60"/>
      <c r="F1690" s="60"/>
      <c r="G1690" s="60"/>
      <c r="H1690" s="62"/>
      <c r="I1690" s="62" t="str">
        <f t="shared" si="26"/>
        <v/>
      </c>
    </row>
    <row r="1691" spans="2:9" x14ac:dyDescent="0.25">
      <c r="B1691" s="59"/>
      <c r="C1691" s="60"/>
      <c r="D1691" s="60"/>
      <c r="F1691" s="60"/>
      <c r="G1691" s="60"/>
      <c r="H1691" s="62"/>
      <c r="I1691" s="62" t="str">
        <f t="shared" si="26"/>
        <v/>
      </c>
    </row>
    <row r="1692" spans="2:9" x14ac:dyDescent="0.25">
      <c r="B1692" s="59"/>
      <c r="C1692" s="60"/>
      <c r="D1692" s="60"/>
      <c r="F1692" s="60"/>
      <c r="G1692" s="60"/>
      <c r="H1692" s="62"/>
      <c r="I1692" s="62" t="str">
        <f t="shared" si="26"/>
        <v/>
      </c>
    </row>
    <row r="1693" spans="2:9" x14ac:dyDescent="0.25">
      <c r="B1693" s="59"/>
      <c r="C1693" s="60"/>
      <c r="D1693" s="60"/>
      <c r="F1693" s="60"/>
      <c r="G1693" s="60"/>
      <c r="H1693" s="62"/>
      <c r="I1693" s="62" t="str">
        <f t="shared" si="26"/>
        <v/>
      </c>
    </row>
    <row r="1694" spans="2:9" x14ac:dyDescent="0.25">
      <c r="B1694" s="59"/>
      <c r="C1694" s="60"/>
      <c r="D1694" s="60"/>
      <c r="F1694" s="60"/>
      <c r="G1694" s="60"/>
      <c r="H1694" s="62"/>
      <c r="I1694" s="62" t="str">
        <f t="shared" si="26"/>
        <v/>
      </c>
    </row>
    <row r="1695" spans="2:9" x14ac:dyDescent="0.25">
      <c r="B1695" s="59"/>
      <c r="C1695" s="60"/>
      <c r="D1695" s="60"/>
      <c r="F1695" s="60"/>
      <c r="G1695" s="60"/>
      <c r="H1695" s="62"/>
      <c r="I1695" s="62" t="str">
        <f t="shared" si="26"/>
        <v/>
      </c>
    </row>
    <row r="1696" spans="2:9" x14ac:dyDescent="0.25">
      <c r="B1696" s="59"/>
      <c r="C1696" s="60"/>
      <c r="D1696" s="60"/>
      <c r="F1696" s="60"/>
      <c r="G1696" s="60"/>
      <c r="H1696" s="62"/>
      <c r="I1696" s="62" t="str">
        <f t="shared" si="26"/>
        <v/>
      </c>
    </row>
    <row r="1697" spans="2:9" x14ac:dyDescent="0.25">
      <c r="B1697" s="59"/>
      <c r="C1697" s="60"/>
      <c r="D1697" s="60"/>
      <c r="F1697" s="60"/>
      <c r="G1697" s="60"/>
      <c r="H1697" s="62"/>
      <c r="I1697" s="62" t="str">
        <f t="shared" si="26"/>
        <v/>
      </c>
    </row>
    <row r="1698" spans="2:9" x14ac:dyDescent="0.25">
      <c r="B1698" s="59"/>
      <c r="C1698" s="60"/>
      <c r="D1698" s="60"/>
      <c r="F1698" s="60"/>
      <c r="G1698" s="60"/>
      <c r="H1698" s="62"/>
      <c r="I1698" s="62" t="str">
        <f t="shared" si="26"/>
        <v/>
      </c>
    </row>
    <row r="1699" spans="2:9" x14ac:dyDescent="0.25">
      <c r="B1699" s="59"/>
      <c r="C1699" s="60"/>
      <c r="D1699" s="60"/>
      <c r="F1699" s="60"/>
      <c r="G1699" s="60"/>
      <c r="H1699" s="62"/>
      <c r="I1699" s="62" t="str">
        <f t="shared" si="26"/>
        <v/>
      </c>
    </row>
    <row r="1700" spans="2:9" x14ac:dyDescent="0.25">
      <c r="B1700" s="59"/>
      <c r="C1700" s="60"/>
      <c r="D1700" s="60"/>
      <c r="F1700" s="60"/>
      <c r="G1700" s="60"/>
      <c r="H1700" s="62"/>
      <c r="I1700" s="62" t="str">
        <f t="shared" si="26"/>
        <v/>
      </c>
    </row>
    <row r="1701" spans="2:9" x14ac:dyDescent="0.25">
      <c r="B1701" s="59"/>
      <c r="C1701" s="60"/>
      <c r="D1701" s="60"/>
      <c r="F1701" s="60"/>
      <c r="G1701" s="60"/>
      <c r="H1701" s="62"/>
      <c r="I1701" s="62" t="str">
        <f t="shared" si="26"/>
        <v/>
      </c>
    </row>
    <row r="1702" spans="2:9" x14ac:dyDescent="0.25">
      <c r="B1702" s="59"/>
      <c r="C1702" s="60"/>
      <c r="D1702" s="60"/>
      <c r="F1702" s="60"/>
      <c r="G1702" s="60"/>
      <c r="H1702" s="62"/>
      <c r="I1702" s="62" t="str">
        <f t="shared" si="26"/>
        <v/>
      </c>
    </row>
    <row r="1703" spans="2:9" x14ac:dyDescent="0.25">
      <c r="B1703" s="59"/>
      <c r="C1703" s="60"/>
      <c r="D1703" s="60"/>
      <c r="F1703" s="60"/>
      <c r="G1703" s="60"/>
      <c r="H1703" s="62"/>
      <c r="I1703" s="62" t="str">
        <f t="shared" si="26"/>
        <v/>
      </c>
    </row>
    <row r="1704" spans="2:9" x14ac:dyDescent="0.25">
      <c r="B1704" s="59"/>
      <c r="C1704" s="60"/>
      <c r="D1704" s="60"/>
      <c r="F1704" s="60"/>
      <c r="G1704" s="60"/>
      <c r="H1704" s="62"/>
      <c r="I1704" s="62" t="str">
        <f t="shared" si="26"/>
        <v/>
      </c>
    </row>
    <row r="1705" spans="2:9" x14ac:dyDescent="0.25">
      <c r="B1705" s="59"/>
      <c r="C1705" s="60"/>
      <c r="D1705" s="60"/>
      <c r="F1705" s="60"/>
      <c r="G1705" s="60"/>
      <c r="H1705" s="62"/>
      <c r="I1705" s="62" t="str">
        <f t="shared" si="26"/>
        <v/>
      </c>
    </row>
    <row r="1706" spans="2:9" x14ac:dyDescent="0.25">
      <c r="B1706" s="59"/>
      <c r="C1706" s="60"/>
      <c r="D1706" s="60"/>
      <c r="F1706" s="60"/>
      <c r="G1706" s="60"/>
      <c r="H1706" s="62"/>
      <c r="I1706" s="62" t="str">
        <f t="shared" si="26"/>
        <v/>
      </c>
    </row>
    <row r="1707" spans="2:9" x14ac:dyDescent="0.25">
      <c r="B1707" s="59"/>
      <c r="C1707" s="60"/>
      <c r="D1707" s="60"/>
      <c r="F1707" s="60"/>
      <c r="G1707" s="60"/>
      <c r="H1707" s="62"/>
      <c r="I1707" s="62" t="str">
        <f t="shared" si="26"/>
        <v/>
      </c>
    </row>
    <row r="1708" spans="2:9" x14ac:dyDescent="0.25">
      <c r="B1708" s="59"/>
      <c r="C1708" s="60"/>
      <c r="D1708" s="60"/>
      <c r="F1708" s="60"/>
      <c r="G1708" s="60"/>
      <c r="H1708" s="62"/>
      <c r="I1708" s="62" t="str">
        <f t="shared" si="26"/>
        <v/>
      </c>
    </row>
    <row r="1709" spans="2:9" x14ac:dyDescent="0.25">
      <c r="B1709" s="59"/>
      <c r="C1709" s="60"/>
      <c r="D1709" s="60"/>
      <c r="F1709" s="60"/>
      <c r="G1709" s="60"/>
      <c r="H1709" s="62"/>
      <c r="I1709" s="62" t="str">
        <f t="shared" si="26"/>
        <v/>
      </c>
    </row>
    <row r="1710" spans="2:9" x14ac:dyDescent="0.25">
      <c r="B1710" s="59"/>
      <c r="C1710" s="60"/>
      <c r="D1710" s="60"/>
      <c r="F1710" s="60"/>
      <c r="G1710" s="60"/>
      <c r="H1710" s="62"/>
      <c r="I1710" s="62" t="str">
        <f t="shared" si="26"/>
        <v/>
      </c>
    </row>
    <row r="1711" spans="2:9" x14ac:dyDescent="0.25">
      <c r="B1711" s="59"/>
      <c r="C1711" s="60"/>
      <c r="D1711" s="60"/>
      <c r="F1711" s="60"/>
      <c r="G1711" s="60"/>
      <c r="H1711" s="62"/>
      <c r="I1711" s="62" t="str">
        <f t="shared" si="26"/>
        <v/>
      </c>
    </row>
    <row r="1712" spans="2:9" x14ac:dyDescent="0.25">
      <c r="B1712" s="59"/>
      <c r="C1712" s="60"/>
      <c r="D1712" s="60"/>
      <c r="F1712" s="60"/>
      <c r="G1712" s="60"/>
      <c r="H1712" s="62"/>
      <c r="I1712" s="62" t="str">
        <f t="shared" si="26"/>
        <v/>
      </c>
    </row>
    <row r="1713" spans="2:9" x14ac:dyDescent="0.25">
      <c r="B1713" s="59"/>
      <c r="C1713" s="60"/>
      <c r="D1713" s="60"/>
      <c r="F1713" s="60"/>
      <c r="G1713" s="60"/>
      <c r="H1713" s="62"/>
      <c r="I1713" s="62" t="str">
        <f t="shared" si="26"/>
        <v/>
      </c>
    </row>
    <row r="1714" spans="2:9" x14ac:dyDescent="0.25">
      <c r="B1714" s="59"/>
      <c r="C1714" s="60"/>
      <c r="D1714" s="60"/>
      <c r="F1714" s="60"/>
      <c r="G1714" s="60"/>
      <c r="H1714" s="62"/>
      <c r="I1714" s="62" t="str">
        <f t="shared" si="26"/>
        <v/>
      </c>
    </row>
    <row r="1715" spans="2:9" x14ac:dyDescent="0.25">
      <c r="B1715" s="59"/>
      <c r="C1715" s="60"/>
      <c r="D1715" s="60"/>
      <c r="F1715" s="60"/>
      <c r="G1715" s="60"/>
      <c r="H1715" s="62"/>
      <c r="I1715" s="62" t="str">
        <f t="shared" si="26"/>
        <v/>
      </c>
    </row>
    <row r="1716" spans="2:9" x14ac:dyDescent="0.25">
      <c r="B1716" s="59"/>
      <c r="C1716" s="60"/>
      <c r="D1716" s="60"/>
      <c r="F1716" s="60"/>
      <c r="G1716" s="60"/>
      <c r="H1716" s="62"/>
      <c r="I1716" s="62" t="str">
        <f t="shared" si="26"/>
        <v/>
      </c>
    </row>
    <row r="1717" spans="2:9" x14ac:dyDescent="0.25">
      <c r="B1717" s="59"/>
      <c r="C1717" s="60"/>
      <c r="D1717" s="60"/>
      <c r="F1717" s="60"/>
      <c r="G1717" s="60"/>
      <c r="H1717" s="62"/>
      <c r="I1717" s="62" t="str">
        <f t="shared" si="26"/>
        <v/>
      </c>
    </row>
    <row r="1718" spans="2:9" x14ac:dyDescent="0.25">
      <c r="B1718" s="59"/>
      <c r="C1718" s="60"/>
      <c r="D1718" s="60"/>
      <c r="F1718" s="60"/>
      <c r="G1718" s="60"/>
      <c r="H1718" s="62"/>
      <c r="I1718" s="62" t="str">
        <f t="shared" si="26"/>
        <v/>
      </c>
    </row>
    <row r="1719" spans="2:9" x14ac:dyDescent="0.25">
      <c r="B1719" s="59"/>
      <c r="C1719" s="60"/>
      <c r="D1719" s="60"/>
      <c r="F1719" s="60"/>
      <c r="G1719" s="60"/>
      <c r="H1719" s="62"/>
      <c r="I1719" s="62" t="str">
        <f t="shared" si="26"/>
        <v/>
      </c>
    </row>
    <row r="1720" spans="2:9" x14ac:dyDescent="0.25">
      <c r="B1720" s="59"/>
      <c r="C1720" s="60"/>
      <c r="D1720" s="60"/>
      <c r="F1720" s="60"/>
      <c r="G1720" s="60"/>
      <c r="H1720" s="62"/>
      <c r="I1720" s="62" t="str">
        <f t="shared" si="26"/>
        <v/>
      </c>
    </row>
    <row r="1721" spans="2:9" x14ac:dyDescent="0.25">
      <c r="B1721" s="59"/>
      <c r="C1721" s="60"/>
      <c r="D1721" s="60"/>
      <c r="F1721" s="60"/>
      <c r="G1721" s="60"/>
      <c r="H1721" s="62"/>
      <c r="I1721" s="62" t="str">
        <f t="shared" si="26"/>
        <v/>
      </c>
    </row>
    <row r="1722" spans="2:9" x14ac:dyDescent="0.25">
      <c r="B1722" s="59"/>
      <c r="C1722" s="60"/>
      <c r="D1722" s="60"/>
      <c r="F1722" s="60"/>
      <c r="G1722" s="60"/>
      <c r="H1722" s="62"/>
      <c r="I1722" s="62" t="str">
        <f t="shared" si="26"/>
        <v/>
      </c>
    </row>
    <row r="1723" spans="2:9" x14ac:dyDescent="0.25">
      <c r="B1723" s="59"/>
      <c r="C1723" s="60"/>
      <c r="D1723" s="60"/>
      <c r="F1723" s="60"/>
      <c r="G1723" s="60"/>
      <c r="H1723" s="62"/>
      <c r="I1723" s="62" t="str">
        <f t="shared" si="26"/>
        <v/>
      </c>
    </row>
    <row r="1724" spans="2:9" x14ac:dyDescent="0.25">
      <c r="B1724" s="59"/>
      <c r="C1724" s="60"/>
      <c r="D1724" s="60"/>
      <c r="F1724" s="60"/>
      <c r="G1724" s="60"/>
      <c r="H1724" s="62"/>
      <c r="I1724" s="62" t="str">
        <f t="shared" si="26"/>
        <v/>
      </c>
    </row>
    <row r="1725" spans="2:9" x14ac:dyDescent="0.25">
      <c r="B1725" s="59"/>
      <c r="C1725" s="60"/>
      <c r="D1725" s="60"/>
      <c r="F1725" s="60"/>
      <c r="G1725" s="60"/>
      <c r="H1725" s="62"/>
      <c r="I1725" s="62" t="str">
        <f t="shared" si="26"/>
        <v/>
      </c>
    </row>
    <row r="1726" spans="2:9" x14ac:dyDescent="0.25">
      <c r="B1726" s="59"/>
      <c r="C1726" s="60"/>
      <c r="D1726" s="60"/>
      <c r="F1726" s="60"/>
      <c r="G1726" s="60"/>
      <c r="H1726" s="62"/>
      <c r="I1726" s="62" t="str">
        <f t="shared" si="26"/>
        <v/>
      </c>
    </row>
    <row r="1727" spans="2:9" x14ac:dyDescent="0.25">
      <c r="B1727" s="59"/>
      <c r="C1727" s="60"/>
      <c r="D1727" s="60"/>
      <c r="F1727" s="60"/>
      <c r="G1727" s="60"/>
      <c r="H1727" s="62"/>
      <c r="I1727" s="62" t="str">
        <f t="shared" si="26"/>
        <v/>
      </c>
    </row>
    <row r="1728" spans="2:9" x14ac:dyDescent="0.25">
      <c r="B1728" s="59"/>
      <c r="C1728" s="60"/>
      <c r="D1728" s="60"/>
      <c r="F1728" s="60"/>
      <c r="G1728" s="60"/>
      <c r="H1728" s="62"/>
      <c r="I1728" s="62" t="str">
        <f t="shared" si="26"/>
        <v/>
      </c>
    </row>
    <row r="1729" spans="2:9" x14ac:dyDescent="0.25">
      <c r="B1729" s="59"/>
      <c r="C1729" s="60"/>
      <c r="D1729" s="60"/>
      <c r="F1729" s="60"/>
      <c r="G1729" s="60"/>
      <c r="H1729" s="62"/>
      <c r="I1729" s="62" t="str">
        <f t="shared" si="26"/>
        <v/>
      </c>
    </row>
    <row r="1730" spans="2:9" x14ac:dyDescent="0.25">
      <c r="B1730" s="59"/>
      <c r="C1730" s="60"/>
      <c r="D1730" s="60"/>
      <c r="F1730" s="60"/>
      <c r="G1730" s="60"/>
      <c r="H1730" s="62"/>
      <c r="I1730" s="62" t="str">
        <f t="shared" si="26"/>
        <v/>
      </c>
    </row>
    <row r="1731" spans="2:9" x14ac:dyDescent="0.25">
      <c r="B1731" s="59"/>
      <c r="C1731" s="60"/>
      <c r="D1731" s="60"/>
      <c r="F1731" s="60"/>
      <c r="G1731" s="60"/>
      <c r="H1731" s="62"/>
      <c r="I1731" s="62" t="str">
        <f t="shared" si="26"/>
        <v/>
      </c>
    </row>
    <row r="1732" spans="2:9" x14ac:dyDescent="0.25">
      <c r="B1732" s="59"/>
      <c r="C1732" s="60"/>
      <c r="D1732" s="60"/>
      <c r="F1732" s="60"/>
      <c r="G1732" s="60"/>
      <c r="H1732" s="62"/>
      <c r="I1732" s="62" t="str">
        <f t="shared" si="26"/>
        <v/>
      </c>
    </row>
    <row r="1733" spans="2:9" x14ac:dyDescent="0.25">
      <c r="B1733" s="59"/>
      <c r="C1733" s="60"/>
      <c r="D1733" s="60"/>
      <c r="F1733" s="60"/>
      <c r="G1733" s="60"/>
      <c r="H1733" s="62"/>
      <c r="I1733" s="62" t="str">
        <f t="shared" ref="I1733:I1796" si="27">IF(H1733&lt;&gt;"",H1733-H1732,"")</f>
        <v/>
      </c>
    </row>
    <row r="1734" spans="2:9" x14ac:dyDescent="0.25">
      <c r="B1734" s="59"/>
      <c r="C1734" s="60"/>
      <c r="D1734" s="60"/>
      <c r="F1734" s="60"/>
      <c r="G1734" s="60"/>
      <c r="H1734" s="62"/>
      <c r="I1734" s="62" t="str">
        <f t="shared" si="27"/>
        <v/>
      </c>
    </row>
    <row r="1735" spans="2:9" x14ac:dyDescent="0.25">
      <c r="B1735" s="59"/>
      <c r="C1735" s="60"/>
      <c r="D1735" s="60"/>
      <c r="F1735" s="60"/>
      <c r="G1735" s="60"/>
      <c r="H1735" s="62"/>
      <c r="I1735" s="62" t="str">
        <f t="shared" si="27"/>
        <v/>
      </c>
    </row>
    <row r="1736" spans="2:9" x14ac:dyDescent="0.25">
      <c r="B1736" s="59"/>
      <c r="C1736" s="60"/>
      <c r="D1736" s="60"/>
      <c r="F1736" s="60"/>
      <c r="G1736" s="60"/>
      <c r="H1736" s="62"/>
      <c r="I1736" s="62" t="str">
        <f t="shared" si="27"/>
        <v/>
      </c>
    </row>
    <row r="1737" spans="2:9" x14ac:dyDescent="0.25">
      <c r="B1737" s="59"/>
      <c r="C1737" s="60"/>
      <c r="D1737" s="60"/>
      <c r="F1737" s="60"/>
      <c r="G1737" s="60"/>
      <c r="H1737" s="62"/>
      <c r="I1737" s="62" t="str">
        <f t="shared" si="27"/>
        <v/>
      </c>
    </row>
    <row r="1738" spans="2:9" x14ac:dyDescent="0.25">
      <c r="B1738" s="59"/>
      <c r="C1738" s="60"/>
      <c r="D1738" s="60"/>
      <c r="F1738" s="60"/>
      <c r="G1738" s="60"/>
      <c r="H1738" s="62"/>
      <c r="I1738" s="62" t="str">
        <f t="shared" si="27"/>
        <v/>
      </c>
    </row>
    <row r="1739" spans="2:9" x14ac:dyDescent="0.25">
      <c r="B1739" s="59"/>
      <c r="C1739" s="60"/>
      <c r="D1739" s="60"/>
      <c r="F1739" s="60"/>
      <c r="G1739" s="60"/>
      <c r="H1739" s="62"/>
      <c r="I1739" s="62" t="str">
        <f t="shared" si="27"/>
        <v/>
      </c>
    </row>
    <row r="1740" spans="2:9" x14ac:dyDescent="0.25">
      <c r="B1740" s="59"/>
      <c r="C1740" s="60"/>
      <c r="D1740" s="60"/>
      <c r="F1740" s="60"/>
      <c r="G1740" s="60"/>
      <c r="H1740" s="62"/>
      <c r="I1740" s="62" t="str">
        <f t="shared" si="27"/>
        <v/>
      </c>
    </row>
    <row r="1741" spans="2:9" x14ac:dyDescent="0.25">
      <c r="B1741" s="59"/>
      <c r="C1741" s="60"/>
      <c r="D1741" s="60"/>
      <c r="F1741" s="60"/>
      <c r="G1741" s="60"/>
      <c r="H1741" s="62"/>
      <c r="I1741" s="62" t="str">
        <f t="shared" si="27"/>
        <v/>
      </c>
    </row>
    <row r="1742" spans="2:9" x14ac:dyDescent="0.25">
      <c r="B1742" s="59"/>
      <c r="C1742" s="60"/>
      <c r="D1742" s="60"/>
      <c r="F1742" s="60"/>
      <c r="G1742" s="60"/>
      <c r="H1742" s="62"/>
      <c r="I1742" s="62" t="str">
        <f t="shared" si="27"/>
        <v/>
      </c>
    </row>
    <row r="1743" spans="2:9" x14ac:dyDescent="0.25">
      <c r="B1743" s="59"/>
      <c r="C1743" s="60"/>
      <c r="D1743" s="60"/>
      <c r="F1743" s="60"/>
      <c r="G1743" s="60"/>
      <c r="H1743" s="62"/>
      <c r="I1743" s="62" t="str">
        <f t="shared" si="27"/>
        <v/>
      </c>
    </row>
    <row r="1744" spans="2:9" x14ac:dyDescent="0.25">
      <c r="B1744" s="59"/>
      <c r="C1744" s="60"/>
      <c r="D1744" s="60"/>
      <c r="F1744" s="60"/>
      <c r="G1744" s="60"/>
      <c r="H1744" s="62"/>
      <c r="I1744" s="62" t="str">
        <f t="shared" si="27"/>
        <v/>
      </c>
    </row>
    <row r="1745" spans="2:9" x14ac:dyDescent="0.25">
      <c r="B1745" s="59"/>
      <c r="C1745" s="60"/>
      <c r="D1745" s="60"/>
      <c r="F1745" s="60"/>
      <c r="G1745" s="60"/>
      <c r="H1745" s="62"/>
      <c r="I1745" s="62" t="str">
        <f t="shared" si="27"/>
        <v/>
      </c>
    </row>
    <row r="1746" spans="2:9" x14ac:dyDescent="0.25">
      <c r="B1746" s="59"/>
      <c r="C1746" s="60"/>
      <c r="D1746" s="60"/>
      <c r="F1746" s="60"/>
      <c r="G1746" s="60"/>
      <c r="H1746" s="62"/>
      <c r="I1746" s="62" t="str">
        <f t="shared" si="27"/>
        <v/>
      </c>
    </row>
    <row r="1747" spans="2:9" x14ac:dyDescent="0.25">
      <c r="B1747" s="59"/>
      <c r="C1747" s="60"/>
      <c r="D1747" s="60"/>
      <c r="F1747" s="60"/>
      <c r="G1747" s="60"/>
      <c r="H1747" s="62"/>
      <c r="I1747" s="62" t="str">
        <f t="shared" si="27"/>
        <v/>
      </c>
    </row>
    <row r="1748" spans="2:9" x14ac:dyDescent="0.25">
      <c r="B1748" s="59"/>
      <c r="C1748" s="60"/>
      <c r="D1748" s="60"/>
      <c r="F1748" s="60"/>
      <c r="G1748" s="60"/>
      <c r="H1748" s="62"/>
      <c r="I1748" s="62" t="str">
        <f t="shared" si="27"/>
        <v/>
      </c>
    </row>
    <row r="1749" spans="2:9" x14ac:dyDescent="0.25">
      <c r="B1749" s="59"/>
      <c r="C1749" s="60"/>
      <c r="D1749" s="60"/>
      <c r="F1749" s="60"/>
      <c r="G1749" s="60"/>
      <c r="H1749" s="62"/>
      <c r="I1749" s="62" t="str">
        <f t="shared" si="27"/>
        <v/>
      </c>
    </row>
    <row r="1750" spans="2:9" x14ac:dyDescent="0.25">
      <c r="B1750" s="59"/>
      <c r="C1750" s="60"/>
      <c r="D1750" s="60"/>
      <c r="F1750" s="60"/>
      <c r="G1750" s="60"/>
      <c r="H1750" s="62"/>
      <c r="I1750" s="62" t="str">
        <f t="shared" si="27"/>
        <v/>
      </c>
    </row>
    <row r="1751" spans="2:9" x14ac:dyDescent="0.25">
      <c r="B1751" s="59"/>
      <c r="C1751" s="60"/>
      <c r="D1751" s="60"/>
      <c r="F1751" s="60"/>
      <c r="G1751" s="60"/>
      <c r="H1751" s="62"/>
      <c r="I1751" s="62" t="str">
        <f t="shared" si="27"/>
        <v/>
      </c>
    </row>
    <row r="1752" spans="2:9" x14ac:dyDescent="0.25">
      <c r="B1752" s="59"/>
      <c r="C1752" s="60"/>
      <c r="D1752" s="60"/>
      <c r="F1752" s="60"/>
      <c r="G1752" s="60"/>
      <c r="H1752" s="62"/>
      <c r="I1752" s="62" t="str">
        <f t="shared" si="27"/>
        <v/>
      </c>
    </row>
    <row r="1753" spans="2:9" x14ac:dyDescent="0.25">
      <c r="B1753" s="59"/>
      <c r="C1753" s="60"/>
      <c r="D1753" s="60"/>
      <c r="F1753" s="60"/>
      <c r="G1753" s="60"/>
      <c r="H1753" s="62"/>
      <c r="I1753" s="62" t="str">
        <f t="shared" si="27"/>
        <v/>
      </c>
    </row>
    <row r="1754" spans="2:9" x14ac:dyDescent="0.25">
      <c r="B1754" s="59"/>
      <c r="C1754" s="60"/>
      <c r="D1754" s="60"/>
      <c r="F1754" s="60"/>
      <c r="G1754" s="60"/>
      <c r="H1754" s="62"/>
      <c r="I1754" s="62" t="str">
        <f t="shared" si="27"/>
        <v/>
      </c>
    </row>
    <row r="1755" spans="2:9" x14ac:dyDescent="0.25">
      <c r="B1755" s="59"/>
      <c r="C1755" s="60"/>
      <c r="D1755" s="60"/>
      <c r="F1755" s="60"/>
      <c r="G1755" s="60"/>
      <c r="H1755" s="62"/>
      <c r="I1755" s="62" t="str">
        <f t="shared" si="27"/>
        <v/>
      </c>
    </row>
    <row r="1756" spans="2:9" x14ac:dyDescent="0.25">
      <c r="B1756" s="59"/>
      <c r="C1756" s="60"/>
      <c r="D1756" s="60"/>
      <c r="F1756" s="60"/>
      <c r="G1756" s="60"/>
      <c r="H1756" s="62"/>
      <c r="I1756" s="62" t="str">
        <f t="shared" si="27"/>
        <v/>
      </c>
    </row>
    <row r="1757" spans="2:9" x14ac:dyDescent="0.25">
      <c r="B1757" s="59"/>
      <c r="C1757" s="60"/>
      <c r="D1757" s="60"/>
      <c r="F1757" s="60"/>
      <c r="G1757" s="60"/>
      <c r="H1757" s="62"/>
      <c r="I1757" s="62" t="str">
        <f t="shared" si="27"/>
        <v/>
      </c>
    </row>
    <row r="1758" spans="2:9" x14ac:dyDescent="0.25">
      <c r="B1758" s="59"/>
      <c r="C1758" s="60"/>
      <c r="D1758" s="60"/>
      <c r="F1758" s="60"/>
      <c r="G1758" s="60"/>
      <c r="H1758" s="62"/>
      <c r="I1758" s="62" t="str">
        <f t="shared" si="27"/>
        <v/>
      </c>
    </row>
    <row r="1759" spans="2:9" x14ac:dyDescent="0.25">
      <c r="B1759" s="59"/>
      <c r="C1759" s="60"/>
      <c r="D1759" s="60"/>
      <c r="F1759" s="60"/>
      <c r="G1759" s="60"/>
      <c r="H1759" s="62"/>
      <c r="I1759" s="62" t="str">
        <f t="shared" si="27"/>
        <v/>
      </c>
    </row>
    <row r="1760" spans="2:9" x14ac:dyDescent="0.25">
      <c r="B1760" s="59"/>
      <c r="C1760" s="60"/>
      <c r="D1760" s="60"/>
      <c r="F1760" s="60"/>
      <c r="G1760" s="60"/>
      <c r="H1760" s="62"/>
      <c r="I1760" s="62" t="str">
        <f t="shared" si="27"/>
        <v/>
      </c>
    </row>
    <row r="1761" spans="2:9" x14ac:dyDescent="0.25">
      <c r="B1761" s="59"/>
      <c r="C1761" s="60"/>
      <c r="D1761" s="60"/>
      <c r="F1761" s="60"/>
      <c r="G1761" s="60"/>
      <c r="H1761" s="62"/>
      <c r="I1761" s="62" t="str">
        <f t="shared" si="27"/>
        <v/>
      </c>
    </row>
    <row r="1762" spans="2:9" x14ac:dyDescent="0.25">
      <c r="B1762" s="59"/>
      <c r="C1762" s="60"/>
      <c r="D1762" s="60"/>
      <c r="F1762" s="60"/>
      <c r="G1762" s="60"/>
      <c r="H1762" s="62"/>
      <c r="I1762" s="62" t="str">
        <f t="shared" si="27"/>
        <v/>
      </c>
    </row>
    <row r="1763" spans="2:9" x14ac:dyDescent="0.25">
      <c r="B1763" s="59"/>
      <c r="C1763" s="60"/>
      <c r="D1763" s="60"/>
      <c r="F1763" s="60"/>
      <c r="G1763" s="60"/>
      <c r="H1763" s="62"/>
      <c r="I1763" s="62" t="str">
        <f t="shared" si="27"/>
        <v/>
      </c>
    </row>
    <row r="1764" spans="2:9" x14ac:dyDescent="0.25">
      <c r="B1764" s="59"/>
      <c r="C1764" s="60"/>
      <c r="D1764" s="60"/>
      <c r="F1764" s="60"/>
      <c r="G1764" s="60"/>
      <c r="H1764" s="62"/>
      <c r="I1764" s="62" t="str">
        <f t="shared" si="27"/>
        <v/>
      </c>
    </row>
    <row r="1765" spans="2:9" x14ac:dyDescent="0.25">
      <c r="B1765" s="59"/>
      <c r="C1765" s="60"/>
      <c r="D1765" s="60"/>
      <c r="F1765" s="60"/>
      <c r="G1765" s="60"/>
      <c r="H1765" s="62"/>
      <c r="I1765" s="62" t="str">
        <f t="shared" si="27"/>
        <v/>
      </c>
    </row>
    <row r="1766" spans="2:9" x14ac:dyDescent="0.25">
      <c r="B1766" s="59"/>
      <c r="C1766" s="60"/>
      <c r="D1766" s="60"/>
      <c r="F1766" s="60"/>
      <c r="G1766" s="60"/>
      <c r="H1766" s="62"/>
      <c r="I1766" s="62" t="str">
        <f t="shared" si="27"/>
        <v/>
      </c>
    </row>
    <row r="1767" spans="2:9" x14ac:dyDescent="0.25">
      <c r="B1767" s="59"/>
      <c r="C1767" s="60"/>
      <c r="D1767" s="60"/>
      <c r="F1767" s="60"/>
      <c r="G1767" s="60"/>
      <c r="H1767" s="62"/>
      <c r="I1767" s="62" t="str">
        <f t="shared" si="27"/>
        <v/>
      </c>
    </row>
    <row r="1768" spans="2:9" x14ac:dyDescent="0.25">
      <c r="B1768" s="59"/>
      <c r="C1768" s="60"/>
      <c r="D1768" s="60"/>
      <c r="F1768" s="60"/>
      <c r="G1768" s="60"/>
      <c r="H1768" s="62"/>
      <c r="I1768" s="62" t="str">
        <f t="shared" si="27"/>
        <v/>
      </c>
    </row>
    <row r="1769" spans="2:9" x14ac:dyDescent="0.25">
      <c r="B1769" s="59"/>
      <c r="C1769" s="60"/>
      <c r="D1769" s="60"/>
      <c r="F1769" s="60"/>
      <c r="G1769" s="60"/>
      <c r="H1769" s="62"/>
      <c r="I1769" s="62" t="str">
        <f t="shared" si="27"/>
        <v/>
      </c>
    </row>
    <row r="1770" spans="2:9" x14ac:dyDescent="0.25">
      <c r="B1770" s="59"/>
      <c r="C1770" s="60"/>
      <c r="D1770" s="60"/>
      <c r="F1770" s="60"/>
      <c r="G1770" s="60"/>
      <c r="H1770" s="62"/>
      <c r="I1770" s="62" t="str">
        <f t="shared" si="27"/>
        <v/>
      </c>
    </row>
    <row r="1771" spans="2:9" x14ac:dyDescent="0.25">
      <c r="B1771" s="59"/>
      <c r="C1771" s="60"/>
      <c r="D1771" s="60"/>
      <c r="F1771" s="60"/>
      <c r="G1771" s="60"/>
      <c r="H1771" s="62"/>
      <c r="I1771" s="62" t="str">
        <f t="shared" si="27"/>
        <v/>
      </c>
    </row>
    <row r="1772" spans="2:9" x14ac:dyDescent="0.25">
      <c r="B1772" s="59"/>
      <c r="C1772" s="60"/>
      <c r="D1772" s="60"/>
      <c r="F1772" s="60"/>
      <c r="G1772" s="60"/>
      <c r="H1772" s="62"/>
      <c r="I1772" s="62" t="str">
        <f t="shared" si="27"/>
        <v/>
      </c>
    </row>
    <row r="1773" spans="2:9" x14ac:dyDescent="0.25">
      <c r="B1773" s="59"/>
      <c r="C1773" s="60"/>
      <c r="D1773" s="60"/>
      <c r="F1773" s="60"/>
      <c r="G1773" s="60"/>
      <c r="H1773" s="62"/>
      <c r="I1773" s="62" t="str">
        <f t="shared" si="27"/>
        <v/>
      </c>
    </row>
    <row r="1774" spans="2:9" x14ac:dyDescent="0.25">
      <c r="B1774" s="59"/>
      <c r="C1774" s="60"/>
      <c r="D1774" s="60"/>
      <c r="F1774" s="60"/>
      <c r="G1774" s="60"/>
      <c r="H1774" s="62"/>
      <c r="I1774" s="62" t="str">
        <f t="shared" si="27"/>
        <v/>
      </c>
    </row>
    <row r="1775" spans="2:9" x14ac:dyDescent="0.25">
      <c r="B1775" s="59"/>
      <c r="C1775" s="60"/>
      <c r="D1775" s="60"/>
      <c r="F1775" s="60"/>
      <c r="G1775" s="60"/>
      <c r="H1775" s="62"/>
      <c r="I1775" s="62" t="str">
        <f t="shared" si="27"/>
        <v/>
      </c>
    </row>
    <row r="1776" spans="2:9" x14ac:dyDescent="0.25">
      <c r="B1776" s="59"/>
      <c r="C1776" s="60"/>
      <c r="D1776" s="60"/>
      <c r="F1776" s="60"/>
      <c r="G1776" s="60"/>
      <c r="H1776" s="62"/>
      <c r="I1776" s="62" t="str">
        <f t="shared" si="27"/>
        <v/>
      </c>
    </row>
    <row r="1777" spans="2:9" x14ac:dyDescent="0.25">
      <c r="B1777" s="59"/>
      <c r="C1777" s="60"/>
      <c r="D1777" s="60"/>
      <c r="F1777" s="60"/>
      <c r="G1777" s="60"/>
      <c r="H1777" s="62"/>
      <c r="I1777" s="62" t="str">
        <f t="shared" si="27"/>
        <v/>
      </c>
    </row>
    <row r="1778" spans="2:9" x14ac:dyDescent="0.25">
      <c r="B1778" s="59"/>
      <c r="C1778" s="60"/>
      <c r="D1778" s="60"/>
      <c r="F1778" s="60"/>
      <c r="G1778" s="60"/>
      <c r="H1778" s="62"/>
      <c r="I1778" s="62" t="str">
        <f t="shared" si="27"/>
        <v/>
      </c>
    </row>
    <row r="1779" spans="2:9" x14ac:dyDescent="0.25">
      <c r="B1779" s="59"/>
      <c r="C1779" s="60"/>
      <c r="D1779" s="60"/>
      <c r="F1779" s="60"/>
      <c r="G1779" s="60"/>
      <c r="H1779" s="62"/>
      <c r="I1779" s="62" t="str">
        <f t="shared" si="27"/>
        <v/>
      </c>
    </row>
    <row r="1780" spans="2:9" x14ac:dyDescent="0.25">
      <c r="B1780" s="59"/>
      <c r="C1780" s="60"/>
      <c r="D1780" s="60"/>
      <c r="F1780" s="60"/>
      <c r="G1780" s="60"/>
      <c r="H1780" s="62"/>
      <c r="I1780" s="62" t="str">
        <f t="shared" si="27"/>
        <v/>
      </c>
    </row>
    <row r="1781" spans="2:9" x14ac:dyDescent="0.25">
      <c r="B1781" s="59"/>
      <c r="C1781" s="60"/>
      <c r="D1781" s="60"/>
      <c r="F1781" s="60"/>
      <c r="G1781" s="60"/>
      <c r="H1781" s="62"/>
      <c r="I1781" s="62" t="str">
        <f t="shared" si="27"/>
        <v/>
      </c>
    </row>
    <row r="1782" spans="2:9" x14ac:dyDescent="0.25">
      <c r="B1782" s="59"/>
      <c r="C1782" s="60"/>
      <c r="D1782" s="60"/>
      <c r="F1782" s="60"/>
      <c r="G1782" s="60"/>
      <c r="H1782" s="62"/>
      <c r="I1782" s="62" t="str">
        <f t="shared" si="27"/>
        <v/>
      </c>
    </row>
    <row r="1783" spans="2:9" x14ac:dyDescent="0.25">
      <c r="B1783" s="59"/>
      <c r="C1783" s="60"/>
      <c r="D1783" s="60"/>
      <c r="F1783" s="60"/>
      <c r="G1783" s="60"/>
      <c r="H1783" s="62"/>
      <c r="I1783" s="62" t="str">
        <f t="shared" si="27"/>
        <v/>
      </c>
    </row>
    <row r="1784" spans="2:9" x14ac:dyDescent="0.25">
      <c r="B1784" s="59"/>
      <c r="C1784" s="60"/>
      <c r="D1784" s="60"/>
      <c r="F1784" s="60"/>
      <c r="G1784" s="60"/>
      <c r="H1784" s="62"/>
      <c r="I1784" s="62" t="str">
        <f t="shared" si="27"/>
        <v/>
      </c>
    </row>
    <row r="1785" spans="2:9" x14ac:dyDescent="0.25">
      <c r="B1785" s="59"/>
      <c r="C1785" s="60"/>
      <c r="D1785" s="60"/>
      <c r="F1785" s="60"/>
      <c r="G1785" s="60"/>
      <c r="H1785" s="62"/>
      <c r="I1785" s="62" t="str">
        <f t="shared" si="27"/>
        <v/>
      </c>
    </row>
    <row r="1786" spans="2:9" x14ac:dyDescent="0.25">
      <c r="B1786" s="59"/>
      <c r="C1786" s="60"/>
      <c r="D1786" s="60"/>
      <c r="F1786" s="60"/>
      <c r="G1786" s="60"/>
      <c r="H1786" s="62"/>
      <c r="I1786" s="62" t="str">
        <f t="shared" si="27"/>
        <v/>
      </c>
    </row>
    <row r="1787" spans="2:9" x14ac:dyDescent="0.25">
      <c r="B1787" s="59"/>
      <c r="C1787" s="60"/>
      <c r="D1787" s="60"/>
      <c r="F1787" s="60"/>
      <c r="G1787" s="60"/>
      <c r="H1787" s="62"/>
      <c r="I1787" s="62" t="str">
        <f t="shared" si="27"/>
        <v/>
      </c>
    </row>
    <row r="1788" spans="2:9" x14ac:dyDescent="0.25">
      <c r="B1788" s="59"/>
      <c r="C1788" s="60"/>
      <c r="D1788" s="60"/>
      <c r="F1788" s="60"/>
      <c r="G1788" s="60"/>
      <c r="H1788" s="62"/>
      <c r="I1788" s="62" t="str">
        <f t="shared" si="27"/>
        <v/>
      </c>
    </row>
    <row r="1789" spans="2:9" x14ac:dyDescent="0.25">
      <c r="B1789" s="59"/>
      <c r="C1789" s="60"/>
      <c r="D1789" s="60"/>
      <c r="F1789" s="60"/>
      <c r="G1789" s="60"/>
      <c r="H1789" s="62"/>
      <c r="I1789" s="62" t="str">
        <f t="shared" si="27"/>
        <v/>
      </c>
    </row>
    <row r="1790" spans="2:9" x14ac:dyDescent="0.25">
      <c r="B1790" s="59"/>
      <c r="C1790" s="60"/>
      <c r="D1790" s="60"/>
      <c r="F1790" s="60"/>
      <c r="G1790" s="60"/>
      <c r="H1790" s="62"/>
      <c r="I1790" s="62" t="str">
        <f t="shared" si="27"/>
        <v/>
      </c>
    </row>
    <row r="1791" spans="2:9" x14ac:dyDescent="0.25">
      <c r="B1791" s="59"/>
      <c r="C1791" s="60"/>
      <c r="D1791" s="60"/>
      <c r="F1791" s="60"/>
      <c r="G1791" s="60"/>
      <c r="H1791" s="62"/>
      <c r="I1791" s="62" t="str">
        <f t="shared" si="27"/>
        <v/>
      </c>
    </row>
    <row r="1792" spans="2:9" x14ac:dyDescent="0.25">
      <c r="B1792" s="59"/>
      <c r="C1792" s="60"/>
      <c r="D1792" s="60"/>
      <c r="F1792" s="60"/>
      <c r="G1792" s="60"/>
      <c r="H1792" s="62"/>
      <c r="I1792" s="62" t="str">
        <f t="shared" si="27"/>
        <v/>
      </c>
    </row>
    <row r="1793" spans="2:9" x14ac:dyDescent="0.25">
      <c r="B1793" s="59"/>
      <c r="C1793" s="60"/>
      <c r="D1793" s="60"/>
      <c r="F1793" s="60"/>
      <c r="G1793" s="60"/>
      <c r="H1793" s="62"/>
      <c r="I1793" s="62" t="str">
        <f t="shared" si="27"/>
        <v/>
      </c>
    </row>
    <row r="1794" spans="2:9" x14ac:dyDescent="0.25">
      <c r="B1794" s="59"/>
      <c r="C1794" s="60"/>
      <c r="D1794" s="60"/>
      <c r="F1794" s="60"/>
      <c r="G1794" s="60"/>
      <c r="H1794" s="62"/>
      <c r="I1794" s="62" t="str">
        <f t="shared" si="27"/>
        <v/>
      </c>
    </row>
    <row r="1795" spans="2:9" x14ac:dyDescent="0.25">
      <c r="B1795" s="59"/>
      <c r="C1795" s="60"/>
      <c r="D1795" s="60"/>
      <c r="F1795" s="60"/>
      <c r="G1795" s="60"/>
      <c r="H1795" s="62"/>
      <c r="I1795" s="62" t="str">
        <f t="shared" si="27"/>
        <v/>
      </c>
    </row>
    <row r="1796" spans="2:9" x14ac:dyDescent="0.25">
      <c r="B1796" s="59"/>
      <c r="C1796" s="60"/>
      <c r="D1796" s="60"/>
      <c r="F1796" s="60"/>
      <c r="G1796" s="60"/>
      <c r="H1796" s="62"/>
      <c r="I1796" s="62" t="str">
        <f t="shared" si="27"/>
        <v/>
      </c>
    </row>
    <row r="1797" spans="2:9" x14ac:dyDescent="0.25">
      <c r="B1797" s="59"/>
      <c r="C1797" s="60"/>
      <c r="D1797" s="60"/>
      <c r="F1797" s="60"/>
      <c r="G1797" s="60"/>
      <c r="H1797" s="62"/>
      <c r="I1797" s="62" t="str">
        <f t="shared" ref="I1797:I1860" si="28">IF(H1797&lt;&gt;"",H1797-H1796,"")</f>
        <v/>
      </c>
    </row>
    <row r="1798" spans="2:9" x14ac:dyDescent="0.25">
      <c r="B1798" s="59"/>
      <c r="C1798" s="60"/>
      <c r="D1798" s="60"/>
      <c r="F1798" s="60"/>
      <c r="G1798" s="60"/>
      <c r="H1798" s="62"/>
      <c r="I1798" s="62" t="str">
        <f t="shared" si="28"/>
        <v/>
      </c>
    </row>
    <row r="1799" spans="2:9" x14ac:dyDescent="0.25">
      <c r="B1799" s="59"/>
      <c r="C1799" s="60"/>
      <c r="D1799" s="60"/>
      <c r="F1799" s="60"/>
      <c r="G1799" s="60"/>
      <c r="H1799" s="62"/>
      <c r="I1799" s="62" t="str">
        <f t="shared" si="28"/>
        <v/>
      </c>
    </row>
    <row r="1800" spans="2:9" x14ac:dyDescent="0.25">
      <c r="B1800" s="59"/>
      <c r="C1800" s="60"/>
      <c r="D1800" s="60"/>
      <c r="F1800" s="60"/>
      <c r="G1800" s="60"/>
      <c r="H1800" s="62"/>
      <c r="I1800" s="62" t="str">
        <f t="shared" si="28"/>
        <v/>
      </c>
    </row>
    <row r="1801" spans="2:9" x14ac:dyDescent="0.25">
      <c r="B1801" s="59"/>
      <c r="C1801" s="60"/>
      <c r="D1801" s="60"/>
      <c r="F1801" s="60"/>
      <c r="G1801" s="60"/>
      <c r="H1801" s="62"/>
      <c r="I1801" s="62" t="str">
        <f t="shared" si="28"/>
        <v/>
      </c>
    </row>
    <row r="1802" spans="2:9" x14ac:dyDescent="0.25">
      <c r="B1802" s="59"/>
      <c r="C1802" s="60"/>
      <c r="D1802" s="60"/>
      <c r="F1802" s="60"/>
      <c r="G1802" s="60"/>
      <c r="H1802" s="62"/>
      <c r="I1802" s="62" t="str">
        <f t="shared" si="28"/>
        <v/>
      </c>
    </row>
    <row r="1803" spans="2:9" x14ac:dyDescent="0.25">
      <c r="B1803" s="59"/>
      <c r="C1803" s="60"/>
      <c r="D1803" s="60"/>
      <c r="F1803" s="60"/>
      <c r="G1803" s="60"/>
      <c r="H1803" s="62"/>
      <c r="I1803" s="62" t="str">
        <f t="shared" si="28"/>
        <v/>
      </c>
    </row>
    <row r="1804" spans="2:9" x14ac:dyDescent="0.25">
      <c r="B1804" s="59"/>
      <c r="C1804" s="60"/>
      <c r="D1804" s="60"/>
      <c r="F1804" s="60"/>
      <c r="G1804" s="60"/>
      <c r="H1804" s="62"/>
      <c r="I1804" s="62" t="str">
        <f t="shared" si="28"/>
        <v/>
      </c>
    </row>
    <row r="1805" spans="2:9" x14ac:dyDescent="0.25">
      <c r="B1805" s="59"/>
      <c r="C1805" s="60"/>
      <c r="D1805" s="60"/>
      <c r="F1805" s="60"/>
      <c r="G1805" s="60"/>
      <c r="H1805" s="62"/>
      <c r="I1805" s="62" t="str">
        <f t="shared" si="28"/>
        <v/>
      </c>
    </row>
    <row r="1806" spans="2:9" x14ac:dyDescent="0.25">
      <c r="B1806" s="59"/>
      <c r="C1806" s="60"/>
      <c r="D1806" s="60"/>
      <c r="F1806" s="60"/>
      <c r="G1806" s="60"/>
      <c r="H1806" s="62"/>
      <c r="I1806" s="62" t="str">
        <f t="shared" si="28"/>
        <v/>
      </c>
    </row>
    <row r="1807" spans="2:9" x14ac:dyDescent="0.25">
      <c r="B1807" s="59"/>
      <c r="C1807" s="60"/>
      <c r="D1807" s="60"/>
      <c r="F1807" s="60"/>
      <c r="G1807" s="60"/>
      <c r="H1807" s="62"/>
      <c r="I1807" s="62" t="str">
        <f t="shared" si="28"/>
        <v/>
      </c>
    </row>
    <row r="1808" spans="2:9" x14ac:dyDescent="0.25">
      <c r="B1808" s="59"/>
      <c r="C1808" s="60"/>
      <c r="D1808" s="60"/>
      <c r="F1808" s="60"/>
      <c r="G1808" s="60"/>
      <c r="H1808" s="62"/>
      <c r="I1808" s="62" t="str">
        <f t="shared" si="28"/>
        <v/>
      </c>
    </row>
    <row r="1809" spans="2:9" x14ac:dyDescent="0.25">
      <c r="B1809" s="59"/>
      <c r="C1809" s="60"/>
      <c r="D1809" s="60"/>
      <c r="F1809" s="60"/>
      <c r="G1809" s="60"/>
      <c r="H1809" s="62"/>
      <c r="I1809" s="62" t="str">
        <f t="shared" si="28"/>
        <v/>
      </c>
    </row>
    <row r="1810" spans="2:9" x14ac:dyDescent="0.25">
      <c r="B1810" s="59"/>
      <c r="C1810" s="60"/>
      <c r="D1810" s="60"/>
      <c r="F1810" s="60"/>
      <c r="G1810" s="60"/>
      <c r="H1810" s="62"/>
      <c r="I1810" s="62" t="str">
        <f t="shared" si="28"/>
        <v/>
      </c>
    </row>
    <row r="1811" spans="2:9" x14ac:dyDescent="0.25">
      <c r="B1811" s="59"/>
      <c r="C1811" s="60"/>
      <c r="D1811" s="60"/>
      <c r="F1811" s="60"/>
      <c r="G1811" s="60"/>
      <c r="H1811" s="62"/>
      <c r="I1811" s="62" t="str">
        <f t="shared" si="28"/>
        <v/>
      </c>
    </row>
    <row r="1812" spans="2:9" x14ac:dyDescent="0.25">
      <c r="B1812" s="59"/>
      <c r="C1812" s="60"/>
      <c r="D1812" s="60"/>
      <c r="F1812" s="60"/>
      <c r="G1812" s="60"/>
      <c r="H1812" s="62"/>
      <c r="I1812" s="62" t="str">
        <f t="shared" si="28"/>
        <v/>
      </c>
    </row>
    <row r="1813" spans="2:9" x14ac:dyDescent="0.25">
      <c r="B1813" s="59"/>
      <c r="C1813" s="60"/>
      <c r="D1813" s="60"/>
      <c r="F1813" s="60"/>
      <c r="G1813" s="60"/>
      <c r="H1813" s="62"/>
      <c r="I1813" s="62" t="str">
        <f t="shared" si="28"/>
        <v/>
      </c>
    </row>
    <row r="1814" spans="2:9" x14ac:dyDescent="0.25">
      <c r="B1814" s="59"/>
      <c r="C1814" s="60"/>
      <c r="D1814" s="60"/>
      <c r="F1814" s="60"/>
      <c r="G1814" s="60"/>
      <c r="H1814" s="62"/>
      <c r="I1814" s="62" t="str">
        <f t="shared" si="28"/>
        <v/>
      </c>
    </row>
    <row r="1815" spans="2:9" x14ac:dyDescent="0.25">
      <c r="B1815" s="59"/>
      <c r="C1815" s="60"/>
      <c r="D1815" s="60"/>
      <c r="F1815" s="60"/>
      <c r="G1815" s="60"/>
      <c r="H1815" s="62"/>
      <c r="I1815" s="62" t="str">
        <f t="shared" si="28"/>
        <v/>
      </c>
    </row>
    <row r="1816" spans="2:9" x14ac:dyDescent="0.25">
      <c r="B1816" s="59"/>
      <c r="C1816" s="60"/>
      <c r="D1816" s="60"/>
      <c r="F1816" s="60"/>
      <c r="G1816" s="60"/>
      <c r="H1816" s="62"/>
      <c r="I1816" s="62" t="str">
        <f t="shared" si="28"/>
        <v/>
      </c>
    </row>
    <row r="1817" spans="2:9" x14ac:dyDescent="0.25">
      <c r="B1817" s="59"/>
      <c r="C1817" s="60"/>
      <c r="D1817" s="60"/>
      <c r="F1817" s="60"/>
      <c r="G1817" s="60"/>
      <c r="H1817" s="62"/>
      <c r="I1817" s="62" t="str">
        <f t="shared" si="28"/>
        <v/>
      </c>
    </row>
    <row r="1818" spans="2:9" x14ac:dyDescent="0.25">
      <c r="B1818" s="59"/>
      <c r="C1818" s="60"/>
      <c r="D1818" s="60"/>
      <c r="F1818" s="60"/>
      <c r="G1818" s="60"/>
      <c r="H1818" s="62"/>
      <c r="I1818" s="62" t="str">
        <f t="shared" si="28"/>
        <v/>
      </c>
    </row>
    <row r="1819" spans="2:9" x14ac:dyDescent="0.25">
      <c r="B1819" s="59"/>
      <c r="C1819" s="60"/>
      <c r="D1819" s="60"/>
      <c r="F1819" s="60"/>
      <c r="G1819" s="60"/>
      <c r="H1819" s="62"/>
      <c r="I1819" s="62" t="str">
        <f t="shared" si="28"/>
        <v/>
      </c>
    </row>
    <row r="1820" spans="2:9" x14ac:dyDescent="0.25">
      <c r="B1820" s="59"/>
      <c r="C1820" s="60"/>
      <c r="D1820" s="60"/>
      <c r="F1820" s="60"/>
      <c r="G1820" s="60"/>
      <c r="H1820" s="62"/>
      <c r="I1820" s="62" t="str">
        <f t="shared" si="28"/>
        <v/>
      </c>
    </row>
    <row r="1821" spans="2:9" x14ac:dyDescent="0.25">
      <c r="B1821" s="59"/>
      <c r="C1821" s="60"/>
      <c r="D1821" s="60"/>
      <c r="F1821" s="60"/>
      <c r="G1821" s="60"/>
      <c r="H1821" s="62"/>
      <c r="I1821" s="62" t="str">
        <f t="shared" si="28"/>
        <v/>
      </c>
    </row>
    <row r="1822" spans="2:9" x14ac:dyDescent="0.25">
      <c r="B1822" s="59"/>
      <c r="C1822" s="60"/>
      <c r="D1822" s="60"/>
      <c r="F1822" s="60"/>
      <c r="G1822" s="60"/>
      <c r="H1822" s="62"/>
      <c r="I1822" s="62" t="str">
        <f t="shared" si="28"/>
        <v/>
      </c>
    </row>
    <row r="1823" spans="2:9" x14ac:dyDescent="0.25">
      <c r="B1823" s="59"/>
      <c r="C1823" s="60"/>
      <c r="D1823" s="60"/>
      <c r="F1823" s="60"/>
      <c r="G1823" s="60"/>
      <c r="H1823" s="62"/>
      <c r="I1823" s="62" t="str">
        <f t="shared" si="28"/>
        <v/>
      </c>
    </row>
    <row r="1824" spans="2:9" x14ac:dyDescent="0.25">
      <c r="B1824" s="59"/>
      <c r="C1824" s="60"/>
      <c r="D1824" s="60"/>
      <c r="F1824" s="60"/>
      <c r="G1824" s="60"/>
      <c r="H1824" s="62"/>
      <c r="I1824" s="62" t="str">
        <f t="shared" si="28"/>
        <v/>
      </c>
    </row>
    <row r="1825" spans="2:9" x14ac:dyDescent="0.25">
      <c r="B1825" s="59"/>
      <c r="C1825" s="60"/>
      <c r="D1825" s="60"/>
      <c r="F1825" s="60"/>
      <c r="G1825" s="60"/>
      <c r="H1825" s="62"/>
      <c r="I1825" s="62" t="str">
        <f t="shared" si="28"/>
        <v/>
      </c>
    </row>
    <row r="1826" spans="2:9" x14ac:dyDescent="0.25">
      <c r="B1826" s="59"/>
      <c r="C1826" s="60"/>
      <c r="D1826" s="60"/>
      <c r="F1826" s="60"/>
      <c r="G1826" s="60"/>
      <c r="H1826" s="62"/>
      <c r="I1826" s="62" t="str">
        <f t="shared" si="28"/>
        <v/>
      </c>
    </row>
    <row r="1827" spans="2:9" x14ac:dyDescent="0.25">
      <c r="B1827" s="59"/>
      <c r="C1827" s="60"/>
      <c r="D1827" s="60"/>
      <c r="F1827" s="60"/>
      <c r="G1827" s="60"/>
      <c r="H1827" s="62"/>
      <c r="I1827" s="62" t="str">
        <f t="shared" si="28"/>
        <v/>
      </c>
    </row>
    <row r="1828" spans="2:9" x14ac:dyDescent="0.25">
      <c r="B1828" s="59"/>
      <c r="C1828" s="60"/>
      <c r="D1828" s="60"/>
      <c r="F1828" s="60"/>
      <c r="G1828" s="60"/>
      <c r="H1828" s="62"/>
      <c r="I1828" s="62" t="str">
        <f t="shared" si="28"/>
        <v/>
      </c>
    </row>
    <row r="1829" spans="2:9" x14ac:dyDescent="0.25">
      <c r="B1829" s="59"/>
      <c r="C1829" s="60"/>
      <c r="D1829" s="60"/>
      <c r="F1829" s="60"/>
      <c r="G1829" s="60"/>
      <c r="H1829" s="62"/>
      <c r="I1829" s="62" t="str">
        <f t="shared" si="28"/>
        <v/>
      </c>
    </row>
    <row r="1830" spans="2:9" x14ac:dyDescent="0.25">
      <c r="B1830" s="59"/>
      <c r="C1830" s="60"/>
      <c r="D1830" s="60"/>
      <c r="F1830" s="60"/>
      <c r="G1830" s="60"/>
      <c r="H1830" s="62"/>
      <c r="I1830" s="62" t="str">
        <f t="shared" si="28"/>
        <v/>
      </c>
    </row>
    <row r="1831" spans="2:9" x14ac:dyDescent="0.25">
      <c r="B1831" s="59"/>
      <c r="C1831" s="60"/>
      <c r="D1831" s="60"/>
      <c r="F1831" s="60"/>
      <c r="G1831" s="60"/>
      <c r="H1831" s="62"/>
      <c r="I1831" s="62" t="str">
        <f t="shared" si="28"/>
        <v/>
      </c>
    </row>
    <row r="1832" spans="2:9" x14ac:dyDescent="0.25">
      <c r="B1832" s="59"/>
      <c r="C1832" s="60"/>
      <c r="D1832" s="60"/>
      <c r="F1832" s="60"/>
      <c r="G1832" s="60"/>
      <c r="H1832" s="62"/>
      <c r="I1832" s="62" t="str">
        <f t="shared" si="28"/>
        <v/>
      </c>
    </row>
    <row r="1833" spans="2:9" x14ac:dyDescent="0.25">
      <c r="B1833" s="59"/>
      <c r="C1833" s="60"/>
      <c r="D1833" s="60"/>
      <c r="F1833" s="60"/>
      <c r="G1833" s="60"/>
      <c r="H1833" s="62"/>
      <c r="I1833" s="62" t="str">
        <f t="shared" si="28"/>
        <v/>
      </c>
    </row>
    <row r="1834" spans="2:9" x14ac:dyDescent="0.25">
      <c r="B1834" s="59"/>
      <c r="C1834" s="60"/>
      <c r="D1834" s="60"/>
      <c r="F1834" s="60"/>
      <c r="G1834" s="60"/>
      <c r="H1834" s="62"/>
      <c r="I1834" s="62" t="str">
        <f t="shared" si="28"/>
        <v/>
      </c>
    </row>
    <row r="1835" spans="2:9" x14ac:dyDescent="0.25">
      <c r="B1835" s="59"/>
      <c r="C1835" s="60"/>
      <c r="D1835" s="60"/>
      <c r="F1835" s="60"/>
      <c r="G1835" s="60"/>
      <c r="H1835" s="62"/>
      <c r="I1835" s="62" t="str">
        <f t="shared" si="28"/>
        <v/>
      </c>
    </row>
    <row r="1836" spans="2:9" x14ac:dyDescent="0.25">
      <c r="B1836" s="59"/>
      <c r="C1836" s="60"/>
      <c r="D1836" s="60"/>
      <c r="F1836" s="60"/>
      <c r="G1836" s="60"/>
      <c r="H1836" s="62"/>
      <c r="I1836" s="62" t="str">
        <f t="shared" si="28"/>
        <v/>
      </c>
    </row>
    <row r="1837" spans="2:9" x14ac:dyDescent="0.25">
      <c r="B1837" s="59"/>
      <c r="C1837" s="60"/>
      <c r="D1837" s="60"/>
      <c r="F1837" s="60"/>
      <c r="G1837" s="60"/>
      <c r="H1837" s="62"/>
      <c r="I1837" s="62" t="str">
        <f t="shared" si="28"/>
        <v/>
      </c>
    </row>
    <row r="1838" spans="2:9" x14ac:dyDescent="0.25">
      <c r="B1838" s="59"/>
      <c r="C1838" s="60"/>
      <c r="D1838" s="60"/>
      <c r="F1838" s="60"/>
      <c r="G1838" s="60"/>
      <c r="H1838" s="62"/>
      <c r="I1838" s="62" t="str">
        <f t="shared" si="28"/>
        <v/>
      </c>
    </row>
    <row r="1839" spans="2:9" x14ac:dyDescent="0.25">
      <c r="B1839" s="59"/>
      <c r="C1839" s="60"/>
      <c r="D1839" s="60"/>
      <c r="F1839" s="60"/>
      <c r="G1839" s="60"/>
      <c r="H1839" s="62"/>
      <c r="I1839" s="62" t="str">
        <f t="shared" si="28"/>
        <v/>
      </c>
    </row>
    <row r="1840" spans="2:9" x14ac:dyDescent="0.25">
      <c r="B1840" s="59"/>
      <c r="C1840" s="60"/>
      <c r="D1840" s="60"/>
      <c r="F1840" s="60"/>
      <c r="G1840" s="60"/>
      <c r="H1840" s="62"/>
      <c r="I1840" s="62" t="str">
        <f t="shared" si="28"/>
        <v/>
      </c>
    </row>
    <row r="1841" spans="2:9" x14ac:dyDescent="0.25">
      <c r="B1841" s="59"/>
      <c r="C1841" s="60"/>
      <c r="D1841" s="60"/>
      <c r="F1841" s="60"/>
      <c r="G1841" s="60"/>
      <c r="H1841" s="62"/>
      <c r="I1841" s="62" t="str">
        <f t="shared" si="28"/>
        <v/>
      </c>
    </row>
    <row r="1842" spans="2:9" x14ac:dyDescent="0.25">
      <c r="B1842" s="59"/>
      <c r="C1842" s="60"/>
      <c r="D1842" s="60"/>
      <c r="F1842" s="60"/>
      <c r="G1842" s="60"/>
      <c r="H1842" s="62"/>
      <c r="I1842" s="62" t="str">
        <f t="shared" si="28"/>
        <v/>
      </c>
    </row>
    <row r="1843" spans="2:9" x14ac:dyDescent="0.25">
      <c r="B1843" s="59"/>
      <c r="C1843" s="60"/>
      <c r="D1843" s="60"/>
      <c r="F1843" s="60"/>
      <c r="G1843" s="60"/>
      <c r="H1843" s="62"/>
      <c r="I1843" s="62" t="str">
        <f t="shared" si="28"/>
        <v/>
      </c>
    </row>
    <row r="1844" spans="2:9" x14ac:dyDescent="0.25">
      <c r="B1844" s="59"/>
      <c r="C1844" s="60"/>
      <c r="D1844" s="60"/>
      <c r="F1844" s="60"/>
      <c r="G1844" s="60"/>
      <c r="H1844" s="62"/>
      <c r="I1844" s="62" t="str">
        <f t="shared" si="28"/>
        <v/>
      </c>
    </row>
    <row r="1845" spans="2:9" x14ac:dyDescent="0.25">
      <c r="B1845" s="59"/>
      <c r="C1845" s="60"/>
      <c r="D1845" s="60"/>
      <c r="F1845" s="60"/>
      <c r="G1845" s="60"/>
      <c r="H1845" s="62"/>
      <c r="I1845" s="62" t="str">
        <f t="shared" si="28"/>
        <v/>
      </c>
    </row>
    <row r="1846" spans="2:9" x14ac:dyDescent="0.25">
      <c r="B1846" s="59"/>
      <c r="C1846" s="60"/>
      <c r="D1846" s="60"/>
      <c r="F1846" s="60"/>
      <c r="G1846" s="60"/>
      <c r="H1846" s="62"/>
      <c r="I1846" s="62" t="str">
        <f t="shared" si="28"/>
        <v/>
      </c>
    </row>
    <row r="1847" spans="2:9" x14ac:dyDescent="0.25">
      <c r="B1847" s="59"/>
      <c r="C1847" s="60"/>
      <c r="D1847" s="60"/>
      <c r="F1847" s="60"/>
      <c r="G1847" s="60"/>
      <c r="H1847" s="62"/>
      <c r="I1847" s="62" t="str">
        <f t="shared" si="28"/>
        <v/>
      </c>
    </row>
    <row r="1848" spans="2:9" x14ac:dyDescent="0.25">
      <c r="B1848" s="59"/>
      <c r="C1848" s="60"/>
      <c r="D1848" s="60"/>
      <c r="F1848" s="60"/>
      <c r="G1848" s="60"/>
      <c r="H1848" s="62"/>
      <c r="I1848" s="62" t="str">
        <f t="shared" si="28"/>
        <v/>
      </c>
    </row>
    <row r="1849" spans="2:9" x14ac:dyDescent="0.25">
      <c r="B1849" s="59"/>
      <c r="C1849" s="60"/>
      <c r="D1849" s="60"/>
      <c r="F1849" s="60"/>
      <c r="G1849" s="60"/>
      <c r="H1849" s="62"/>
      <c r="I1849" s="62" t="str">
        <f t="shared" si="28"/>
        <v/>
      </c>
    </row>
    <row r="1850" spans="2:9" x14ac:dyDescent="0.25">
      <c r="B1850" s="59"/>
      <c r="C1850" s="60"/>
      <c r="D1850" s="60"/>
      <c r="F1850" s="60"/>
      <c r="G1850" s="60"/>
      <c r="H1850" s="62"/>
      <c r="I1850" s="62" t="str">
        <f t="shared" si="28"/>
        <v/>
      </c>
    </row>
    <row r="1851" spans="2:9" x14ac:dyDescent="0.25">
      <c r="B1851" s="59"/>
      <c r="C1851" s="60"/>
      <c r="D1851" s="60"/>
      <c r="F1851" s="60"/>
      <c r="G1851" s="60"/>
      <c r="H1851" s="62"/>
      <c r="I1851" s="62" t="str">
        <f t="shared" si="28"/>
        <v/>
      </c>
    </row>
    <row r="1852" spans="2:9" x14ac:dyDescent="0.25">
      <c r="B1852" s="59"/>
      <c r="C1852" s="60"/>
      <c r="D1852" s="60"/>
      <c r="F1852" s="60"/>
      <c r="G1852" s="60"/>
      <c r="H1852" s="62"/>
      <c r="I1852" s="62" t="str">
        <f t="shared" si="28"/>
        <v/>
      </c>
    </row>
    <row r="1853" spans="2:9" x14ac:dyDescent="0.25">
      <c r="B1853" s="59"/>
      <c r="C1853" s="60"/>
      <c r="D1853" s="60"/>
      <c r="F1853" s="60"/>
      <c r="G1853" s="60"/>
      <c r="H1853" s="62"/>
      <c r="I1853" s="62" t="str">
        <f t="shared" si="28"/>
        <v/>
      </c>
    </row>
    <row r="1854" spans="2:9" x14ac:dyDescent="0.25">
      <c r="B1854" s="59"/>
      <c r="C1854" s="60"/>
      <c r="D1854" s="60"/>
      <c r="F1854" s="60"/>
      <c r="G1854" s="60"/>
      <c r="H1854" s="62"/>
      <c r="I1854" s="62" t="str">
        <f t="shared" si="28"/>
        <v/>
      </c>
    </row>
    <row r="1855" spans="2:9" x14ac:dyDescent="0.25">
      <c r="B1855" s="59"/>
      <c r="C1855" s="60"/>
      <c r="D1855" s="60"/>
      <c r="F1855" s="60"/>
      <c r="G1855" s="60"/>
      <c r="H1855" s="62"/>
      <c r="I1855" s="62" t="str">
        <f t="shared" si="28"/>
        <v/>
      </c>
    </row>
    <row r="1856" spans="2:9" x14ac:dyDescent="0.25">
      <c r="B1856" s="59"/>
      <c r="C1856" s="60"/>
      <c r="D1856" s="60"/>
      <c r="F1856" s="60"/>
      <c r="G1856" s="60"/>
      <c r="H1856" s="62"/>
      <c r="I1856" s="62" t="str">
        <f t="shared" si="28"/>
        <v/>
      </c>
    </row>
    <row r="1857" spans="2:9" x14ac:dyDescent="0.25">
      <c r="B1857" s="59"/>
      <c r="C1857" s="60"/>
      <c r="D1857" s="60"/>
      <c r="F1857" s="60"/>
      <c r="G1857" s="60"/>
      <c r="H1857" s="62"/>
      <c r="I1857" s="62" t="str">
        <f t="shared" si="28"/>
        <v/>
      </c>
    </row>
    <row r="1858" spans="2:9" x14ac:dyDescent="0.25">
      <c r="B1858" s="59"/>
      <c r="C1858" s="60"/>
      <c r="D1858" s="60"/>
      <c r="F1858" s="60"/>
      <c r="G1858" s="60"/>
      <c r="H1858" s="62"/>
      <c r="I1858" s="62" t="str">
        <f t="shared" si="28"/>
        <v/>
      </c>
    </row>
    <row r="1859" spans="2:9" x14ac:dyDescent="0.25">
      <c r="B1859" s="59"/>
      <c r="C1859" s="60"/>
      <c r="D1859" s="60"/>
      <c r="F1859" s="60"/>
      <c r="G1859" s="60"/>
      <c r="H1859" s="62"/>
      <c r="I1859" s="62" t="str">
        <f t="shared" si="28"/>
        <v/>
      </c>
    </row>
    <row r="1860" spans="2:9" x14ac:dyDescent="0.25">
      <c r="B1860" s="59"/>
      <c r="C1860" s="60"/>
      <c r="D1860" s="60"/>
      <c r="F1860" s="60"/>
      <c r="G1860" s="60"/>
      <c r="H1860" s="62"/>
      <c r="I1860" s="62" t="str">
        <f t="shared" si="28"/>
        <v/>
      </c>
    </row>
    <row r="1861" spans="2:9" x14ac:dyDescent="0.25">
      <c r="B1861" s="59"/>
      <c r="C1861" s="60"/>
      <c r="D1861" s="60"/>
      <c r="F1861" s="60"/>
      <c r="G1861" s="60"/>
      <c r="H1861" s="62"/>
      <c r="I1861" s="62" t="str">
        <f t="shared" ref="I1861:I1924" si="29">IF(H1861&lt;&gt;"",H1861-H1860,"")</f>
        <v/>
      </c>
    </row>
    <row r="1862" spans="2:9" x14ac:dyDescent="0.25">
      <c r="B1862" s="59"/>
      <c r="C1862" s="60"/>
      <c r="D1862" s="60"/>
      <c r="F1862" s="60"/>
      <c r="G1862" s="60"/>
      <c r="H1862" s="62"/>
      <c r="I1862" s="62" t="str">
        <f t="shared" si="29"/>
        <v/>
      </c>
    </row>
    <row r="1863" spans="2:9" x14ac:dyDescent="0.25">
      <c r="B1863" s="59"/>
      <c r="C1863" s="60"/>
      <c r="D1863" s="60"/>
      <c r="F1863" s="60"/>
      <c r="G1863" s="60"/>
      <c r="H1863" s="62"/>
      <c r="I1863" s="62" t="str">
        <f t="shared" si="29"/>
        <v/>
      </c>
    </row>
    <row r="1864" spans="2:9" x14ac:dyDescent="0.25">
      <c r="B1864" s="59"/>
      <c r="C1864" s="60"/>
      <c r="D1864" s="60"/>
      <c r="F1864" s="60"/>
      <c r="G1864" s="60"/>
      <c r="H1864" s="62"/>
      <c r="I1864" s="62" t="str">
        <f t="shared" si="29"/>
        <v/>
      </c>
    </row>
    <row r="1865" spans="2:9" x14ac:dyDescent="0.25">
      <c r="B1865" s="59"/>
      <c r="C1865" s="60"/>
      <c r="D1865" s="60"/>
      <c r="F1865" s="60"/>
      <c r="G1865" s="60"/>
      <c r="H1865" s="62"/>
      <c r="I1865" s="62" t="str">
        <f t="shared" si="29"/>
        <v/>
      </c>
    </row>
    <row r="1866" spans="2:9" x14ac:dyDescent="0.25">
      <c r="B1866" s="59"/>
      <c r="C1866" s="60"/>
      <c r="D1866" s="60"/>
      <c r="F1866" s="60"/>
      <c r="G1866" s="60"/>
      <c r="H1866" s="62"/>
      <c r="I1866" s="62" t="str">
        <f t="shared" si="29"/>
        <v/>
      </c>
    </row>
    <row r="1867" spans="2:9" x14ac:dyDescent="0.25">
      <c r="B1867" s="59"/>
      <c r="C1867" s="60"/>
      <c r="D1867" s="60"/>
      <c r="F1867" s="60"/>
      <c r="G1867" s="60"/>
      <c r="H1867" s="62"/>
      <c r="I1867" s="62" t="str">
        <f t="shared" si="29"/>
        <v/>
      </c>
    </row>
    <row r="1868" spans="2:9" x14ac:dyDescent="0.25">
      <c r="B1868" s="59"/>
      <c r="C1868" s="60"/>
      <c r="D1868" s="60"/>
      <c r="F1868" s="60"/>
      <c r="G1868" s="60"/>
      <c r="H1868" s="62"/>
      <c r="I1868" s="62" t="str">
        <f t="shared" si="29"/>
        <v/>
      </c>
    </row>
    <row r="1869" spans="2:9" x14ac:dyDescent="0.25">
      <c r="B1869" s="59"/>
      <c r="C1869" s="60"/>
      <c r="D1869" s="60"/>
      <c r="F1869" s="60"/>
      <c r="G1869" s="60"/>
      <c r="H1869" s="62"/>
      <c r="I1869" s="62" t="str">
        <f t="shared" si="29"/>
        <v/>
      </c>
    </row>
    <row r="1870" spans="2:9" x14ac:dyDescent="0.25">
      <c r="B1870" s="59"/>
      <c r="C1870" s="60"/>
      <c r="D1870" s="60"/>
      <c r="F1870" s="60"/>
      <c r="G1870" s="60"/>
      <c r="H1870" s="62"/>
      <c r="I1870" s="62" t="str">
        <f t="shared" si="29"/>
        <v/>
      </c>
    </row>
    <row r="1871" spans="2:9" x14ac:dyDescent="0.25">
      <c r="B1871" s="59"/>
      <c r="C1871" s="60"/>
      <c r="D1871" s="60"/>
      <c r="F1871" s="60"/>
      <c r="G1871" s="60"/>
      <c r="H1871" s="62"/>
      <c r="I1871" s="62" t="str">
        <f t="shared" si="29"/>
        <v/>
      </c>
    </row>
    <row r="1872" spans="2:9" x14ac:dyDescent="0.25">
      <c r="B1872" s="59"/>
      <c r="C1872" s="60"/>
      <c r="D1872" s="60"/>
      <c r="F1872" s="60"/>
      <c r="G1872" s="60"/>
      <c r="H1872" s="62"/>
      <c r="I1872" s="62" t="str">
        <f t="shared" si="29"/>
        <v/>
      </c>
    </row>
    <row r="1873" spans="2:9" x14ac:dyDescent="0.25">
      <c r="B1873" s="59"/>
      <c r="C1873" s="60"/>
      <c r="D1873" s="60"/>
      <c r="F1873" s="60"/>
      <c r="G1873" s="60"/>
      <c r="H1873" s="62"/>
      <c r="I1873" s="62" t="str">
        <f t="shared" si="29"/>
        <v/>
      </c>
    </row>
    <row r="1874" spans="2:9" x14ac:dyDescent="0.25">
      <c r="B1874" s="59"/>
      <c r="C1874" s="60"/>
      <c r="D1874" s="60"/>
      <c r="F1874" s="60"/>
      <c r="G1874" s="60"/>
      <c r="H1874" s="62"/>
      <c r="I1874" s="62" t="str">
        <f t="shared" si="29"/>
        <v/>
      </c>
    </row>
    <row r="1875" spans="2:9" x14ac:dyDescent="0.25">
      <c r="B1875" s="59"/>
      <c r="C1875" s="60"/>
      <c r="D1875" s="60"/>
      <c r="F1875" s="60"/>
      <c r="G1875" s="60"/>
      <c r="H1875" s="62"/>
      <c r="I1875" s="62" t="str">
        <f t="shared" si="29"/>
        <v/>
      </c>
    </row>
    <row r="1876" spans="2:9" x14ac:dyDescent="0.25">
      <c r="B1876" s="59"/>
      <c r="C1876" s="60"/>
      <c r="D1876" s="60"/>
      <c r="F1876" s="60"/>
      <c r="G1876" s="60"/>
      <c r="H1876" s="62"/>
      <c r="I1876" s="62" t="str">
        <f t="shared" si="29"/>
        <v/>
      </c>
    </row>
    <row r="1877" spans="2:9" x14ac:dyDescent="0.25">
      <c r="B1877" s="59"/>
      <c r="C1877" s="60"/>
      <c r="D1877" s="60"/>
      <c r="F1877" s="60"/>
      <c r="G1877" s="60"/>
      <c r="H1877" s="62"/>
      <c r="I1877" s="62" t="str">
        <f t="shared" si="29"/>
        <v/>
      </c>
    </row>
    <row r="1878" spans="2:9" x14ac:dyDescent="0.25">
      <c r="B1878" s="59"/>
      <c r="C1878" s="60"/>
      <c r="D1878" s="60"/>
      <c r="F1878" s="60"/>
      <c r="G1878" s="60"/>
      <c r="H1878" s="62"/>
      <c r="I1878" s="62" t="str">
        <f t="shared" si="29"/>
        <v/>
      </c>
    </row>
    <row r="1879" spans="2:9" x14ac:dyDescent="0.25">
      <c r="B1879" s="59"/>
      <c r="C1879" s="60"/>
      <c r="D1879" s="60"/>
      <c r="F1879" s="60"/>
      <c r="G1879" s="60"/>
      <c r="H1879" s="62"/>
      <c r="I1879" s="62" t="str">
        <f t="shared" si="29"/>
        <v/>
      </c>
    </row>
    <row r="1880" spans="2:9" x14ac:dyDescent="0.25">
      <c r="B1880" s="59"/>
      <c r="C1880" s="60"/>
      <c r="D1880" s="60"/>
      <c r="F1880" s="60"/>
      <c r="G1880" s="60"/>
      <c r="H1880" s="62"/>
      <c r="I1880" s="62" t="str">
        <f t="shared" si="29"/>
        <v/>
      </c>
    </row>
    <row r="1881" spans="2:9" x14ac:dyDescent="0.25">
      <c r="B1881" s="59"/>
      <c r="C1881" s="60"/>
      <c r="D1881" s="60"/>
      <c r="F1881" s="60"/>
      <c r="G1881" s="60"/>
      <c r="H1881" s="62"/>
      <c r="I1881" s="62" t="str">
        <f t="shared" si="29"/>
        <v/>
      </c>
    </row>
    <row r="1882" spans="2:9" x14ac:dyDescent="0.25">
      <c r="B1882" s="59"/>
      <c r="C1882" s="60"/>
      <c r="D1882" s="60"/>
      <c r="F1882" s="60"/>
      <c r="G1882" s="60"/>
      <c r="H1882" s="62"/>
      <c r="I1882" s="62" t="str">
        <f t="shared" si="29"/>
        <v/>
      </c>
    </row>
    <row r="1883" spans="2:9" x14ac:dyDescent="0.25">
      <c r="B1883" s="59"/>
      <c r="C1883" s="60"/>
      <c r="D1883" s="60"/>
      <c r="F1883" s="60"/>
      <c r="G1883" s="60"/>
      <c r="H1883" s="62"/>
      <c r="I1883" s="62" t="str">
        <f t="shared" si="29"/>
        <v/>
      </c>
    </row>
    <row r="1884" spans="2:9" x14ac:dyDescent="0.25">
      <c r="B1884" s="59"/>
      <c r="C1884" s="60"/>
      <c r="D1884" s="60"/>
      <c r="F1884" s="60"/>
      <c r="G1884" s="60"/>
      <c r="H1884" s="62"/>
      <c r="I1884" s="62" t="str">
        <f t="shared" si="29"/>
        <v/>
      </c>
    </row>
    <row r="1885" spans="2:9" x14ac:dyDescent="0.25">
      <c r="B1885" s="59"/>
      <c r="C1885" s="60"/>
      <c r="D1885" s="60"/>
      <c r="F1885" s="60"/>
      <c r="G1885" s="60"/>
      <c r="H1885" s="62"/>
      <c r="I1885" s="62" t="str">
        <f t="shared" si="29"/>
        <v/>
      </c>
    </row>
    <row r="1886" spans="2:9" x14ac:dyDescent="0.25">
      <c r="B1886" s="59"/>
      <c r="C1886" s="60"/>
      <c r="D1886" s="60"/>
      <c r="F1886" s="60"/>
      <c r="G1886" s="60"/>
      <c r="H1886" s="62"/>
      <c r="I1886" s="62" t="str">
        <f t="shared" si="29"/>
        <v/>
      </c>
    </row>
    <row r="1887" spans="2:9" x14ac:dyDescent="0.25">
      <c r="B1887" s="59"/>
      <c r="C1887" s="60"/>
      <c r="D1887" s="60"/>
      <c r="F1887" s="60"/>
      <c r="G1887" s="60"/>
      <c r="H1887" s="62"/>
      <c r="I1887" s="62" t="str">
        <f t="shared" si="29"/>
        <v/>
      </c>
    </row>
    <row r="1888" spans="2:9" x14ac:dyDescent="0.25">
      <c r="B1888" s="59"/>
      <c r="C1888" s="60"/>
      <c r="D1888" s="60"/>
      <c r="F1888" s="60"/>
      <c r="G1888" s="60"/>
      <c r="H1888" s="62"/>
      <c r="I1888" s="62" t="str">
        <f t="shared" si="29"/>
        <v/>
      </c>
    </row>
    <row r="1889" spans="2:9" x14ac:dyDescent="0.25">
      <c r="B1889" s="59"/>
      <c r="C1889" s="60"/>
      <c r="D1889" s="60"/>
      <c r="F1889" s="60"/>
      <c r="G1889" s="60"/>
      <c r="H1889" s="62"/>
      <c r="I1889" s="62" t="str">
        <f t="shared" si="29"/>
        <v/>
      </c>
    </row>
    <row r="1890" spans="2:9" x14ac:dyDescent="0.25">
      <c r="B1890" s="59"/>
      <c r="C1890" s="60"/>
      <c r="D1890" s="60"/>
      <c r="F1890" s="60"/>
      <c r="G1890" s="60"/>
      <c r="H1890" s="62"/>
      <c r="I1890" s="62" t="str">
        <f t="shared" si="29"/>
        <v/>
      </c>
    </row>
    <row r="1891" spans="2:9" x14ac:dyDescent="0.25">
      <c r="B1891" s="59"/>
      <c r="C1891" s="60"/>
      <c r="D1891" s="60"/>
      <c r="F1891" s="60"/>
      <c r="G1891" s="60"/>
      <c r="H1891" s="62"/>
      <c r="I1891" s="62" t="str">
        <f t="shared" si="29"/>
        <v/>
      </c>
    </row>
    <row r="1892" spans="2:9" x14ac:dyDescent="0.25">
      <c r="B1892" s="59"/>
      <c r="C1892" s="60"/>
      <c r="D1892" s="60"/>
      <c r="F1892" s="60"/>
      <c r="G1892" s="60"/>
      <c r="H1892" s="62"/>
      <c r="I1892" s="62" t="str">
        <f t="shared" si="29"/>
        <v/>
      </c>
    </row>
    <row r="1893" spans="2:9" x14ac:dyDescent="0.25">
      <c r="B1893" s="59"/>
      <c r="C1893" s="60"/>
      <c r="D1893" s="60"/>
      <c r="F1893" s="60"/>
      <c r="G1893" s="60"/>
      <c r="H1893" s="62"/>
      <c r="I1893" s="62" t="str">
        <f t="shared" si="29"/>
        <v/>
      </c>
    </row>
    <row r="1894" spans="2:9" x14ac:dyDescent="0.25">
      <c r="B1894" s="59"/>
      <c r="C1894" s="60"/>
      <c r="D1894" s="60"/>
      <c r="F1894" s="60"/>
      <c r="G1894" s="60"/>
      <c r="H1894" s="62"/>
      <c r="I1894" s="62" t="str">
        <f t="shared" si="29"/>
        <v/>
      </c>
    </row>
    <row r="1895" spans="2:9" x14ac:dyDescent="0.25">
      <c r="B1895" s="59"/>
      <c r="C1895" s="60"/>
      <c r="D1895" s="60"/>
      <c r="F1895" s="60"/>
      <c r="G1895" s="60"/>
      <c r="H1895" s="62"/>
      <c r="I1895" s="62" t="str">
        <f t="shared" si="29"/>
        <v/>
      </c>
    </row>
    <row r="1896" spans="2:9" x14ac:dyDescent="0.25">
      <c r="B1896" s="59"/>
      <c r="C1896" s="60"/>
      <c r="D1896" s="60"/>
      <c r="F1896" s="60"/>
      <c r="G1896" s="60"/>
      <c r="H1896" s="62"/>
      <c r="I1896" s="62" t="str">
        <f t="shared" si="29"/>
        <v/>
      </c>
    </row>
    <row r="1897" spans="2:9" x14ac:dyDescent="0.25">
      <c r="B1897" s="59"/>
      <c r="C1897" s="60"/>
      <c r="D1897" s="60"/>
      <c r="F1897" s="60"/>
      <c r="G1897" s="60"/>
      <c r="H1897" s="62"/>
      <c r="I1897" s="62" t="str">
        <f t="shared" si="29"/>
        <v/>
      </c>
    </row>
    <row r="1898" spans="2:9" x14ac:dyDescent="0.25">
      <c r="B1898" s="59"/>
      <c r="C1898" s="60"/>
      <c r="D1898" s="60"/>
      <c r="F1898" s="60"/>
      <c r="G1898" s="60"/>
      <c r="H1898" s="62"/>
      <c r="I1898" s="62" t="str">
        <f t="shared" si="29"/>
        <v/>
      </c>
    </row>
    <row r="1899" spans="2:9" x14ac:dyDescent="0.25">
      <c r="B1899" s="59"/>
      <c r="C1899" s="60"/>
      <c r="D1899" s="60"/>
      <c r="F1899" s="60"/>
      <c r="G1899" s="60"/>
      <c r="H1899" s="62"/>
      <c r="I1899" s="62" t="str">
        <f t="shared" si="29"/>
        <v/>
      </c>
    </row>
    <row r="1900" spans="2:9" x14ac:dyDescent="0.25">
      <c r="B1900" s="59"/>
      <c r="C1900" s="60"/>
      <c r="D1900" s="60"/>
      <c r="F1900" s="60"/>
      <c r="G1900" s="60"/>
      <c r="H1900" s="62"/>
      <c r="I1900" s="62" t="str">
        <f t="shared" si="29"/>
        <v/>
      </c>
    </row>
    <row r="1901" spans="2:9" x14ac:dyDescent="0.25">
      <c r="B1901" s="59"/>
      <c r="C1901" s="60"/>
      <c r="D1901" s="60"/>
      <c r="F1901" s="60"/>
      <c r="G1901" s="60"/>
      <c r="H1901" s="62"/>
      <c r="I1901" s="62" t="str">
        <f t="shared" si="29"/>
        <v/>
      </c>
    </row>
    <row r="1902" spans="2:9" x14ac:dyDescent="0.25">
      <c r="B1902" s="59"/>
      <c r="C1902" s="60"/>
      <c r="D1902" s="60"/>
      <c r="F1902" s="60"/>
      <c r="G1902" s="60"/>
      <c r="H1902" s="62"/>
      <c r="I1902" s="62" t="str">
        <f t="shared" si="29"/>
        <v/>
      </c>
    </row>
    <row r="1903" spans="2:9" x14ac:dyDescent="0.25">
      <c r="B1903" s="59"/>
      <c r="C1903" s="60"/>
      <c r="D1903" s="60"/>
      <c r="F1903" s="60"/>
      <c r="G1903" s="60"/>
      <c r="H1903" s="62"/>
      <c r="I1903" s="62" t="str">
        <f t="shared" si="29"/>
        <v/>
      </c>
    </row>
    <row r="1904" spans="2:9" x14ac:dyDescent="0.25">
      <c r="B1904" s="59"/>
      <c r="C1904" s="60"/>
      <c r="D1904" s="60"/>
      <c r="F1904" s="60"/>
      <c r="G1904" s="60"/>
      <c r="H1904" s="62"/>
      <c r="I1904" s="62" t="str">
        <f t="shared" si="29"/>
        <v/>
      </c>
    </row>
    <row r="1905" spans="2:9" x14ac:dyDescent="0.25">
      <c r="B1905" s="59"/>
      <c r="C1905" s="60"/>
      <c r="D1905" s="60"/>
      <c r="F1905" s="60"/>
      <c r="G1905" s="60"/>
      <c r="H1905" s="62"/>
      <c r="I1905" s="62" t="str">
        <f t="shared" si="29"/>
        <v/>
      </c>
    </row>
    <row r="1906" spans="2:9" x14ac:dyDescent="0.25">
      <c r="B1906" s="59"/>
      <c r="C1906" s="60"/>
      <c r="D1906" s="60"/>
      <c r="F1906" s="60"/>
      <c r="G1906" s="60"/>
      <c r="H1906" s="62"/>
      <c r="I1906" s="62" t="str">
        <f t="shared" si="29"/>
        <v/>
      </c>
    </row>
    <row r="1907" spans="2:9" x14ac:dyDescent="0.25">
      <c r="B1907" s="59"/>
      <c r="C1907" s="60"/>
      <c r="D1907" s="60"/>
      <c r="F1907" s="60"/>
      <c r="G1907" s="60"/>
      <c r="H1907" s="62"/>
      <c r="I1907" s="62" t="str">
        <f t="shared" si="29"/>
        <v/>
      </c>
    </row>
    <row r="1908" spans="2:9" x14ac:dyDescent="0.25">
      <c r="B1908" s="59"/>
      <c r="C1908" s="60"/>
      <c r="D1908" s="60"/>
      <c r="F1908" s="60"/>
      <c r="G1908" s="60"/>
      <c r="H1908" s="62"/>
      <c r="I1908" s="62" t="str">
        <f t="shared" si="29"/>
        <v/>
      </c>
    </row>
    <row r="1909" spans="2:9" x14ac:dyDescent="0.25">
      <c r="B1909" s="59"/>
      <c r="C1909" s="60"/>
      <c r="D1909" s="60"/>
      <c r="F1909" s="60"/>
      <c r="G1909" s="60"/>
      <c r="H1909" s="62"/>
      <c r="I1909" s="62" t="str">
        <f t="shared" si="29"/>
        <v/>
      </c>
    </row>
    <row r="1910" spans="2:9" x14ac:dyDescent="0.25">
      <c r="B1910" s="59"/>
      <c r="C1910" s="60"/>
      <c r="D1910" s="60"/>
      <c r="F1910" s="60"/>
      <c r="G1910" s="60"/>
      <c r="H1910" s="62"/>
      <c r="I1910" s="62" t="str">
        <f t="shared" si="29"/>
        <v/>
      </c>
    </row>
    <row r="1911" spans="2:9" x14ac:dyDescent="0.25">
      <c r="B1911" s="59"/>
      <c r="C1911" s="60"/>
      <c r="D1911" s="60"/>
      <c r="F1911" s="60"/>
      <c r="G1911" s="60"/>
      <c r="H1911" s="62"/>
      <c r="I1911" s="62" t="str">
        <f t="shared" si="29"/>
        <v/>
      </c>
    </row>
    <row r="1912" spans="2:9" x14ac:dyDescent="0.25">
      <c r="B1912" s="59"/>
      <c r="C1912" s="60"/>
      <c r="D1912" s="60"/>
      <c r="F1912" s="60"/>
      <c r="G1912" s="60"/>
      <c r="H1912" s="62"/>
      <c r="I1912" s="62" t="str">
        <f t="shared" si="29"/>
        <v/>
      </c>
    </row>
    <row r="1913" spans="2:9" x14ac:dyDescent="0.25">
      <c r="B1913" s="59"/>
      <c r="C1913" s="60"/>
      <c r="D1913" s="60"/>
      <c r="F1913" s="60"/>
      <c r="G1913" s="60"/>
      <c r="H1913" s="62"/>
      <c r="I1913" s="62" t="str">
        <f t="shared" si="29"/>
        <v/>
      </c>
    </row>
    <row r="1914" spans="2:9" x14ac:dyDescent="0.25">
      <c r="B1914" s="59"/>
      <c r="C1914" s="60"/>
      <c r="D1914" s="60"/>
      <c r="F1914" s="60"/>
      <c r="G1914" s="60"/>
      <c r="H1914" s="62"/>
      <c r="I1914" s="62" t="str">
        <f t="shared" si="29"/>
        <v/>
      </c>
    </row>
    <row r="1915" spans="2:9" x14ac:dyDescent="0.25">
      <c r="B1915" s="59"/>
      <c r="C1915" s="60"/>
      <c r="D1915" s="60"/>
      <c r="F1915" s="60"/>
      <c r="G1915" s="60"/>
      <c r="H1915" s="62"/>
      <c r="I1915" s="62" t="str">
        <f t="shared" si="29"/>
        <v/>
      </c>
    </row>
    <row r="1916" spans="2:9" x14ac:dyDescent="0.25">
      <c r="B1916" s="59"/>
      <c r="C1916" s="60"/>
      <c r="D1916" s="60"/>
      <c r="F1916" s="60"/>
      <c r="G1916" s="60"/>
      <c r="H1916" s="62"/>
      <c r="I1916" s="62" t="str">
        <f t="shared" si="29"/>
        <v/>
      </c>
    </row>
    <row r="1917" spans="2:9" x14ac:dyDescent="0.25">
      <c r="B1917" s="59"/>
      <c r="C1917" s="60"/>
      <c r="D1917" s="60"/>
      <c r="F1917" s="60"/>
      <c r="G1917" s="60"/>
      <c r="H1917" s="62"/>
      <c r="I1917" s="62" t="str">
        <f t="shared" si="29"/>
        <v/>
      </c>
    </row>
    <row r="1918" spans="2:9" x14ac:dyDescent="0.25">
      <c r="B1918" s="59"/>
      <c r="C1918" s="60"/>
      <c r="D1918" s="60"/>
      <c r="F1918" s="60"/>
      <c r="G1918" s="60"/>
      <c r="H1918" s="62"/>
      <c r="I1918" s="62" t="str">
        <f t="shared" si="29"/>
        <v/>
      </c>
    </row>
    <row r="1919" spans="2:9" x14ac:dyDescent="0.25">
      <c r="B1919" s="59"/>
      <c r="C1919" s="60"/>
      <c r="D1919" s="60"/>
      <c r="F1919" s="60"/>
      <c r="G1919" s="60"/>
      <c r="H1919" s="62"/>
      <c r="I1919" s="62" t="str">
        <f t="shared" si="29"/>
        <v/>
      </c>
    </row>
    <row r="1920" spans="2:9" x14ac:dyDescent="0.25">
      <c r="B1920" s="59"/>
      <c r="C1920" s="60"/>
      <c r="D1920" s="60"/>
      <c r="F1920" s="60"/>
      <c r="G1920" s="60"/>
      <c r="H1920" s="62"/>
      <c r="I1920" s="62" t="str">
        <f t="shared" si="29"/>
        <v/>
      </c>
    </row>
    <row r="1921" spans="2:9" x14ac:dyDescent="0.25">
      <c r="B1921" s="59"/>
      <c r="C1921" s="60"/>
      <c r="D1921" s="60"/>
      <c r="F1921" s="60"/>
      <c r="G1921" s="60"/>
      <c r="H1921" s="62"/>
      <c r="I1921" s="62" t="str">
        <f t="shared" si="29"/>
        <v/>
      </c>
    </row>
    <row r="1922" spans="2:9" x14ac:dyDescent="0.25">
      <c r="B1922" s="59"/>
      <c r="C1922" s="60"/>
      <c r="D1922" s="60"/>
      <c r="F1922" s="60"/>
      <c r="G1922" s="60"/>
      <c r="H1922" s="62"/>
      <c r="I1922" s="62" t="str">
        <f t="shared" si="29"/>
        <v/>
      </c>
    </row>
    <row r="1923" spans="2:9" x14ac:dyDescent="0.25">
      <c r="B1923" s="59"/>
      <c r="C1923" s="60"/>
      <c r="D1923" s="60"/>
      <c r="F1923" s="60"/>
      <c r="G1923" s="60"/>
      <c r="H1923" s="62"/>
      <c r="I1923" s="62" t="str">
        <f t="shared" si="29"/>
        <v/>
      </c>
    </row>
    <row r="1924" spans="2:9" x14ac:dyDescent="0.25">
      <c r="B1924" s="59"/>
      <c r="C1924" s="60"/>
      <c r="D1924" s="60"/>
      <c r="F1924" s="60"/>
      <c r="G1924" s="60"/>
      <c r="H1924" s="62"/>
      <c r="I1924" s="62" t="str">
        <f t="shared" si="29"/>
        <v/>
      </c>
    </row>
    <row r="1925" spans="2:9" x14ac:dyDescent="0.25">
      <c r="B1925" s="59"/>
      <c r="C1925" s="60"/>
      <c r="D1925" s="60"/>
      <c r="F1925" s="60"/>
      <c r="G1925" s="60"/>
      <c r="H1925" s="62"/>
      <c r="I1925" s="62" t="str">
        <f t="shared" ref="I1925:I1988" si="30">IF(H1925&lt;&gt;"",H1925-H1924,"")</f>
        <v/>
      </c>
    </row>
    <row r="1926" spans="2:9" x14ac:dyDescent="0.25">
      <c r="B1926" s="59"/>
      <c r="C1926" s="60"/>
      <c r="D1926" s="60"/>
      <c r="F1926" s="60"/>
      <c r="G1926" s="60"/>
      <c r="H1926" s="62"/>
      <c r="I1926" s="62" t="str">
        <f t="shared" si="30"/>
        <v/>
      </c>
    </row>
    <row r="1927" spans="2:9" x14ac:dyDescent="0.25">
      <c r="B1927" s="59"/>
      <c r="C1927" s="60"/>
      <c r="D1927" s="60"/>
      <c r="F1927" s="60"/>
      <c r="G1927" s="60"/>
      <c r="H1927" s="62"/>
      <c r="I1927" s="62" t="str">
        <f t="shared" si="30"/>
        <v/>
      </c>
    </row>
    <row r="1928" spans="2:9" x14ac:dyDescent="0.25">
      <c r="B1928" s="59"/>
      <c r="C1928" s="60"/>
      <c r="D1928" s="60"/>
      <c r="F1928" s="60"/>
      <c r="G1928" s="60"/>
      <c r="H1928" s="62"/>
      <c r="I1928" s="62" t="str">
        <f t="shared" si="30"/>
        <v/>
      </c>
    </row>
    <row r="1929" spans="2:9" x14ac:dyDescent="0.25">
      <c r="B1929" s="59"/>
      <c r="C1929" s="60"/>
      <c r="D1929" s="60"/>
      <c r="F1929" s="60"/>
      <c r="G1929" s="60"/>
      <c r="H1929" s="62"/>
      <c r="I1929" s="62" t="str">
        <f t="shared" si="30"/>
        <v/>
      </c>
    </row>
    <row r="1930" spans="2:9" x14ac:dyDescent="0.25">
      <c r="B1930" s="59"/>
      <c r="C1930" s="60"/>
      <c r="D1930" s="60"/>
      <c r="F1930" s="60"/>
      <c r="G1930" s="60"/>
      <c r="H1930" s="62"/>
      <c r="I1930" s="62" t="str">
        <f t="shared" si="30"/>
        <v/>
      </c>
    </row>
    <row r="1931" spans="2:9" x14ac:dyDescent="0.25">
      <c r="B1931" s="59"/>
      <c r="C1931" s="60"/>
      <c r="D1931" s="60"/>
      <c r="F1931" s="60"/>
      <c r="G1931" s="60"/>
      <c r="H1931" s="62"/>
      <c r="I1931" s="62" t="str">
        <f t="shared" si="30"/>
        <v/>
      </c>
    </row>
    <row r="1932" spans="2:9" x14ac:dyDescent="0.25">
      <c r="B1932" s="59"/>
      <c r="C1932" s="60"/>
      <c r="D1932" s="60"/>
      <c r="F1932" s="60"/>
      <c r="G1932" s="60"/>
      <c r="H1932" s="62"/>
      <c r="I1932" s="62" t="str">
        <f t="shared" si="30"/>
        <v/>
      </c>
    </row>
    <row r="1933" spans="2:9" x14ac:dyDescent="0.25">
      <c r="B1933" s="59"/>
      <c r="C1933" s="60"/>
      <c r="D1933" s="60"/>
      <c r="F1933" s="60"/>
      <c r="G1933" s="60"/>
      <c r="H1933" s="62"/>
      <c r="I1933" s="62" t="str">
        <f t="shared" si="30"/>
        <v/>
      </c>
    </row>
    <row r="1934" spans="2:9" x14ac:dyDescent="0.25">
      <c r="B1934" s="59"/>
      <c r="C1934" s="60"/>
      <c r="D1934" s="60"/>
      <c r="F1934" s="60"/>
      <c r="G1934" s="60"/>
      <c r="H1934" s="62"/>
      <c r="I1934" s="62" t="str">
        <f t="shared" si="30"/>
        <v/>
      </c>
    </row>
    <row r="1935" spans="2:9" x14ac:dyDescent="0.25">
      <c r="B1935" s="59"/>
      <c r="C1935" s="60"/>
      <c r="D1935" s="60"/>
      <c r="F1935" s="60"/>
      <c r="G1935" s="60"/>
      <c r="H1935" s="62"/>
      <c r="I1935" s="62" t="str">
        <f t="shared" si="30"/>
        <v/>
      </c>
    </row>
    <row r="1936" spans="2:9" x14ac:dyDescent="0.25">
      <c r="B1936" s="59"/>
      <c r="C1936" s="60"/>
      <c r="D1936" s="60"/>
      <c r="F1936" s="60"/>
      <c r="G1936" s="60"/>
      <c r="H1936" s="62"/>
      <c r="I1936" s="62" t="str">
        <f t="shared" si="30"/>
        <v/>
      </c>
    </row>
    <row r="1937" spans="2:9" x14ac:dyDescent="0.25">
      <c r="B1937" s="59"/>
      <c r="C1937" s="60"/>
      <c r="D1937" s="60"/>
      <c r="F1937" s="60"/>
      <c r="G1937" s="60"/>
      <c r="H1937" s="62"/>
      <c r="I1937" s="62" t="str">
        <f t="shared" si="30"/>
        <v/>
      </c>
    </row>
    <row r="1938" spans="2:9" x14ac:dyDescent="0.25">
      <c r="B1938" s="59"/>
      <c r="C1938" s="60"/>
      <c r="D1938" s="60"/>
      <c r="F1938" s="60"/>
      <c r="G1938" s="60"/>
      <c r="H1938" s="62"/>
      <c r="I1938" s="62" t="str">
        <f t="shared" si="30"/>
        <v/>
      </c>
    </row>
    <row r="1939" spans="2:9" x14ac:dyDescent="0.25">
      <c r="B1939" s="59"/>
      <c r="C1939" s="60"/>
      <c r="D1939" s="60"/>
      <c r="F1939" s="60"/>
      <c r="G1939" s="60"/>
      <c r="H1939" s="62"/>
      <c r="I1939" s="62" t="str">
        <f t="shared" si="30"/>
        <v/>
      </c>
    </row>
    <row r="1940" spans="2:9" x14ac:dyDescent="0.25">
      <c r="B1940" s="59"/>
      <c r="C1940" s="60"/>
      <c r="D1940" s="60"/>
      <c r="F1940" s="60"/>
      <c r="G1940" s="60"/>
      <c r="H1940" s="62"/>
      <c r="I1940" s="62" t="str">
        <f t="shared" si="30"/>
        <v/>
      </c>
    </row>
    <row r="1941" spans="2:9" x14ac:dyDescent="0.25">
      <c r="B1941" s="59"/>
      <c r="C1941" s="60"/>
      <c r="D1941" s="60"/>
      <c r="F1941" s="60"/>
      <c r="G1941" s="60"/>
      <c r="H1941" s="62"/>
      <c r="I1941" s="62" t="str">
        <f t="shared" si="30"/>
        <v/>
      </c>
    </row>
    <row r="1942" spans="2:9" x14ac:dyDescent="0.25">
      <c r="B1942" s="59"/>
      <c r="C1942" s="60"/>
      <c r="D1942" s="60"/>
      <c r="F1942" s="60"/>
      <c r="G1942" s="60"/>
      <c r="H1942" s="62"/>
      <c r="I1942" s="62" t="str">
        <f t="shared" si="30"/>
        <v/>
      </c>
    </row>
    <row r="1943" spans="2:9" x14ac:dyDescent="0.25">
      <c r="B1943" s="59"/>
      <c r="C1943" s="60"/>
      <c r="D1943" s="60"/>
      <c r="F1943" s="60"/>
      <c r="G1943" s="60"/>
      <c r="H1943" s="62"/>
      <c r="I1943" s="62" t="str">
        <f t="shared" si="30"/>
        <v/>
      </c>
    </row>
    <row r="1944" spans="2:9" x14ac:dyDescent="0.25">
      <c r="B1944" s="59"/>
      <c r="C1944" s="60"/>
      <c r="D1944" s="60"/>
      <c r="F1944" s="60"/>
      <c r="G1944" s="60"/>
      <c r="H1944" s="62"/>
      <c r="I1944" s="62" t="str">
        <f t="shared" si="30"/>
        <v/>
      </c>
    </row>
    <row r="1945" spans="2:9" x14ac:dyDescent="0.25">
      <c r="B1945" s="59"/>
      <c r="C1945" s="60"/>
      <c r="D1945" s="60"/>
      <c r="F1945" s="60"/>
      <c r="G1945" s="60"/>
      <c r="H1945" s="62"/>
      <c r="I1945" s="62" t="str">
        <f t="shared" si="30"/>
        <v/>
      </c>
    </row>
    <row r="1946" spans="2:9" x14ac:dyDescent="0.25">
      <c r="B1946" s="59"/>
      <c r="C1946" s="60"/>
      <c r="D1946" s="60"/>
      <c r="F1946" s="60"/>
      <c r="G1946" s="60"/>
      <c r="H1946" s="62"/>
      <c r="I1946" s="62" t="str">
        <f t="shared" si="30"/>
        <v/>
      </c>
    </row>
    <row r="1947" spans="2:9" x14ac:dyDescent="0.25">
      <c r="B1947" s="59"/>
      <c r="C1947" s="60"/>
      <c r="D1947" s="60"/>
      <c r="F1947" s="60"/>
      <c r="G1947" s="60"/>
      <c r="H1947" s="62"/>
      <c r="I1947" s="62" t="str">
        <f t="shared" si="30"/>
        <v/>
      </c>
    </row>
    <row r="1948" spans="2:9" x14ac:dyDescent="0.25">
      <c r="B1948" s="59"/>
      <c r="C1948" s="60"/>
      <c r="D1948" s="60"/>
      <c r="F1948" s="60"/>
      <c r="G1948" s="60"/>
      <c r="H1948" s="62"/>
      <c r="I1948" s="62" t="str">
        <f t="shared" si="30"/>
        <v/>
      </c>
    </row>
    <row r="1949" spans="2:9" x14ac:dyDescent="0.25">
      <c r="B1949" s="59"/>
      <c r="C1949" s="60"/>
      <c r="D1949" s="60"/>
      <c r="F1949" s="60"/>
      <c r="G1949" s="60"/>
      <c r="H1949" s="62"/>
      <c r="I1949" s="62" t="str">
        <f t="shared" si="30"/>
        <v/>
      </c>
    </row>
    <row r="1950" spans="2:9" x14ac:dyDescent="0.25">
      <c r="B1950" s="59"/>
      <c r="C1950" s="60"/>
      <c r="D1950" s="60"/>
      <c r="F1950" s="60"/>
      <c r="G1950" s="60"/>
      <c r="H1950" s="62"/>
      <c r="I1950" s="62" t="str">
        <f t="shared" si="30"/>
        <v/>
      </c>
    </row>
    <row r="1951" spans="2:9" x14ac:dyDescent="0.25">
      <c r="B1951" s="59"/>
      <c r="C1951" s="60"/>
      <c r="D1951" s="60"/>
      <c r="F1951" s="60"/>
      <c r="G1951" s="60"/>
      <c r="H1951" s="62"/>
      <c r="I1951" s="62" t="str">
        <f t="shared" si="30"/>
        <v/>
      </c>
    </row>
    <row r="1952" spans="2:9" x14ac:dyDescent="0.25">
      <c r="B1952" s="59"/>
      <c r="C1952" s="60"/>
      <c r="D1952" s="60"/>
      <c r="F1952" s="60"/>
      <c r="G1952" s="60"/>
      <c r="H1952" s="62"/>
      <c r="I1952" s="62" t="str">
        <f t="shared" si="30"/>
        <v/>
      </c>
    </row>
    <row r="1953" spans="2:9" x14ac:dyDescent="0.25">
      <c r="B1953" s="59"/>
      <c r="C1953" s="60"/>
      <c r="D1953" s="60"/>
      <c r="F1953" s="60"/>
      <c r="G1953" s="60"/>
      <c r="H1953" s="62"/>
      <c r="I1953" s="62" t="str">
        <f t="shared" si="30"/>
        <v/>
      </c>
    </row>
    <row r="1954" spans="2:9" x14ac:dyDescent="0.25">
      <c r="B1954" s="59"/>
      <c r="C1954" s="60"/>
      <c r="D1954" s="60"/>
      <c r="F1954" s="60"/>
      <c r="G1954" s="60"/>
      <c r="H1954" s="62"/>
      <c r="I1954" s="62" t="str">
        <f t="shared" si="30"/>
        <v/>
      </c>
    </row>
    <row r="1955" spans="2:9" x14ac:dyDescent="0.25">
      <c r="B1955" s="59"/>
      <c r="C1955" s="60"/>
      <c r="D1955" s="60"/>
      <c r="F1955" s="60"/>
      <c r="G1955" s="60"/>
      <c r="H1955" s="62"/>
      <c r="I1955" s="62" t="str">
        <f t="shared" si="30"/>
        <v/>
      </c>
    </row>
    <row r="1956" spans="2:9" x14ac:dyDescent="0.25">
      <c r="B1956" s="59"/>
      <c r="C1956" s="60"/>
      <c r="D1956" s="60"/>
      <c r="F1956" s="60"/>
      <c r="G1956" s="60"/>
      <c r="H1956" s="62"/>
      <c r="I1956" s="62" t="str">
        <f t="shared" si="30"/>
        <v/>
      </c>
    </row>
    <row r="1957" spans="2:9" x14ac:dyDescent="0.25">
      <c r="B1957" s="59"/>
      <c r="C1957" s="60"/>
      <c r="D1957" s="60"/>
      <c r="F1957" s="60"/>
      <c r="G1957" s="60"/>
      <c r="H1957" s="62"/>
      <c r="I1957" s="62" t="str">
        <f t="shared" si="30"/>
        <v/>
      </c>
    </row>
    <row r="1958" spans="2:9" x14ac:dyDescent="0.25">
      <c r="B1958" s="59"/>
      <c r="C1958" s="60"/>
      <c r="D1958" s="60"/>
      <c r="F1958" s="60"/>
      <c r="G1958" s="60"/>
      <c r="H1958" s="62"/>
      <c r="I1958" s="62" t="str">
        <f t="shared" si="30"/>
        <v/>
      </c>
    </row>
    <row r="1959" spans="2:9" x14ac:dyDescent="0.25">
      <c r="B1959" s="59"/>
      <c r="C1959" s="60"/>
      <c r="D1959" s="60"/>
      <c r="F1959" s="60"/>
      <c r="G1959" s="60"/>
      <c r="H1959" s="62"/>
      <c r="I1959" s="62" t="str">
        <f t="shared" si="30"/>
        <v/>
      </c>
    </row>
    <row r="1960" spans="2:9" x14ac:dyDescent="0.25">
      <c r="B1960" s="59"/>
      <c r="C1960" s="60"/>
      <c r="D1960" s="60"/>
      <c r="F1960" s="60"/>
      <c r="G1960" s="60"/>
      <c r="H1960" s="62"/>
      <c r="I1960" s="62" t="str">
        <f t="shared" si="30"/>
        <v/>
      </c>
    </row>
    <row r="1961" spans="2:9" x14ac:dyDescent="0.25">
      <c r="B1961" s="59"/>
      <c r="C1961" s="60"/>
      <c r="D1961" s="60"/>
      <c r="F1961" s="60"/>
      <c r="G1961" s="60"/>
      <c r="H1961" s="62"/>
      <c r="I1961" s="62" t="str">
        <f t="shared" si="30"/>
        <v/>
      </c>
    </row>
    <row r="1962" spans="2:9" x14ac:dyDescent="0.25">
      <c r="B1962" s="59"/>
      <c r="C1962" s="60"/>
      <c r="D1962" s="60"/>
      <c r="F1962" s="60"/>
      <c r="G1962" s="60"/>
      <c r="H1962" s="62"/>
      <c r="I1962" s="62" t="str">
        <f t="shared" si="30"/>
        <v/>
      </c>
    </row>
    <row r="1963" spans="2:9" x14ac:dyDescent="0.25">
      <c r="B1963" s="59"/>
      <c r="C1963" s="60"/>
      <c r="D1963" s="60"/>
      <c r="F1963" s="60"/>
      <c r="G1963" s="60"/>
      <c r="H1963" s="62"/>
      <c r="I1963" s="62" t="str">
        <f t="shared" si="30"/>
        <v/>
      </c>
    </row>
    <row r="1964" spans="2:9" x14ac:dyDescent="0.25">
      <c r="B1964" s="59"/>
      <c r="C1964" s="60"/>
      <c r="D1964" s="60"/>
      <c r="F1964" s="60"/>
      <c r="G1964" s="60"/>
      <c r="H1964" s="62"/>
      <c r="I1964" s="62" t="str">
        <f t="shared" si="30"/>
        <v/>
      </c>
    </row>
    <row r="1965" spans="2:9" x14ac:dyDescent="0.25">
      <c r="B1965" s="59"/>
      <c r="C1965" s="60"/>
      <c r="D1965" s="60"/>
      <c r="F1965" s="60"/>
      <c r="G1965" s="60"/>
      <c r="H1965" s="62"/>
      <c r="I1965" s="62" t="str">
        <f t="shared" si="30"/>
        <v/>
      </c>
    </row>
    <row r="1966" spans="2:9" x14ac:dyDescent="0.25">
      <c r="B1966" s="59"/>
      <c r="C1966" s="60"/>
      <c r="D1966" s="60"/>
      <c r="F1966" s="60"/>
      <c r="G1966" s="60"/>
      <c r="H1966" s="62"/>
      <c r="I1966" s="62" t="str">
        <f t="shared" si="30"/>
        <v/>
      </c>
    </row>
    <row r="1967" spans="2:9" x14ac:dyDescent="0.25">
      <c r="B1967" s="59"/>
      <c r="C1967" s="60"/>
      <c r="D1967" s="60"/>
      <c r="F1967" s="60"/>
      <c r="G1967" s="60"/>
      <c r="H1967" s="62"/>
      <c r="I1967" s="62" t="str">
        <f t="shared" si="30"/>
        <v/>
      </c>
    </row>
    <row r="1968" spans="2:9" x14ac:dyDescent="0.25">
      <c r="B1968" s="59"/>
      <c r="C1968" s="60"/>
      <c r="D1968" s="60"/>
      <c r="F1968" s="60"/>
      <c r="G1968" s="60"/>
      <c r="H1968" s="62"/>
      <c r="I1968" s="62" t="str">
        <f t="shared" si="30"/>
        <v/>
      </c>
    </row>
    <row r="1969" spans="2:9" x14ac:dyDescent="0.25">
      <c r="B1969" s="59"/>
      <c r="C1969" s="60"/>
      <c r="D1969" s="60"/>
      <c r="F1969" s="60"/>
      <c r="G1969" s="60"/>
      <c r="H1969" s="62"/>
      <c r="I1969" s="62" t="str">
        <f t="shared" si="30"/>
        <v/>
      </c>
    </row>
    <row r="1970" spans="2:9" x14ac:dyDescent="0.25">
      <c r="B1970" s="59"/>
      <c r="C1970" s="60"/>
      <c r="D1970" s="60"/>
      <c r="F1970" s="60"/>
      <c r="G1970" s="60"/>
      <c r="H1970" s="62"/>
      <c r="I1970" s="62" t="str">
        <f t="shared" si="30"/>
        <v/>
      </c>
    </row>
    <row r="1971" spans="2:9" x14ac:dyDescent="0.25">
      <c r="B1971" s="59"/>
      <c r="C1971" s="60"/>
      <c r="D1971" s="60"/>
      <c r="F1971" s="60"/>
      <c r="G1971" s="60"/>
      <c r="H1971" s="62"/>
      <c r="I1971" s="62" t="str">
        <f t="shared" si="30"/>
        <v/>
      </c>
    </row>
    <row r="1972" spans="2:9" x14ac:dyDescent="0.25">
      <c r="B1972" s="59"/>
      <c r="C1972" s="60"/>
      <c r="D1972" s="60"/>
      <c r="F1972" s="60"/>
      <c r="G1972" s="60"/>
      <c r="H1972" s="62"/>
      <c r="I1972" s="62" t="str">
        <f t="shared" si="30"/>
        <v/>
      </c>
    </row>
    <row r="1973" spans="2:9" x14ac:dyDescent="0.25">
      <c r="B1973" s="59"/>
      <c r="C1973" s="60"/>
      <c r="D1973" s="60"/>
      <c r="F1973" s="60"/>
      <c r="G1973" s="60"/>
      <c r="H1973" s="62"/>
      <c r="I1973" s="62" t="str">
        <f t="shared" si="30"/>
        <v/>
      </c>
    </row>
    <row r="1974" spans="2:9" x14ac:dyDescent="0.25">
      <c r="B1974" s="59"/>
      <c r="C1974" s="60"/>
      <c r="D1974" s="60"/>
      <c r="F1974" s="60"/>
      <c r="G1974" s="60"/>
      <c r="H1974" s="62"/>
      <c r="I1974" s="62" t="str">
        <f t="shared" si="30"/>
        <v/>
      </c>
    </row>
    <row r="1975" spans="2:9" x14ac:dyDescent="0.25">
      <c r="B1975" s="59"/>
      <c r="C1975" s="60"/>
      <c r="D1975" s="60"/>
      <c r="F1975" s="60"/>
      <c r="G1975" s="60"/>
      <c r="H1975" s="62"/>
      <c r="I1975" s="62" t="str">
        <f t="shared" si="30"/>
        <v/>
      </c>
    </row>
    <row r="1976" spans="2:9" x14ac:dyDescent="0.25">
      <c r="B1976" s="59"/>
      <c r="C1976" s="60"/>
      <c r="D1976" s="60"/>
      <c r="F1976" s="60"/>
      <c r="G1976" s="60"/>
      <c r="H1976" s="62"/>
      <c r="I1976" s="62" t="str">
        <f t="shared" si="30"/>
        <v/>
      </c>
    </row>
    <row r="1977" spans="2:9" x14ac:dyDescent="0.25">
      <c r="B1977" s="59"/>
      <c r="C1977" s="60"/>
      <c r="D1977" s="60"/>
      <c r="F1977" s="60"/>
      <c r="G1977" s="60"/>
      <c r="H1977" s="62"/>
      <c r="I1977" s="62" t="str">
        <f t="shared" si="30"/>
        <v/>
      </c>
    </row>
    <row r="1978" spans="2:9" x14ac:dyDescent="0.25">
      <c r="B1978" s="59"/>
      <c r="C1978" s="60"/>
      <c r="D1978" s="60"/>
      <c r="F1978" s="60"/>
      <c r="G1978" s="60"/>
      <c r="H1978" s="62"/>
      <c r="I1978" s="62" t="str">
        <f t="shared" si="30"/>
        <v/>
      </c>
    </row>
    <row r="1979" spans="2:9" x14ac:dyDescent="0.25">
      <c r="B1979" s="59"/>
      <c r="C1979" s="60"/>
      <c r="D1979" s="60"/>
      <c r="F1979" s="60"/>
      <c r="G1979" s="60"/>
      <c r="H1979" s="62"/>
      <c r="I1979" s="62" t="str">
        <f t="shared" si="30"/>
        <v/>
      </c>
    </row>
    <row r="1980" spans="2:9" x14ac:dyDescent="0.25">
      <c r="B1980" s="59"/>
      <c r="C1980" s="60"/>
      <c r="D1980" s="60"/>
      <c r="F1980" s="60"/>
      <c r="G1980" s="60"/>
      <c r="H1980" s="62"/>
      <c r="I1980" s="62" t="str">
        <f t="shared" si="30"/>
        <v/>
      </c>
    </row>
    <row r="1981" spans="2:9" x14ac:dyDescent="0.25">
      <c r="B1981" s="59"/>
      <c r="C1981" s="60"/>
      <c r="D1981" s="60"/>
      <c r="F1981" s="60"/>
      <c r="G1981" s="60"/>
      <c r="H1981" s="62"/>
      <c r="I1981" s="62" t="str">
        <f t="shared" si="30"/>
        <v/>
      </c>
    </row>
    <row r="1982" spans="2:9" x14ac:dyDescent="0.25">
      <c r="B1982" s="59"/>
      <c r="C1982" s="60"/>
      <c r="D1982" s="60"/>
      <c r="F1982" s="60"/>
      <c r="G1982" s="60"/>
      <c r="H1982" s="62"/>
      <c r="I1982" s="62" t="str">
        <f t="shared" si="30"/>
        <v/>
      </c>
    </row>
    <row r="1983" spans="2:9" x14ac:dyDescent="0.25">
      <c r="B1983" s="59"/>
      <c r="C1983" s="60"/>
      <c r="D1983" s="60"/>
      <c r="F1983" s="60"/>
      <c r="G1983" s="60"/>
      <c r="H1983" s="62"/>
      <c r="I1983" s="62" t="str">
        <f t="shared" si="30"/>
        <v/>
      </c>
    </row>
    <row r="1984" spans="2:9" x14ac:dyDescent="0.25">
      <c r="B1984" s="59"/>
      <c r="C1984" s="60"/>
      <c r="D1984" s="60"/>
      <c r="F1984" s="60"/>
      <c r="G1984" s="60"/>
      <c r="H1984" s="62"/>
      <c r="I1984" s="62" t="str">
        <f t="shared" si="30"/>
        <v/>
      </c>
    </row>
    <row r="1985" spans="2:9" x14ac:dyDescent="0.25">
      <c r="B1985" s="59"/>
      <c r="C1985" s="60"/>
      <c r="D1985" s="60"/>
      <c r="F1985" s="60"/>
      <c r="G1985" s="60"/>
      <c r="H1985" s="62"/>
      <c r="I1985" s="62" t="str">
        <f t="shared" si="30"/>
        <v/>
      </c>
    </row>
    <row r="1986" spans="2:9" x14ac:dyDescent="0.25">
      <c r="B1986" s="59"/>
      <c r="C1986" s="60"/>
      <c r="D1986" s="60"/>
      <c r="F1986" s="60"/>
      <c r="G1986" s="60"/>
      <c r="H1986" s="62"/>
      <c r="I1986" s="62" t="str">
        <f t="shared" si="30"/>
        <v/>
      </c>
    </row>
    <row r="1987" spans="2:9" x14ac:dyDescent="0.25">
      <c r="B1987" s="59"/>
      <c r="C1987" s="60"/>
      <c r="D1987" s="60"/>
      <c r="F1987" s="60"/>
      <c r="G1987" s="60"/>
      <c r="H1987" s="62"/>
      <c r="I1987" s="62" t="str">
        <f t="shared" si="30"/>
        <v/>
      </c>
    </row>
    <row r="1988" spans="2:9" x14ac:dyDescent="0.25">
      <c r="B1988" s="59"/>
      <c r="C1988" s="60"/>
      <c r="D1988" s="60"/>
      <c r="F1988" s="60"/>
      <c r="G1988" s="60"/>
      <c r="H1988" s="62"/>
      <c r="I1988" s="62" t="str">
        <f t="shared" si="30"/>
        <v/>
      </c>
    </row>
    <row r="1989" spans="2:9" x14ac:dyDescent="0.25">
      <c r="B1989" s="59"/>
      <c r="C1989" s="60"/>
      <c r="D1989" s="60"/>
      <c r="F1989" s="60"/>
      <c r="G1989" s="60"/>
      <c r="H1989" s="62"/>
      <c r="I1989" s="62" t="str">
        <f t="shared" ref="I1989:I2052" si="31">IF(H1989&lt;&gt;"",H1989-H1988,"")</f>
        <v/>
      </c>
    </row>
    <row r="1990" spans="2:9" x14ac:dyDescent="0.25">
      <c r="B1990" s="59"/>
      <c r="C1990" s="60"/>
      <c r="D1990" s="60"/>
      <c r="F1990" s="60"/>
      <c r="G1990" s="60"/>
      <c r="H1990" s="62"/>
      <c r="I1990" s="62" t="str">
        <f t="shared" si="31"/>
        <v/>
      </c>
    </row>
    <row r="1991" spans="2:9" x14ac:dyDescent="0.25">
      <c r="B1991" s="59"/>
      <c r="C1991" s="60"/>
      <c r="D1991" s="60"/>
      <c r="F1991" s="60"/>
      <c r="G1991" s="60"/>
      <c r="H1991" s="62"/>
      <c r="I1991" s="62" t="str">
        <f t="shared" si="31"/>
        <v/>
      </c>
    </row>
    <row r="1992" spans="2:9" x14ac:dyDescent="0.25">
      <c r="B1992" s="59"/>
      <c r="C1992" s="60"/>
      <c r="D1992" s="60"/>
      <c r="F1992" s="60"/>
      <c r="G1992" s="60"/>
      <c r="H1992" s="62"/>
      <c r="I1992" s="62" t="str">
        <f t="shared" si="31"/>
        <v/>
      </c>
    </row>
    <row r="1993" spans="2:9" x14ac:dyDescent="0.25">
      <c r="B1993" s="59"/>
      <c r="C1993" s="60"/>
      <c r="D1993" s="60"/>
      <c r="F1993" s="60"/>
      <c r="G1993" s="60"/>
      <c r="H1993" s="62"/>
      <c r="I1993" s="62" t="str">
        <f t="shared" si="31"/>
        <v/>
      </c>
    </row>
    <row r="1994" spans="2:9" x14ac:dyDescent="0.25">
      <c r="B1994" s="59"/>
      <c r="C1994" s="60"/>
      <c r="D1994" s="60"/>
      <c r="F1994" s="60"/>
      <c r="G1994" s="60"/>
      <c r="H1994" s="62"/>
      <c r="I1994" s="62" t="str">
        <f t="shared" si="31"/>
        <v/>
      </c>
    </row>
    <row r="1995" spans="2:9" x14ac:dyDescent="0.25">
      <c r="B1995" s="59"/>
      <c r="C1995" s="60"/>
      <c r="D1995" s="60"/>
      <c r="F1995" s="60"/>
      <c r="G1995" s="60"/>
      <c r="H1995" s="62"/>
      <c r="I1995" s="62" t="str">
        <f t="shared" si="31"/>
        <v/>
      </c>
    </row>
    <row r="1996" spans="2:9" x14ac:dyDescent="0.25">
      <c r="B1996" s="59"/>
      <c r="C1996" s="60"/>
      <c r="D1996" s="60"/>
      <c r="F1996" s="60"/>
      <c r="G1996" s="60"/>
      <c r="H1996" s="62"/>
      <c r="I1996" s="62" t="str">
        <f t="shared" si="31"/>
        <v/>
      </c>
    </row>
    <row r="1997" spans="2:9" x14ac:dyDescent="0.25">
      <c r="B1997" s="59"/>
      <c r="C1997" s="60"/>
      <c r="D1997" s="60"/>
      <c r="F1997" s="60"/>
      <c r="G1997" s="60"/>
      <c r="H1997" s="62"/>
      <c r="I1997" s="62" t="str">
        <f t="shared" si="31"/>
        <v/>
      </c>
    </row>
    <row r="1998" spans="2:9" x14ac:dyDescent="0.25">
      <c r="B1998" s="59"/>
      <c r="C1998" s="60"/>
      <c r="D1998" s="60"/>
      <c r="F1998" s="60"/>
      <c r="G1998" s="60"/>
      <c r="H1998" s="62"/>
      <c r="I1998" s="62" t="str">
        <f t="shared" si="31"/>
        <v/>
      </c>
    </row>
    <row r="1999" spans="2:9" x14ac:dyDescent="0.25">
      <c r="B1999" s="59"/>
      <c r="C1999" s="60"/>
      <c r="D1999" s="60"/>
      <c r="F1999" s="60"/>
      <c r="G1999" s="60"/>
      <c r="H1999" s="62"/>
      <c r="I1999" s="62" t="str">
        <f t="shared" si="31"/>
        <v/>
      </c>
    </row>
    <row r="2000" spans="2:9" x14ac:dyDescent="0.25">
      <c r="B2000" s="59"/>
      <c r="C2000" s="60"/>
      <c r="D2000" s="60"/>
      <c r="F2000" s="60"/>
      <c r="G2000" s="60"/>
      <c r="H2000" s="62"/>
      <c r="I2000" s="62" t="str">
        <f t="shared" si="31"/>
        <v/>
      </c>
    </row>
    <row r="2001" spans="2:9" x14ac:dyDescent="0.25">
      <c r="B2001" s="59"/>
      <c r="C2001" s="60"/>
      <c r="D2001" s="60"/>
      <c r="F2001" s="60"/>
      <c r="G2001" s="60"/>
      <c r="H2001" s="62"/>
      <c r="I2001" s="62" t="str">
        <f t="shared" si="31"/>
        <v/>
      </c>
    </row>
    <row r="2002" spans="2:9" x14ac:dyDescent="0.25">
      <c r="B2002" s="59"/>
      <c r="C2002" s="60"/>
      <c r="D2002" s="60"/>
      <c r="F2002" s="60"/>
      <c r="G2002" s="60"/>
      <c r="H2002" s="62"/>
      <c r="I2002" s="62" t="str">
        <f t="shared" si="31"/>
        <v/>
      </c>
    </row>
    <row r="2003" spans="2:9" x14ac:dyDescent="0.25">
      <c r="B2003" s="59"/>
      <c r="C2003" s="60"/>
      <c r="D2003" s="60"/>
      <c r="F2003" s="60"/>
      <c r="G2003" s="60"/>
      <c r="H2003" s="62"/>
      <c r="I2003" s="62" t="str">
        <f t="shared" si="31"/>
        <v/>
      </c>
    </row>
    <row r="2004" spans="2:9" x14ac:dyDescent="0.25">
      <c r="B2004" s="59"/>
      <c r="C2004" s="60"/>
      <c r="D2004" s="60"/>
      <c r="F2004" s="60"/>
      <c r="G2004" s="60"/>
      <c r="H2004" s="62"/>
      <c r="I2004" s="62" t="str">
        <f t="shared" si="31"/>
        <v/>
      </c>
    </row>
    <row r="2005" spans="2:9" x14ac:dyDescent="0.25">
      <c r="B2005" s="59"/>
      <c r="C2005" s="60"/>
      <c r="D2005" s="60"/>
      <c r="F2005" s="60"/>
      <c r="G2005" s="60"/>
      <c r="H2005" s="62"/>
      <c r="I2005" s="62" t="str">
        <f t="shared" si="31"/>
        <v/>
      </c>
    </row>
    <row r="2006" spans="2:9" x14ac:dyDescent="0.25">
      <c r="B2006" s="59"/>
      <c r="C2006" s="60"/>
      <c r="D2006" s="60"/>
      <c r="F2006" s="60"/>
      <c r="G2006" s="60"/>
      <c r="H2006" s="62"/>
      <c r="I2006" s="62" t="str">
        <f t="shared" si="31"/>
        <v/>
      </c>
    </row>
    <row r="2007" spans="2:9" x14ac:dyDescent="0.25">
      <c r="B2007" s="59"/>
      <c r="C2007" s="60"/>
      <c r="D2007" s="60"/>
      <c r="F2007" s="60"/>
      <c r="G2007" s="60"/>
      <c r="H2007" s="62"/>
      <c r="I2007" s="62" t="str">
        <f t="shared" si="31"/>
        <v/>
      </c>
    </row>
    <row r="2008" spans="2:9" x14ac:dyDescent="0.25">
      <c r="B2008" s="59"/>
      <c r="C2008" s="60"/>
      <c r="D2008" s="60"/>
      <c r="F2008" s="60"/>
      <c r="G2008" s="60"/>
      <c r="H2008" s="62"/>
      <c r="I2008" s="62" t="str">
        <f t="shared" si="31"/>
        <v/>
      </c>
    </row>
    <row r="2009" spans="2:9" x14ac:dyDescent="0.25">
      <c r="B2009" s="59"/>
      <c r="C2009" s="60"/>
      <c r="D2009" s="60"/>
      <c r="F2009" s="60"/>
      <c r="G2009" s="60"/>
      <c r="H2009" s="62"/>
      <c r="I2009" s="62" t="str">
        <f t="shared" si="31"/>
        <v/>
      </c>
    </row>
    <row r="2010" spans="2:9" x14ac:dyDescent="0.25">
      <c r="B2010" s="59"/>
      <c r="C2010" s="60"/>
      <c r="D2010" s="60"/>
      <c r="F2010" s="60"/>
      <c r="G2010" s="60"/>
      <c r="H2010" s="62"/>
      <c r="I2010" s="62" t="str">
        <f t="shared" si="31"/>
        <v/>
      </c>
    </row>
    <row r="2011" spans="2:9" x14ac:dyDescent="0.25">
      <c r="B2011" s="59"/>
      <c r="C2011" s="60"/>
      <c r="D2011" s="60"/>
      <c r="F2011" s="60"/>
      <c r="G2011" s="60"/>
      <c r="H2011" s="62"/>
      <c r="I2011" s="62" t="str">
        <f t="shared" si="31"/>
        <v/>
      </c>
    </row>
    <row r="2012" spans="2:9" x14ac:dyDescent="0.25">
      <c r="B2012" s="59"/>
      <c r="C2012" s="60"/>
      <c r="D2012" s="60"/>
      <c r="F2012" s="60"/>
      <c r="G2012" s="60"/>
      <c r="H2012" s="62"/>
      <c r="I2012" s="62" t="str">
        <f t="shared" si="31"/>
        <v/>
      </c>
    </row>
    <row r="2013" spans="2:9" x14ac:dyDescent="0.25">
      <c r="B2013" s="59"/>
      <c r="C2013" s="60"/>
      <c r="D2013" s="60"/>
      <c r="F2013" s="60"/>
      <c r="G2013" s="60"/>
      <c r="H2013" s="62"/>
      <c r="I2013" s="62" t="str">
        <f t="shared" si="31"/>
        <v/>
      </c>
    </row>
    <row r="2014" spans="2:9" x14ac:dyDescent="0.25">
      <c r="B2014" s="59"/>
      <c r="C2014" s="60"/>
      <c r="D2014" s="60"/>
      <c r="F2014" s="60"/>
      <c r="G2014" s="60"/>
      <c r="H2014" s="62"/>
      <c r="I2014" s="62" t="str">
        <f t="shared" si="31"/>
        <v/>
      </c>
    </row>
    <row r="2015" spans="2:9" x14ac:dyDescent="0.25">
      <c r="B2015" s="59"/>
      <c r="C2015" s="60"/>
      <c r="D2015" s="60"/>
      <c r="F2015" s="60"/>
      <c r="G2015" s="60"/>
      <c r="H2015" s="62"/>
      <c r="I2015" s="62" t="str">
        <f t="shared" si="31"/>
        <v/>
      </c>
    </row>
    <row r="2016" spans="2:9" x14ac:dyDescent="0.25">
      <c r="B2016" s="59"/>
      <c r="C2016" s="60"/>
      <c r="D2016" s="60"/>
      <c r="F2016" s="60"/>
      <c r="G2016" s="60"/>
      <c r="H2016" s="62"/>
      <c r="I2016" s="62" t="str">
        <f t="shared" si="31"/>
        <v/>
      </c>
    </row>
    <row r="2017" spans="2:9" x14ac:dyDescent="0.25">
      <c r="B2017" s="59"/>
      <c r="C2017" s="60"/>
      <c r="D2017" s="60"/>
      <c r="F2017" s="60"/>
      <c r="G2017" s="60"/>
      <c r="H2017" s="62"/>
      <c r="I2017" s="62" t="str">
        <f t="shared" si="31"/>
        <v/>
      </c>
    </row>
    <row r="2018" spans="2:9" x14ac:dyDescent="0.25">
      <c r="B2018" s="59"/>
      <c r="C2018" s="60"/>
      <c r="D2018" s="60"/>
      <c r="F2018" s="60"/>
      <c r="G2018" s="60"/>
      <c r="H2018" s="62"/>
      <c r="I2018" s="62" t="str">
        <f t="shared" si="31"/>
        <v/>
      </c>
    </row>
    <row r="2019" spans="2:9" x14ac:dyDescent="0.25">
      <c r="B2019" s="59"/>
      <c r="C2019" s="60"/>
      <c r="D2019" s="60"/>
      <c r="F2019" s="60"/>
      <c r="G2019" s="60"/>
      <c r="H2019" s="62"/>
      <c r="I2019" s="62" t="str">
        <f t="shared" si="31"/>
        <v/>
      </c>
    </row>
    <row r="2020" spans="2:9" x14ac:dyDescent="0.25">
      <c r="B2020" s="59"/>
      <c r="C2020" s="60"/>
      <c r="D2020" s="60"/>
      <c r="F2020" s="60"/>
      <c r="G2020" s="60"/>
      <c r="H2020" s="62"/>
      <c r="I2020" s="62" t="str">
        <f t="shared" si="31"/>
        <v/>
      </c>
    </row>
    <row r="2021" spans="2:9" x14ac:dyDescent="0.25">
      <c r="B2021" s="59"/>
      <c r="C2021" s="60"/>
      <c r="D2021" s="60"/>
      <c r="F2021" s="60"/>
      <c r="G2021" s="60"/>
      <c r="H2021" s="62"/>
      <c r="I2021" s="62" t="str">
        <f t="shared" si="31"/>
        <v/>
      </c>
    </row>
    <row r="2022" spans="2:9" x14ac:dyDescent="0.25">
      <c r="B2022" s="59"/>
      <c r="C2022" s="60"/>
      <c r="D2022" s="60"/>
      <c r="F2022" s="60"/>
      <c r="G2022" s="60"/>
      <c r="H2022" s="62"/>
      <c r="I2022" s="62" t="str">
        <f t="shared" si="31"/>
        <v/>
      </c>
    </row>
    <row r="2023" spans="2:9" x14ac:dyDescent="0.25">
      <c r="B2023" s="59"/>
      <c r="C2023" s="60"/>
      <c r="D2023" s="60"/>
      <c r="F2023" s="60"/>
      <c r="G2023" s="60"/>
      <c r="H2023" s="62"/>
      <c r="I2023" s="62" t="str">
        <f t="shared" si="31"/>
        <v/>
      </c>
    </row>
    <row r="2024" spans="2:9" x14ac:dyDescent="0.25">
      <c r="B2024" s="59"/>
      <c r="C2024" s="60"/>
      <c r="D2024" s="60"/>
      <c r="F2024" s="60"/>
      <c r="G2024" s="60"/>
      <c r="H2024" s="62"/>
      <c r="I2024" s="62" t="str">
        <f t="shared" si="31"/>
        <v/>
      </c>
    </row>
    <row r="2025" spans="2:9" x14ac:dyDescent="0.25">
      <c r="B2025" s="59"/>
      <c r="C2025" s="60"/>
      <c r="D2025" s="60"/>
      <c r="F2025" s="60"/>
      <c r="G2025" s="60"/>
      <c r="H2025" s="62"/>
      <c r="I2025" s="62" t="str">
        <f t="shared" si="31"/>
        <v/>
      </c>
    </row>
    <row r="2026" spans="2:9" x14ac:dyDescent="0.25">
      <c r="B2026" s="59"/>
      <c r="C2026" s="60"/>
      <c r="D2026" s="60"/>
      <c r="F2026" s="60"/>
      <c r="G2026" s="60"/>
      <c r="H2026" s="62"/>
      <c r="I2026" s="62" t="str">
        <f t="shared" si="31"/>
        <v/>
      </c>
    </row>
    <row r="2027" spans="2:9" x14ac:dyDescent="0.25">
      <c r="B2027" s="59"/>
      <c r="C2027" s="60"/>
      <c r="D2027" s="60"/>
      <c r="F2027" s="60"/>
      <c r="G2027" s="60"/>
      <c r="H2027" s="62"/>
      <c r="I2027" s="62" t="str">
        <f t="shared" si="31"/>
        <v/>
      </c>
    </row>
    <row r="2028" spans="2:9" x14ac:dyDescent="0.25">
      <c r="B2028" s="59"/>
      <c r="C2028" s="60"/>
      <c r="D2028" s="60"/>
      <c r="F2028" s="60"/>
      <c r="G2028" s="60"/>
      <c r="H2028" s="62"/>
      <c r="I2028" s="62" t="str">
        <f t="shared" si="31"/>
        <v/>
      </c>
    </row>
    <row r="2029" spans="2:9" x14ac:dyDescent="0.25">
      <c r="B2029" s="59"/>
      <c r="C2029" s="60"/>
      <c r="D2029" s="60"/>
      <c r="F2029" s="60"/>
      <c r="G2029" s="60"/>
      <c r="H2029" s="62"/>
      <c r="I2029" s="62" t="str">
        <f t="shared" si="31"/>
        <v/>
      </c>
    </row>
    <row r="2030" spans="2:9" x14ac:dyDescent="0.25">
      <c r="B2030" s="59"/>
      <c r="C2030" s="60"/>
      <c r="D2030" s="60"/>
      <c r="F2030" s="60"/>
      <c r="G2030" s="60"/>
      <c r="H2030" s="62"/>
      <c r="I2030" s="62" t="str">
        <f t="shared" si="31"/>
        <v/>
      </c>
    </row>
    <row r="2031" spans="2:9" x14ac:dyDescent="0.25">
      <c r="B2031" s="59"/>
      <c r="C2031" s="60"/>
      <c r="D2031" s="60"/>
      <c r="F2031" s="60"/>
      <c r="G2031" s="60"/>
      <c r="H2031" s="62"/>
      <c r="I2031" s="62" t="str">
        <f t="shared" si="31"/>
        <v/>
      </c>
    </row>
    <row r="2032" spans="2:9" x14ac:dyDescent="0.25">
      <c r="B2032" s="59"/>
      <c r="C2032" s="60"/>
      <c r="D2032" s="60"/>
      <c r="F2032" s="60"/>
      <c r="G2032" s="60"/>
      <c r="H2032" s="62"/>
      <c r="I2032" s="62" t="str">
        <f t="shared" si="31"/>
        <v/>
      </c>
    </row>
    <row r="2033" spans="2:9" x14ac:dyDescent="0.25">
      <c r="B2033" s="59"/>
      <c r="C2033" s="60"/>
      <c r="D2033" s="60"/>
      <c r="F2033" s="60"/>
      <c r="G2033" s="60"/>
      <c r="H2033" s="62"/>
      <c r="I2033" s="62" t="str">
        <f t="shared" si="31"/>
        <v/>
      </c>
    </row>
    <row r="2034" spans="2:9" x14ac:dyDescent="0.25">
      <c r="B2034" s="59"/>
      <c r="C2034" s="60"/>
      <c r="D2034" s="60"/>
      <c r="F2034" s="60"/>
      <c r="G2034" s="60"/>
      <c r="H2034" s="62"/>
      <c r="I2034" s="62" t="str">
        <f t="shared" si="31"/>
        <v/>
      </c>
    </row>
    <row r="2035" spans="2:9" x14ac:dyDescent="0.25">
      <c r="B2035" s="59"/>
      <c r="C2035" s="60"/>
      <c r="D2035" s="60"/>
      <c r="F2035" s="60"/>
      <c r="G2035" s="60"/>
      <c r="H2035" s="62"/>
      <c r="I2035" s="62" t="str">
        <f t="shared" si="31"/>
        <v/>
      </c>
    </row>
    <row r="2036" spans="2:9" x14ac:dyDescent="0.25">
      <c r="B2036" s="59"/>
      <c r="C2036" s="60"/>
      <c r="D2036" s="60"/>
      <c r="F2036" s="60"/>
      <c r="G2036" s="60"/>
      <c r="H2036" s="62"/>
      <c r="I2036" s="62" t="str">
        <f t="shared" si="31"/>
        <v/>
      </c>
    </row>
    <row r="2037" spans="2:9" x14ac:dyDescent="0.25">
      <c r="B2037" s="59"/>
      <c r="C2037" s="60"/>
      <c r="D2037" s="60"/>
      <c r="F2037" s="60"/>
      <c r="G2037" s="60"/>
      <c r="H2037" s="62"/>
      <c r="I2037" s="62" t="str">
        <f t="shared" si="31"/>
        <v/>
      </c>
    </row>
    <row r="2038" spans="2:9" x14ac:dyDescent="0.25">
      <c r="B2038" s="59"/>
      <c r="C2038" s="60"/>
      <c r="D2038" s="60"/>
      <c r="F2038" s="60"/>
      <c r="G2038" s="60"/>
      <c r="H2038" s="62"/>
      <c r="I2038" s="62" t="str">
        <f t="shared" si="31"/>
        <v/>
      </c>
    </row>
    <row r="2039" spans="2:9" x14ac:dyDescent="0.25">
      <c r="B2039" s="59"/>
      <c r="C2039" s="60"/>
      <c r="D2039" s="60"/>
      <c r="F2039" s="60"/>
      <c r="G2039" s="60"/>
      <c r="H2039" s="62"/>
      <c r="I2039" s="62" t="str">
        <f t="shared" si="31"/>
        <v/>
      </c>
    </row>
    <row r="2040" spans="2:9" x14ac:dyDescent="0.25">
      <c r="B2040" s="59"/>
      <c r="C2040" s="60"/>
      <c r="D2040" s="60"/>
      <c r="F2040" s="60"/>
      <c r="G2040" s="60"/>
      <c r="H2040" s="62"/>
      <c r="I2040" s="62" t="str">
        <f t="shared" si="31"/>
        <v/>
      </c>
    </row>
    <row r="2041" spans="2:9" x14ac:dyDescent="0.25">
      <c r="B2041" s="59"/>
      <c r="C2041" s="60"/>
      <c r="D2041" s="60"/>
      <c r="F2041" s="60"/>
      <c r="G2041" s="60"/>
      <c r="H2041" s="62"/>
      <c r="I2041" s="62" t="str">
        <f t="shared" si="31"/>
        <v/>
      </c>
    </row>
    <row r="2042" spans="2:9" x14ac:dyDescent="0.25">
      <c r="B2042" s="59"/>
      <c r="C2042" s="60"/>
      <c r="D2042" s="60"/>
      <c r="F2042" s="60"/>
      <c r="G2042" s="60"/>
      <c r="H2042" s="62"/>
      <c r="I2042" s="62" t="str">
        <f t="shared" si="31"/>
        <v/>
      </c>
    </row>
    <row r="2043" spans="2:9" x14ac:dyDescent="0.25">
      <c r="B2043" s="59"/>
      <c r="C2043" s="60"/>
      <c r="D2043" s="60"/>
      <c r="F2043" s="60"/>
      <c r="G2043" s="60"/>
      <c r="H2043" s="62"/>
      <c r="I2043" s="62" t="str">
        <f t="shared" si="31"/>
        <v/>
      </c>
    </row>
    <row r="2044" spans="2:9" x14ac:dyDescent="0.25">
      <c r="B2044" s="59"/>
      <c r="C2044" s="60"/>
      <c r="D2044" s="60"/>
      <c r="F2044" s="60"/>
      <c r="G2044" s="60"/>
      <c r="H2044" s="62"/>
      <c r="I2044" s="62" t="str">
        <f t="shared" si="31"/>
        <v/>
      </c>
    </row>
    <row r="2045" spans="2:9" x14ac:dyDescent="0.25">
      <c r="B2045" s="59"/>
      <c r="C2045" s="60"/>
      <c r="D2045" s="60"/>
      <c r="F2045" s="60"/>
      <c r="G2045" s="60"/>
      <c r="H2045" s="62"/>
      <c r="I2045" s="62" t="str">
        <f t="shared" si="31"/>
        <v/>
      </c>
    </row>
    <row r="2046" spans="2:9" x14ac:dyDescent="0.25">
      <c r="B2046" s="59"/>
      <c r="C2046" s="60"/>
      <c r="D2046" s="60"/>
      <c r="F2046" s="60"/>
      <c r="G2046" s="60"/>
      <c r="H2046" s="62"/>
      <c r="I2046" s="62" t="str">
        <f t="shared" si="31"/>
        <v/>
      </c>
    </row>
    <row r="2047" spans="2:9" x14ac:dyDescent="0.25">
      <c r="B2047" s="59"/>
      <c r="C2047" s="60"/>
      <c r="D2047" s="60"/>
      <c r="F2047" s="60"/>
      <c r="G2047" s="60"/>
      <c r="H2047" s="62"/>
      <c r="I2047" s="62" t="str">
        <f t="shared" si="31"/>
        <v/>
      </c>
    </row>
    <row r="2048" spans="2:9" x14ac:dyDescent="0.25">
      <c r="B2048" s="59"/>
      <c r="C2048" s="60"/>
      <c r="D2048" s="60"/>
      <c r="F2048" s="60"/>
      <c r="G2048" s="60"/>
      <c r="H2048" s="62"/>
      <c r="I2048" s="62" t="str">
        <f t="shared" si="31"/>
        <v/>
      </c>
    </row>
    <row r="2049" spans="2:9" x14ac:dyDescent="0.25">
      <c r="B2049" s="59"/>
      <c r="C2049" s="60"/>
      <c r="D2049" s="60"/>
      <c r="F2049" s="60"/>
      <c r="G2049" s="60"/>
      <c r="H2049" s="62"/>
      <c r="I2049" s="62" t="str">
        <f t="shared" si="31"/>
        <v/>
      </c>
    </row>
    <row r="2050" spans="2:9" x14ac:dyDescent="0.25">
      <c r="B2050" s="59"/>
      <c r="C2050" s="60"/>
      <c r="D2050" s="60"/>
      <c r="F2050" s="60"/>
      <c r="G2050" s="60"/>
      <c r="H2050" s="62"/>
      <c r="I2050" s="62" t="str">
        <f t="shared" si="31"/>
        <v/>
      </c>
    </row>
    <row r="2051" spans="2:9" x14ac:dyDescent="0.25">
      <c r="B2051" s="59"/>
      <c r="C2051" s="60"/>
      <c r="D2051" s="60"/>
      <c r="F2051" s="60"/>
      <c r="G2051" s="60"/>
      <c r="H2051" s="62"/>
      <c r="I2051" s="62" t="str">
        <f t="shared" si="31"/>
        <v/>
      </c>
    </row>
    <row r="2052" spans="2:9" x14ac:dyDescent="0.25">
      <c r="B2052" s="59"/>
      <c r="C2052" s="60"/>
      <c r="D2052" s="60"/>
      <c r="F2052" s="60"/>
      <c r="G2052" s="60"/>
      <c r="H2052" s="62"/>
      <c r="I2052" s="62" t="str">
        <f t="shared" si="31"/>
        <v/>
      </c>
    </row>
    <row r="2053" spans="2:9" x14ac:dyDescent="0.25">
      <c r="B2053" s="59"/>
      <c r="C2053" s="60"/>
      <c r="D2053" s="60"/>
      <c r="F2053" s="60"/>
      <c r="G2053" s="60"/>
      <c r="H2053" s="62"/>
      <c r="I2053" s="62" t="str">
        <f t="shared" ref="I2053:I2116" si="32">IF(H2053&lt;&gt;"",H2053-H2052,"")</f>
        <v/>
      </c>
    </row>
    <row r="2054" spans="2:9" x14ac:dyDescent="0.25">
      <c r="B2054" s="59"/>
      <c r="C2054" s="60"/>
      <c r="D2054" s="60"/>
      <c r="F2054" s="60"/>
      <c r="G2054" s="60"/>
      <c r="H2054" s="62"/>
      <c r="I2054" s="62" t="str">
        <f t="shared" si="32"/>
        <v/>
      </c>
    </row>
    <row r="2055" spans="2:9" x14ac:dyDescent="0.25">
      <c r="B2055" s="59"/>
      <c r="C2055" s="60"/>
      <c r="D2055" s="60"/>
      <c r="F2055" s="60"/>
      <c r="G2055" s="60"/>
      <c r="H2055" s="62"/>
      <c r="I2055" s="62" t="str">
        <f t="shared" si="32"/>
        <v/>
      </c>
    </row>
    <row r="2056" spans="2:9" x14ac:dyDescent="0.25">
      <c r="B2056" s="59"/>
      <c r="C2056" s="60"/>
      <c r="D2056" s="60"/>
      <c r="F2056" s="60"/>
      <c r="G2056" s="60"/>
      <c r="H2056" s="62"/>
      <c r="I2056" s="62" t="str">
        <f t="shared" si="32"/>
        <v/>
      </c>
    </row>
    <row r="2057" spans="2:9" x14ac:dyDescent="0.25">
      <c r="B2057" s="59"/>
      <c r="C2057" s="60"/>
      <c r="D2057" s="60"/>
      <c r="F2057" s="60"/>
      <c r="G2057" s="60"/>
      <c r="H2057" s="62"/>
      <c r="I2057" s="62" t="str">
        <f t="shared" si="32"/>
        <v/>
      </c>
    </row>
    <row r="2058" spans="2:9" x14ac:dyDescent="0.25">
      <c r="B2058" s="59"/>
      <c r="C2058" s="60"/>
      <c r="D2058" s="60"/>
      <c r="F2058" s="60"/>
      <c r="G2058" s="60"/>
      <c r="H2058" s="62"/>
      <c r="I2058" s="62" t="str">
        <f t="shared" si="32"/>
        <v/>
      </c>
    </row>
    <row r="2059" spans="2:9" x14ac:dyDescent="0.25">
      <c r="B2059" s="59"/>
      <c r="C2059" s="60"/>
      <c r="D2059" s="60"/>
      <c r="F2059" s="60"/>
      <c r="G2059" s="60"/>
      <c r="H2059" s="62"/>
      <c r="I2059" s="62" t="str">
        <f t="shared" si="32"/>
        <v/>
      </c>
    </row>
    <row r="2060" spans="2:9" x14ac:dyDescent="0.25">
      <c r="B2060" s="59"/>
      <c r="C2060" s="60"/>
      <c r="D2060" s="60"/>
      <c r="F2060" s="60"/>
      <c r="G2060" s="60"/>
      <c r="H2060" s="62"/>
      <c r="I2060" s="62" t="str">
        <f t="shared" si="32"/>
        <v/>
      </c>
    </row>
    <row r="2061" spans="2:9" x14ac:dyDescent="0.25">
      <c r="B2061" s="59"/>
      <c r="C2061" s="60"/>
      <c r="D2061" s="60"/>
      <c r="F2061" s="60"/>
      <c r="G2061" s="60"/>
      <c r="H2061" s="62"/>
      <c r="I2061" s="62" t="str">
        <f t="shared" si="32"/>
        <v/>
      </c>
    </row>
    <row r="2062" spans="2:9" x14ac:dyDescent="0.25">
      <c r="B2062" s="59"/>
      <c r="C2062" s="60"/>
      <c r="D2062" s="60"/>
      <c r="F2062" s="60"/>
      <c r="G2062" s="60"/>
      <c r="H2062" s="62"/>
      <c r="I2062" s="62" t="str">
        <f t="shared" si="32"/>
        <v/>
      </c>
    </row>
    <row r="2063" spans="2:9" x14ac:dyDescent="0.25">
      <c r="B2063" s="59"/>
      <c r="C2063" s="60"/>
      <c r="D2063" s="60"/>
      <c r="F2063" s="60"/>
      <c r="G2063" s="60"/>
      <c r="H2063" s="62"/>
      <c r="I2063" s="62" t="str">
        <f t="shared" si="32"/>
        <v/>
      </c>
    </row>
    <row r="2064" spans="2:9" x14ac:dyDescent="0.25">
      <c r="B2064" s="59"/>
      <c r="C2064" s="60"/>
      <c r="D2064" s="60"/>
      <c r="F2064" s="60"/>
      <c r="G2064" s="60"/>
      <c r="H2064" s="62"/>
      <c r="I2064" s="62" t="str">
        <f t="shared" si="32"/>
        <v/>
      </c>
    </row>
    <row r="2065" spans="2:9" x14ac:dyDescent="0.25">
      <c r="B2065" s="59"/>
      <c r="C2065" s="60"/>
      <c r="D2065" s="60"/>
      <c r="F2065" s="60"/>
      <c r="G2065" s="60"/>
      <c r="H2065" s="62"/>
      <c r="I2065" s="62" t="str">
        <f t="shared" si="32"/>
        <v/>
      </c>
    </row>
    <row r="2066" spans="2:9" x14ac:dyDescent="0.25">
      <c r="B2066" s="59"/>
      <c r="C2066" s="60"/>
      <c r="D2066" s="60"/>
      <c r="F2066" s="60"/>
      <c r="G2066" s="60"/>
      <c r="H2066" s="62"/>
      <c r="I2066" s="62" t="str">
        <f t="shared" si="32"/>
        <v/>
      </c>
    </row>
    <row r="2067" spans="2:9" x14ac:dyDescent="0.25">
      <c r="B2067" s="59"/>
      <c r="C2067" s="60"/>
      <c r="D2067" s="60"/>
      <c r="F2067" s="60"/>
      <c r="G2067" s="60"/>
      <c r="H2067" s="62"/>
      <c r="I2067" s="62" t="str">
        <f t="shared" si="32"/>
        <v/>
      </c>
    </row>
    <row r="2068" spans="2:9" x14ac:dyDescent="0.25">
      <c r="B2068" s="59"/>
      <c r="C2068" s="60"/>
      <c r="D2068" s="60"/>
      <c r="F2068" s="60"/>
      <c r="G2068" s="60"/>
      <c r="H2068" s="62"/>
      <c r="I2068" s="62" t="str">
        <f t="shared" si="32"/>
        <v/>
      </c>
    </row>
    <row r="2069" spans="2:9" x14ac:dyDescent="0.25">
      <c r="B2069" s="59"/>
      <c r="C2069" s="60"/>
      <c r="D2069" s="60"/>
      <c r="F2069" s="60"/>
      <c r="G2069" s="60"/>
      <c r="H2069" s="62"/>
      <c r="I2069" s="62" t="str">
        <f t="shared" si="32"/>
        <v/>
      </c>
    </row>
    <row r="2070" spans="2:9" x14ac:dyDescent="0.25">
      <c r="B2070" s="59"/>
      <c r="C2070" s="60"/>
      <c r="D2070" s="60"/>
      <c r="F2070" s="60"/>
      <c r="G2070" s="60"/>
      <c r="H2070" s="62"/>
      <c r="I2070" s="62" t="str">
        <f t="shared" si="32"/>
        <v/>
      </c>
    </row>
    <row r="2071" spans="2:9" x14ac:dyDescent="0.25">
      <c r="B2071" s="59"/>
      <c r="C2071" s="60"/>
      <c r="D2071" s="60"/>
      <c r="F2071" s="60"/>
      <c r="G2071" s="60"/>
      <c r="H2071" s="62"/>
      <c r="I2071" s="62" t="str">
        <f t="shared" si="32"/>
        <v/>
      </c>
    </row>
    <row r="2072" spans="2:9" x14ac:dyDescent="0.25">
      <c r="B2072" s="59"/>
      <c r="C2072" s="60"/>
      <c r="D2072" s="60"/>
      <c r="F2072" s="60"/>
      <c r="G2072" s="60"/>
      <c r="H2072" s="62"/>
      <c r="I2072" s="62" t="str">
        <f t="shared" si="32"/>
        <v/>
      </c>
    </row>
    <row r="2073" spans="2:9" x14ac:dyDescent="0.25">
      <c r="B2073" s="59"/>
      <c r="C2073" s="60"/>
      <c r="D2073" s="60"/>
      <c r="F2073" s="60"/>
      <c r="G2073" s="60"/>
      <c r="H2073" s="62"/>
      <c r="I2073" s="62" t="str">
        <f t="shared" si="32"/>
        <v/>
      </c>
    </row>
    <row r="2074" spans="2:9" x14ac:dyDescent="0.25">
      <c r="B2074" s="59"/>
      <c r="C2074" s="60"/>
      <c r="D2074" s="60"/>
      <c r="F2074" s="60"/>
      <c r="G2074" s="60"/>
      <c r="H2074" s="62"/>
      <c r="I2074" s="62" t="str">
        <f t="shared" si="32"/>
        <v/>
      </c>
    </row>
    <row r="2075" spans="2:9" x14ac:dyDescent="0.25">
      <c r="B2075" s="59"/>
      <c r="C2075" s="60"/>
      <c r="D2075" s="60"/>
      <c r="F2075" s="60"/>
      <c r="G2075" s="60"/>
      <c r="H2075" s="62"/>
      <c r="I2075" s="62" t="str">
        <f t="shared" si="32"/>
        <v/>
      </c>
    </row>
    <row r="2076" spans="2:9" x14ac:dyDescent="0.25">
      <c r="B2076" s="59"/>
      <c r="C2076" s="60"/>
      <c r="D2076" s="60"/>
      <c r="F2076" s="60"/>
      <c r="G2076" s="60"/>
      <c r="H2076" s="62"/>
      <c r="I2076" s="62" t="str">
        <f t="shared" si="32"/>
        <v/>
      </c>
    </row>
    <row r="2077" spans="2:9" x14ac:dyDescent="0.25">
      <c r="B2077" s="59"/>
      <c r="C2077" s="60"/>
      <c r="D2077" s="60"/>
      <c r="F2077" s="60"/>
      <c r="G2077" s="60"/>
      <c r="H2077" s="62"/>
      <c r="I2077" s="62" t="str">
        <f t="shared" si="32"/>
        <v/>
      </c>
    </row>
    <row r="2078" spans="2:9" x14ac:dyDescent="0.25">
      <c r="B2078" s="59"/>
      <c r="C2078" s="60"/>
      <c r="D2078" s="60"/>
      <c r="F2078" s="60"/>
      <c r="G2078" s="60"/>
      <c r="H2078" s="62"/>
      <c r="I2078" s="62" t="str">
        <f t="shared" si="32"/>
        <v/>
      </c>
    </row>
    <row r="2079" spans="2:9" x14ac:dyDescent="0.25">
      <c r="B2079" s="59"/>
      <c r="C2079" s="60"/>
      <c r="D2079" s="60"/>
      <c r="F2079" s="60"/>
      <c r="G2079" s="60"/>
      <c r="H2079" s="62"/>
      <c r="I2079" s="62" t="str">
        <f t="shared" si="32"/>
        <v/>
      </c>
    </row>
    <row r="2080" spans="2:9" x14ac:dyDescent="0.25">
      <c r="B2080" s="59"/>
      <c r="C2080" s="60"/>
      <c r="D2080" s="60"/>
      <c r="F2080" s="60"/>
      <c r="G2080" s="60"/>
      <c r="H2080" s="62"/>
      <c r="I2080" s="62" t="str">
        <f t="shared" si="32"/>
        <v/>
      </c>
    </row>
    <row r="2081" spans="2:9" x14ac:dyDescent="0.25">
      <c r="B2081" s="59"/>
      <c r="C2081" s="60"/>
      <c r="D2081" s="60"/>
      <c r="F2081" s="60"/>
      <c r="G2081" s="60"/>
      <c r="H2081" s="62"/>
      <c r="I2081" s="62" t="str">
        <f t="shared" si="32"/>
        <v/>
      </c>
    </row>
    <row r="2082" spans="2:9" x14ac:dyDescent="0.25">
      <c r="B2082" s="59"/>
      <c r="C2082" s="60"/>
      <c r="D2082" s="60"/>
      <c r="F2082" s="60"/>
      <c r="G2082" s="60"/>
      <c r="H2082" s="62"/>
      <c r="I2082" s="62" t="str">
        <f t="shared" si="32"/>
        <v/>
      </c>
    </row>
    <row r="2083" spans="2:9" x14ac:dyDescent="0.25">
      <c r="B2083" s="59"/>
      <c r="C2083" s="60"/>
      <c r="D2083" s="60"/>
      <c r="F2083" s="60"/>
      <c r="G2083" s="60"/>
      <c r="H2083" s="62"/>
      <c r="I2083" s="62" t="str">
        <f t="shared" si="32"/>
        <v/>
      </c>
    </row>
    <row r="2084" spans="2:9" x14ac:dyDescent="0.25">
      <c r="B2084" s="59"/>
      <c r="C2084" s="60"/>
      <c r="D2084" s="60"/>
      <c r="F2084" s="60"/>
      <c r="G2084" s="60"/>
      <c r="H2084" s="62"/>
      <c r="I2084" s="62" t="str">
        <f t="shared" si="32"/>
        <v/>
      </c>
    </row>
    <row r="2085" spans="2:9" x14ac:dyDescent="0.25">
      <c r="B2085" s="59"/>
      <c r="C2085" s="60"/>
      <c r="D2085" s="60"/>
      <c r="F2085" s="60"/>
      <c r="G2085" s="60"/>
      <c r="H2085" s="62"/>
      <c r="I2085" s="62" t="str">
        <f t="shared" si="32"/>
        <v/>
      </c>
    </row>
    <row r="2086" spans="2:9" x14ac:dyDescent="0.25">
      <c r="B2086" s="59"/>
      <c r="C2086" s="60"/>
      <c r="D2086" s="60"/>
      <c r="F2086" s="60"/>
      <c r="G2086" s="60"/>
      <c r="H2086" s="62"/>
      <c r="I2086" s="62" t="str">
        <f t="shared" si="32"/>
        <v/>
      </c>
    </row>
    <row r="2087" spans="2:9" x14ac:dyDescent="0.25">
      <c r="B2087" s="59"/>
      <c r="C2087" s="60"/>
      <c r="D2087" s="60"/>
      <c r="F2087" s="60"/>
      <c r="G2087" s="60"/>
      <c r="H2087" s="62"/>
      <c r="I2087" s="62" t="str">
        <f t="shared" si="32"/>
        <v/>
      </c>
    </row>
    <row r="2088" spans="2:9" x14ac:dyDescent="0.25">
      <c r="B2088" s="59"/>
      <c r="C2088" s="60"/>
      <c r="D2088" s="60"/>
      <c r="F2088" s="60"/>
      <c r="G2088" s="60"/>
      <c r="H2088" s="62"/>
      <c r="I2088" s="62" t="str">
        <f t="shared" si="32"/>
        <v/>
      </c>
    </row>
    <row r="2089" spans="2:9" x14ac:dyDescent="0.25">
      <c r="B2089" s="59"/>
      <c r="C2089" s="60"/>
      <c r="D2089" s="60"/>
      <c r="F2089" s="60"/>
      <c r="G2089" s="60"/>
      <c r="H2089" s="62"/>
      <c r="I2089" s="62" t="str">
        <f t="shared" si="32"/>
        <v/>
      </c>
    </row>
    <row r="2090" spans="2:9" x14ac:dyDescent="0.25">
      <c r="B2090" s="59"/>
      <c r="C2090" s="60"/>
      <c r="D2090" s="60"/>
      <c r="F2090" s="60"/>
      <c r="G2090" s="60"/>
      <c r="H2090" s="62"/>
      <c r="I2090" s="62" t="str">
        <f t="shared" si="32"/>
        <v/>
      </c>
    </row>
    <row r="2091" spans="2:9" x14ac:dyDescent="0.25">
      <c r="B2091" s="59"/>
      <c r="C2091" s="60"/>
      <c r="D2091" s="60"/>
      <c r="F2091" s="60"/>
      <c r="G2091" s="60"/>
      <c r="H2091" s="62"/>
      <c r="I2091" s="62" t="str">
        <f t="shared" si="32"/>
        <v/>
      </c>
    </row>
    <row r="2092" spans="2:9" x14ac:dyDescent="0.25">
      <c r="B2092" s="59"/>
      <c r="C2092" s="60"/>
      <c r="D2092" s="60"/>
      <c r="F2092" s="60"/>
      <c r="G2092" s="60"/>
      <c r="H2092" s="62"/>
      <c r="I2092" s="62" t="str">
        <f t="shared" si="32"/>
        <v/>
      </c>
    </row>
    <row r="2093" spans="2:9" x14ac:dyDescent="0.25">
      <c r="B2093" s="59"/>
      <c r="C2093" s="60"/>
      <c r="D2093" s="60"/>
      <c r="F2093" s="60"/>
      <c r="G2093" s="60"/>
      <c r="H2093" s="62"/>
      <c r="I2093" s="62" t="str">
        <f t="shared" si="32"/>
        <v/>
      </c>
    </row>
    <row r="2094" spans="2:9" x14ac:dyDescent="0.25">
      <c r="B2094" s="59"/>
      <c r="C2094" s="60"/>
      <c r="D2094" s="60"/>
      <c r="F2094" s="60"/>
      <c r="G2094" s="60"/>
      <c r="H2094" s="62"/>
      <c r="I2094" s="62" t="str">
        <f t="shared" si="32"/>
        <v/>
      </c>
    </row>
    <row r="2095" spans="2:9" x14ac:dyDescent="0.25">
      <c r="B2095" s="59"/>
      <c r="C2095" s="60"/>
      <c r="D2095" s="60"/>
      <c r="F2095" s="60"/>
      <c r="G2095" s="60"/>
      <c r="H2095" s="62"/>
      <c r="I2095" s="62" t="str">
        <f t="shared" si="32"/>
        <v/>
      </c>
    </row>
    <row r="2096" spans="2:9" x14ac:dyDescent="0.25">
      <c r="B2096" s="59"/>
      <c r="C2096" s="60"/>
      <c r="D2096" s="60"/>
      <c r="F2096" s="60"/>
      <c r="G2096" s="60"/>
      <c r="H2096" s="62"/>
      <c r="I2096" s="62" t="str">
        <f t="shared" si="32"/>
        <v/>
      </c>
    </row>
    <row r="2097" spans="2:9" x14ac:dyDescent="0.25">
      <c r="B2097" s="59"/>
      <c r="C2097" s="60"/>
      <c r="D2097" s="60"/>
      <c r="F2097" s="60"/>
      <c r="G2097" s="60"/>
      <c r="H2097" s="62"/>
      <c r="I2097" s="62" t="str">
        <f t="shared" si="32"/>
        <v/>
      </c>
    </row>
    <row r="2098" spans="2:9" x14ac:dyDescent="0.25">
      <c r="B2098" s="59"/>
      <c r="C2098" s="60"/>
      <c r="D2098" s="60"/>
      <c r="F2098" s="60"/>
      <c r="G2098" s="60"/>
      <c r="H2098" s="62"/>
      <c r="I2098" s="62" t="str">
        <f t="shared" si="32"/>
        <v/>
      </c>
    </row>
    <row r="2099" spans="2:9" x14ac:dyDescent="0.25">
      <c r="B2099" s="59"/>
      <c r="C2099" s="60"/>
      <c r="D2099" s="60"/>
      <c r="F2099" s="60"/>
      <c r="G2099" s="60"/>
      <c r="H2099" s="62"/>
      <c r="I2099" s="62" t="str">
        <f t="shared" si="32"/>
        <v/>
      </c>
    </row>
    <row r="2100" spans="2:9" x14ac:dyDescent="0.25">
      <c r="B2100" s="59"/>
      <c r="C2100" s="60"/>
      <c r="D2100" s="60"/>
      <c r="F2100" s="60"/>
      <c r="G2100" s="60"/>
      <c r="H2100" s="62"/>
      <c r="I2100" s="62" t="str">
        <f t="shared" si="32"/>
        <v/>
      </c>
    </row>
    <row r="2101" spans="2:9" x14ac:dyDescent="0.25">
      <c r="B2101" s="59"/>
      <c r="C2101" s="60"/>
      <c r="D2101" s="60"/>
      <c r="F2101" s="60"/>
      <c r="G2101" s="60"/>
      <c r="H2101" s="62"/>
      <c r="I2101" s="62" t="str">
        <f t="shared" si="32"/>
        <v/>
      </c>
    </row>
    <row r="2102" spans="2:9" x14ac:dyDescent="0.25">
      <c r="B2102" s="59"/>
      <c r="C2102" s="60"/>
      <c r="D2102" s="60"/>
      <c r="F2102" s="60"/>
      <c r="G2102" s="60"/>
      <c r="H2102" s="62"/>
      <c r="I2102" s="62" t="str">
        <f t="shared" si="32"/>
        <v/>
      </c>
    </row>
    <row r="2103" spans="2:9" x14ac:dyDescent="0.25">
      <c r="B2103" s="59"/>
      <c r="C2103" s="60"/>
      <c r="D2103" s="60"/>
      <c r="F2103" s="60"/>
      <c r="G2103" s="60"/>
      <c r="H2103" s="62"/>
      <c r="I2103" s="62" t="str">
        <f t="shared" si="32"/>
        <v/>
      </c>
    </row>
    <row r="2104" spans="2:9" x14ac:dyDescent="0.25">
      <c r="B2104" s="59"/>
      <c r="C2104" s="60"/>
      <c r="D2104" s="60"/>
      <c r="F2104" s="60"/>
      <c r="G2104" s="60"/>
      <c r="H2104" s="62"/>
      <c r="I2104" s="62" t="str">
        <f t="shared" si="32"/>
        <v/>
      </c>
    </row>
    <row r="2105" spans="2:9" x14ac:dyDescent="0.25">
      <c r="B2105" s="59"/>
      <c r="C2105" s="60"/>
      <c r="D2105" s="60"/>
      <c r="F2105" s="60"/>
      <c r="G2105" s="60"/>
      <c r="H2105" s="62"/>
      <c r="I2105" s="62" t="str">
        <f t="shared" si="32"/>
        <v/>
      </c>
    </row>
    <row r="2106" spans="2:9" x14ac:dyDescent="0.25">
      <c r="B2106" s="59"/>
      <c r="C2106" s="60"/>
      <c r="D2106" s="60"/>
      <c r="F2106" s="60"/>
      <c r="G2106" s="60"/>
      <c r="H2106" s="62"/>
      <c r="I2106" s="62" t="str">
        <f t="shared" si="32"/>
        <v/>
      </c>
    </row>
    <row r="2107" spans="2:9" x14ac:dyDescent="0.25">
      <c r="B2107" s="59"/>
      <c r="C2107" s="60"/>
      <c r="D2107" s="60"/>
      <c r="F2107" s="60"/>
      <c r="G2107" s="60"/>
      <c r="H2107" s="62"/>
      <c r="I2107" s="62" t="str">
        <f t="shared" si="32"/>
        <v/>
      </c>
    </row>
    <row r="2108" spans="2:9" x14ac:dyDescent="0.25">
      <c r="B2108" s="59"/>
      <c r="C2108" s="60"/>
      <c r="D2108" s="60"/>
      <c r="F2108" s="60"/>
      <c r="G2108" s="60"/>
      <c r="H2108" s="62"/>
      <c r="I2108" s="62" t="str">
        <f t="shared" si="32"/>
        <v/>
      </c>
    </row>
    <row r="2109" spans="2:9" x14ac:dyDescent="0.25">
      <c r="B2109" s="59"/>
      <c r="C2109" s="60"/>
      <c r="D2109" s="60"/>
      <c r="F2109" s="60"/>
      <c r="G2109" s="60"/>
      <c r="H2109" s="62"/>
      <c r="I2109" s="62" t="str">
        <f t="shared" si="32"/>
        <v/>
      </c>
    </row>
    <row r="2110" spans="2:9" x14ac:dyDescent="0.25">
      <c r="B2110" s="59"/>
      <c r="C2110" s="60"/>
      <c r="D2110" s="60"/>
      <c r="F2110" s="60"/>
      <c r="G2110" s="60"/>
      <c r="H2110" s="62"/>
      <c r="I2110" s="62" t="str">
        <f t="shared" si="32"/>
        <v/>
      </c>
    </row>
    <row r="2111" spans="2:9" x14ac:dyDescent="0.25">
      <c r="B2111" s="59"/>
      <c r="C2111" s="60"/>
      <c r="D2111" s="60"/>
      <c r="F2111" s="60"/>
      <c r="G2111" s="60"/>
      <c r="H2111" s="62"/>
      <c r="I2111" s="62" t="str">
        <f t="shared" si="32"/>
        <v/>
      </c>
    </row>
    <row r="2112" spans="2:9" x14ac:dyDescent="0.25">
      <c r="B2112" s="59"/>
      <c r="C2112" s="60"/>
      <c r="D2112" s="60"/>
      <c r="F2112" s="60"/>
      <c r="G2112" s="60"/>
      <c r="H2112" s="62"/>
      <c r="I2112" s="62" t="str">
        <f t="shared" si="32"/>
        <v/>
      </c>
    </row>
    <row r="2113" spans="2:9" x14ac:dyDescent="0.25">
      <c r="B2113" s="59"/>
      <c r="C2113" s="60"/>
      <c r="D2113" s="60"/>
      <c r="F2113" s="60"/>
      <c r="G2113" s="60"/>
      <c r="H2113" s="62"/>
      <c r="I2113" s="62" t="str">
        <f t="shared" si="32"/>
        <v/>
      </c>
    </row>
    <row r="2114" spans="2:9" x14ac:dyDescent="0.25">
      <c r="B2114" s="59"/>
      <c r="C2114" s="60"/>
      <c r="D2114" s="60"/>
      <c r="F2114" s="60"/>
      <c r="G2114" s="60"/>
      <c r="H2114" s="62"/>
      <c r="I2114" s="62" t="str">
        <f t="shared" si="32"/>
        <v/>
      </c>
    </row>
    <row r="2115" spans="2:9" x14ac:dyDescent="0.25">
      <c r="B2115" s="59"/>
      <c r="C2115" s="60"/>
      <c r="D2115" s="60"/>
      <c r="F2115" s="60"/>
      <c r="G2115" s="60"/>
      <c r="H2115" s="62"/>
      <c r="I2115" s="62" t="str">
        <f t="shared" si="32"/>
        <v/>
      </c>
    </row>
    <row r="2116" spans="2:9" x14ac:dyDescent="0.25">
      <c r="B2116" s="59"/>
      <c r="C2116" s="60"/>
      <c r="D2116" s="60"/>
      <c r="F2116" s="60"/>
      <c r="G2116" s="60"/>
      <c r="H2116" s="62"/>
      <c r="I2116" s="62" t="str">
        <f t="shared" si="32"/>
        <v/>
      </c>
    </row>
    <row r="2117" spans="2:9" x14ac:dyDescent="0.25">
      <c r="B2117" s="59"/>
      <c r="C2117" s="60"/>
      <c r="D2117" s="60"/>
      <c r="F2117" s="60"/>
      <c r="G2117" s="60"/>
      <c r="H2117" s="62"/>
      <c r="I2117" s="62" t="str">
        <f t="shared" ref="I2117:I2180" si="33">IF(H2117&lt;&gt;"",H2117-H2116,"")</f>
        <v/>
      </c>
    </row>
    <row r="2118" spans="2:9" x14ac:dyDescent="0.25">
      <c r="B2118" s="59"/>
      <c r="C2118" s="60"/>
      <c r="D2118" s="60"/>
      <c r="F2118" s="60"/>
      <c r="G2118" s="60"/>
      <c r="H2118" s="62"/>
      <c r="I2118" s="62" t="str">
        <f t="shared" si="33"/>
        <v/>
      </c>
    </row>
    <row r="2119" spans="2:9" x14ac:dyDescent="0.25">
      <c r="B2119" s="59"/>
      <c r="C2119" s="60"/>
      <c r="D2119" s="60"/>
      <c r="F2119" s="60"/>
      <c r="G2119" s="60"/>
      <c r="H2119" s="62"/>
      <c r="I2119" s="62" t="str">
        <f t="shared" si="33"/>
        <v/>
      </c>
    </row>
    <row r="2120" spans="2:9" x14ac:dyDescent="0.25">
      <c r="B2120" s="59"/>
      <c r="C2120" s="60"/>
      <c r="D2120" s="60"/>
      <c r="F2120" s="60"/>
      <c r="G2120" s="60"/>
      <c r="H2120" s="62"/>
      <c r="I2120" s="62" t="str">
        <f t="shared" si="33"/>
        <v/>
      </c>
    </row>
    <row r="2121" spans="2:9" x14ac:dyDescent="0.25">
      <c r="B2121" s="59"/>
      <c r="C2121" s="60"/>
      <c r="D2121" s="60"/>
      <c r="F2121" s="60"/>
      <c r="G2121" s="60"/>
      <c r="H2121" s="62"/>
      <c r="I2121" s="62" t="str">
        <f t="shared" si="33"/>
        <v/>
      </c>
    </row>
    <row r="2122" spans="2:9" x14ac:dyDescent="0.25">
      <c r="B2122" s="59"/>
      <c r="C2122" s="60"/>
      <c r="D2122" s="60"/>
      <c r="F2122" s="60"/>
      <c r="G2122" s="60"/>
      <c r="H2122" s="62"/>
      <c r="I2122" s="62" t="str">
        <f t="shared" si="33"/>
        <v/>
      </c>
    </row>
    <row r="2123" spans="2:9" x14ac:dyDescent="0.25">
      <c r="B2123" s="59"/>
      <c r="C2123" s="60"/>
      <c r="D2123" s="60"/>
      <c r="F2123" s="60"/>
      <c r="G2123" s="60"/>
      <c r="H2123" s="62"/>
      <c r="I2123" s="62" t="str">
        <f t="shared" si="33"/>
        <v/>
      </c>
    </row>
    <row r="2124" spans="2:9" x14ac:dyDescent="0.25">
      <c r="B2124" s="59"/>
      <c r="C2124" s="60"/>
      <c r="D2124" s="60"/>
      <c r="F2124" s="60"/>
      <c r="G2124" s="60"/>
      <c r="H2124" s="62"/>
      <c r="I2124" s="62" t="str">
        <f t="shared" si="33"/>
        <v/>
      </c>
    </row>
    <row r="2125" spans="2:9" x14ac:dyDescent="0.25">
      <c r="B2125" s="59"/>
      <c r="C2125" s="60"/>
      <c r="D2125" s="60"/>
      <c r="F2125" s="60"/>
      <c r="G2125" s="60"/>
      <c r="H2125" s="62"/>
      <c r="I2125" s="62" t="str">
        <f t="shared" si="33"/>
        <v/>
      </c>
    </row>
    <row r="2126" spans="2:9" x14ac:dyDescent="0.25">
      <c r="B2126" s="59"/>
      <c r="C2126" s="60"/>
      <c r="D2126" s="60"/>
      <c r="F2126" s="60"/>
      <c r="G2126" s="60"/>
      <c r="H2126" s="62"/>
      <c r="I2126" s="62" t="str">
        <f t="shared" si="33"/>
        <v/>
      </c>
    </row>
    <row r="2127" spans="2:9" x14ac:dyDescent="0.25">
      <c r="B2127" s="59"/>
      <c r="C2127" s="60"/>
      <c r="D2127" s="60"/>
      <c r="F2127" s="60"/>
      <c r="G2127" s="60"/>
      <c r="H2127" s="62"/>
      <c r="I2127" s="62" t="str">
        <f t="shared" si="33"/>
        <v/>
      </c>
    </row>
    <row r="2128" spans="2:9" x14ac:dyDescent="0.25">
      <c r="B2128" s="59"/>
      <c r="C2128" s="60"/>
      <c r="D2128" s="60"/>
      <c r="F2128" s="60"/>
      <c r="G2128" s="60"/>
      <c r="H2128" s="62"/>
      <c r="I2128" s="62" t="str">
        <f t="shared" si="33"/>
        <v/>
      </c>
    </row>
    <row r="2129" spans="2:9" x14ac:dyDescent="0.25">
      <c r="B2129" s="59"/>
      <c r="C2129" s="60"/>
      <c r="D2129" s="60"/>
      <c r="F2129" s="60"/>
      <c r="G2129" s="60"/>
      <c r="H2129" s="62"/>
      <c r="I2129" s="62" t="str">
        <f t="shared" si="33"/>
        <v/>
      </c>
    </row>
    <row r="2130" spans="2:9" x14ac:dyDescent="0.25">
      <c r="B2130" s="59"/>
      <c r="C2130" s="60"/>
      <c r="D2130" s="60"/>
      <c r="F2130" s="60"/>
      <c r="G2130" s="60"/>
      <c r="H2130" s="62"/>
      <c r="I2130" s="62" t="str">
        <f t="shared" si="33"/>
        <v/>
      </c>
    </row>
    <row r="2131" spans="2:9" x14ac:dyDescent="0.25">
      <c r="B2131" s="59"/>
      <c r="C2131" s="60"/>
      <c r="D2131" s="60"/>
      <c r="F2131" s="60"/>
      <c r="G2131" s="60"/>
      <c r="H2131" s="62"/>
      <c r="I2131" s="62" t="str">
        <f t="shared" si="33"/>
        <v/>
      </c>
    </row>
    <row r="2132" spans="2:9" x14ac:dyDescent="0.25">
      <c r="B2132" s="59"/>
      <c r="C2132" s="60"/>
      <c r="D2132" s="60"/>
      <c r="F2132" s="60"/>
      <c r="G2132" s="60"/>
      <c r="H2132" s="62"/>
      <c r="I2132" s="62" t="str">
        <f t="shared" si="33"/>
        <v/>
      </c>
    </row>
    <row r="2133" spans="2:9" x14ac:dyDescent="0.25">
      <c r="B2133" s="59"/>
      <c r="C2133" s="60"/>
      <c r="D2133" s="60"/>
      <c r="F2133" s="60"/>
      <c r="G2133" s="60"/>
      <c r="H2133" s="62"/>
      <c r="I2133" s="62" t="str">
        <f t="shared" si="33"/>
        <v/>
      </c>
    </row>
    <row r="2134" spans="2:9" x14ac:dyDescent="0.25">
      <c r="B2134" s="59"/>
      <c r="C2134" s="60"/>
      <c r="D2134" s="60"/>
      <c r="F2134" s="60"/>
      <c r="G2134" s="60"/>
      <c r="H2134" s="62"/>
      <c r="I2134" s="62" t="str">
        <f t="shared" si="33"/>
        <v/>
      </c>
    </row>
    <row r="2135" spans="2:9" x14ac:dyDescent="0.25">
      <c r="B2135" s="59"/>
      <c r="C2135" s="60"/>
      <c r="D2135" s="60"/>
      <c r="F2135" s="60"/>
      <c r="G2135" s="60"/>
      <c r="H2135" s="62"/>
      <c r="I2135" s="62" t="str">
        <f t="shared" si="33"/>
        <v/>
      </c>
    </row>
    <row r="2136" spans="2:9" x14ac:dyDescent="0.25">
      <c r="B2136" s="59"/>
      <c r="C2136" s="60"/>
      <c r="D2136" s="60"/>
      <c r="F2136" s="60"/>
      <c r="G2136" s="60"/>
      <c r="H2136" s="62"/>
      <c r="I2136" s="62" t="str">
        <f t="shared" si="33"/>
        <v/>
      </c>
    </row>
    <row r="2137" spans="2:9" x14ac:dyDescent="0.25">
      <c r="B2137" s="59"/>
      <c r="C2137" s="60"/>
      <c r="D2137" s="60"/>
      <c r="F2137" s="60"/>
      <c r="G2137" s="60"/>
      <c r="H2137" s="62"/>
      <c r="I2137" s="62" t="str">
        <f t="shared" si="33"/>
        <v/>
      </c>
    </row>
    <row r="2138" spans="2:9" x14ac:dyDescent="0.25">
      <c r="B2138" s="59"/>
      <c r="C2138" s="60"/>
      <c r="D2138" s="60"/>
      <c r="F2138" s="60"/>
      <c r="G2138" s="60"/>
      <c r="H2138" s="62"/>
      <c r="I2138" s="62" t="str">
        <f t="shared" si="33"/>
        <v/>
      </c>
    </row>
    <row r="2139" spans="2:9" x14ac:dyDescent="0.25">
      <c r="B2139" s="59"/>
      <c r="C2139" s="60"/>
      <c r="D2139" s="60"/>
      <c r="F2139" s="60"/>
      <c r="G2139" s="60"/>
      <c r="H2139" s="62"/>
      <c r="I2139" s="62" t="str">
        <f t="shared" si="33"/>
        <v/>
      </c>
    </row>
    <row r="2140" spans="2:9" x14ac:dyDescent="0.25">
      <c r="B2140" s="59"/>
      <c r="C2140" s="60"/>
      <c r="D2140" s="60"/>
      <c r="F2140" s="60"/>
      <c r="G2140" s="60"/>
      <c r="H2140" s="62"/>
      <c r="I2140" s="62" t="str">
        <f t="shared" si="33"/>
        <v/>
      </c>
    </row>
    <row r="2141" spans="2:9" x14ac:dyDescent="0.25">
      <c r="B2141" s="59"/>
      <c r="C2141" s="60"/>
      <c r="D2141" s="60"/>
      <c r="F2141" s="60"/>
      <c r="G2141" s="60"/>
      <c r="H2141" s="62"/>
      <c r="I2141" s="62" t="str">
        <f t="shared" si="33"/>
        <v/>
      </c>
    </row>
    <row r="2142" spans="2:9" x14ac:dyDescent="0.25">
      <c r="B2142" s="59"/>
      <c r="C2142" s="60"/>
      <c r="D2142" s="60"/>
      <c r="F2142" s="60"/>
      <c r="G2142" s="60"/>
      <c r="H2142" s="62"/>
      <c r="I2142" s="62" t="str">
        <f t="shared" si="33"/>
        <v/>
      </c>
    </row>
    <row r="2143" spans="2:9" x14ac:dyDescent="0.25">
      <c r="B2143" s="59"/>
      <c r="C2143" s="60"/>
      <c r="D2143" s="60"/>
      <c r="F2143" s="60"/>
      <c r="G2143" s="60"/>
      <c r="H2143" s="62"/>
      <c r="I2143" s="62" t="str">
        <f t="shared" si="33"/>
        <v/>
      </c>
    </row>
    <row r="2144" spans="2:9" x14ac:dyDescent="0.25">
      <c r="B2144" s="59"/>
      <c r="C2144" s="60"/>
      <c r="D2144" s="60"/>
      <c r="F2144" s="60"/>
      <c r="G2144" s="60"/>
      <c r="H2144" s="62"/>
      <c r="I2144" s="62" t="str">
        <f t="shared" si="33"/>
        <v/>
      </c>
    </row>
    <row r="2145" spans="2:9" x14ac:dyDescent="0.25">
      <c r="B2145" s="59"/>
      <c r="C2145" s="60"/>
      <c r="D2145" s="60"/>
      <c r="F2145" s="60"/>
      <c r="G2145" s="60"/>
      <c r="H2145" s="62"/>
      <c r="I2145" s="62" t="str">
        <f t="shared" si="33"/>
        <v/>
      </c>
    </row>
    <row r="2146" spans="2:9" x14ac:dyDescent="0.25">
      <c r="B2146" s="59"/>
      <c r="C2146" s="60"/>
      <c r="D2146" s="60"/>
      <c r="F2146" s="60"/>
      <c r="G2146" s="60"/>
      <c r="H2146" s="62"/>
      <c r="I2146" s="62" t="str">
        <f t="shared" si="33"/>
        <v/>
      </c>
    </row>
    <row r="2147" spans="2:9" x14ac:dyDescent="0.25">
      <c r="B2147" s="59"/>
      <c r="C2147" s="60"/>
      <c r="D2147" s="60"/>
      <c r="F2147" s="60"/>
      <c r="G2147" s="60"/>
      <c r="H2147" s="62"/>
      <c r="I2147" s="62" t="str">
        <f t="shared" si="33"/>
        <v/>
      </c>
    </row>
    <row r="2148" spans="2:9" x14ac:dyDescent="0.25">
      <c r="B2148" s="59"/>
      <c r="C2148" s="60"/>
      <c r="D2148" s="60"/>
      <c r="F2148" s="60"/>
      <c r="G2148" s="60"/>
      <c r="H2148" s="62"/>
      <c r="I2148" s="62" t="str">
        <f t="shared" si="33"/>
        <v/>
      </c>
    </row>
    <row r="2149" spans="2:9" x14ac:dyDescent="0.25">
      <c r="B2149" s="59"/>
      <c r="C2149" s="60"/>
      <c r="D2149" s="60"/>
      <c r="F2149" s="60"/>
      <c r="G2149" s="60"/>
      <c r="H2149" s="62"/>
      <c r="I2149" s="62" t="str">
        <f t="shared" si="33"/>
        <v/>
      </c>
    </row>
    <row r="2150" spans="2:9" x14ac:dyDescent="0.25">
      <c r="B2150" s="59"/>
      <c r="C2150" s="60"/>
      <c r="D2150" s="60"/>
      <c r="F2150" s="60"/>
      <c r="G2150" s="60"/>
      <c r="H2150" s="62"/>
      <c r="I2150" s="62" t="str">
        <f t="shared" si="33"/>
        <v/>
      </c>
    </row>
    <row r="2151" spans="2:9" x14ac:dyDescent="0.25">
      <c r="B2151" s="59"/>
      <c r="C2151" s="60"/>
      <c r="D2151" s="60"/>
      <c r="F2151" s="60"/>
      <c r="G2151" s="60"/>
      <c r="H2151" s="62"/>
      <c r="I2151" s="62" t="str">
        <f t="shared" si="33"/>
        <v/>
      </c>
    </row>
    <row r="2152" spans="2:9" x14ac:dyDescent="0.25">
      <c r="B2152" s="59"/>
      <c r="C2152" s="60"/>
      <c r="D2152" s="60"/>
      <c r="F2152" s="60"/>
      <c r="G2152" s="60"/>
      <c r="H2152" s="62"/>
      <c r="I2152" s="62" t="str">
        <f t="shared" si="33"/>
        <v/>
      </c>
    </row>
    <row r="2153" spans="2:9" x14ac:dyDescent="0.25">
      <c r="B2153" s="59"/>
      <c r="C2153" s="60"/>
      <c r="D2153" s="60"/>
      <c r="F2153" s="60"/>
      <c r="G2153" s="60"/>
      <c r="H2153" s="62"/>
      <c r="I2153" s="62" t="str">
        <f t="shared" si="33"/>
        <v/>
      </c>
    </row>
    <row r="2154" spans="2:9" x14ac:dyDescent="0.25">
      <c r="B2154" s="59"/>
      <c r="C2154" s="60"/>
      <c r="D2154" s="60"/>
      <c r="F2154" s="60"/>
      <c r="G2154" s="60"/>
      <c r="H2154" s="62"/>
      <c r="I2154" s="62" t="str">
        <f t="shared" si="33"/>
        <v/>
      </c>
    </row>
    <row r="2155" spans="2:9" x14ac:dyDescent="0.25">
      <c r="B2155" s="59"/>
      <c r="C2155" s="60"/>
      <c r="D2155" s="60"/>
      <c r="F2155" s="60"/>
      <c r="G2155" s="60"/>
      <c r="H2155" s="62"/>
      <c r="I2155" s="62" t="str">
        <f t="shared" si="33"/>
        <v/>
      </c>
    </row>
    <row r="2156" spans="2:9" x14ac:dyDescent="0.25">
      <c r="B2156" s="59"/>
      <c r="C2156" s="60"/>
      <c r="D2156" s="60"/>
      <c r="F2156" s="60"/>
      <c r="G2156" s="60"/>
      <c r="H2156" s="62"/>
      <c r="I2156" s="62" t="str">
        <f t="shared" si="33"/>
        <v/>
      </c>
    </row>
    <row r="2157" spans="2:9" x14ac:dyDescent="0.25">
      <c r="B2157" s="59"/>
      <c r="C2157" s="60"/>
      <c r="D2157" s="60"/>
      <c r="F2157" s="60"/>
      <c r="G2157" s="60"/>
      <c r="H2157" s="62"/>
      <c r="I2157" s="62" t="str">
        <f t="shared" si="33"/>
        <v/>
      </c>
    </row>
    <row r="2158" spans="2:9" x14ac:dyDescent="0.25">
      <c r="B2158" s="59"/>
      <c r="C2158" s="60"/>
      <c r="D2158" s="60"/>
      <c r="F2158" s="60"/>
      <c r="G2158" s="60"/>
      <c r="H2158" s="62"/>
      <c r="I2158" s="62" t="str">
        <f t="shared" si="33"/>
        <v/>
      </c>
    </row>
    <row r="2159" spans="2:9" x14ac:dyDescent="0.25">
      <c r="B2159" s="59"/>
      <c r="C2159" s="60"/>
      <c r="D2159" s="60"/>
      <c r="F2159" s="60"/>
      <c r="G2159" s="60"/>
      <c r="H2159" s="62"/>
      <c r="I2159" s="62" t="str">
        <f t="shared" si="33"/>
        <v/>
      </c>
    </row>
    <row r="2160" spans="2:9" x14ac:dyDescent="0.25">
      <c r="B2160" s="59"/>
      <c r="C2160" s="60"/>
      <c r="D2160" s="60"/>
      <c r="F2160" s="60"/>
      <c r="G2160" s="60"/>
      <c r="H2160" s="62"/>
      <c r="I2160" s="62" t="str">
        <f t="shared" si="33"/>
        <v/>
      </c>
    </row>
    <row r="2161" spans="2:9" x14ac:dyDescent="0.25">
      <c r="B2161" s="59"/>
      <c r="C2161" s="60"/>
      <c r="D2161" s="60"/>
      <c r="F2161" s="60"/>
      <c r="G2161" s="60"/>
      <c r="H2161" s="62"/>
      <c r="I2161" s="62" t="str">
        <f t="shared" si="33"/>
        <v/>
      </c>
    </row>
    <row r="2162" spans="2:9" x14ac:dyDescent="0.25">
      <c r="B2162" s="59"/>
      <c r="C2162" s="60"/>
      <c r="D2162" s="60"/>
      <c r="F2162" s="60"/>
      <c r="G2162" s="60"/>
      <c r="H2162" s="62"/>
      <c r="I2162" s="62" t="str">
        <f t="shared" si="33"/>
        <v/>
      </c>
    </row>
    <row r="2163" spans="2:9" x14ac:dyDescent="0.25">
      <c r="B2163" s="59"/>
      <c r="C2163" s="60"/>
      <c r="D2163" s="60"/>
      <c r="F2163" s="60"/>
      <c r="G2163" s="60"/>
      <c r="H2163" s="62"/>
      <c r="I2163" s="62" t="str">
        <f t="shared" si="33"/>
        <v/>
      </c>
    </row>
    <row r="2164" spans="2:9" x14ac:dyDescent="0.25">
      <c r="B2164" s="59"/>
      <c r="C2164" s="60"/>
      <c r="D2164" s="60"/>
      <c r="F2164" s="60"/>
      <c r="G2164" s="60"/>
      <c r="H2164" s="62"/>
      <c r="I2164" s="62" t="str">
        <f t="shared" si="33"/>
        <v/>
      </c>
    </row>
    <row r="2165" spans="2:9" x14ac:dyDescent="0.25">
      <c r="B2165" s="59"/>
      <c r="C2165" s="60"/>
      <c r="D2165" s="60"/>
      <c r="F2165" s="60"/>
      <c r="G2165" s="60"/>
      <c r="H2165" s="62"/>
      <c r="I2165" s="62" t="str">
        <f t="shared" si="33"/>
        <v/>
      </c>
    </row>
    <row r="2166" spans="2:9" x14ac:dyDescent="0.25">
      <c r="B2166" s="59"/>
      <c r="C2166" s="60"/>
      <c r="D2166" s="60"/>
      <c r="F2166" s="60"/>
      <c r="G2166" s="60"/>
      <c r="H2166" s="62"/>
      <c r="I2166" s="62" t="str">
        <f t="shared" si="33"/>
        <v/>
      </c>
    </row>
    <row r="2167" spans="2:9" x14ac:dyDescent="0.25">
      <c r="B2167" s="59"/>
      <c r="C2167" s="60"/>
      <c r="D2167" s="60"/>
      <c r="F2167" s="60"/>
      <c r="G2167" s="60"/>
      <c r="H2167" s="62"/>
      <c r="I2167" s="62" t="str">
        <f t="shared" si="33"/>
        <v/>
      </c>
    </row>
    <row r="2168" spans="2:9" x14ac:dyDescent="0.25">
      <c r="B2168" s="59"/>
      <c r="C2168" s="60"/>
      <c r="D2168" s="60"/>
      <c r="F2168" s="60"/>
      <c r="G2168" s="60"/>
      <c r="H2168" s="62"/>
      <c r="I2168" s="62" t="str">
        <f t="shared" si="33"/>
        <v/>
      </c>
    </row>
    <row r="2169" spans="2:9" x14ac:dyDescent="0.25">
      <c r="B2169" s="59"/>
      <c r="C2169" s="60"/>
      <c r="D2169" s="60"/>
      <c r="F2169" s="60"/>
      <c r="G2169" s="60"/>
      <c r="H2169" s="62"/>
      <c r="I2169" s="62" t="str">
        <f t="shared" si="33"/>
        <v/>
      </c>
    </row>
    <row r="2170" spans="2:9" x14ac:dyDescent="0.25">
      <c r="B2170" s="59"/>
      <c r="C2170" s="60"/>
      <c r="D2170" s="60"/>
      <c r="F2170" s="60"/>
      <c r="G2170" s="60"/>
      <c r="H2170" s="62"/>
      <c r="I2170" s="62" t="str">
        <f t="shared" si="33"/>
        <v/>
      </c>
    </row>
    <row r="2171" spans="2:9" x14ac:dyDescent="0.25">
      <c r="B2171" s="59"/>
      <c r="C2171" s="60"/>
      <c r="D2171" s="60"/>
      <c r="F2171" s="60"/>
      <c r="G2171" s="60"/>
      <c r="H2171" s="62"/>
      <c r="I2171" s="62" t="str">
        <f t="shared" si="33"/>
        <v/>
      </c>
    </row>
    <row r="2172" spans="2:9" x14ac:dyDescent="0.25">
      <c r="B2172" s="59"/>
      <c r="C2172" s="60"/>
      <c r="D2172" s="60"/>
      <c r="F2172" s="60"/>
      <c r="G2172" s="60"/>
      <c r="H2172" s="62"/>
      <c r="I2172" s="62" t="str">
        <f t="shared" si="33"/>
        <v/>
      </c>
    </row>
    <row r="2173" spans="2:9" x14ac:dyDescent="0.25">
      <c r="B2173" s="59"/>
      <c r="C2173" s="60"/>
      <c r="D2173" s="60"/>
      <c r="F2173" s="60"/>
      <c r="G2173" s="60"/>
      <c r="H2173" s="62"/>
      <c r="I2173" s="62" t="str">
        <f t="shared" si="33"/>
        <v/>
      </c>
    </row>
    <row r="2174" spans="2:9" x14ac:dyDescent="0.25">
      <c r="B2174" s="59"/>
      <c r="C2174" s="60"/>
      <c r="D2174" s="60"/>
      <c r="F2174" s="60"/>
      <c r="G2174" s="60"/>
      <c r="H2174" s="62"/>
      <c r="I2174" s="62" t="str">
        <f t="shared" si="33"/>
        <v/>
      </c>
    </row>
    <row r="2175" spans="2:9" x14ac:dyDescent="0.25">
      <c r="B2175" s="59"/>
      <c r="C2175" s="60"/>
      <c r="D2175" s="60"/>
      <c r="F2175" s="60"/>
      <c r="G2175" s="60"/>
      <c r="H2175" s="62"/>
      <c r="I2175" s="62" t="str">
        <f t="shared" si="33"/>
        <v/>
      </c>
    </row>
    <row r="2176" spans="2:9" x14ac:dyDescent="0.25">
      <c r="B2176" s="59"/>
      <c r="C2176" s="60"/>
      <c r="D2176" s="60"/>
      <c r="F2176" s="60"/>
      <c r="G2176" s="60"/>
      <c r="H2176" s="62"/>
      <c r="I2176" s="62" t="str">
        <f t="shared" si="33"/>
        <v/>
      </c>
    </row>
    <row r="2177" spans="2:9" x14ac:dyDescent="0.25">
      <c r="B2177" s="59"/>
      <c r="C2177" s="60"/>
      <c r="D2177" s="60"/>
      <c r="F2177" s="60"/>
      <c r="G2177" s="60"/>
      <c r="H2177" s="62"/>
      <c r="I2177" s="62" t="str">
        <f t="shared" si="33"/>
        <v/>
      </c>
    </row>
    <row r="2178" spans="2:9" x14ac:dyDescent="0.25">
      <c r="B2178" s="59"/>
      <c r="C2178" s="60"/>
      <c r="D2178" s="60"/>
      <c r="F2178" s="60"/>
      <c r="G2178" s="60"/>
      <c r="H2178" s="62"/>
      <c r="I2178" s="62" t="str">
        <f t="shared" si="33"/>
        <v/>
      </c>
    </row>
    <row r="2179" spans="2:9" x14ac:dyDescent="0.25">
      <c r="B2179" s="59"/>
      <c r="C2179" s="60"/>
      <c r="D2179" s="60"/>
      <c r="F2179" s="60"/>
      <c r="G2179" s="60"/>
      <c r="H2179" s="62"/>
      <c r="I2179" s="62" t="str">
        <f t="shared" si="33"/>
        <v/>
      </c>
    </row>
    <row r="2180" spans="2:9" x14ac:dyDescent="0.25">
      <c r="B2180" s="59"/>
      <c r="C2180" s="60"/>
      <c r="D2180" s="60"/>
      <c r="F2180" s="60"/>
      <c r="G2180" s="60"/>
      <c r="H2180" s="62"/>
      <c r="I2180" s="62" t="str">
        <f t="shared" si="33"/>
        <v/>
      </c>
    </row>
    <row r="2181" spans="2:9" x14ac:dyDescent="0.25">
      <c r="B2181" s="59"/>
      <c r="C2181" s="60"/>
      <c r="D2181" s="60"/>
      <c r="F2181" s="60"/>
      <c r="G2181" s="60"/>
      <c r="H2181" s="62"/>
      <c r="I2181" s="62" t="str">
        <f t="shared" ref="I2181:I2244" si="34">IF(H2181&lt;&gt;"",H2181-H2180,"")</f>
        <v/>
      </c>
    </row>
    <row r="2182" spans="2:9" x14ac:dyDescent="0.25">
      <c r="B2182" s="59"/>
      <c r="C2182" s="60"/>
      <c r="D2182" s="60"/>
      <c r="F2182" s="60"/>
      <c r="G2182" s="60"/>
      <c r="H2182" s="62"/>
      <c r="I2182" s="62" t="str">
        <f t="shared" si="34"/>
        <v/>
      </c>
    </row>
    <row r="2183" spans="2:9" x14ac:dyDescent="0.25">
      <c r="B2183" s="59"/>
      <c r="C2183" s="60"/>
      <c r="D2183" s="60"/>
      <c r="F2183" s="60"/>
      <c r="G2183" s="60"/>
      <c r="H2183" s="62"/>
      <c r="I2183" s="62" t="str">
        <f t="shared" si="34"/>
        <v/>
      </c>
    </row>
    <row r="2184" spans="2:9" x14ac:dyDescent="0.25">
      <c r="B2184" s="59"/>
      <c r="C2184" s="60"/>
      <c r="D2184" s="60"/>
      <c r="F2184" s="60"/>
      <c r="G2184" s="60"/>
      <c r="H2184" s="62"/>
      <c r="I2184" s="62" t="str">
        <f t="shared" si="34"/>
        <v/>
      </c>
    </row>
    <row r="2185" spans="2:9" x14ac:dyDescent="0.25">
      <c r="B2185" s="59"/>
      <c r="C2185" s="60"/>
      <c r="D2185" s="60"/>
      <c r="F2185" s="60"/>
      <c r="G2185" s="60"/>
      <c r="H2185" s="62"/>
      <c r="I2185" s="62" t="str">
        <f t="shared" si="34"/>
        <v/>
      </c>
    </row>
    <row r="2186" spans="2:9" x14ac:dyDescent="0.25">
      <c r="B2186" s="59"/>
      <c r="C2186" s="60"/>
      <c r="D2186" s="60"/>
      <c r="F2186" s="60"/>
      <c r="G2186" s="60"/>
      <c r="H2186" s="62"/>
      <c r="I2186" s="62" t="str">
        <f t="shared" si="34"/>
        <v/>
      </c>
    </row>
    <row r="2187" spans="2:9" x14ac:dyDescent="0.25">
      <c r="B2187" s="59"/>
      <c r="C2187" s="60"/>
      <c r="D2187" s="60"/>
      <c r="F2187" s="60"/>
      <c r="G2187" s="60"/>
      <c r="H2187" s="62"/>
      <c r="I2187" s="62" t="str">
        <f t="shared" si="34"/>
        <v/>
      </c>
    </row>
    <row r="2188" spans="2:9" x14ac:dyDescent="0.25">
      <c r="B2188" s="59"/>
      <c r="C2188" s="60"/>
      <c r="D2188" s="60"/>
      <c r="F2188" s="60"/>
      <c r="G2188" s="60"/>
      <c r="H2188" s="62"/>
      <c r="I2188" s="62" t="str">
        <f t="shared" si="34"/>
        <v/>
      </c>
    </row>
    <row r="2189" spans="2:9" x14ac:dyDescent="0.25">
      <c r="B2189" s="59"/>
      <c r="C2189" s="60"/>
      <c r="D2189" s="60"/>
      <c r="F2189" s="60"/>
      <c r="G2189" s="60"/>
      <c r="H2189" s="62"/>
      <c r="I2189" s="62" t="str">
        <f t="shared" si="34"/>
        <v/>
      </c>
    </row>
    <row r="2190" spans="2:9" x14ac:dyDescent="0.25">
      <c r="B2190" s="59"/>
      <c r="C2190" s="60"/>
      <c r="D2190" s="60"/>
      <c r="F2190" s="60"/>
      <c r="G2190" s="60"/>
      <c r="H2190" s="62"/>
      <c r="I2190" s="62" t="str">
        <f t="shared" si="34"/>
        <v/>
      </c>
    </row>
    <row r="2191" spans="2:9" x14ac:dyDescent="0.25">
      <c r="B2191" s="59"/>
      <c r="C2191" s="60"/>
      <c r="D2191" s="60"/>
      <c r="F2191" s="60"/>
      <c r="G2191" s="60"/>
      <c r="H2191" s="62"/>
      <c r="I2191" s="62" t="str">
        <f t="shared" si="34"/>
        <v/>
      </c>
    </row>
    <row r="2192" spans="2:9" x14ac:dyDescent="0.25">
      <c r="B2192" s="59"/>
      <c r="C2192" s="60"/>
      <c r="D2192" s="60"/>
      <c r="F2192" s="60"/>
      <c r="G2192" s="60"/>
      <c r="H2192" s="62"/>
      <c r="I2192" s="62" t="str">
        <f t="shared" si="34"/>
        <v/>
      </c>
    </row>
    <row r="2193" spans="2:9" x14ac:dyDescent="0.25">
      <c r="B2193" s="59"/>
      <c r="C2193" s="60"/>
      <c r="D2193" s="60"/>
      <c r="F2193" s="60"/>
      <c r="G2193" s="60"/>
      <c r="H2193" s="62"/>
      <c r="I2193" s="62" t="str">
        <f t="shared" si="34"/>
        <v/>
      </c>
    </row>
    <row r="2194" spans="2:9" x14ac:dyDescent="0.25">
      <c r="B2194" s="59"/>
      <c r="C2194" s="60"/>
      <c r="D2194" s="60"/>
      <c r="F2194" s="60"/>
      <c r="G2194" s="60"/>
      <c r="H2194" s="62"/>
      <c r="I2194" s="62" t="str">
        <f t="shared" si="34"/>
        <v/>
      </c>
    </row>
    <row r="2195" spans="2:9" x14ac:dyDescent="0.25">
      <c r="B2195" s="59"/>
      <c r="C2195" s="60"/>
      <c r="D2195" s="60"/>
      <c r="F2195" s="60"/>
      <c r="G2195" s="60"/>
      <c r="H2195" s="62"/>
      <c r="I2195" s="62" t="str">
        <f t="shared" si="34"/>
        <v/>
      </c>
    </row>
    <row r="2196" spans="2:9" x14ac:dyDescent="0.25">
      <c r="B2196" s="59"/>
      <c r="C2196" s="60"/>
      <c r="D2196" s="60"/>
      <c r="F2196" s="60"/>
      <c r="G2196" s="60"/>
      <c r="H2196" s="62"/>
      <c r="I2196" s="62" t="str">
        <f t="shared" si="34"/>
        <v/>
      </c>
    </row>
    <row r="2197" spans="2:9" x14ac:dyDescent="0.25">
      <c r="B2197" s="59"/>
      <c r="C2197" s="60"/>
      <c r="D2197" s="60"/>
      <c r="F2197" s="60"/>
      <c r="G2197" s="60"/>
      <c r="H2197" s="62"/>
      <c r="I2197" s="62" t="str">
        <f t="shared" si="34"/>
        <v/>
      </c>
    </row>
    <row r="2198" spans="2:9" x14ac:dyDescent="0.25">
      <c r="B2198" s="59"/>
      <c r="C2198" s="60"/>
      <c r="D2198" s="60"/>
      <c r="F2198" s="60"/>
      <c r="G2198" s="60"/>
      <c r="H2198" s="62"/>
      <c r="I2198" s="62" t="str">
        <f t="shared" si="34"/>
        <v/>
      </c>
    </row>
    <row r="2199" spans="2:9" x14ac:dyDescent="0.25">
      <c r="B2199" s="59"/>
      <c r="C2199" s="60"/>
      <c r="D2199" s="60"/>
      <c r="F2199" s="60"/>
      <c r="G2199" s="60"/>
      <c r="H2199" s="62"/>
      <c r="I2199" s="62" t="str">
        <f t="shared" si="34"/>
        <v/>
      </c>
    </row>
    <row r="2200" spans="2:9" x14ac:dyDescent="0.25">
      <c r="B2200" s="59"/>
      <c r="C2200" s="60"/>
      <c r="D2200" s="60"/>
      <c r="F2200" s="60"/>
      <c r="G2200" s="60"/>
      <c r="H2200" s="62"/>
      <c r="I2200" s="62" t="str">
        <f t="shared" si="34"/>
        <v/>
      </c>
    </row>
    <row r="2201" spans="2:9" x14ac:dyDescent="0.25">
      <c r="B2201" s="59"/>
      <c r="C2201" s="60"/>
      <c r="D2201" s="60"/>
      <c r="F2201" s="60"/>
      <c r="G2201" s="60"/>
      <c r="H2201" s="62"/>
      <c r="I2201" s="62" t="str">
        <f t="shared" si="34"/>
        <v/>
      </c>
    </row>
    <row r="2202" spans="2:9" x14ac:dyDescent="0.25">
      <c r="B2202" s="59"/>
      <c r="C2202" s="60"/>
      <c r="D2202" s="60"/>
      <c r="F2202" s="60"/>
      <c r="G2202" s="60"/>
      <c r="H2202" s="62"/>
      <c r="I2202" s="62" t="str">
        <f t="shared" si="34"/>
        <v/>
      </c>
    </row>
    <row r="2203" spans="2:9" x14ac:dyDescent="0.25">
      <c r="B2203" s="59"/>
      <c r="C2203" s="60"/>
      <c r="D2203" s="60"/>
      <c r="F2203" s="60"/>
      <c r="G2203" s="60"/>
      <c r="H2203" s="62"/>
      <c r="I2203" s="62" t="str">
        <f t="shared" si="34"/>
        <v/>
      </c>
    </row>
    <row r="2204" spans="2:9" x14ac:dyDescent="0.25">
      <c r="B2204" s="59"/>
      <c r="C2204" s="60"/>
      <c r="D2204" s="60"/>
      <c r="F2204" s="60"/>
      <c r="G2204" s="60"/>
      <c r="H2204" s="62"/>
      <c r="I2204" s="62" t="str">
        <f t="shared" si="34"/>
        <v/>
      </c>
    </row>
    <row r="2205" spans="2:9" x14ac:dyDescent="0.25">
      <c r="B2205" s="59"/>
      <c r="C2205" s="60"/>
      <c r="D2205" s="60"/>
      <c r="F2205" s="60"/>
      <c r="G2205" s="60"/>
      <c r="H2205" s="62"/>
      <c r="I2205" s="62" t="str">
        <f t="shared" si="34"/>
        <v/>
      </c>
    </row>
    <row r="2206" spans="2:9" x14ac:dyDescent="0.25">
      <c r="B2206" s="59"/>
      <c r="C2206" s="60"/>
      <c r="D2206" s="60"/>
      <c r="F2206" s="60"/>
      <c r="G2206" s="60"/>
      <c r="H2206" s="62"/>
      <c r="I2206" s="62" t="str">
        <f t="shared" si="34"/>
        <v/>
      </c>
    </row>
    <row r="2207" spans="2:9" x14ac:dyDescent="0.25">
      <c r="B2207" s="59"/>
      <c r="C2207" s="60"/>
      <c r="D2207" s="60"/>
      <c r="F2207" s="60"/>
      <c r="G2207" s="60"/>
      <c r="H2207" s="62"/>
      <c r="I2207" s="62" t="str">
        <f t="shared" si="34"/>
        <v/>
      </c>
    </row>
    <row r="2208" spans="2:9" x14ac:dyDescent="0.25">
      <c r="B2208" s="59"/>
      <c r="C2208" s="60"/>
      <c r="D2208" s="60"/>
      <c r="F2208" s="60"/>
      <c r="G2208" s="60"/>
      <c r="H2208" s="62"/>
      <c r="I2208" s="62" t="str">
        <f t="shared" si="34"/>
        <v/>
      </c>
    </row>
    <row r="2209" spans="2:9" x14ac:dyDescent="0.25">
      <c r="B2209" s="59"/>
      <c r="C2209" s="60"/>
      <c r="D2209" s="60"/>
      <c r="F2209" s="60"/>
      <c r="G2209" s="60"/>
      <c r="H2209" s="62"/>
      <c r="I2209" s="62" t="str">
        <f t="shared" si="34"/>
        <v/>
      </c>
    </row>
    <row r="2210" spans="2:9" x14ac:dyDescent="0.25">
      <c r="B2210" s="59"/>
      <c r="C2210" s="60"/>
      <c r="D2210" s="60"/>
      <c r="F2210" s="60"/>
      <c r="G2210" s="60"/>
      <c r="H2210" s="62"/>
      <c r="I2210" s="62" t="str">
        <f t="shared" si="34"/>
        <v/>
      </c>
    </row>
    <row r="2211" spans="2:9" x14ac:dyDescent="0.25">
      <c r="B2211" s="59"/>
      <c r="C2211" s="60"/>
      <c r="D2211" s="60"/>
      <c r="F2211" s="60"/>
      <c r="G2211" s="60"/>
      <c r="H2211" s="62"/>
      <c r="I2211" s="62" t="str">
        <f t="shared" si="34"/>
        <v/>
      </c>
    </row>
    <row r="2212" spans="2:9" x14ac:dyDescent="0.25">
      <c r="B2212" s="59"/>
      <c r="C2212" s="60"/>
      <c r="D2212" s="60"/>
      <c r="F2212" s="60"/>
      <c r="G2212" s="60"/>
      <c r="H2212" s="62"/>
      <c r="I2212" s="62" t="str">
        <f t="shared" si="34"/>
        <v/>
      </c>
    </row>
    <row r="2213" spans="2:9" x14ac:dyDescent="0.25">
      <c r="B2213" s="59"/>
      <c r="C2213" s="60"/>
      <c r="D2213" s="60"/>
      <c r="F2213" s="60"/>
      <c r="G2213" s="60"/>
      <c r="H2213" s="62"/>
      <c r="I2213" s="62" t="str">
        <f t="shared" si="34"/>
        <v/>
      </c>
    </row>
    <row r="2214" spans="2:9" x14ac:dyDescent="0.25">
      <c r="B2214" s="59"/>
      <c r="C2214" s="60"/>
      <c r="D2214" s="60"/>
      <c r="F2214" s="60"/>
      <c r="G2214" s="60"/>
      <c r="H2214" s="62"/>
      <c r="I2214" s="62" t="str">
        <f t="shared" si="34"/>
        <v/>
      </c>
    </row>
    <row r="2215" spans="2:9" x14ac:dyDescent="0.25">
      <c r="B2215" s="59"/>
      <c r="C2215" s="60"/>
      <c r="D2215" s="60"/>
      <c r="F2215" s="60"/>
      <c r="G2215" s="60"/>
      <c r="H2215" s="62"/>
      <c r="I2215" s="62" t="str">
        <f t="shared" si="34"/>
        <v/>
      </c>
    </row>
    <row r="2216" spans="2:9" x14ac:dyDescent="0.25">
      <c r="B2216" s="59"/>
      <c r="C2216" s="60"/>
      <c r="D2216" s="60"/>
      <c r="F2216" s="60"/>
      <c r="G2216" s="60"/>
      <c r="H2216" s="62"/>
      <c r="I2216" s="62" t="str">
        <f t="shared" si="34"/>
        <v/>
      </c>
    </row>
    <row r="2217" spans="2:9" x14ac:dyDescent="0.25">
      <c r="B2217" s="59"/>
      <c r="C2217" s="60"/>
      <c r="D2217" s="60"/>
      <c r="F2217" s="60"/>
      <c r="G2217" s="60"/>
      <c r="H2217" s="62"/>
      <c r="I2217" s="62" t="str">
        <f t="shared" si="34"/>
        <v/>
      </c>
    </row>
    <row r="2218" spans="2:9" x14ac:dyDescent="0.25">
      <c r="B2218" s="59"/>
      <c r="C2218" s="60"/>
      <c r="D2218" s="60"/>
      <c r="F2218" s="60"/>
      <c r="G2218" s="60"/>
      <c r="H2218" s="62"/>
      <c r="I2218" s="62" t="str">
        <f t="shared" si="34"/>
        <v/>
      </c>
    </row>
    <row r="2219" spans="2:9" x14ac:dyDescent="0.25">
      <c r="B2219" s="59"/>
      <c r="C2219" s="60"/>
      <c r="D2219" s="60"/>
      <c r="F2219" s="60"/>
      <c r="G2219" s="60"/>
      <c r="H2219" s="62"/>
      <c r="I2219" s="62" t="str">
        <f t="shared" si="34"/>
        <v/>
      </c>
    </row>
    <row r="2220" spans="2:9" x14ac:dyDescent="0.25">
      <c r="B2220" s="59"/>
      <c r="C2220" s="60"/>
      <c r="D2220" s="60"/>
      <c r="F2220" s="60"/>
      <c r="G2220" s="60"/>
      <c r="H2220" s="62"/>
      <c r="I2220" s="62" t="str">
        <f t="shared" si="34"/>
        <v/>
      </c>
    </row>
    <row r="2221" spans="2:9" x14ac:dyDescent="0.25">
      <c r="B2221" s="59"/>
      <c r="C2221" s="60"/>
      <c r="D2221" s="60"/>
      <c r="F2221" s="60"/>
      <c r="G2221" s="60"/>
      <c r="H2221" s="62"/>
      <c r="I2221" s="62" t="str">
        <f t="shared" si="34"/>
        <v/>
      </c>
    </row>
    <row r="2222" spans="2:9" x14ac:dyDescent="0.25">
      <c r="B2222" s="59"/>
      <c r="C2222" s="60"/>
      <c r="D2222" s="60"/>
      <c r="F2222" s="60"/>
      <c r="G2222" s="60"/>
      <c r="H2222" s="62"/>
      <c r="I2222" s="62" t="str">
        <f t="shared" si="34"/>
        <v/>
      </c>
    </row>
    <row r="2223" spans="2:9" x14ac:dyDescent="0.25">
      <c r="B2223" s="59"/>
      <c r="C2223" s="60"/>
      <c r="D2223" s="60"/>
      <c r="F2223" s="60"/>
      <c r="G2223" s="60"/>
      <c r="H2223" s="62"/>
      <c r="I2223" s="62" t="str">
        <f t="shared" si="34"/>
        <v/>
      </c>
    </row>
    <row r="2224" spans="2:9" x14ac:dyDescent="0.25">
      <c r="B2224" s="59"/>
      <c r="C2224" s="60"/>
      <c r="D2224" s="60"/>
      <c r="F2224" s="60"/>
      <c r="G2224" s="60"/>
      <c r="H2224" s="62"/>
      <c r="I2224" s="62" t="str">
        <f t="shared" si="34"/>
        <v/>
      </c>
    </row>
    <row r="2225" spans="2:9" x14ac:dyDescent="0.25">
      <c r="B2225" s="59"/>
      <c r="C2225" s="60"/>
      <c r="D2225" s="60"/>
      <c r="F2225" s="60"/>
      <c r="G2225" s="60"/>
      <c r="H2225" s="62"/>
      <c r="I2225" s="62" t="str">
        <f t="shared" si="34"/>
        <v/>
      </c>
    </row>
    <row r="2226" spans="2:9" x14ac:dyDescent="0.25">
      <c r="B2226" s="59"/>
      <c r="C2226" s="60"/>
      <c r="D2226" s="60"/>
      <c r="F2226" s="60"/>
      <c r="G2226" s="60"/>
      <c r="H2226" s="62"/>
      <c r="I2226" s="62" t="str">
        <f t="shared" si="34"/>
        <v/>
      </c>
    </row>
    <row r="2227" spans="2:9" x14ac:dyDescent="0.25">
      <c r="B2227" s="59"/>
      <c r="C2227" s="60"/>
      <c r="D2227" s="60"/>
      <c r="F2227" s="60"/>
      <c r="G2227" s="60"/>
      <c r="H2227" s="62"/>
      <c r="I2227" s="62" t="str">
        <f t="shared" si="34"/>
        <v/>
      </c>
    </row>
    <row r="2228" spans="2:9" x14ac:dyDescent="0.25">
      <c r="B2228" s="59"/>
      <c r="C2228" s="60"/>
      <c r="D2228" s="60"/>
      <c r="F2228" s="60"/>
      <c r="G2228" s="60"/>
      <c r="H2228" s="62"/>
      <c r="I2228" s="62" t="str">
        <f t="shared" si="34"/>
        <v/>
      </c>
    </row>
    <row r="2229" spans="2:9" x14ac:dyDescent="0.25">
      <c r="B2229" s="59"/>
      <c r="C2229" s="60"/>
      <c r="D2229" s="60"/>
      <c r="F2229" s="60"/>
      <c r="G2229" s="60"/>
      <c r="H2229" s="62"/>
      <c r="I2229" s="62" t="str">
        <f t="shared" si="34"/>
        <v/>
      </c>
    </row>
    <row r="2230" spans="2:9" x14ac:dyDescent="0.25">
      <c r="B2230" s="59"/>
      <c r="C2230" s="60"/>
      <c r="D2230" s="60"/>
      <c r="F2230" s="60"/>
      <c r="G2230" s="60"/>
      <c r="H2230" s="62"/>
      <c r="I2230" s="62" t="str">
        <f t="shared" si="34"/>
        <v/>
      </c>
    </row>
    <row r="2231" spans="2:9" x14ac:dyDescent="0.25">
      <c r="B2231" s="59"/>
      <c r="C2231" s="60"/>
      <c r="D2231" s="60"/>
      <c r="F2231" s="60"/>
      <c r="G2231" s="60"/>
      <c r="H2231" s="62"/>
      <c r="I2231" s="62" t="str">
        <f t="shared" si="34"/>
        <v/>
      </c>
    </row>
    <row r="2232" spans="2:9" x14ac:dyDescent="0.25">
      <c r="B2232" s="59"/>
      <c r="C2232" s="60"/>
      <c r="D2232" s="60"/>
      <c r="F2232" s="60"/>
      <c r="G2232" s="60"/>
      <c r="H2232" s="62"/>
      <c r="I2232" s="62" t="str">
        <f t="shared" si="34"/>
        <v/>
      </c>
    </row>
    <row r="2233" spans="2:9" x14ac:dyDescent="0.25">
      <c r="B2233" s="59"/>
      <c r="C2233" s="60"/>
      <c r="D2233" s="60"/>
      <c r="F2233" s="60"/>
      <c r="G2233" s="60"/>
      <c r="H2233" s="62"/>
      <c r="I2233" s="62" t="str">
        <f t="shared" si="34"/>
        <v/>
      </c>
    </row>
    <row r="2234" spans="2:9" x14ac:dyDescent="0.25">
      <c r="B2234" s="59"/>
      <c r="C2234" s="60"/>
      <c r="D2234" s="60"/>
      <c r="F2234" s="60"/>
      <c r="G2234" s="60"/>
      <c r="H2234" s="62"/>
      <c r="I2234" s="62" t="str">
        <f t="shared" si="34"/>
        <v/>
      </c>
    </row>
    <row r="2235" spans="2:9" x14ac:dyDescent="0.25">
      <c r="B2235" s="59"/>
      <c r="C2235" s="60"/>
      <c r="D2235" s="60"/>
      <c r="F2235" s="60"/>
      <c r="G2235" s="60"/>
      <c r="H2235" s="62"/>
      <c r="I2235" s="62" t="str">
        <f t="shared" si="34"/>
        <v/>
      </c>
    </row>
    <row r="2236" spans="2:9" x14ac:dyDescent="0.25">
      <c r="B2236" s="59"/>
      <c r="C2236" s="60"/>
      <c r="D2236" s="60"/>
      <c r="F2236" s="60"/>
      <c r="G2236" s="60"/>
      <c r="H2236" s="62"/>
      <c r="I2236" s="62" t="str">
        <f t="shared" si="34"/>
        <v/>
      </c>
    </row>
    <row r="2237" spans="2:9" x14ac:dyDescent="0.25">
      <c r="B2237" s="59"/>
      <c r="C2237" s="60"/>
      <c r="D2237" s="60"/>
      <c r="F2237" s="60"/>
      <c r="G2237" s="60"/>
      <c r="H2237" s="62"/>
      <c r="I2237" s="62" t="str">
        <f t="shared" si="34"/>
        <v/>
      </c>
    </row>
    <row r="2238" spans="2:9" x14ac:dyDescent="0.25">
      <c r="B2238" s="59"/>
      <c r="C2238" s="60"/>
      <c r="D2238" s="60"/>
      <c r="F2238" s="60"/>
      <c r="G2238" s="60"/>
      <c r="H2238" s="62"/>
      <c r="I2238" s="62" t="str">
        <f t="shared" si="34"/>
        <v/>
      </c>
    </row>
    <row r="2239" spans="2:9" x14ac:dyDescent="0.25">
      <c r="B2239" s="59"/>
      <c r="C2239" s="60"/>
      <c r="D2239" s="60"/>
      <c r="F2239" s="60"/>
      <c r="G2239" s="60"/>
      <c r="H2239" s="62"/>
      <c r="I2239" s="62" t="str">
        <f t="shared" si="34"/>
        <v/>
      </c>
    </row>
    <row r="2240" spans="2:9" x14ac:dyDescent="0.25">
      <c r="B2240" s="59"/>
      <c r="C2240" s="60"/>
      <c r="D2240" s="60"/>
      <c r="F2240" s="60"/>
      <c r="G2240" s="60"/>
      <c r="H2240" s="62"/>
      <c r="I2240" s="62" t="str">
        <f t="shared" si="34"/>
        <v/>
      </c>
    </row>
    <row r="2241" spans="2:9" x14ac:dyDescent="0.25">
      <c r="B2241" s="59"/>
      <c r="C2241" s="60"/>
      <c r="D2241" s="60"/>
      <c r="F2241" s="60"/>
      <c r="G2241" s="60"/>
      <c r="H2241" s="62"/>
      <c r="I2241" s="62" t="str">
        <f t="shared" si="34"/>
        <v/>
      </c>
    </row>
    <row r="2242" spans="2:9" x14ac:dyDescent="0.25">
      <c r="B2242" s="59"/>
      <c r="C2242" s="60"/>
      <c r="D2242" s="60"/>
      <c r="F2242" s="60"/>
      <c r="G2242" s="60"/>
      <c r="H2242" s="62"/>
      <c r="I2242" s="62" t="str">
        <f t="shared" si="34"/>
        <v/>
      </c>
    </row>
    <row r="2243" spans="2:9" x14ac:dyDescent="0.25">
      <c r="B2243" s="59"/>
      <c r="C2243" s="60"/>
      <c r="D2243" s="60"/>
      <c r="F2243" s="60"/>
      <c r="G2243" s="60"/>
      <c r="H2243" s="62"/>
      <c r="I2243" s="62" t="str">
        <f t="shared" si="34"/>
        <v/>
      </c>
    </row>
    <row r="2244" spans="2:9" x14ac:dyDescent="0.25">
      <c r="B2244" s="59"/>
      <c r="C2244" s="60"/>
      <c r="D2244" s="60"/>
      <c r="F2244" s="60"/>
      <c r="G2244" s="60"/>
      <c r="H2244" s="62"/>
      <c r="I2244" s="62" t="str">
        <f t="shared" si="34"/>
        <v/>
      </c>
    </row>
    <row r="2245" spans="2:9" x14ac:dyDescent="0.25">
      <c r="B2245" s="59"/>
      <c r="C2245" s="60"/>
      <c r="D2245" s="60"/>
      <c r="F2245" s="60"/>
      <c r="G2245" s="60"/>
      <c r="H2245" s="62"/>
      <c r="I2245" s="62" t="str">
        <f t="shared" ref="I2245:I2308" si="35">IF(H2245&lt;&gt;"",H2245-H2244,"")</f>
        <v/>
      </c>
    </row>
    <row r="2246" spans="2:9" x14ac:dyDescent="0.25">
      <c r="B2246" s="59"/>
      <c r="C2246" s="60"/>
      <c r="D2246" s="60"/>
      <c r="F2246" s="60"/>
      <c r="G2246" s="60"/>
      <c r="H2246" s="62"/>
      <c r="I2246" s="62" t="str">
        <f t="shared" si="35"/>
        <v/>
      </c>
    </row>
    <row r="2247" spans="2:9" x14ac:dyDescent="0.25">
      <c r="B2247" s="59"/>
      <c r="C2247" s="60"/>
      <c r="D2247" s="60"/>
      <c r="F2247" s="60"/>
      <c r="G2247" s="60"/>
      <c r="H2247" s="62"/>
      <c r="I2247" s="62" t="str">
        <f t="shared" si="35"/>
        <v/>
      </c>
    </row>
    <row r="2248" spans="2:9" x14ac:dyDescent="0.25">
      <c r="B2248" s="59"/>
      <c r="C2248" s="60"/>
      <c r="D2248" s="60"/>
      <c r="F2248" s="60"/>
      <c r="G2248" s="60"/>
      <c r="H2248" s="62"/>
      <c r="I2248" s="62" t="str">
        <f t="shared" si="35"/>
        <v/>
      </c>
    </row>
    <row r="2249" spans="2:9" x14ac:dyDescent="0.25">
      <c r="B2249" s="59"/>
      <c r="C2249" s="60"/>
      <c r="D2249" s="60"/>
      <c r="F2249" s="60"/>
      <c r="G2249" s="60"/>
      <c r="H2249" s="62"/>
      <c r="I2249" s="62" t="str">
        <f t="shared" si="35"/>
        <v/>
      </c>
    </row>
    <row r="2250" spans="2:9" x14ac:dyDescent="0.25">
      <c r="B2250" s="59"/>
      <c r="C2250" s="60"/>
      <c r="D2250" s="60"/>
      <c r="F2250" s="60"/>
      <c r="G2250" s="60"/>
      <c r="H2250" s="62"/>
      <c r="I2250" s="62" t="str">
        <f t="shared" si="35"/>
        <v/>
      </c>
    </row>
    <row r="2251" spans="2:9" x14ac:dyDescent="0.25">
      <c r="B2251" s="59"/>
      <c r="C2251" s="60"/>
      <c r="D2251" s="60"/>
      <c r="F2251" s="60"/>
      <c r="G2251" s="60"/>
      <c r="H2251" s="62"/>
      <c r="I2251" s="62" t="str">
        <f t="shared" si="35"/>
        <v/>
      </c>
    </row>
    <row r="2252" spans="2:9" x14ac:dyDescent="0.25">
      <c r="B2252" s="59"/>
      <c r="C2252" s="60"/>
      <c r="D2252" s="60"/>
      <c r="F2252" s="60"/>
      <c r="G2252" s="60"/>
      <c r="H2252" s="62"/>
      <c r="I2252" s="62" t="str">
        <f t="shared" si="35"/>
        <v/>
      </c>
    </row>
    <row r="2253" spans="2:9" x14ac:dyDescent="0.25">
      <c r="B2253" s="59"/>
      <c r="C2253" s="60"/>
      <c r="D2253" s="60"/>
      <c r="F2253" s="60"/>
      <c r="G2253" s="60"/>
      <c r="H2253" s="62"/>
      <c r="I2253" s="62" t="str">
        <f t="shared" si="35"/>
        <v/>
      </c>
    </row>
    <row r="2254" spans="2:9" x14ac:dyDescent="0.25">
      <c r="B2254" s="59"/>
      <c r="C2254" s="60"/>
      <c r="D2254" s="60"/>
      <c r="F2254" s="60"/>
      <c r="G2254" s="60"/>
      <c r="H2254" s="62"/>
      <c r="I2254" s="62" t="str">
        <f t="shared" si="35"/>
        <v/>
      </c>
    </row>
    <row r="2255" spans="2:9" x14ac:dyDescent="0.25">
      <c r="B2255" s="59"/>
      <c r="C2255" s="60"/>
      <c r="D2255" s="60"/>
      <c r="F2255" s="60"/>
      <c r="G2255" s="60"/>
      <c r="H2255" s="62"/>
      <c r="I2255" s="62" t="str">
        <f t="shared" si="35"/>
        <v/>
      </c>
    </row>
    <row r="2256" spans="2:9" x14ac:dyDescent="0.25">
      <c r="B2256" s="59"/>
      <c r="C2256" s="60"/>
      <c r="D2256" s="60"/>
      <c r="F2256" s="60"/>
      <c r="G2256" s="60"/>
      <c r="H2256" s="62"/>
      <c r="I2256" s="62" t="str">
        <f t="shared" si="35"/>
        <v/>
      </c>
    </row>
    <row r="2257" spans="2:9" x14ac:dyDescent="0.25">
      <c r="B2257" s="59"/>
      <c r="C2257" s="60"/>
      <c r="D2257" s="60"/>
      <c r="F2257" s="60"/>
      <c r="G2257" s="60"/>
      <c r="H2257" s="62"/>
      <c r="I2257" s="62" t="str">
        <f t="shared" si="35"/>
        <v/>
      </c>
    </row>
    <row r="2258" spans="2:9" x14ac:dyDescent="0.25">
      <c r="B2258" s="59"/>
      <c r="C2258" s="60"/>
      <c r="D2258" s="60"/>
      <c r="F2258" s="60"/>
      <c r="G2258" s="60"/>
      <c r="H2258" s="62"/>
      <c r="I2258" s="62" t="str">
        <f t="shared" si="35"/>
        <v/>
      </c>
    </row>
    <row r="2259" spans="2:9" x14ac:dyDescent="0.25">
      <c r="B2259" s="59"/>
      <c r="C2259" s="60"/>
      <c r="D2259" s="60"/>
      <c r="F2259" s="60"/>
      <c r="G2259" s="60"/>
      <c r="H2259" s="62"/>
      <c r="I2259" s="62" t="str">
        <f t="shared" si="35"/>
        <v/>
      </c>
    </row>
    <row r="2260" spans="2:9" x14ac:dyDescent="0.25">
      <c r="B2260" s="59"/>
      <c r="C2260" s="60"/>
      <c r="D2260" s="60"/>
      <c r="F2260" s="60"/>
      <c r="G2260" s="60"/>
      <c r="H2260" s="62"/>
      <c r="I2260" s="62" t="str">
        <f t="shared" si="35"/>
        <v/>
      </c>
    </row>
    <row r="2261" spans="2:9" x14ac:dyDescent="0.25">
      <c r="B2261" s="59"/>
      <c r="C2261" s="60"/>
      <c r="D2261" s="60"/>
      <c r="F2261" s="60"/>
      <c r="G2261" s="60"/>
      <c r="H2261" s="62"/>
      <c r="I2261" s="62" t="str">
        <f t="shared" si="35"/>
        <v/>
      </c>
    </row>
    <row r="2262" spans="2:9" x14ac:dyDescent="0.25">
      <c r="B2262" s="59"/>
      <c r="C2262" s="60"/>
      <c r="D2262" s="60"/>
      <c r="F2262" s="60"/>
      <c r="G2262" s="60"/>
      <c r="H2262" s="62"/>
      <c r="I2262" s="62" t="str">
        <f t="shared" si="35"/>
        <v/>
      </c>
    </row>
    <row r="2263" spans="2:9" x14ac:dyDescent="0.25">
      <c r="B2263" s="59"/>
      <c r="C2263" s="60"/>
      <c r="D2263" s="60"/>
      <c r="F2263" s="60"/>
      <c r="G2263" s="60"/>
      <c r="H2263" s="62"/>
      <c r="I2263" s="62" t="str">
        <f t="shared" si="35"/>
        <v/>
      </c>
    </row>
    <row r="2264" spans="2:9" x14ac:dyDescent="0.25">
      <c r="B2264" s="59"/>
      <c r="C2264" s="60"/>
      <c r="D2264" s="60"/>
      <c r="F2264" s="60"/>
      <c r="G2264" s="60"/>
      <c r="H2264" s="62"/>
      <c r="I2264" s="62" t="str">
        <f t="shared" si="35"/>
        <v/>
      </c>
    </row>
    <row r="2265" spans="2:9" x14ac:dyDescent="0.25">
      <c r="B2265" s="59"/>
      <c r="C2265" s="60"/>
      <c r="D2265" s="60"/>
      <c r="F2265" s="60"/>
      <c r="G2265" s="60"/>
      <c r="H2265" s="62"/>
      <c r="I2265" s="62" t="str">
        <f t="shared" si="35"/>
        <v/>
      </c>
    </row>
    <row r="2266" spans="2:9" x14ac:dyDescent="0.25">
      <c r="B2266" s="59"/>
      <c r="C2266" s="60"/>
      <c r="D2266" s="60"/>
      <c r="F2266" s="60"/>
      <c r="G2266" s="60"/>
      <c r="H2266" s="62"/>
      <c r="I2266" s="62" t="str">
        <f t="shared" si="35"/>
        <v/>
      </c>
    </row>
    <row r="2267" spans="2:9" x14ac:dyDescent="0.25">
      <c r="B2267" s="59"/>
      <c r="C2267" s="60"/>
      <c r="D2267" s="60"/>
      <c r="F2267" s="60"/>
      <c r="G2267" s="60"/>
      <c r="H2267" s="62"/>
      <c r="I2267" s="62" t="str">
        <f t="shared" si="35"/>
        <v/>
      </c>
    </row>
    <row r="2268" spans="2:9" x14ac:dyDescent="0.25">
      <c r="B2268" s="59"/>
      <c r="C2268" s="60"/>
      <c r="D2268" s="60"/>
      <c r="F2268" s="60"/>
      <c r="G2268" s="60"/>
      <c r="H2268" s="62"/>
      <c r="I2268" s="62" t="str">
        <f t="shared" si="35"/>
        <v/>
      </c>
    </row>
    <row r="2269" spans="2:9" x14ac:dyDescent="0.25">
      <c r="B2269" s="59"/>
      <c r="C2269" s="60"/>
      <c r="D2269" s="60"/>
      <c r="F2269" s="60"/>
      <c r="G2269" s="60"/>
      <c r="H2269" s="62"/>
      <c r="I2269" s="62" t="str">
        <f t="shared" si="35"/>
        <v/>
      </c>
    </row>
    <row r="2270" spans="2:9" x14ac:dyDescent="0.25">
      <c r="B2270" s="59"/>
      <c r="C2270" s="60"/>
      <c r="D2270" s="60"/>
      <c r="F2270" s="60"/>
      <c r="G2270" s="60"/>
      <c r="H2270" s="62"/>
      <c r="I2270" s="62" t="str">
        <f t="shared" si="35"/>
        <v/>
      </c>
    </row>
    <row r="2271" spans="2:9" x14ac:dyDescent="0.25">
      <c r="B2271" s="59"/>
      <c r="C2271" s="60"/>
      <c r="D2271" s="60"/>
      <c r="F2271" s="60"/>
      <c r="G2271" s="60"/>
      <c r="H2271" s="62"/>
      <c r="I2271" s="62" t="str">
        <f t="shared" si="35"/>
        <v/>
      </c>
    </row>
    <row r="2272" spans="2:9" x14ac:dyDescent="0.25">
      <c r="B2272" s="59"/>
      <c r="C2272" s="60"/>
      <c r="D2272" s="60"/>
      <c r="F2272" s="60"/>
      <c r="G2272" s="60"/>
      <c r="H2272" s="62"/>
      <c r="I2272" s="62" t="str">
        <f t="shared" si="35"/>
        <v/>
      </c>
    </row>
    <row r="2273" spans="2:9" x14ac:dyDescent="0.25">
      <c r="B2273" s="59"/>
      <c r="C2273" s="60"/>
      <c r="D2273" s="60"/>
      <c r="F2273" s="60"/>
      <c r="G2273" s="60"/>
      <c r="H2273" s="62"/>
      <c r="I2273" s="62" t="str">
        <f t="shared" si="35"/>
        <v/>
      </c>
    </row>
    <row r="2274" spans="2:9" x14ac:dyDescent="0.25">
      <c r="B2274" s="59"/>
      <c r="C2274" s="60"/>
      <c r="D2274" s="60"/>
      <c r="F2274" s="60"/>
      <c r="G2274" s="60"/>
      <c r="H2274" s="62"/>
      <c r="I2274" s="62" t="str">
        <f t="shared" si="35"/>
        <v/>
      </c>
    </row>
    <row r="2275" spans="2:9" x14ac:dyDescent="0.25">
      <c r="B2275" s="59"/>
      <c r="C2275" s="60"/>
      <c r="D2275" s="60"/>
      <c r="F2275" s="60"/>
      <c r="G2275" s="60"/>
      <c r="H2275" s="62"/>
      <c r="I2275" s="62" t="str">
        <f t="shared" si="35"/>
        <v/>
      </c>
    </row>
    <row r="2276" spans="2:9" x14ac:dyDescent="0.25">
      <c r="B2276" s="59"/>
      <c r="C2276" s="60"/>
      <c r="D2276" s="60"/>
      <c r="F2276" s="60"/>
      <c r="G2276" s="60"/>
      <c r="H2276" s="62"/>
      <c r="I2276" s="62" t="str">
        <f t="shared" si="35"/>
        <v/>
      </c>
    </row>
    <row r="2277" spans="2:9" x14ac:dyDescent="0.25">
      <c r="B2277" s="59"/>
      <c r="C2277" s="60"/>
      <c r="D2277" s="60"/>
      <c r="F2277" s="60"/>
      <c r="G2277" s="60"/>
      <c r="H2277" s="62"/>
      <c r="I2277" s="62" t="str">
        <f t="shared" si="35"/>
        <v/>
      </c>
    </row>
    <row r="2278" spans="2:9" x14ac:dyDescent="0.25">
      <c r="B2278" s="59"/>
      <c r="C2278" s="60"/>
      <c r="D2278" s="60"/>
      <c r="F2278" s="60"/>
      <c r="G2278" s="60"/>
      <c r="H2278" s="62"/>
      <c r="I2278" s="62" t="str">
        <f t="shared" si="35"/>
        <v/>
      </c>
    </row>
    <row r="2279" spans="2:9" x14ac:dyDescent="0.25">
      <c r="B2279" s="59"/>
      <c r="C2279" s="60"/>
      <c r="D2279" s="60"/>
      <c r="F2279" s="60"/>
      <c r="G2279" s="60"/>
      <c r="H2279" s="62"/>
      <c r="I2279" s="62" t="str">
        <f t="shared" si="35"/>
        <v/>
      </c>
    </row>
    <row r="2280" spans="2:9" x14ac:dyDescent="0.25">
      <c r="B2280" s="59"/>
      <c r="C2280" s="60"/>
      <c r="D2280" s="60"/>
      <c r="F2280" s="60"/>
      <c r="G2280" s="60"/>
      <c r="H2280" s="62"/>
      <c r="I2280" s="62" t="str">
        <f t="shared" si="35"/>
        <v/>
      </c>
    </row>
    <row r="2281" spans="2:9" x14ac:dyDescent="0.25">
      <c r="B2281" s="59"/>
      <c r="C2281" s="60"/>
      <c r="D2281" s="60"/>
      <c r="F2281" s="60"/>
      <c r="G2281" s="60"/>
      <c r="H2281" s="62"/>
      <c r="I2281" s="62" t="str">
        <f t="shared" si="35"/>
        <v/>
      </c>
    </row>
    <row r="2282" spans="2:9" x14ac:dyDescent="0.25">
      <c r="B2282" s="59"/>
      <c r="C2282" s="60"/>
      <c r="D2282" s="60"/>
      <c r="F2282" s="60"/>
      <c r="G2282" s="60"/>
      <c r="H2282" s="62"/>
      <c r="I2282" s="62" t="str">
        <f t="shared" si="35"/>
        <v/>
      </c>
    </row>
    <row r="2283" spans="2:9" x14ac:dyDescent="0.25">
      <c r="B2283" s="59"/>
      <c r="C2283" s="60"/>
      <c r="D2283" s="60"/>
      <c r="F2283" s="60"/>
      <c r="G2283" s="60"/>
      <c r="H2283" s="62"/>
      <c r="I2283" s="62" t="str">
        <f t="shared" si="35"/>
        <v/>
      </c>
    </row>
    <row r="2284" spans="2:9" x14ac:dyDescent="0.25">
      <c r="B2284" s="59"/>
      <c r="C2284" s="60"/>
      <c r="D2284" s="60"/>
      <c r="F2284" s="60"/>
      <c r="G2284" s="60"/>
      <c r="H2284" s="62"/>
      <c r="I2284" s="62" t="str">
        <f t="shared" si="35"/>
        <v/>
      </c>
    </row>
    <row r="2285" spans="2:9" x14ac:dyDescent="0.25">
      <c r="B2285" s="59"/>
      <c r="C2285" s="60"/>
      <c r="D2285" s="60"/>
      <c r="F2285" s="60"/>
      <c r="G2285" s="60"/>
      <c r="H2285" s="62"/>
      <c r="I2285" s="62" t="str">
        <f t="shared" si="35"/>
        <v/>
      </c>
    </row>
    <row r="2286" spans="2:9" x14ac:dyDescent="0.25">
      <c r="B2286" s="59"/>
      <c r="C2286" s="60"/>
      <c r="D2286" s="60"/>
      <c r="F2286" s="60"/>
      <c r="G2286" s="60"/>
      <c r="H2286" s="62"/>
      <c r="I2286" s="62" t="str">
        <f t="shared" si="35"/>
        <v/>
      </c>
    </row>
    <row r="2287" spans="2:9" x14ac:dyDescent="0.25">
      <c r="B2287" s="59"/>
      <c r="C2287" s="60"/>
      <c r="D2287" s="60"/>
      <c r="F2287" s="60"/>
      <c r="G2287" s="60"/>
      <c r="H2287" s="62"/>
      <c r="I2287" s="62" t="str">
        <f t="shared" si="35"/>
        <v/>
      </c>
    </row>
    <row r="2288" spans="2:9" x14ac:dyDescent="0.25">
      <c r="B2288" s="59"/>
      <c r="C2288" s="60"/>
      <c r="D2288" s="60"/>
      <c r="F2288" s="60"/>
      <c r="G2288" s="60"/>
      <c r="H2288" s="62"/>
      <c r="I2288" s="62" t="str">
        <f t="shared" si="35"/>
        <v/>
      </c>
    </row>
    <row r="2289" spans="2:9" x14ac:dyDescent="0.25">
      <c r="B2289" s="59"/>
      <c r="C2289" s="60"/>
      <c r="D2289" s="60"/>
      <c r="F2289" s="60"/>
      <c r="G2289" s="60"/>
      <c r="H2289" s="62"/>
      <c r="I2289" s="62" t="str">
        <f t="shared" si="35"/>
        <v/>
      </c>
    </row>
    <row r="2290" spans="2:9" x14ac:dyDescent="0.25">
      <c r="B2290" s="59"/>
      <c r="C2290" s="60"/>
      <c r="D2290" s="60"/>
      <c r="F2290" s="60"/>
      <c r="G2290" s="60"/>
      <c r="H2290" s="62"/>
      <c r="I2290" s="62" t="str">
        <f t="shared" si="35"/>
        <v/>
      </c>
    </row>
    <row r="2291" spans="2:9" x14ac:dyDescent="0.25">
      <c r="B2291" s="59"/>
      <c r="C2291" s="60"/>
      <c r="D2291" s="60"/>
      <c r="F2291" s="60"/>
      <c r="G2291" s="60"/>
      <c r="H2291" s="62"/>
      <c r="I2291" s="62" t="str">
        <f t="shared" si="35"/>
        <v/>
      </c>
    </row>
    <row r="2292" spans="2:9" x14ac:dyDescent="0.25">
      <c r="B2292" s="59"/>
      <c r="C2292" s="60"/>
      <c r="D2292" s="60"/>
      <c r="F2292" s="60"/>
      <c r="G2292" s="60"/>
      <c r="H2292" s="62"/>
      <c r="I2292" s="62" t="str">
        <f t="shared" si="35"/>
        <v/>
      </c>
    </row>
    <row r="2293" spans="2:9" x14ac:dyDescent="0.25">
      <c r="B2293" s="59"/>
      <c r="C2293" s="60"/>
      <c r="D2293" s="60"/>
      <c r="F2293" s="60"/>
      <c r="G2293" s="60"/>
      <c r="H2293" s="62"/>
      <c r="I2293" s="62" t="str">
        <f t="shared" si="35"/>
        <v/>
      </c>
    </row>
    <row r="2294" spans="2:9" x14ac:dyDescent="0.25">
      <c r="B2294" s="59"/>
      <c r="C2294" s="60"/>
      <c r="D2294" s="60"/>
      <c r="F2294" s="60"/>
      <c r="G2294" s="60"/>
      <c r="H2294" s="62"/>
      <c r="I2294" s="62" t="str">
        <f t="shared" si="35"/>
        <v/>
      </c>
    </row>
    <row r="2295" spans="2:9" x14ac:dyDescent="0.25">
      <c r="B2295" s="59"/>
      <c r="C2295" s="60"/>
      <c r="D2295" s="60"/>
      <c r="F2295" s="60"/>
      <c r="G2295" s="60"/>
      <c r="H2295" s="62"/>
      <c r="I2295" s="62" t="str">
        <f t="shared" si="35"/>
        <v/>
      </c>
    </row>
    <row r="2296" spans="2:9" x14ac:dyDescent="0.25">
      <c r="B2296" s="59"/>
      <c r="C2296" s="60"/>
      <c r="D2296" s="60"/>
      <c r="F2296" s="60"/>
      <c r="G2296" s="60"/>
      <c r="H2296" s="62"/>
      <c r="I2296" s="62" t="str">
        <f t="shared" si="35"/>
        <v/>
      </c>
    </row>
    <row r="2297" spans="2:9" x14ac:dyDescent="0.25">
      <c r="B2297" s="59"/>
      <c r="C2297" s="60"/>
      <c r="D2297" s="60"/>
      <c r="F2297" s="60"/>
      <c r="G2297" s="60"/>
      <c r="H2297" s="62"/>
      <c r="I2297" s="62" t="str">
        <f t="shared" si="35"/>
        <v/>
      </c>
    </row>
    <row r="2298" spans="2:9" x14ac:dyDescent="0.25">
      <c r="B2298" s="59"/>
      <c r="C2298" s="60"/>
      <c r="D2298" s="60"/>
      <c r="F2298" s="60"/>
      <c r="G2298" s="60"/>
      <c r="H2298" s="62"/>
      <c r="I2298" s="62" t="str">
        <f t="shared" si="35"/>
        <v/>
      </c>
    </row>
    <row r="2299" spans="2:9" x14ac:dyDescent="0.25">
      <c r="B2299" s="59"/>
      <c r="C2299" s="60"/>
      <c r="D2299" s="60"/>
      <c r="F2299" s="60"/>
      <c r="G2299" s="60"/>
      <c r="H2299" s="62"/>
      <c r="I2299" s="62" t="str">
        <f t="shared" si="35"/>
        <v/>
      </c>
    </row>
    <row r="2300" spans="2:9" x14ac:dyDescent="0.25">
      <c r="B2300" s="59"/>
      <c r="C2300" s="60"/>
      <c r="D2300" s="60"/>
      <c r="F2300" s="60"/>
      <c r="G2300" s="60"/>
      <c r="H2300" s="62"/>
      <c r="I2300" s="62" t="str">
        <f t="shared" si="35"/>
        <v/>
      </c>
    </row>
    <row r="2301" spans="2:9" x14ac:dyDescent="0.25">
      <c r="B2301" s="59"/>
      <c r="C2301" s="60"/>
      <c r="D2301" s="60"/>
      <c r="F2301" s="60"/>
      <c r="G2301" s="60"/>
      <c r="H2301" s="62"/>
      <c r="I2301" s="62" t="str">
        <f t="shared" si="35"/>
        <v/>
      </c>
    </row>
    <row r="2302" spans="2:9" x14ac:dyDescent="0.25">
      <c r="B2302" s="59"/>
      <c r="C2302" s="60"/>
      <c r="D2302" s="60"/>
      <c r="F2302" s="60"/>
      <c r="G2302" s="60"/>
      <c r="H2302" s="62"/>
      <c r="I2302" s="62" t="str">
        <f t="shared" si="35"/>
        <v/>
      </c>
    </row>
    <row r="2303" spans="2:9" x14ac:dyDescent="0.25">
      <c r="B2303" s="59"/>
      <c r="C2303" s="60"/>
      <c r="D2303" s="60"/>
      <c r="F2303" s="60"/>
      <c r="G2303" s="60"/>
      <c r="H2303" s="62"/>
      <c r="I2303" s="62" t="str">
        <f t="shared" si="35"/>
        <v/>
      </c>
    </row>
    <row r="2304" spans="2:9" x14ac:dyDescent="0.25">
      <c r="B2304" s="59"/>
      <c r="C2304" s="60"/>
      <c r="D2304" s="60"/>
      <c r="F2304" s="60"/>
      <c r="G2304" s="60"/>
      <c r="H2304" s="62"/>
      <c r="I2304" s="62" t="str">
        <f t="shared" si="35"/>
        <v/>
      </c>
    </row>
    <row r="2305" spans="2:9" x14ac:dyDescent="0.25">
      <c r="B2305" s="59"/>
      <c r="C2305" s="60"/>
      <c r="D2305" s="60"/>
      <c r="F2305" s="60"/>
      <c r="G2305" s="60"/>
      <c r="H2305" s="62"/>
      <c r="I2305" s="62" t="str">
        <f t="shared" si="35"/>
        <v/>
      </c>
    </row>
    <row r="2306" spans="2:9" x14ac:dyDescent="0.25">
      <c r="B2306" s="59"/>
      <c r="C2306" s="60"/>
      <c r="D2306" s="60"/>
      <c r="F2306" s="60"/>
      <c r="G2306" s="60"/>
      <c r="H2306" s="62"/>
      <c r="I2306" s="62" t="str">
        <f t="shared" si="35"/>
        <v/>
      </c>
    </row>
    <row r="2307" spans="2:9" x14ac:dyDescent="0.25">
      <c r="B2307" s="59"/>
      <c r="C2307" s="60"/>
      <c r="D2307" s="60"/>
      <c r="F2307" s="60"/>
      <c r="G2307" s="60"/>
      <c r="H2307" s="62"/>
      <c r="I2307" s="62" t="str">
        <f t="shared" si="35"/>
        <v/>
      </c>
    </row>
    <row r="2308" spans="2:9" x14ac:dyDescent="0.25">
      <c r="B2308" s="59"/>
      <c r="C2308" s="60"/>
      <c r="D2308" s="60"/>
      <c r="F2308" s="60"/>
      <c r="G2308" s="60"/>
      <c r="H2308" s="62"/>
      <c r="I2308" s="62" t="str">
        <f t="shared" si="35"/>
        <v/>
      </c>
    </row>
    <row r="2309" spans="2:9" x14ac:dyDescent="0.25">
      <c r="B2309" s="59"/>
      <c r="C2309" s="60"/>
      <c r="D2309" s="60"/>
      <c r="F2309" s="60"/>
      <c r="G2309" s="60"/>
      <c r="H2309" s="62"/>
      <c r="I2309" s="62" t="str">
        <f t="shared" ref="I2309:I2372" si="36">IF(H2309&lt;&gt;"",H2309-H2308,"")</f>
        <v/>
      </c>
    </row>
    <row r="2310" spans="2:9" x14ac:dyDescent="0.25">
      <c r="B2310" s="59"/>
      <c r="C2310" s="60"/>
      <c r="D2310" s="60"/>
      <c r="F2310" s="60"/>
      <c r="G2310" s="60"/>
      <c r="H2310" s="62"/>
      <c r="I2310" s="62" t="str">
        <f t="shared" si="36"/>
        <v/>
      </c>
    </row>
    <row r="2311" spans="2:9" x14ac:dyDescent="0.25">
      <c r="B2311" s="59"/>
      <c r="C2311" s="60"/>
      <c r="D2311" s="60"/>
      <c r="F2311" s="60"/>
      <c r="G2311" s="60"/>
      <c r="H2311" s="62"/>
      <c r="I2311" s="62" t="str">
        <f t="shared" si="36"/>
        <v/>
      </c>
    </row>
    <row r="2312" spans="2:9" x14ac:dyDescent="0.25">
      <c r="B2312" s="59"/>
      <c r="C2312" s="60"/>
      <c r="D2312" s="60"/>
      <c r="F2312" s="60"/>
      <c r="G2312" s="60"/>
      <c r="H2312" s="62"/>
      <c r="I2312" s="62" t="str">
        <f t="shared" si="36"/>
        <v/>
      </c>
    </row>
    <row r="2313" spans="2:9" x14ac:dyDescent="0.25">
      <c r="B2313" s="59"/>
      <c r="C2313" s="60"/>
      <c r="D2313" s="60"/>
      <c r="F2313" s="60"/>
      <c r="G2313" s="60"/>
      <c r="H2313" s="62"/>
      <c r="I2313" s="62" t="str">
        <f t="shared" si="36"/>
        <v/>
      </c>
    </row>
    <row r="2314" spans="2:9" x14ac:dyDescent="0.25">
      <c r="B2314" s="59"/>
      <c r="C2314" s="60"/>
      <c r="D2314" s="60"/>
      <c r="F2314" s="60"/>
      <c r="G2314" s="60"/>
      <c r="H2314" s="62"/>
      <c r="I2314" s="62" t="str">
        <f t="shared" si="36"/>
        <v/>
      </c>
    </row>
    <row r="2315" spans="2:9" x14ac:dyDescent="0.25">
      <c r="B2315" s="59"/>
      <c r="C2315" s="60"/>
      <c r="D2315" s="60"/>
      <c r="F2315" s="60"/>
      <c r="G2315" s="60"/>
      <c r="H2315" s="62"/>
      <c r="I2315" s="62" t="str">
        <f t="shared" si="36"/>
        <v/>
      </c>
    </row>
    <row r="2316" spans="2:9" x14ac:dyDescent="0.25">
      <c r="B2316" s="59"/>
      <c r="C2316" s="60"/>
      <c r="D2316" s="60"/>
      <c r="F2316" s="60"/>
      <c r="G2316" s="60"/>
      <c r="H2316" s="62"/>
      <c r="I2316" s="62" t="str">
        <f t="shared" si="36"/>
        <v/>
      </c>
    </row>
    <row r="2317" spans="2:9" x14ac:dyDescent="0.25">
      <c r="B2317" s="59"/>
      <c r="C2317" s="60"/>
      <c r="D2317" s="60"/>
      <c r="F2317" s="60"/>
      <c r="G2317" s="60"/>
      <c r="H2317" s="62"/>
      <c r="I2317" s="62" t="str">
        <f t="shared" si="36"/>
        <v/>
      </c>
    </row>
    <row r="2318" spans="2:9" x14ac:dyDescent="0.25">
      <c r="B2318" s="59"/>
      <c r="C2318" s="60"/>
      <c r="D2318" s="60"/>
      <c r="F2318" s="60"/>
      <c r="G2318" s="60"/>
      <c r="H2318" s="62"/>
      <c r="I2318" s="62" t="str">
        <f t="shared" si="36"/>
        <v/>
      </c>
    </row>
    <row r="2319" spans="2:9" x14ac:dyDescent="0.25">
      <c r="B2319" s="59"/>
      <c r="C2319" s="60"/>
      <c r="D2319" s="60"/>
      <c r="F2319" s="60"/>
      <c r="G2319" s="60"/>
      <c r="H2319" s="62"/>
      <c r="I2319" s="62" t="str">
        <f t="shared" si="36"/>
        <v/>
      </c>
    </row>
    <row r="2320" spans="2:9" x14ac:dyDescent="0.25">
      <c r="B2320" s="59"/>
      <c r="C2320" s="60"/>
      <c r="D2320" s="60"/>
      <c r="F2320" s="60"/>
      <c r="G2320" s="60"/>
      <c r="H2320" s="62"/>
      <c r="I2320" s="62" t="str">
        <f t="shared" si="36"/>
        <v/>
      </c>
    </row>
    <row r="2321" spans="2:9" x14ac:dyDescent="0.25">
      <c r="B2321" s="59"/>
      <c r="C2321" s="60"/>
      <c r="D2321" s="60"/>
      <c r="F2321" s="60"/>
      <c r="G2321" s="60"/>
      <c r="H2321" s="62"/>
      <c r="I2321" s="62" t="str">
        <f t="shared" si="36"/>
        <v/>
      </c>
    </row>
    <row r="2322" spans="2:9" x14ac:dyDescent="0.25">
      <c r="B2322" s="59"/>
      <c r="C2322" s="60"/>
      <c r="D2322" s="60"/>
      <c r="F2322" s="60"/>
      <c r="G2322" s="60"/>
      <c r="H2322" s="62"/>
      <c r="I2322" s="62" t="str">
        <f t="shared" si="36"/>
        <v/>
      </c>
    </row>
    <row r="2323" spans="2:9" x14ac:dyDescent="0.25">
      <c r="B2323" s="59"/>
      <c r="C2323" s="60"/>
      <c r="D2323" s="60"/>
      <c r="F2323" s="60"/>
      <c r="G2323" s="60"/>
      <c r="H2323" s="62"/>
      <c r="I2323" s="62" t="str">
        <f t="shared" si="36"/>
        <v/>
      </c>
    </row>
    <row r="2324" spans="2:9" x14ac:dyDescent="0.25">
      <c r="B2324" s="59"/>
      <c r="C2324" s="60"/>
      <c r="D2324" s="60"/>
      <c r="F2324" s="60"/>
      <c r="G2324" s="60"/>
      <c r="H2324" s="62"/>
      <c r="I2324" s="62" t="str">
        <f t="shared" si="36"/>
        <v/>
      </c>
    </row>
    <row r="2325" spans="2:9" x14ac:dyDescent="0.25">
      <c r="B2325" s="59"/>
      <c r="C2325" s="60"/>
      <c r="D2325" s="60"/>
      <c r="F2325" s="60"/>
      <c r="G2325" s="60"/>
      <c r="H2325" s="62"/>
      <c r="I2325" s="62" t="str">
        <f t="shared" si="36"/>
        <v/>
      </c>
    </row>
    <row r="2326" spans="2:9" x14ac:dyDescent="0.25">
      <c r="B2326" s="59"/>
      <c r="C2326" s="60"/>
      <c r="D2326" s="60"/>
      <c r="F2326" s="60"/>
      <c r="G2326" s="60"/>
      <c r="H2326" s="62"/>
      <c r="I2326" s="62" t="str">
        <f t="shared" si="36"/>
        <v/>
      </c>
    </row>
    <row r="2327" spans="2:9" x14ac:dyDescent="0.25">
      <c r="B2327" s="59"/>
      <c r="C2327" s="60"/>
      <c r="D2327" s="60"/>
      <c r="F2327" s="60"/>
      <c r="G2327" s="60"/>
      <c r="H2327" s="62"/>
      <c r="I2327" s="62" t="str">
        <f t="shared" si="36"/>
        <v/>
      </c>
    </row>
    <row r="2328" spans="2:9" x14ac:dyDescent="0.25">
      <c r="B2328" s="59"/>
      <c r="C2328" s="60"/>
      <c r="D2328" s="60"/>
      <c r="F2328" s="60"/>
      <c r="G2328" s="60"/>
      <c r="H2328" s="62"/>
      <c r="I2328" s="62" t="str">
        <f t="shared" si="36"/>
        <v/>
      </c>
    </row>
    <row r="2329" spans="2:9" x14ac:dyDescent="0.25">
      <c r="B2329" s="59"/>
      <c r="C2329" s="60"/>
      <c r="D2329" s="60"/>
      <c r="F2329" s="60"/>
      <c r="G2329" s="60"/>
      <c r="H2329" s="62"/>
      <c r="I2329" s="62" t="str">
        <f t="shared" si="36"/>
        <v/>
      </c>
    </row>
    <row r="2330" spans="2:9" x14ac:dyDescent="0.25">
      <c r="B2330" s="59"/>
      <c r="C2330" s="60"/>
      <c r="D2330" s="60"/>
      <c r="F2330" s="60"/>
      <c r="G2330" s="60"/>
      <c r="H2330" s="62"/>
      <c r="I2330" s="62" t="str">
        <f t="shared" si="36"/>
        <v/>
      </c>
    </row>
    <row r="2331" spans="2:9" x14ac:dyDescent="0.25">
      <c r="B2331" s="59"/>
      <c r="C2331" s="60"/>
      <c r="D2331" s="60"/>
      <c r="F2331" s="60"/>
      <c r="G2331" s="60"/>
      <c r="H2331" s="62"/>
      <c r="I2331" s="62" t="str">
        <f t="shared" si="36"/>
        <v/>
      </c>
    </row>
    <row r="2332" spans="2:9" x14ac:dyDescent="0.25">
      <c r="B2332" s="59"/>
      <c r="C2332" s="60"/>
      <c r="D2332" s="60"/>
      <c r="F2332" s="60"/>
      <c r="G2332" s="60"/>
      <c r="H2332" s="62"/>
      <c r="I2332" s="62" t="str">
        <f t="shared" si="36"/>
        <v/>
      </c>
    </row>
    <row r="2333" spans="2:9" x14ac:dyDescent="0.25">
      <c r="B2333" s="59"/>
      <c r="C2333" s="60"/>
      <c r="D2333" s="60"/>
      <c r="F2333" s="60"/>
      <c r="G2333" s="60"/>
      <c r="H2333" s="62"/>
      <c r="I2333" s="62" t="str">
        <f t="shared" si="36"/>
        <v/>
      </c>
    </row>
    <row r="2334" spans="2:9" x14ac:dyDescent="0.25">
      <c r="B2334" s="59"/>
      <c r="C2334" s="60"/>
      <c r="D2334" s="60"/>
      <c r="F2334" s="60"/>
      <c r="G2334" s="60"/>
      <c r="H2334" s="62"/>
      <c r="I2334" s="62" t="str">
        <f t="shared" si="36"/>
        <v/>
      </c>
    </row>
    <row r="2335" spans="2:9" x14ac:dyDescent="0.25">
      <c r="B2335" s="59"/>
      <c r="C2335" s="60"/>
      <c r="D2335" s="60"/>
      <c r="F2335" s="60"/>
      <c r="G2335" s="60"/>
      <c r="H2335" s="62"/>
      <c r="I2335" s="62" t="str">
        <f t="shared" si="36"/>
        <v/>
      </c>
    </row>
    <row r="2336" spans="2:9" x14ac:dyDescent="0.25">
      <c r="B2336" s="59"/>
      <c r="C2336" s="60"/>
      <c r="D2336" s="60"/>
      <c r="F2336" s="60"/>
      <c r="G2336" s="60"/>
      <c r="H2336" s="62"/>
      <c r="I2336" s="62" t="str">
        <f t="shared" si="36"/>
        <v/>
      </c>
    </row>
    <row r="2337" spans="2:9" x14ac:dyDescent="0.25">
      <c r="B2337" s="59"/>
      <c r="C2337" s="60"/>
      <c r="D2337" s="60"/>
      <c r="F2337" s="60"/>
      <c r="G2337" s="60"/>
      <c r="H2337" s="62"/>
      <c r="I2337" s="62" t="str">
        <f t="shared" si="36"/>
        <v/>
      </c>
    </row>
    <row r="2338" spans="2:9" x14ac:dyDescent="0.25">
      <c r="B2338" s="59"/>
      <c r="C2338" s="60"/>
      <c r="D2338" s="60"/>
      <c r="F2338" s="60"/>
      <c r="G2338" s="60"/>
      <c r="H2338" s="62"/>
      <c r="I2338" s="62" t="str">
        <f t="shared" si="36"/>
        <v/>
      </c>
    </row>
    <row r="2339" spans="2:9" x14ac:dyDescent="0.25">
      <c r="B2339" s="59"/>
      <c r="C2339" s="60"/>
      <c r="D2339" s="60"/>
      <c r="F2339" s="60"/>
      <c r="G2339" s="60"/>
      <c r="H2339" s="62"/>
      <c r="I2339" s="62" t="str">
        <f t="shared" si="36"/>
        <v/>
      </c>
    </row>
    <row r="2340" spans="2:9" x14ac:dyDescent="0.25">
      <c r="B2340" s="59"/>
      <c r="C2340" s="60"/>
      <c r="D2340" s="60"/>
      <c r="F2340" s="60"/>
      <c r="G2340" s="60"/>
      <c r="H2340" s="62"/>
      <c r="I2340" s="62" t="str">
        <f t="shared" si="36"/>
        <v/>
      </c>
    </row>
    <row r="2341" spans="2:9" x14ac:dyDescent="0.25">
      <c r="B2341" s="59"/>
      <c r="C2341" s="60"/>
      <c r="D2341" s="60"/>
      <c r="F2341" s="60"/>
      <c r="G2341" s="60"/>
      <c r="H2341" s="62"/>
      <c r="I2341" s="62" t="str">
        <f t="shared" si="36"/>
        <v/>
      </c>
    </row>
    <row r="2342" spans="2:9" x14ac:dyDescent="0.25">
      <c r="B2342" s="59"/>
      <c r="C2342" s="60"/>
      <c r="D2342" s="60"/>
      <c r="F2342" s="60"/>
      <c r="G2342" s="60"/>
      <c r="H2342" s="62"/>
      <c r="I2342" s="62" t="str">
        <f t="shared" si="36"/>
        <v/>
      </c>
    </row>
    <row r="2343" spans="2:9" x14ac:dyDescent="0.25">
      <c r="B2343" s="59"/>
      <c r="C2343" s="60"/>
      <c r="D2343" s="60"/>
      <c r="F2343" s="60"/>
      <c r="G2343" s="60"/>
      <c r="H2343" s="62"/>
      <c r="I2343" s="62" t="str">
        <f t="shared" si="36"/>
        <v/>
      </c>
    </row>
    <row r="2344" spans="2:9" x14ac:dyDescent="0.25">
      <c r="B2344" s="59"/>
      <c r="C2344" s="60"/>
      <c r="D2344" s="60"/>
      <c r="F2344" s="60"/>
      <c r="G2344" s="60"/>
      <c r="H2344" s="62"/>
      <c r="I2344" s="62" t="str">
        <f t="shared" si="36"/>
        <v/>
      </c>
    </row>
    <row r="2345" spans="2:9" x14ac:dyDescent="0.25">
      <c r="B2345" s="59"/>
      <c r="C2345" s="60"/>
      <c r="D2345" s="60"/>
      <c r="F2345" s="60"/>
      <c r="G2345" s="60"/>
      <c r="H2345" s="62"/>
      <c r="I2345" s="62" t="str">
        <f t="shared" si="36"/>
        <v/>
      </c>
    </row>
    <row r="2346" spans="2:9" x14ac:dyDescent="0.25">
      <c r="B2346" s="59"/>
      <c r="C2346" s="60"/>
      <c r="D2346" s="60"/>
      <c r="F2346" s="60"/>
      <c r="G2346" s="60"/>
      <c r="H2346" s="62"/>
      <c r="I2346" s="62" t="str">
        <f t="shared" si="36"/>
        <v/>
      </c>
    </row>
    <row r="2347" spans="2:9" x14ac:dyDescent="0.25">
      <c r="B2347" s="59"/>
      <c r="C2347" s="60"/>
      <c r="D2347" s="60"/>
      <c r="F2347" s="60"/>
      <c r="G2347" s="60"/>
      <c r="H2347" s="62"/>
      <c r="I2347" s="62" t="str">
        <f t="shared" si="36"/>
        <v/>
      </c>
    </row>
    <row r="2348" spans="2:9" x14ac:dyDescent="0.25">
      <c r="B2348" s="59"/>
      <c r="C2348" s="60"/>
      <c r="D2348" s="60"/>
      <c r="F2348" s="60"/>
      <c r="G2348" s="60"/>
      <c r="H2348" s="62"/>
      <c r="I2348" s="62" t="str">
        <f t="shared" si="36"/>
        <v/>
      </c>
    </row>
    <row r="2349" spans="2:9" x14ac:dyDescent="0.25">
      <c r="B2349" s="59"/>
      <c r="C2349" s="60"/>
      <c r="D2349" s="60"/>
      <c r="F2349" s="60"/>
      <c r="G2349" s="60"/>
      <c r="H2349" s="62"/>
      <c r="I2349" s="62" t="str">
        <f t="shared" si="36"/>
        <v/>
      </c>
    </row>
    <row r="2350" spans="2:9" x14ac:dyDescent="0.25">
      <c r="B2350" s="59"/>
      <c r="C2350" s="60"/>
      <c r="D2350" s="60"/>
      <c r="F2350" s="60"/>
      <c r="G2350" s="60"/>
      <c r="H2350" s="62"/>
      <c r="I2350" s="62" t="str">
        <f t="shared" si="36"/>
        <v/>
      </c>
    </row>
    <row r="2351" spans="2:9" x14ac:dyDescent="0.25">
      <c r="B2351" s="59"/>
      <c r="C2351" s="60"/>
      <c r="D2351" s="60"/>
      <c r="F2351" s="60"/>
      <c r="G2351" s="60"/>
      <c r="H2351" s="62"/>
      <c r="I2351" s="62" t="str">
        <f t="shared" si="36"/>
        <v/>
      </c>
    </row>
    <row r="2352" spans="2:9" x14ac:dyDescent="0.25">
      <c r="B2352" s="59"/>
      <c r="C2352" s="60"/>
      <c r="D2352" s="60"/>
      <c r="F2352" s="60"/>
      <c r="G2352" s="60"/>
      <c r="H2352" s="62"/>
      <c r="I2352" s="62" t="str">
        <f t="shared" si="36"/>
        <v/>
      </c>
    </row>
    <row r="2353" spans="2:9" x14ac:dyDescent="0.25">
      <c r="B2353" s="59"/>
      <c r="C2353" s="60"/>
      <c r="D2353" s="60"/>
      <c r="F2353" s="60"/>
      <c r="G2353" s="60"/>
      <c r="H2353" s="62"/>
      <c r="I2353" s="62" t="str">
        <f t="shared" si="36"/>
        <v/>
      </c>
    </row>
    <row r="2354" spans="2:9" x14ac:dyDescent="0.25">
      <c r="B2354" s="59"/>
      <c r="C2354" s="60"/>
      <c r="D2354" s="60"/>
      <c r="F2354" s="60"/>
      <c r="G2354" s="60"/>
      <c r="H2354" s="62"/>
      <c r="I2354" s="62" t="str">
        <f t="shared" si="36"/>
        <v/>
      </c>
    </row>
    <row r="2355" spans="2:9" x14ac:dyDescent="0.25">
      <c r="B2355" s="59"/>
      <c r="C2355" s="60"/>
      <c r="D2355" s="60"/>
      <c r="F2355" s="60"/>
      <c r="G2355" s="60"/>
      <c r="H2355" s="62"/>
      <c r="I2355" s="62" t="str">
        <f t="shared" si="36"/>
        <v/>
      </c>
    </row>
    <row r="2356" spans="2:9" x14ac:dyDescent="0.25">
      <c r="B2356" s="59"/>
      <c r="C2356" s="60"/>
      <c r="D2356" s="60"/>
      <c r="F2356" s="60"/>
      <c r="G2356" s="60"/>
      <c r="H2356" s="62"/>
      <c r="I2356" s="62" t="str">
        <f t="shared" si="36"/>
        <v/>
      </c>
    </row>
    <row r="2357" spans="2:9" x14ac:dyDescent="0.25">
      <c r="B2357" s="59"/>
      <c r="C2357" s="60"/>
      <c r="D2357" s="60"/>
      <c r="F2357" s="60"/>
      <c r="G2357" s="60"/>
      <c r="H2357" s="62"/>
      <c r="I2357" s="62" t="str">
        <f t="shared" si="36"/>
        <v/>
      </c>
    </row>
    <row r="2358" spans="2:9" x14ac:dyDescent="0.25">
      <c r="B2358" s="59"/>
      <c r="C2358" s="60"/>
      <c r="D2358" s="60"/>
      <c r="F2358" s="60"/>
      <c r="G2358" s="60"/>
      <c r="H2358" s="62"/>
      <c r="I2358" s="62" t="str">
        <f t="shared" si="36"/>
        <v/>
      </c>
    </row>
    <row r="2359" spans="2:9" x14ac:dyDescent="0.25">
      <c r="B2359" s="59"/>
      <c r="C2359" s="60"/>
      <c r="D2359" s="60"/>
      <c r="F2359" s="60"/>
      <c r="G2359" s="60"/>
      <c r="H2359" s="62"/>
      <c r="I2359" s="62" t="str">
        <f t="shared" si="36"/>
        <v/>
      </c>
    </row>
    <row r="2360" spans="2:9" x14ac:dyDescent="0.25">
      <c r="B2360" s="59"/>
      <c r="C2360" s="60"/>
      <c r="D2360" s="60"/>
      <c r="F2360" s="60"/>
      <c r="G2360" s="60"/>
      <c r="H2360" s="62"/>
      <c r="I2360" s="62" t="str">
        <f t="shared" si="36"/>
        <v/>
      </c>
    </row>
    <row r="2361" spans="2:9" x14ac:dyDescent="0.25">
      <c r="B2361" s="59"/>
      <c r="C2361" s="60"/>
      <c r="D2361" s="60"/>
      <c r="F2361" s="60"/>
      <c r="G2361" s="60"/>
      <c r="H2361" s="62"/>
      <c r="I2361" s="62" t="str">
        <f t="shared" si="36"/>
        <v/>
      </c>
    </row>
    <row r="2362" spans="2:9" x14ac:dyDescent="0.25">
      <c r="B2362" s="59"/>
      <c r="C2362" s="60"/>
      <c r="D2362" s="60"/>
      <c r="F2362" s="60"/>
      <c r="G2362" s="60"/>
      <c r="H2362" s="62"/>
      <c r="I2362" s="62" t="str">
        <f t="shared" si="36"/>
        <v/>
      </c>
    </row>
    <row r="2363" spans="2:9" x14ac:dyDescent="0.25">
      <c r="B2363" s="59"/>
      <c r="C2363" s="60"/>
      <c r="D2363" s="60"/>
      <c r="F2363" s="60"/>
      <c r="G2363" s="60"/>
      <c r="H2363" s="62"/>
      <c r="I2363" s="62" t="str">
        <f t="shared" si="36"/>
        <v/>
      </c>
    </row>
    <row r="2364" spans="2:9" x14ac:dyDescent="0.25">
      <c r="B2364" s="59"/>
      <c r="C2364" s="60"/>
      <c r="D2364" s="60"/>
      <c r="F2364" s="60"/>
      <c r="G2364" s="60"/>
      <c r="H2364" s="62"/>
      <c r="I2364" s="62" t="str">
        <f t="shared" si="36"/>
        <v/>
      </c>
    </row>
    <row r="2365" spans="2:9" x14ac:dyDescent="0.25">
      <c r="B2365" s="59"/>
      <c r="C2365" s="60"/>
      <c r="D2365" s="60"/>
      <c r="F2365" s="60"/>
      <c r="G2365" s="60"/>
      <c r="H2365" s="62"/>
      <c r="I2365" s="62" t="str">
        <f t="shared" si="36"/>
        <v/>
      </c>
    </row>
    <row r="2366" spans="2:9" x14ac:dyDescent="0.25">
      <c r="B2366" s="59"/>
      <c r="C2366" s="60"/>
      <c r="D2366" s="60"/>
      <c r="F2366" s="60"/>
      <c r="G2366" s="60"/>
      <c r="H2366" s="62"/>
      <c r="I2366" s="62" t="str">
        <f t="shared" si="36"/>
        <v/>
      </c>
    </row>
    <row r="2367" spans="2:9" x14ac:dyDescent="0.25">
      <c r="B2367" s="59"/>
      <c r="C2367" s="60"/>
      <c r="D2367" s="60"/>
      <c r="F2367" s="60"/>
      <c r="G2367" s="60"/>
      <c r="H2367" s="62"/>
      <c r="I2367" s="62" t="str">
        <f t="shared" si="36"/>
        <v/>
      </c>
    </row>
    <row r="2368" spans="2:9" x14ac:dyDescent="0.25">
      <c r="B2368" s="59"/>
      <c r="C2368" s="60"/>
      <c r="D2368" s="60"/>
      <c r="F2368" s="60"/>
      <c r="G2368" s="60"/>
      <c r="H2368" s="62"/>
      <c r="I2368" s="62" t="str">
        <f t="shared" si="36"/>
        <v/>
      </c>
    </row>
    <row r="2369" spans="2:9" x14ac:dyDescent="0.25">
      <c r="B2369" s="59"/>
      <c r="C2369" s="60"/>
      <c r="D2369" s="60"/>
      <c r="F2369" s="60"/>
      <c r="G2369" s="60"/>
      <c r="H2369" s="62"/>
      <c r="I2369" s="62" t="str">
        <f t="shared" si="36"/>
        <v/>
      </c>
    </row>
    <row r="2370" spans="2:9" x14ac:dyDescent="0.25">
      <c r="B2370" s="59"/>
      <c r="C2370" s="60"/>
      <c r="D2370" s="60"/>
      <c r="F2370" s="60"/>
      <c r="G2370" s="60"/>
      <c r="H2370" s="62"/>
      <c r="I2370" s="62" t="str">
        <f t="shared" si="36"/>
        <v/>
      </c>
    </row>
    <row r="2371" spans="2:9" x14ac:dyDescent="0.25">
      <c r="B2371" s="59"/>
      <c r="C2371" s="60"/>
      <c r="D2371" s="60"/>
      <c r="F2371" s="60"/>
      <c r="G2371" s="60"/>
      <c r="H2371" s="62"/>
      <c r="I2371" s="62" t="str">
        <f t="shared" si="36"/>
        <v/>
      </c>
    </row>
    <row r="2372" spans="2:9" x14ac:dyDescent="0.25">
      <c r="B2372" s="59"/>
      <c r="C2372" s="60"/>
      <c r="D2372" s="60"/>
      <c r="F2372" s="60"/>
      <c r="G2372" s="60"/>
      <c r="H2372" s="62"/>
      <c r="I2372" s="62" t="str">
        <f t="shared" si="36"/>
        <v/>
      </c>
    </row>
    <row r="2373" spans="2:9" x14ac:dyDescent="0.25">
      <c r="B2373" s="59"/>
      <c r="C2373" s="60"/>
      <c r="D2373" s="60"/>
      <c r="F2373" s="60"/>
      <c r="G2373" s="60"/>
      <c r="H2373" s="62"/>
      <c r="I2373" s="62" t="str">
        <f t="shared" ref="I2373:I2436" si="37">IF(H2373&lt;&gt;"",H2373-H2372,"")</f>
        <v/>
      </c>
    </row>
    <row r="2374" spans="2:9" x14ac:dyDescent="0.25">
      <c r="B2374" s="59"/>
      <c r="C2374" s="60"/>
      <c r="D2374" s="60"/>
      <c r="F2374" s="60"/>
      <c r="G2374" s="60"/>
      <c r="H2374" s="62"/>
      <c r="I2374" s="62" t="str">
        <f t="shared" si="37"/>
        <v/>
      </c>
    </row>
    <row r="2375" spans="2:9" x14ac:dyDescent="0.25">
      <c r="B2375" s="59"/>
      <c r="C2375" s="60"/>
      <c r="D2375" s="60"/>
      <c r="F2375" s="60"/>
      <c r="G2375" s="60"/>
      <c r="H2375" s="62"/>
      <c r="I2375" s="62" t="str">
        <f t="shared" si="37"/>
        <v/>
      </c>
    </row>
    <row r="2376" spans="2:9" x14ac:dyDescent="0.25">
      <c r="B2376" s="59"/>
      <c r="C2376" s="60"/>
      <c r="D2376" s="60"/>
      <c r="F2376" s="60"/>
      <c r="G2376" s="60"/>
      <c r="H2376" s="62"/>
      <c r="I2376" s="62" t="str">
        <f t="shared" si="37"/>
        <v/>
      </c>
    </row>
    <row r="2377" spans="2:9" x14ac:dyDescent="0.25">
      <c r="B2377" s="59"/>
      <c r="C2377" s="60"/>
      <c r="D2377" s="60"/>
      <c r="F2377" s="60"/>
      <c r="G2377" s="60"/>
      <c r="H2377" s="62"/>
      <c r="I2377" s="62" t="str">
        <f t="shared" si="37"/>
        <v/>
      </c>
    </row>
    <row r="2378" spans="2:9" x14ac:dyDescent="0.25">
      <c r="B2378" s="59"/>
      <c r="C2378" s="60"/>
      <c r="D2378" s="60"/>
      <c r="F2378" s="60"/>
      <c r="G2378" s="60"/>
      <c r="H2378" s="62"/>
      <c r="I2378" s="62" t="str">
        <f t="shared" si="37"/>
        <v/>
      </c>
    </row>
    <row r="2379" spans="2:9" x14ac:dyDescent="0.25">
      <c r="B2379" s="59"/>
      <c r="C2379" s="60"/>
      <c r="D2379" s="60"/>
      <c r="F2379" s="60"/>
      <c r="G2379" s="60"/>
      <c r="H2379" s="62"/>
      <c r="I2379" s="62" t="str">
        <f t="shared" si="37"/>
        <v/>
      </c>
    </row>
    <row r="2380" spans="2:9" x14ac:dyDescent="0.25">
      <c r="B2380" s="59"/>
      <c r="C2380" s="60"/>
      <c r="D2380" s="60"/>
      <c r="F2380" s="60"/>
      <c r="G2380" s="60"/>
      <c r="H2380" s="62"/>
      <c r="I2380" s="62" t="str">
        <f t="shared" si="37"/>
        <v/>
      </c>
    </row>
    <row r="2381" spans="2:9" x14ac:dyDescent="0.25">
      <c r="B2381" s="59"/>
      <c r="C2381" s="60"/>
      <c r="D2381" s="60"/>
      <c r="F2381" s="60"/>
      <c r="G2381" s="60"/>
      <c r="H2381" s="62"/>
      <c r="I2381" s="62" t="str">
        <f t="shared" si="37"/>
        <v/>
      </c>
    </row>
    <row r="2382" spans="2:9" x14ac:dyDescent="0.25">
      <c r="B2382" s="59"/>
      <c r="C2382" s="60"/>
      <c r="D2382" s="60"/>
      <c r="F2382" s="60"/>
      <c r="G2382" s="60"/>
      <c r="H2382" s="62"/>
      <c r="I2382" s="62" t="str">
        <f t="shared" si="37"/>
        <v/>
      </c>
    </row>
    <row r="2383" spans="2:9" x14ac:dyDescent="0.25">
      <c r="B2383" s="59"/>
      <c r="C2383" s="60"/>
      <c r="D2383" s="60"/>
      <c r="F2383" s="60"/>
      <c r="G2383" s="60"/>
      <c r="H2383" s="62"/>
      <c r="I2383" s="62" t="str">
        <f t="shared" si="37"/>
        <v/>
      </c>
    </row>
    <row r="2384" spans="2:9" x14ac:dyDescent="0.25">
      <c r="B2384" s="59"/>
      <c r="C2384" s="60"/>
      <c r="D2384" s="60"/>
      <c r="F2384" s="60"/>
      <c r="G2384" s="60"/>
      <c r="H2384" s="62"/>
      <c r="I2384" s="62" t="str">
        <f t="shared" si="37"/>
        <v/>
      </c>
    </row>
    <row r="2385" spans="2:9" x14ac:dyDescent="0.25">
      <c r="B2385" s="59"/>
      <c r="C2385" s="60"/>
      <c r="D2385" s="60"/>
      <c r="F2385" s="60"/>
      <c r="G2385" s="60"/>
      <c r="H2385" s="62"/>
      <c r="I2385" s="62" t="str">
        <f t="shared" si="37"/>
        <v/>
      </c>
    </row>
    <row r="2386" spans="2:9" x14ac:dyDescent="0.25">
      <c r="B2386" s="59"/>
      <c r="C2386" s="60"/>
      <c r="D2386" s="60"/>
      <c r="F2386" s="60"/>
      <c r="G2386" s="60"/>
      <c r="H2386" s="62"/>
      <c r="I2386" s="62" t="str">
        <f t="shared" si="37"/>
        <v/>
      </c>
    </row>
    <row r="2387" spans="2:9" x14ac:dyDescent="0.25">
      <c r="B2387" s="59"/>
      <c r="C2387" s="60"/>
      <c r="D2387" s="60"/>
      <c r="F2387" s="60"/>
      <c r="G2387" s="60"/>
      <c r="H2387" s="62"/>
      <c r="I2387" s="62" t="str">
        <f t="shared" si="37"/>
        <v/>
      </c>
    </row>
    <row r="2388" spans="2:9" x14ac:dyDescent="0.25">
      <c r="B2388" s="59"/>
      <c r="C2388" s="60"/>
      <c r="D2388" s="60"/>
      <c r="F2388" s="60"/>
      <c r="G2388" s="60"/>
      <c r="H2388" s="62"/>
      <c r="I2388" s="62" t="str">
        <f t="shared" si="37"/>
        <v/>
      </c>
    </row>
    <row r="2389" spans="2:9" x14ac:dyDescent="0.25">
      <c r="B2389" s="59"/>
      <c r="C2389" s="60"/>
      <c r="D2389" s="60"/>
      <c r="F2389" s="60"/>
      <c r="G2389" s="60"/>
      <c r="H2389" s="62"/>
      <c r="I2389" s="62" t="str">
        <f t="shared" si="37"/>
        <v/>
      </c>
    </row>
    <row r="2390" spans="2:9" x14ac:dyDescent="0.25">
      <c r="B2390" s="59"/>
      <c r="C2390" s="60"/>
      <c r="D2390" s="60"/>
      <c r="F2390" s="60"/>
      <c r="G2390" s="60"/>
      <c r="H2390" s="62"/>
      <c r="I2390" s="62" t="str">
        <f t="shared" si="37"/>
        <v/>
      </c>
    </row>
    <row r="2391" spans="2:9" x14ac:dyDescent="0.25">
      <c r="B2391" s="59"/>
      <c r="C2391" s="60"/>
      <c r="D2391" s="60"/>
      <c r="F2391" s="60"/>
      <c r="G2391" s="60"/>
      <c r="H2391" s="62"/>
      <c r="I2391" s="62" t="str">
        <f t="shared" si="37"/>
        <v/>
      </c>
    </row>
    <row r="2392" spans="2:9" x14ac:dyDescent="0.25">
      <c r="B2392" s="59"/>
      <c r="C2392" s="60"/>
      <c r="D2392" s="60"/>
      <c r="F2392" s="60"/>
      <c r="G2392" s="60"/>
      <c r="H2392" s="62"/>
      <c r="I2392" s="62" t="str">
        <f t="shared" si="37"/>
        <v/>
      </c>
    </row>
    <row r="2393" spans="2:9" x14ac:dyDescent="0.25">
      <c r="B2393" s="59"/>
      <c r="C2393" s="60"/>
      <c r="D2393" s="60"/>
      <c r="F2393" s="60"/>
      <c r="G2393" s="60"/>
      <c r="H2393" s="62"/>
      <c r="I2393" s="62" t="str">
        <f t="shared" si="37"/>
        <v/>
      </c>
    </row>
    <row r="2394" spans="2:9" x14ac:dyDescent="0.25">
      <c r="B2394" s="59"/>
      <c r="C2394" s="60"/>
      <c r="D2394" s="60"/>
      <c r="F2394" s="60"/>
      <c r="G2394" s="60"/>
      <c r="H2394" s="62"/>
      <c r="I2394" s="62" t="str">
        <f t="shared" si="37"/>
        <v/>
      </c>
    </row>
    <row r="2395" spans="2:9" x14ac:dyDescent="0.25">
      <c r="B2395" s="59"/>
      <c r="C2395" s="60"/>
      <c r="D2395" s="60"/>
      <c r="F2395" s="60"/>
      <c r="G2395" s="60"/>
      <c r="H2395" s="62"/>
      <c r="I2395" s="62" t="str">
        <f t="shared" si="37"/>
        <v/>
      </c>
    </row>
    <row r="2396" spans="2:9" x14ac:dyDescent="0.25">
      <c r="B2396" s="59"/>
      <c r="C2396" s="60"/>
      <c r="D2396" s="60"/>
      <c r="F2396" s="60"/>
      <c r="G2396" s="60"/>
      <c r="H2396" s="62"/>
      <c r="I2396" s="62" t="str">
        <f t="shared" si="37"/>
        <v/>
      </c>
    </row>
    <row r="2397" spans="2:9" x14ac:dyDescent="0.25">
      <c r="B2397" s="59"/>
      <c r="C2397" s="60"/>
      <c r="D2397" s="60"/>
      <c r="F2397" s="60"/>
      <c r="G2397" s="60"/>
      <c r="H2397" s="62"/>
      <c r="I2397" s="62" t="str">
        <f t="shared" si="37"/>
        <v/>
      </c>
    </row>
    <row r="2398" spans="2:9" x14ac:dyDescent="0.25">
      <c r="B2398" s="59"/>
      <c r="C2398" s="60"/>
      <c r="D2398" s="60"/>
      <c r="F2398" s="60"/>
      <c r="G2398" s="60"/>
      <c r="H2398" s="62"/>
      <c r="I2398" s="62" t="str">
        <f t="shared" si="37"/>
        <v/>
      </c>
    </row>
    <row r="2399" spans="2:9" x14ac:dyDescent="0.25">
      <c r="B2399" s="59"/>
      <c r="C2399" s="60"/>
      <c r="D2399" s="60"/>
      <c r="F2399" s="60"/>
      <c r="G2399" s="60"/>
      <c r="H2399" s="62"/>
      <c r="I2399" s="62" t="str">
        <f t="shared" si="37"/>
        <v/>
      </c>
    </row>
    <row r="2400" spans="2:9" x14ac:dyDescent="0.25">
      <c r="B2400" s="59"/>
      <c r="C2400" s="60"/>
      <c r="D2400" s="60"/>
      <c r="F2400" s="60"/>
      <c r="G2400" s="60"/>
      <c r="H2400" s="62"/>
      <c r="I2400" s="62" t="str">
        <f t="shared" si="37"/>
        <v/>
      </c>
    </row>
    <row r="2401" spans="2:9" x14ac:dyDescent="0.25">
      <c r="B2401" s="59"/>
      <c r="C2401" s="60"/>
      <c r="D2401" s="60"/>
      <c r="F2401" s="60"/>
      <c r="G2401" s="60"/>
      <c r="H2401" s="62"/>
      <c r="I2401" s="62" t="str">
        <f t="shared" si="37"/>
        <v/>
      </c>
    </row>
    <row r="2402" spans="2:9" x14ac:dyDescent="0.25">
      <c r="B2402" s="59"/>
      <c r="C2402" s="60"/>
      <c r="D2402" s="60"/>
      <c r="F2402" s="60"/>
      <c r="G2402" s="60"/>
      <c r="H2402" s="62"/>
      <c r="I2402" s="62" t="str">
        <f t="shared" si="37"/>
        <v/>
      </c>
    </row>
    <row r="2403" spans="2:9" x14ac:dyDescent="0.25">
      <c r="B2403" s="59"/>
      <c r="C2403" s="60"/>
      <c r="D2403" s="60"/>
      <c r="F2403" s="60"/>
      <c r="G2403" s="60"/>
      <c r="H2403" s="62"/>
      <c r="I2403" s="62" t="str">
        <f t="shared" si="37"/>
        <v/>
      </c>
    </row>
    <row r="2404" spans="2:9" x14ac:dyDescent="0.25">
      <c r="B2404" s="59"/>
      <c r="C2404" s="60"/>
      <c r="D2404" s="60"/>
      <c r="F2404" s="60"/>
      <c r="G2404" s="60"/>
      <c r="H2404" s="62"/>
      <c r="I2404" s="62" t="str">
        <f t="shared" si="37"/>
        <v/>
      </c>
    </row>
    <row r="2405" spans="2:9" x14ac:dyDescent="0.25">
      <c r="B2405" s="59"/>
      <c r="C2405" s="60"/>
      <c r="D2405" s="60"/>
      <c r="F2405" s="60"/>
      <c r="G2405" s="60"/>
      <c r="H2405" s="62"/>
      <c r="I2405" s="62" t="str">
        <f t="shared" si="37"/>
        <v/>
      </c>
    </row>
    <row r="2406" spans="2:9" x14ac:dyDescent="0.25">
      <c r="B2406" s="59"/>
      <c r="C2406" s="60"/>
      <c r="D2406" s="60"/>
      <c r="F2406" s="60"/>
      <c r="G2406" s="60"/>
      <c r="H2406" s="62"/>
      <c r="I2406" s="62" t="str">
        <f t="shared" si="37"/>
        <v/>
      </c>
    </row>
    <row r="2407" spans="2:9" x14ac:dyDescent="0.25">
      <c r="B2407" s="59"/>
      <c r="C2407" s="60"/>
      <c r="D2407" s="60"/>
      <c r="F2407" s="60"/>
      <c r="G2407" s="60"/>
      <c r="H2407" s="62"/>
      <c r="I2407" s="62" t="str">
        <f t="shared" si="37"/>
        <v/>
      </c>
    </row>
    <row r="2408" spans="2:9" x14ac:dyDescent="0.25">
      <c r="B2408" s="59"/>
      <c r="C2408" s="60"/>
      <c r="D2408" s="60"/>
      <c r="F2408" s="60"/>
      <c r="G2408" s="60"/>
      <c r="H2408" s="62"/>
      <c r="I2408" s="62" t="str">
        <f t="shared" si="37"/>
        <v/>
      </c>
    </row>
    <row r="2409" spans="2:9" x14ac:dyDescent="0.25">
      <c r="B2409" s="59"/>
      <c r="C2409" s="60"/>
      <c r="D2409" s="60"/>
      <c r="F2409" s="60"/>
      <c r="G2409" s="60"/>
      <c r="H2409" s="62"/>
      <c r="I2409" s="62" t="str">
        <f t="shared" si="37"/>
        <v/>
      </c>
    </row>
    <row r="2410" spans="2:9" x14ac:dyDescent="0.25">
      <c r="B2410" s="59"/>
      <c r="C2410" s="60"/>
      <c r="D2410" s="60"/>
      <c r="F2410" s="60"/>
      <c r="G2410" s="60"/>
      <c r="H2410" s="62"/>
      <c r="I2410" s="62" t="str">
        <f t="shared" si="37"/>
        <v/>
      </c>
    </row>
    <row r="2411" spans="2:9" x14ac:dyDescent="0.25">
      <c r="B2411" s="59"/>
      <c r="C2411" s="60"/>
      <c r="D2411" s="60"/>
      <c r="F2411" s="60"/>
      <c r="G2411" s="60"/>
      <c r="H2411" s="62"/>
      <c r="I2411" s="62" t="str">
        <f t="shared" si="37"/>
        <v/>
      </c>
    </row>
    <row r="2412" spans="2:9" x14ac:dyDescent="0.25">
      <c r="B2412" s="59"/>
      <c r="C2412" s="60"/>
      <c r="D2412" s="60"/>
      <c r="F2412" s="60"/>
      <c r="G2412" s="60"/>
      <c r="H2412" s="62"/>
      <c r="I2412" s="62" t="str">
        <f t="shared" si="37"/>
        <v/>
      </c>
    </row>
    <row r="2413" spans="2:9" x14ac:dyDescent="0.25">
      <c r="B2413" s="59"/>
      <c r="C2413" s="60"/>
      <c r="D2413" s="60"/>
      <c r="F2413" s="60"/>
      <c r="G2413" s="60"/>
      <c r="H2413" s="62"/>
      <c r="I2413" s="62" t="str">
        <f t="shared" si="37"/>
        <v/>
      </c>
    </row>
    <row r="2414" spans="2:9" x14ac:dyDescent="0.25">
      <c r="B2414" s="59"/>
      <c r="C2414" s="60"/>
      <c r="D2414" s="60"/>
      <c r="F2414" s="60"/>
      <c r="G2414" s="60"/>
      <c r="H2414" s="62"/>
      <c r="I2414" s="62" t="str">
        <f t="shared" si="37"/>
        <v/>
      </c>
    </row>
    <row r="2415" spans="2:9" x14ac:dyDescent="0.25">
      <c r="B2415" s="59"/>
      <c r="C2415" s="60"/>
      <c r="D2415" s="60"/>
      <c r="F2415" s="60"/>
      <c r="G2415" s="60"/>
      <c r="H2415" s="62"/>
      <c r="I2415" s="62" t="str">
        <f t="shared" si="37"/>
        <v/>
      </c>
    </row>
    <row r="2416" spans="2:9" x14ac:dyDescent="0.25">
      <c r="B2416" s="59"/>
      <c r="C2416" s="60"/>
      <c r="D2416" s="60"/>
      <c r="F2416" s="60"/>
      <c r="G2416" s="60"/>
      <c r="H2416" s="62"/>
      <c r="I2416" s="62" t="str">
        <f t="shared" si="37"/>
        <v/>
      </c>
    </row>
    <row r="2417" spans="2:9" x14ac:dyDescent="0.25">
      <c r="B2417" s="59"/>
      <c r="C2417" s="60"/>
      <c r="D2417" s="60"/>
      <c r="F2417" s="60"/>
      <c r="G2417" s="60"/>
      <c r="H2417" s="62"/>
      <c r="I2417" s="62" t="str">
        <f t="shared" si="37"/>
        <v/>
      </c>
    </row>
    <row r="2418" spans="2:9" x14ac:dyDescent="0.25">
      <c r="B2418" s="59"/>
      <c r="C2418" s="60"/>
      <c r="D2418" s="60"/>
      <c r="F2418" s="60"/>
      <c r="G2418" s="60"/>
      <c r="H2418" s="62"/>
      <c r="I2418" s="62" t="str">
        <f t="shared" si="37"/>
        <v/>
      </c>
    </row>
    <row r="2419" spans="2:9" x14ac:dyDescent="0.25">
      <c r="B2419" s="59"/>
      <c r="C2419" s="60"/>
      <c r="D2419" s="60"/>
      <c r="F2419" s="60"/>
      <c r="G2419" s="60"/>
      <c r="H2419" s="62"/>
      <c r="I2419" s="62" t="str">
        <f t="shared" si="37"/>
        <v/>
      </c>
    </row>
    <row r="2420" spans="2:9" x14ac:dyDescent="0.25">
      <c r="B2420" s="59"/>
      <c r="C2420" s="60"/>
      <c r="D2420" s="60"/>
      <c r="F2420" s="60"/>
      <c r="G2420" s="60"/>
      <c r="H2420" s="62"/>
      <c r="I2420" s="62" t="str">
        <f t="shared" si="37"/>
        <v/>
      </c>
    </row>
    <row r="2421" spans="2:9" x14ac:dyDescent="0.25">
      <c r="B2421" s="59"/>
      <c r="C2421" s="60"/>
      <c r="D2421" s="60"/>
      <c r="F2421" s="60"/>
      <c r="G2421" s="60"/>
      <c r="H2421" s="62"/>
      <c r="I2421" s="62" t="str">
        <f t="shared" si="37"/>
        <v/>
      </c>
    </row>
    <row r="2422" spans="2:9" x14ac:dyDescent="0.25">
      <c r="B2422" s="59"/>
      <c r="C2422" s="60"/>
      <c r="D2422" s="60"/>
      <c r="F2422" s="60"/>
      <c r="G2422" s="60"/>
      <c r="H2422" s="62"/>
      <c r="I2422" s="62" t="str">
        <f t="shared" si="37"/>
        <v/>
      </c>
    </row>
    <row r="2423" spans="2:9" x14ac:dyDescent="0.25">
      <c r="B2423" s="59"/>
      <c r="C2423" s="60"/>
      <c r="D2423" s="60"/>
      <c r="F2423" s="60"/>
      <c r="G2423" s="60"/>
      <c r="H2423" s="62"/>
      <c r="I2423" s="62" t="str">
        <f t="shared" si="37"/>
        <v/>
      </c>
    </row>
    <row r="2424" spans="2:9" x14ac:dyDescent="0.25">
      <c r="B2424" s="59"/>
      <c r="C2424" s="60"/>
      <c r="D2424" s="60"/>
      <c r="F2424" s="60"/>
      <c r="G2424" s="60"/>
      <c r="H2424" s="62"/>
      <c r="I2424" s="62" t="str">
        <f t="shared" si="37"/>
        <v/>
      </c>
    </row>
    <row r="2425" spans="2:9" x14ac:dyDescent="0.25">
      <c r="B2425" s="59"/>
      <c r="C2425" s="60"/>
      <c r="D2425" s="60"/>
      <c r="F2425" s="60"/>
      <c r="G2425" s="60"/>
      <c r="H2425" s="62"/>
      <c r="I2425" s="62" t="str">
        <f t="shared" si="37"/>
        <v/>
      </c>
    </row>
    <row r="2426" spans="2:9" x14ac:dyDescent="0.25">
      <c r="B2426" s="59"/>
      <c r="C2426" s="60"/>
      <c r="D2426" s="60"/>
      <c r="F2426" s="60"/>
      <c r="G2426" s="60"/>
      <c r="H2426" s="62"/>
      <c r="I2426" s="62" t="str">
        <f t="shared" si="37"/>
        <v/>
      </c>
    </row>
    <row r="2427" spans="2:9" x14ac:dyDescent="0.25">
      <c r="B2427" s="59"/>
      <c r="C2427" s="60"/>
      <c r="D2427" s="60"/>
      <c r="F2427" s="60"/>
      <c r="G2427" s="60"/>
      <c r="H2427" s="62"/>
      <c r="I2427" s="62" t="str">
        <f t="shared" si="37"/>
        <v/>
      </c>
    </row>
    <row r="2428" spans="2:9" x14ac:dyDescent="0.25">
      <c r="B2428" s="59"/>
      <c r="C2428" s="60"/>
      <c r="D2428" s="60"/>
      <c r="F2428" s="60"/>
      <c r="G2428" s="60"/>
      <c r="H2428" s="62"/>
      <c r="I2428" s="62" t="str">
        <f t="shared" si="37"/>
        <v/>
      </c>
    </row>
    <row r="2429" spans="2:9" x14ac:dyDescent="0.25">
      <c r="B2429" s="59"/>
      <c r="C2429" s="60"/>
      <c r="D2429" s="60"/>
      <c r="F2429" s="60"/>
      <c r="G2429" s="60"/>
      <c r="H2429" s="62"/>
      <c r="I2429" s="62" t="str">
        <f t="shared" si="37"/>
        <v/>
      </c>
    </row>
    <row r="2430" spans="2:9" x14ac:dyDescent="0.25">
      <c r="B2430" s="59"/>
      <c r="C2430" s="60"/>
      <c r="D2430" s="60"/>
      <c r="F2430" s="60"/>
      <c r="G2430" s="60"/>
      <c r="H2430" s="62"/>
      <c r="I2430" s="62" t="str">
        <f t="shared" si="37"/>
        <v/>
      </c>
    </row>
    <row r="2431" spans="2:9" x14ac:dyDescent="0.25">
      <c r="B2431" s="59"/>
      <c r="C2431" s="60"/>
      <c r="D2431" s="60"/>
      <c r="F2431" s="60"/>
      <c r="G2431" s="60"/>
      <c r="H2431" s="62"/>
      <c r="I2431" s="62" t="str">
        <f t="shared" si="37"/>
        <v/>
      </c>
    </row>
    <row r="2432" spans="2:9" x14ac:dyDescent="0.25">
      <c r="B2432" s="59"/>
      <c r="C2432" s="60"/>
      <c r="D2432" s="60"/>
      <c r="F2432" s="60"/>
      <c r="G2432" s="60"/>
      <c r="H2432" s="62"/>
      <c r="I2432" s="62" t="str">
        <f t="shared" si="37"/>
        <v/>
      </c>
    </row>
    <row r="2433" spans="2:9" x14ac:dyDescent="0.25">
      <c r="B2433" s="59"/>
      <c r="C2433" s="60"/>
      <c r="D2433" s="60"/>
      <c r="F2433" s="60"/>
      <c r="G2433" s="60"/>
      <c r="H2433" s="62"/>
      <c r="I2433" s="62" t="str">
        <f t="shared" si="37"/>
        <v/>
      </c>
    </row>
    <row r="2434" spans="2:9" x14ac:dyDescent="0.25">
      <c r="B2434" s="59"/>
      <c r="C2434" s="60"/>
      <c r="D2434" s="60"/>
      <c r="F2434" s="60"/>
      <c r="G2434" s="60"/>
      <c r="H2434" s="62"/>
      <c r="I2434" s="62" t="str">
        <f t="shared" si="37"/>
        <v/>
      </c>
    </row>
    <row r="2435" spans="2:9" x14ac:dyDescent="0.25">
      <c r="B2435" s="59"/>
      <c r="C2435" s="60"/>
      <c r="D2435" s="60"/>
      <c r="F2435" s="60"/>
      <c r="G2435" s="60"/>
      <c r="H2435" s="62"/>
      <c r="I2435" s="62" t="str">
        <f t="shared" si="37"/>
        <v/>
      </c>
    </row>
    <row r="2436" spans="2:9" x14ac:dyDescent="0.25">
      <c r="B2436" s="59"/>
      <c r="C2436" s="60"/>
      <c r="D2436" s="60"/>
      <c r="F2436" s="60"/>
      <c r="G2436" s="60"/>
      <c r="H2436" s="62"/>
      <c r="I2436" s="62" t="str">
        <f t="shared" si="37"/>
        <v/>
      </c>
    </row>
    <row r="2437" spans="2:9" x14ac:dyDescent="0.25">
      <c r="B2437" s="59"/>
      <c r="C2437" s="60"/>
      <c r="D2437" s="60"/>
      <c r="F2437" s="60"/>
      <c r="G2437" s="60"/>
      <c r="H2437" s="62"/>
      <c r="I2437" s="62" t="str">
        <f t="shared" ref="I2437:I2500" si="38">IF(H2437&lt;&gt;"",H2437-H2436,"")</f>
        <v/>
      </c>
    </row>
    <row r="2438" spans="2:9" x14ac:dyDescent="0.25">
      <c r="B2438" s="59"/>
      <c r="C2438" s="60"/>
      <c r="D2438" s="60"/>
      <c r="F2438" s="60"/>
      <c r="G2438" s="60"/>
      <c r="H2438" s="62"/>
      <c r="I2438" s="62" t="str">
        <f t="shared" si="38"/>
        <v/>
      </c>
    </row>
    <row r="2439" spans="2:9" x14ac:dyDescent="0.25">
      <c r="B2439" s="59"/>
      <c r="C2439" s="60"/>
      <c r="D2439" s="60"/>
      <c r="F2439" s="60"/>
      <c r="G2439" s="60"/>
      <c r="H2439" s="62"/>
      <c r="I2439" s="62" t="str">
        <f t="shared" si="38"/>
        <v/>
      </c>
    </row>
    <row r="2440" spans="2:9" x14ac:dyDescent="0.25">
      <c r="B2440" s="59"/>
      <c r="C2440" s="60"/>
      <c r="D2440" s="60"/>
      <c r="F2440" s="60"/>
      <c r="G2440" s="60"/>
      <c r="H2440" s="62"/>
      <c r="I2440" s="62" t="str">
        <f t="shared" si="38"/>
        <v/>
      </c>
    </row>
    <row r="2441" spans="2:9" x14ac:dyDescent="0.25">
      <c r="B2441" s="59"/>
      <c r="C2441" s="60"/>
      <c r="D2441" s="60"/>
      <c r="F2441" s="60"/>
      <c r="G2441" s="60"/>
      <c r="H2441" s="62"/>
      <c r="I2441" s="62" t="str">
        <f t="shared" si="38"/>
        <v/>
      </c>
    </row>
    <row r="2442" spans="2:9" x14ac:dyDescent="0.25">
      <c r="B2442" s="59"/>
      <c r="C2442" s="60"/>
      <c r="D2442" s="60"/>
      <c r="F2442" s="60"/>
      <c r="G2442" s="60"/>
      <c r="H2442" s="62"/>
      <c r="I2442" s="62" t="str">
        <f t="shared" si="38"/>
        <v/>
      </c>
    </row>
    <row r="2443" spans="2:9" x14ac:dyDescent="0.25">
      <c r="B2443" s="59"/>
      <c r="C2443" s="60"/>
      <c r="D2443" s="60"/>
      <c r="F2443" s="60"/>
      <c r="G2443" s="60"/>
      <c r="H2443" s="62"/>
      <c r="I2443" s="62" t="str">
        <f t="shared" si="38"/>
        <v/>
      </c>
    </row>
    <row r="2444" spans="2:9" x14ac:dyDescent="0.25">
      <c r="B2444" s="59"/>
      <c r="C2444" s="60"/>
      <c r="D2444" s="60"/>
      <c r="F2444" s="60"/>
      <c r="G2444" s="60"/>
      <c r="H2444" s="62"/>
      <c r="I2444" s="62" t="str">
        <f t="shared" si="38"/>
        <v/>
      </c>
    </row>
    <row r="2445" spans="2:9" x14ac:dyDescent="0.25">
      <c r="B2445" s="59"/>
      <c r="C2445" s="60"/>
      <c r="D2445" s="60"/>
      <c r="F2445" s="60"/>
      <c r="G2445" s="60"/>
      <c r="H2445" s="62"/>
      <c r="I2445" s="62" t="str">
        <f t="shared" si="38"/>
        <v/>
      </c>
    </row>
    <row r="2446" spans="2:9" x14ac:dyDescent="0.25">
      <c r="B2446" s="59"/>
      <c r="C2446" s="60"/>
      <c r="D2446" s="60"/>
      <c r="F2446" s="60"/>
      <c r="G2446" s="60"/>
      <c r="H2446" s="62"/>
      <c r="I2446" s="62" t="str">
        <f t="shared" si="38"/>
        <v/>
      </c>
    </row>
    <row r="2447" spans="2:9" x14ac:dyDescent="0.25">
      <c r="B2447" s="59"/>
      <c r="C2447" s="60"/>
      <c r="D2447" s="60"/>
      <c r="F2447" s="60"/>
      <c r="G2447" s="60"/>
      <c r="H2447" s="62"/>
      <c r="I2447" s="62" t="str">
        <f t="shared" si="38"/>
        <v/>
      </c>
    </row>
    <row r="2448" spans="2:9" x14ac:dyDescent="0.25">
      <c r="B2448" s="59"/>
      <c r="C2448" s="60"/>
      <c r="D2448" s="60"/>
      <c r="F2448" s="60"/>
      <c r="G2448" s="60"/>
      <c r="H2448" s="62"/>
      <c r="I2448" s="62" t="str">
        <f t="shared" si="38"/>
        <v/>
      </c>
    </row>
    <row r="2449" spans="2:9" x14ac:dyDescent="0.25">
      <c r="B2449" s="59"/>
      <c r="C2449" s="60"/>
      <c r="D2449" s="60"/>
      <c r="F2449" s="60"/>
      <c r="G2449" s="60"/>
      <c r="H2449" s="62"/>
      <c r="I2449" s="62" t="str">
        <f t="shared" si="38"/>
        <v/>
      </c>
    </row>
    <row r="2450" spans="2:9" x14ac:dyDescent="0.25">
      <c r="B2450" s="59"/>
      <c r="C2450" s="60"/>
      <c r="D2450" s="60"/>
      <c r="F2450" s="60"/>
      <c r="G2450" s="60"/>
      <c r="H2450" s="62"/>
      <c r="I2450" s="62" t="str">
        <f t="shared" si="38"/>
        <v/>
      </c>
    </row>
    <row r="2451" spans="2:9" x14ac:dyDescent="0.25">
      <c r="B2451" s="59"/>
      <c r="C2451" s="60"/>
      <c r="D2451" s="60"/>
      <c r="F2451" s="60"/>
      <c r="G2451" s="60"/>
      <c r="H2451" s="62"/>
      <c r="I2451" s="62" t="str">
        <f t="shared" si="38"/>
        <v/>
      </c>
    </row>
    <row r="2452" spans="2:9" x14ac:dyDescent="0.25">
      <c r="B2452" s="59"/>
      <c r="C2452" s="60"/>
      <c r="D2452" s="60"/>
      <c r="F2452" s="60"/>
      <c r="G2452" s="60"/>
      <c r="H2452" s="62"/>
      <c r="I2452" s="62" t="str">
        <f t="shared" si="38"/>
        <v/>
      </c>
    </row>
    <row r="2453" spans="2:9" x14ac:dyDescent="0.25">
      <c r="B2453" s="59"/>
      <c r="C2453" s="60"/>
      <c r="D2453" s="60"/>
      <c r="F2453" s="60"/>
      <c r="G2453" s="60"/>
      <c r="H2453" s="62"/>
      <c r="I2453" s="62" t="str">
        <f t="shared" si="38"/>
        <v/>
      </c>
    </row>
    <row r="2454" spans="2:9" x14ac:dyDescent="0.25">
      <c r="B2454" s="59"/>
      <c r="C2454" s="60"/>
      <c r="D2454" s="60"/>
      <c r="F2454" s="60"/>
      <c r="G2454" s="60"/>
      <c r="H2454" s="62"/>
      <c r="I2454" s="62" t="str">
        <f t="shared" si="38"/>
        <v/>
      </c>
    </row>
    <row r="2455" spans="2:9" x14ac:dyDescent="0.25">
      <c r="B2455" s="59"/>
      <c r="C2455" s="60"/>
      <c r="D2455" s="60"/>
      <c r="F2455" s="60"/>
      <c r="G2455" s="60"/>
      <c r="H2455" s="62"/>
      <c r="I2455" s="62" t="str">
        <f t="shared" si="38"/>
        <v/>
      </c>
    </row>
    <row r="2456" spans="2:9" x14ac:dyDescent="0.25">
      <c r="B2456" s="59"/>
      <c r="C2456" s="60"/>
      <c r="D2456" s="60"/>
      <c r="F2456" s="60"/>
      <c r="G2456" s="60"/>
      <c r="H2456" s="62"/>
      <c r="I2456" s="62" t="str">
        <f t="shared" si="38"/>
        <v/>
      </c>
    </row>
    <row r="2457" spans="2:9" x14ac:dyDescent="0.25">
      <c r="B2457" s="59"/>
      <c r="C2457" s="60"/>
      <c r="D2457" s="60"/>
      <c r="F2457" s="60"/>
      <c r="G2457" s="60"/>
      <c r="H2457" s="62"/>
      <c r="I2457" s="62" t="str">
        <f t="shared" si="38"/>
        <v/>
      </c>
    </row>
    <row r="2458" spans="2:9" x14ac:dyDescent="0.25">
      <c r="B2458" s="59"/>
      <c r="C2458" s="60"/>
      <c r="D2458" s="60"/>
      <c r="F2458" s="60"/>
      <c r="G2458" s="60"/>
      <c r="H2458" s="62"/>
      <c r="I2458" s="62" t="str">
        <f t="shared" si="38"/>
        <v/>
      </c>
    </row>
    <row r="2459" spans="2:9" x14ac:dyDescent="0.25">
      <c r="B2459" s="59"/>
      <c r="C2459" s="60"/>
      <c r="D2459" s="60"/>
      <c r="F2459" s="60"/>
      <c r="G2459" s="60"/>
      <c r="H2459" s="62"/>
      <c r="I2459" s="62" t="str">
        <f t="shared" si="38"/>
        <v/>
      </c>
    </row>
    <row r="2460" spans="2:9" x14ac:dyDescent="0.25">
      <c r="B2460" s="59"/>
      <c r="C2460" s="60"/>
      <c r="D2460" s="60"/>
      <c r="F2460" s="60"/>
      <c r="G2460" s="60"/>
      <c r="H2460" s="62"/>
      <c r="I2460" s="62" t="str">
        <f t="shared" si="38"/>
        <v/>
      </c>
    </row>
    <row r="2461" spans="2:9" x14ac:dyDescent="0.25">
      <c r="B2461" s="59"/>
      <c r="C2461" s="60"/>
      <c r="D2461" s="60"/>
      <c r="F2461" s="60"/>
      <c r="G2461" s="60"/>
      <c r="H2461" s="62"/>
      <c r="I2461" s="62" t="str">
        <f t="shared" si="38"/>
        <v/>
      </c>
    </row>
    <row r="2462" spans="2:9" x14ac:dyDescent="0.25">
      <c r="B2462" s="59"/>
      <c r="C2462" s="60"/>
      <c r="D2462" s="60"/>
      <c r="F2462" s="60"/>
      <c r="G2462" s="60"/>
      <c r="H2462" s="62"/>
      <c r="I2462" s="62" t="str">
        <f t="shared" si="38"/>
        <v/>
      </c>
    </row>
    <row r="2463" spans="2:9" x14ac:dyDescent="0.25">
      <c r="B2463" s="59"/>
      <c r="C2463" s="60"/>
      <c r="D2463" s="60"/>
      <c r="F2463" s="60"/>
      <c r="G2463" s="60"/>
      <c r="H2463" s="62"/>
      <c r="I2463" s="62" t="str">
        <f t="shared" si="38"/>
        <v/>
      </c>
    </row>
    <row r="2464" spans="2:9" x14ac:dyDescent="0.25">
      <c r="B2464" s="59"/>
      <c r="C2464" s="60"/>
      <c r="D2464" s="60"/>
      <c r="F2464" s="60"/>
      <c r="G2464" s="60"/>
      <c r="H2464" s="62"/>
      <c r="I2464" s="62" t="str">
        <f t="shared" si="38"/>
        <v/>
      </c>
    </row>
    <row r="2465" spans="2:9" x14ac:dyDescent="0.25">
      <c r="B2465" s="59"/>
      <c r="C2465" s="60"/>
      <c r="D2465" s="60"/>
      <c r="F2465" s="60"/>
      <c r="G2465" s="60"/>
      <c r="H2465" s="62"/>
      <c r="I2465" s="62" t="str">
        <f t="shared" si="38"/>
        <v/>
      </c>
    </row>
    <row r="2466" spans="2:9" x14ac:dyDescent="0.25">
      <c r="B2466" s="59"/>
      <c r="C2466" s="60"/>
      <c r="D2466" s="60"/>
      <c r="F2466" s="60"/>
      <c r="G2466" s="60"/>
      <c r="H2466" s="62"/>
      <c r="I2466" s="62" t="str">
        <f t="shared" si="38"/>
        <v/>
      </c>
    </row>
    <row r="2467" spans="2:9" x14ac:dyDescent="0.25">
      <c r="B2467" s="59"/>
      <c r="C2467" s="60"/>
      <c r="D2467" s="60"/>
      <c r="F2467" s="60"/>
      <c r="G2467" s="60"/>
      <c r="H2467" s="62"/>
      <c r="I2467" s="62" t="str">
        <f t="shared" si="38"/>
        <v/>
      </c>
    </row>
    <row r="2468" spans="2:9" x14ac:dyDescent="0.25">
      <c r="B2468" s="59"/>
      <c r="C2468" s="60"/>
      <c r="D2468" s="60"/>
      <c r="F2468" s="60"/>
      <c r="G2468" s="60"/>
      <c r="H2468" s="62"/>
      <c r="I2468" s="62" t="str">
        <f t="shared" si="38"/>
        <v/>
      </c>
    </row>
    <row r="2469" spans="2:9" x14ac:dyDescent="0.25">
      <c r="B2469" s="59"/>
      <c r="C2469" s="60"/>
      <c r="D2469" s="60"/>
      <c r="F2469" s="60"/>
      <c r="G2469" s="60"/>
      <c r="H2469" s="62"/>
      <c r="I2469" s="62" t="str">
        <f t="shared" si="38"/>
        <v/>
      </c>
    </row>
    <row r="2470" spans="2:9" x14ac:dyDescent="0.25">
      <c r="B2470" s="59"/>
      <c r="C2470" s="60"/>
      <c r="D2470" s="60"/>
      <c r="F2470" s="60"/>
      <c r="G2470" s="60"/>
      <c r="H2470" s="62"/>
      <c r="I2470" s="62" t="str">
        <f t="shared" si="38"/>
        <v/>
      </c>
    </row>
    <row r="2471" spans="2:9" x14ac:dyDescent="0.25">
      <c r="B2471" s="59"/>
      <c r="C2471" s="60"/>
      <c r="D2471" s="60"/>
      <c r="F2471" s="60"/>
      <c r="G2471" s="60"/>
      <c r="H2471" s="62"/>
      <c r="I2471" s="62" t="str">
        <f t="shared" si="38"/>
        <v/>
      </c>
    </row>
    <row r="2472" spans="2:9" x14ac:dyDescent="0.25">
      <c r="B2472" s="59"/>
      <c r="C2472" s="60"/>
      <c r="D2472" s="60"/>
      <c r="F2472" s="60"/>
      <c r="G2472" s="60"/>
      <c r="H2472" s="62"/>
      <c r="I2472" s="62" t="str">
        <f t="shared" si="38"/>
        <v/>
      </c>
    </row>
    <row r="2473" spans="2:9" x14ac:dyDescent="0.25">
      <c r="B2473" s="59"/>
      <c r="C2473" s="60"/>
      <c r="D2473" s="60"/>
      <c r="F2473" s="60"/>
      <c r="G2473" s="60"/>
      <c r="H2473" s="62"/>
      <c r="I2473" s="62" t="str">
        <f t="shared" si="38"/>
        <v/>
      </c>
    </row>
    <row r="2474" spans="2:9" x14ac:dyDescent="0.25">
      <c r="B2474" s="59"/>
      <c r="C2474" s="60"/>
      <c r="D2474" s="60"/>
      <c r="F2474" s="60"/>
      <c r="G2474" s="60"/>
      <c r="H2474" s="62"/>
      <c r="I2474" s="62" t="str">
        <f t="shared" si="38"/>
        <v/>
      </c>
    </row>
    <row r="2475" spans="2:9" x14ac:dyDescent="0.25">
      <c r="B2475" s="59"/>
      <c r="C2475" s="60"/>
      <c r="D2475" s="60"/>
      <c r="F2475" s="60"/>
      <c r="G2475" s="60"/>
      <c r="H2475" s="62"/>
      <c r="I2475" s="62" t="str">
        <f t="shared" si="38"/>
        <v/>
      </c>
    </row>
    <row r="2476" spans="2:9" x14ac:dyDescent="0.25">
      <c r="B2476" s="59"/>
      <c r="C2476" s="60"/>
      <c r="D2476" s="60"/>
      <c r="F2476" s="60"/>
      <c r="G2476" s="60"/>
      <c r="H2476" s="62"/>
      <c r="I2476" s="62" t="str">
        <f t="shared" si="38"/>
        <v/>
      </c>
    </row>
    <row r="2477" spans="2:9" x14ac:dyDescent="0.25">
      <c r="B2477" s="59"/>
      <c r="C2477" s="60"/>
      <c r="D2477" s="60"/>
      <c r="F2477" s="60"/>
      <c r="G2477" s="60"/>
      <c r="H2477" s="62"/>
      <c r="I2477" s="62" t="str">
        <f t="shared" si="38"/>
        <v/>
      </c>
    </row>
    <row r="2478" spans="2:9" x14ac:dyDescent="0.25">
      <c r="B2478" s="59"/>
      <c r="C2478" s="60"/>
      <c r="D2478" s="60"/>
      <c r="F2478" s="60"/>
      <c r="G2478" s="60"/>
      <c r="H2478" s="62"/>
      <c r="I2478" s="62" t="str">
        <f t="shared" si="38"/>
        <v/>
      </c>
    </row>
    <row r="2479" spans="2:9" x14ac:dyDescent="0.25">
      <c r="B2479" s="59"/>
      <c r="C2479" s="60"/>
      <c r="D2479" s="60"/>
      <c r="F2479" s="60"/>
      <c r="G2479" s="60"/>
      <c r="H2479" s="62"/>
      <c r="I2479" s="62" t="str">
        <f t="shared" si="38"/>
        <v/>
      </c>
    </row>
    <row r="2480" spans="2:9" x14ac:dyDescent="0.25">
      <c r="B2480" s="59"/>
      <c r="C2480" s="60"/>
      <c r="D2480" s="60"/>
      <c r="F2480" s="60"/>
      <c r="G2480" s="60"/>
      <c r="H2480" s="62"/>
      <c r="I2480" s="62" t="str">
        <f t="shared" si="38"/>
        <v/>
      </c>
    </row>
    <row r="2481" spans="2:9" x14ac:dyDescent="0.25">
      <c r="B2481" s="59"/>
      <c r="C2481" s="60"/>
      <c r="D2481" s="60"/>
      <c r="F2481" s="60"/>
      <c r="G2481" s="60"/>
      <c r="H2481" s="62"/>
      <c r="I2481" s="62" t="str">
        <f t="shared" si="38"/>
        <v/>
      </c>
    </row>
    <row r="2482" spans="2:9" x14ac:dyDescent="0.25">
      <c r="B2482" s="59"/>
      <c r="C2482" s="60"/>
      <c r="D2482" s="60"/>
      <c r="F2482" s="60"/>
      <c r="G2482" s="60"/>
      <c r="H2482" s="62"/>
      <c r="I2482" s="62" t="str">
        <f t="shared" si="38"/>
        <v/>
      </c>
    </row>
    <row r="2483" spans="2:9" x14ac:dyDescent="0.25">
      <c r="B2483" s="59"/>
      <c r="C2483" s="60"/>
      <c r="D2483" s="60"/>
      <c r="F2483" s="60"/>
      <c r="G2483" s="60"/>
      <c r="H2483" s="62"/>
      <c r="I2483" s="62" t="str">
        <f t="shared" si="38"/>
        <v/>
      </c>
    </row>
    <row r="2484" spans="2:9" x14ac:dyDescent="0.25">
      <c r="B2484" s="59"/>
      <c r="C2484" s="60"/>
      <c r="D2484" s="60"/>
      <c r="F2484" s="60"/>
      <c r="G2484" s="60"/>
      <c r="H2484" s="62"/>
      <c r="I2484" s="62" t="str">
        <f t="shared" si="38"/>
        <v/>
      </c>
    </row>
    <row r="2485" spans="2:9" x14ac:dyDescent="0.25">
      <c r="B2485" s="59"/>
      <c r="C2485" s="60"/>
      <c r="D2485" s="60"/>
      <c r="F2485" s="60"/>
      <c r="G2485" s="60"/>
      <c r="H2485" s="62"/>
      <c r="I2485" s="62" t="str">
        <f t="shared" si="38"/>
        <v/>
      </c>
    </row>
    <row r="2486" spans="2:9" x14ac:dyDescent="0.25">
      <c r="B2486" s="59"/>
      <c r="C2486" s="60"/>
      <c r="D2486" s="60"/>
      <c r="F2486" s="60"/>
      <c r="G2486" s="60"/>
      <c r="H2486" s="62"/>
      <c r="I2486" s="62" t="str">
        <f t="shared" si="38"/>
        <v/>
      </c>
    </row>
    <row r="2487" spans="2:9" x14ac:dyDescent="0.25">
      <c r="B2487" s="59"/>
      <c r="C2487" s="60"/>
      <c r="D2487" s="60"/>
      <c r="F2487" s="60"/>
      <c r="G2487" s="60"/>
      <c r="H2487" s="62"/>
      <c r="I2487" s="62" t="str">
        <f t="shared" si="38"/>
        <v/>
      </c>
    </row>
    <row r="2488" spans="2:9" x14ac:dyDescent="0.25">
      <c r="B2488" s="59"/>
      <c r="C2488" s="60"/>
      <c r="D2488" s="60"/>
      <c r="F2488" s="60"/>
      <c r="G2488" s="60"/>
      <c r="H2488" s="62"/>
      <c r="I2488" s="62" t="str">
        <f t="shared" si="38"/>
        <v/>
      </c>
    </row>
    <row r="2489" spans="2:9" x14ac:dyDescent="0.25">
      <c r="B2489" s="59"/>
      <c r="C2489" s="60"/>
      <c r="D2489" s="60"/>
      <c r="F2489" s="60"/>
      <c r="G2489" s="60"/>
      <c r="H2489" s="62"/>
      <c r="I2489" s="62" t="str">
        <f t="shared" si="38"/>
        <v/>
      </c>
    </row>
    <row r="2490" spans="2:9" x14ac:dyDescent="0.25">
      <c r="B2490" s="59"/>
      <c r="C2490" s="60"/>
      <c r="D2490" s="60"/>
      <c r="F2490" s="60"/>
      <c r="G2490" s="60"/>
      <c r="H2490" s="62"/>
      <c r="I2490" s="62" t="str">
        <f t="shared" si="38"/>
        <v/>
      </c>
    </row>
    <row r="2491" spans="2:9" x14ac:dyDescent="0.25">
      <c r="B2491" s="59"/>
      <c r="C2491" s="60"/>
      <c r="D2491" s="60"/>
      <c r="F2491" s="60"/>
      <c r="G2491" s="60"/>
      <c r="H2491" s="62"/>
      <c r="I2491" s="62" t="str">
        <f t="shared" si="38"/>
        <v/>
      </c>
    </row>
    <row r="2492" spans="2:9" x14ac:dyDescent="0.25">
      <c r="B2492" s="59"/>
      <c r="C2492" s="60"/>
      <c r="D2492" s="60"/>
      <c r="F2492" s="60"/>
      <c r="G2492" s="60"/>
      <c r="H2492" s="62"/>
      <c r="I2492" s="62" t="str">
        <f t="shared" si="38"/>
        <v/>
      </c>
    </row>
    <row r="2493" spans="2:9" x14ac:dyDescent="0.25">
      <c r="B2493" s="59"/>
      <c r="C2493" s="60"/>
      <c r="D2493" s="60"/>
      <c r="F2493" s="60"/>
      <c r="G2493" s="60"/>
      <c r="H2493" s="62"/>
      <c r="I2493" s="62" t="str">
        <f t="shared" si="38"/>
        <v/>
      </c>
    </row>
    <row r="2494" spans="2:9" x14ac:dyDescent="0.25">
      <c r="B2494" s="59"/>
      <c r="C2494" s="60"/>
      <c r="D2494" s="60"/>
      <c r="F2494" s="60"/>
      <c r="G2494" s="60"/>
      <c r="H2494" s="62"/>
      <c r="I2494" s="62" t="str">
        <f t="shared" si="38"/>
        <v/>
      </c>
    </row>
    <row r="2495" spans="2:9" x14ac:dyDescent="0.25">
      <c r="B2495" s="59"/>
      <c r="C2495" s="60"/>
      <c r="D2495" s="60"/>
      <c r="F2495" s="60"/>
      <c r="G2495" s="60"/>
      <c r="H2495" s="62"/>
      <c r="I2495" s="62" t="str">
        <f t="shared" si="38"/>
        <v/>
      </c>
    </row>
    <row r="2496" spans="2:9" x14ac:dyDescent="0.25">
      <c r="B2496" s="59"/>
      <c r="C2496" s="60"/>
      <c r="D2496" s="60"/>
      <c r="F2496" s="60"/>
      <c r="G2496" s="60"/>
      <c r="H2496" s="62"/>
      <c r="I2496" s="62" t="str">
        <f t="shared" si="38"/>
        <v/>
      </c>
    </row>
    <row r="2497" spans="2:9" x14ac:dyDescent="0.25">
      <c r="B2497" s="59"/>
      <c r="C2497" s="60"/>
      <c r="D2497" s="60"/>
      <c r="F2497" s="60"/>
      <c r="G2497" s="60"/>
      <c r="H2497" s="62"/>
      <c r="I2497" s="62" t="str">
        <f t="shared" si="38"/>
        <v/>
      </c>
    </row>
    <row r="2498" spans="2:9" x14ac:dyDescent="0.25">
      <c r="B2498" s="59"/>
      <c r="C2498" s="60"/>
      <c r="D2498" s="60"/>
      <c r="F2498" s="60"/>
      <c r="G2498" s="60"/>
      <c r="H2498" s="62"/>
      <c r="I2498" s="62" t="str">
        <f t="shared" si="38"/>
        <v/>
      </c>
    </row>
    <row r="2499" spans="2:9" x14ac:dyDescent="0.25">
      <c r="B2499" s="59"/>
      <c r="C2499" s="60"/>
      <c r="D2499" s="60"/>
      <c r="F2499" s="60"/>
      <c r="G2499" s="60"/>
      <c r="H2499" s="62"/>
      <c r="I2499" s="62" t="str">
        <f t="shared" si="38"/>
        <v/>
      </c>
    </row>
    <row r="2500" spans="2:9" x14ac:dyDescent="0.25">
      <c r="B2500" s="59"/>
      <c r="C2500" s="60"/>
      <c r="D2500" s="60"/>
      <c r="F2500" s="60"/>
      <c r="G2500" s="60"/>
      <c r="H2500" s="62"/>
      <c r="I2500" s="62" t="str">
        <f t="shared" si="38"/>
        <v/>
      </c>
    </row>
    <row r="2501" spans="2:9" x14ac:dyDescent="0.25">
      <c r="B2501" s="59"/>
      <c r="C2501" s="60"/>
      <c r="D2501" s="60"/>
      <c r="F2501" s="60"/>
      <c r="G2501" s="60"/>
      <c r="H2501" s="62"/>
      <c r="I2501" s="62" t="str">
        <f t="shared" ref="I2501:I2564" si="39">IF(H2501&lt;&gt;"",H2501-H2500,"")</f>
        <v/>
      </c>
    </row>
    <row r="2502" spans="2:9" x14ac:dyDescent="0.25">
      <c r="B2502" s="59"/>
      <c r="C2502" s="60"/>
      <c r="D2502" s="60"/>
      <c r="F2502" s="60"/>
      <c r="G2502" s="60"/>
      <c r="H2502" s="62"/>
      <c r="I2502" s="62" t="str">
        <f t="shared" si="39"/>
        <v/>
      </c>
    </row>
    <row r="2503" spans="2:9" x14ac:dyDescent="0.25">
      <c r="B2503" s="59"/>
      <c r="C2503" s="60"/>
      <c r="D2503" s="60"/>
      <c r="F2503" s="60"/>
      <c r="G2503" s="60"/>
      <c r="H2503" s="62"/>
      <c r="I2503" s="62" t="str">
        <f t="shared" si="39"/>
        <v/>
      </c>
    </row>
    <row r="2504" spans="2:9" x14ac:dyDescent="0.25">
      <c r="B2504" s="59"/>
      <c r="C2504" s="60"/>
      <c r="D2504" s="60"/>
      <c r="F2504" s="60"/>
      <c r="G2504" s="60"/>
      <c r="H2504" s="62"/>
      <c r="I2504" s="62" t="str">
        <f t="shared" si="39"/>
        <v/>
      </c>
    </row>
    <row r="2505" spans="2:9" x14ac:dyDescent="0.25">
      <c r="B2505" s="59"/>
      <c r="C2505" s="60"/>
      <c r="D2505" s="60"/>
      <c r="F2505" s="60"/>
      <c r="G2505" s="60"/>
      <c r="H2505" s="62"/>
      <c r="I2505" s="62" t="str">
        <f t="shared" si="39"/>
        <v/>
      </c>
    </row>
    <row r="2506" spans="2:9" x14ac:dyDescent="0.25">
      <c r="B2506" s="59"/>
      <c r="C2506" s="60"/>
      <c r="D2506" s="60"/>
      <c r="F2506" s="60"/>
      <c r="G2506" s="60"/>
      <c r="H2506" s="62"/>
      <c r="I2506" s="62" t="str">
        <f t="shared" si="39"/>
        <v/>
      </c>
    </row>
    <row r="2507" spans="2:9" x14ac:dyDescent="0.25">
      <c r="B2507" s="59"/>
      <c r="C2507" s="60"/>
      <c r="D2507" s="60"/>
      <c r="F2507" s="60"/>
      <c r="G2507" s="60"/>
      <c r="H2507" s="62"/>
      <c r="I2507" s="62" t="str">
        <f t="shared" si="39"/>
        <v/>
      </c>
    </row>
    <row r="2508" spans="2:9" x14ac:dyDescent="0.25">
      <c r="B2508" s="59"/>
      <c r="C2508" s="60"/>
      <c r="D2508" s="60"/>
      <c r="F2508" s="60"/>
      <c r="G2508" s="60"/>
      <c r="H2508" s="62"/>
      <c r="I2508" s="62" t="str">
        <f t="shared" si="39"/>
        <v/>
      </c>
    </row>
    <row r="2509" spans="2:9" x14ac:dyDescent="0.25">
      <c r="B2509" s="59"/>
      <c r="C2509" s="60"/>
      <c r="D2509" s="60"/>
      <c r="F2509" s="60"/>
      <c r="G2509" s="60"/>
      <c r="H2509" s="62"/>
      <c r="I2509" s="62" t="str">
        <f t="shared" si="39"/>
        <v/>
      </c>
    </row>
    <row r="2510" spans="2:9" x14ac:dyDescent="0.25">
      <c r="B2510" s="59"/>
      <c r="C2510" s="60"/>
      <c r="D2510" s="60"/>
      <c r="F2510" s="60"/>
      <c r="G2510" s="60"/>
      <c r="H2510" s="62"/>
      <c r="I2510" s="62" t="str">
        <f t="shared" si="39"/>
        <v/>
      </c>
    </row>
    <row r="2511" spans="2:9" x14ac:dyDescent="0.25">
      <c r="B2511" s="59"/>
      <c r="C2511" s="60"/>
      <c r="D2511" s="60"/>
      <c r="F2511" s="60"/>
      <c r="G2511" s="60"/>
      <c r="H2511" s="62"/>
      <c r="I2511" s="62" t="str">
        <f t="shared" si="39"/>
        <v/>
      </c>
    </row>
    <row r="2512" spans="2:9" x14ac:dyDescent="0.25">
      <c r="B2512" s="59"/>
      <c r="C2512" s="60"/>
      <c r="D2512" s="60"/>
      <c r="F2512" s="60"/>
      <c r="G2512" s="60"/>
      <c r="H2512" s="62"/>
      <c r="I2512" s="62" t="str">
        <f t="shared" si="39"/>
        <v/>
      </c>
    </row>
    <row r="2513" spans="2:9" x14ac:dyDescent="0.25">
      <c r="B2513" s="59"/>
      <c r="C2513" s="60"/>
      <c r="D2513" s="60"/>
      <c r="F2513" s="60"/>
      <c r="G2513" s="60"/>
      <c r="H2513" s="62"/>
      <c r="I2513" s="62" t="str">
        <f t="shared" si="39"/>
        <v/>
      </c>
    </row>
    <row r="2514" spans="2:9" x14ac:dyDescent="0.25">
      <c r="B2514" s="59"/>
      <c r="C2514" s="60"/>
      <c r="D2514" s="60"/>
      <c r="F2514" s="60"/>
      <c r="G2514" s="60"/>
      <c r="H2514" s="62"/>
      <c r="I2514" s="62" t="str">
        <f t="shared" si="39"/>
        <v/>
      </c>
    </row>
    <row r="2515" spans="2:9" x14ac:dyDescent="0.25">
      <c r="B2515" s="59"/>
      <c r="C2515" s="60"/>
      <c r="D2515" s="60"/>
      <c r="F2515" s="60"/>
      <c r="G2515" s="60"/>
      <c r="H2515" s="62"/>
      <c r="I2515" s="62" t="str">
        <f t="shared" si="39"/>
        <v/>
      </c>
    </row>
    <row r="2516" spans="2:9" x14ac:dyDescent="0.25">
      <c r="B2516" s="59"/>
      <c r="C2516" s="60"/>
      <c r="D2516" s="60"/>
      <c r="F2516" s="60"/>
      <c r="G2516" s="60"/>
      <c r="H2516" s="62"/>
      <c r="I2516" s="62" t="str">
        <f t="shared" si="39"/>
        <v/>
      </c>
    </row>
    <row r="2517" spans="2:9" x14ac:dyDescent="0.25">
      <c r="B2517" s="59"/>
      <c r="C2517" s="60"/>
      <c r="D2517" s="60"/>
      <c r="F2517" s="60"/>
      <c r="G2517" s="60"/>
      <c r="H2517" s="62"/>
      <c r="I2517" s="62" t="str">
        <f t="shared" si="39"/>
        <v/>
      </c>
    </row>
    <row r="2518" spans="2:9" x14ac:dyDescent="0.25">
      <c r="B2518" s="59"/>
      <c r="C2518" s="60"/>
      <c r="D2518" s="60"/>
      <c r="F2518" s="60"/>
      <c r="G2518" s="60"/>
      <c r="H2518" s="62"/>
      <c r="I2518" s="62" t="str">
        <f t="shared" si="39"/>
        <v/>
      </c>
    </row>
    <row r="2519" spans="2:9" x14ac:dyDescent="0.25">
      <c r="B2519" s="59"/>
      <c r="C2519" s="60"/>
      <c r="D2519" s="60"/>
      <c r="F2519" s="60"/>
      <c r="G2519" s="60"/>
      <c r="H2519" s="62"/>
      <c r="I2519" s="62" t="str">
        <f t="shared" si="39"/>
        <v/>
      </c>
    </row>
    <row r="2520" spans="2:9" x14ac:dyDescent="0.25">
      <c r="B2520" s="59"/>
      <c r="C2520" s="60"/>
      <c r="D2520" s="60"/>
      <c r="F2520" s="60"/>
      <c r="G2520" s="60"/>
      <c r="H2520" s="62"/>
      <c r="I2520" s="62" t="str">
        <f t="shared" si="39"/>
        <v/>
      </c>
    </row>
    <row r="2521" spans="2:9" x14ac:dyDescent="0.25">
      <c r="B2521" s="59"/>
      <c r="C2521" s="60"/>
      <c r="D2521" s="60"/>
      <c r="F2521" s="60"/>
      <c r="G2521" s="60"/>
      <c r="H2521" s="62"/>
      <c r="I2521" s="62" t="str">
        <f t="shared" si="39"/>
        <v/>
      </c>
    </row>
    <row r="2522" spans="2:9" x14ac:dyDescent="0.25">
      <c r="B2522" s="59"/>
      <c r="C2522" s="60"/>
      <c r="D2522" s="60"/>
      <c r="F2522" s="60"/>
      <c r="G2522" s="60"/>
      <c r="H2522" s="62"/>
      <c r="I2522" s="62" t="str">
        <f t="shared" si="39"/>
        <v/>
      </c>
    </row>
    <row r="2523" spans="2:9" x14ac:dyDescent="0.25">
      <c r="B2523" s="59"/>
      <c r="C2523" s="60"/>
      <c r="D2523" s="60"/>
      <c r="F2523" s="60"/>
      <c r="G2523" s="60"/>
      <c r="H2523" s="62"/>
      <c r="I2523" s="62" t="str">
        <f t="shared" si="39"/>
        <v/>
      </c>
    </row>
    <row r="2524" spans="2:9" x14ac:dyDescent="0.25">
      <c r="B2524" s="59"/>
      <c r="C2524" s="60"/>
      <c r="D2524" s="60"/>
      <c r="F2524" s="60"/>
      <c r="G2524" s="60"/>
      <c r="H2524" s="62"/>
      <c r="I2524" s="62" t="str">
        <f t="shared" si="39"/>
        <v/>
      </c>
    </row>
    <row r="2525" spans="2:9" x14ac:dyDescent="0.25">
      <c r="B2525" s="59"/>
      <c r="C2525" s="60"/>
      <c r="D2525" s="60"/>
      <c r="F2525" s="60"/>
      <c r="G2525" s="60"/>
      <c r="H2525" s="62"/>
      <c r="I2525" s="62" t="str">
        <f t="shared" si="39"/>
        <v/>
      </c>
    </row>
    <row r="2526" spans="2:9" x14ac:dyDescent="0.25">
      <c r="B2526" s="59"/>
      <c r="C2526" s="60"/>
      <c r="D2526" s="60"/>
      <c r="F2526" s="60"/>
      <c r="G2526" s="60"/>
      <c r="H2526" s="62"/>
      <c r="I2526" s="62" t="str">
        <f t="shared" si="39"/>
        <v/>
      </c>
    </row>
    <row r="2527" spans="2:9" x14ac:dyDescent="0.25">
      <c r="B2527" s="59"/>
      <c r="C2527" s="60"/>
      <c r="D2527" s="60"/>
      <c r="F2527" s="60"/>
      <c r="G2527" s="60"/>
      <c r="H2527" s="62"/>
      <c r="I2527" s="62" t="str">
        <f t="shared" si="39"/>
        <v/>
      </c>
    </row>
    <row r="2528" spans="2:9" x14ac:dyDescent="0.25">
      <c r="B2528" s="59"/>
      <c r="C2528" s="60"/>
      <c r="D2528" s="60"/>
      <c r="F2528" s="60"/>
      <c r="G2528" s="60"/>
      <c r="H2528" s="62"/>
      <c r="I2528" s="62" t="str">
        <f t="shared" si="39"/>
        <v/>
      </c>
    </row>
    <row r="2529" spans="2:9" x14ac:dyDescent="0.25">
      <c r="B2529" s="59"/>
      <c r="C2529" s="60"/>
      <c r="D2529" s="60"/>
      <c r="F2529" s="60"/>
      <c r="G2529" s="60"/>
      <c r="H2529" s="62"/>
      <c r="I2529" s="62" t="str">
        <f t="shared" si="39"/>
        <v/>
      </c>
    </row>
    <row r="2530" spans="2:9" x14ac:dyDescent="0.25">
      <c r="B2530" s="59"/>
      <c r="C2530" s="60"/>
      <c r="D2530" s="60"/>
      <c r="F2530" s="60"/>
      <c r="G2530" s="60"/>
      <c r="H2530" s="62"/>
      <c r="I2530" s="62" t="str">
        <f t="shared" si="39"/>
        <v/>
      </c>
    </row>
    <row r="2531" spans="2:9" x14ac:dyDescent="0.25">
      <c r="B2531" s="59"/>
      <c r="C2531" s="60"/>
      <c r="D2531" s="60"/>
      <c r="F2531" s="60"/>
      <c r="G2531" s="60"/>
      <c r="H2531" s="62"/>
      <c r="I2531" s="62" t="str">
        <f t="shared" si="39"/>
        <v/>
      </c>
    </row>
    <row r="2532" spans="2:9" x14ac:dyDescent="0.25">
      <c r="B2532" s="59"/>
      <c r="C2532" s="60"/>
      <c r="D2532" s="60"/>
      <c r="F2532" s="60"/>
      <c r="G2532" s="60"/>
      <c r="H2532" s="62"/>
      <c r="I2532" s="62" t="str">
        <f t="shared" si="39"/>
        <v/>
      </c>
    </row>
    <row r="2533" spans="2:9" x14ac:dyDescent="0.25">
      <c r="B2533" s="59"/>
      <c r="C2533" s="60"/>
      <c r="D2533" s="60"/>
      <c r="F2533" s="60"/>
      <c r="G2533" s="60"/>
      <c r="H2533" s="62"/>
      <c r="I2533" s="62" t="str">
        <f t="shared" si="39"/>
        <v/>
      </c>
    </row>
    <row r="2534" spans="2:9" x14ac:dyDescent="0.25">
      <c r="B2534" s="59"/>
      <c r="C2534" s="60"/>
      <c r="D2534" s="60"/>
      <c r="F2534" s="60"/>
      <c r="G2534" s="60"/>
      <c r="H2534" s="62"/>
      <c r="I2534" s="62" t="str">
        <f t="shared" si="39"/>
        <v/>
      </c>
    </row>
    <row r="2535" spans="2:9" x14ac:dyDescent="0.25">
      <c r="B2535" s="59"/>
      <c r="C2535" s="60"/>
      <c r="D2535" s="60"/>
      <c r="F2535" s="60"/>
      <c r="G2535" s="60"/>
      <c r="H2535" s="62"/>
      <c r="I2535" s="62" t="str">
        <f t="shared" si="39"/>
        <v/>
      </c>
    </row>
    <row r="2536" spans="2:9" x14ac:dyDescent="0.25">
      <c r="B2536" s="59"/>
      <c r="C2536" s="60"/>
      <c r="D2536" s="60"/>
      <c r="F2536" s="60"/>
      <c r="G2536" s="60"/>
      <c r="H2536" s="62"/>
      <c r="I2536" s="62" t="str">
        <f t="shared" si="39"/>
        <v/>
      </c>
    </row>
    <row r="2537" spans="2:9" x14ac:dyDescent="0.25">
      <c r="B2537" s="59"/>
      <c r="C2537" s="60"/>
      <c r="D2537" s="60"/>
      <c r="F2537" s="60"/>
      <c r="G2537" s="60"/>
      <c r="H2537" s="62"/>
      <c r="I2537" s="62" t="str">
        <f t="shared" si="39"/>
        <v/>
      </c>
    </row>
    <row r="2538" spans="2:9" x14ac:dyDescent="0.25">
      <c r="B2538" s="59"/>
      <c r="C2538" s="60"/>
      <c r="D2538" s="60"/>
      <c r="F2538" s="60"/>
      <c r="G2538" s="60"/>
      <c r="H2538" s="62"/>
      <c r="I2538" s="62" t="str">
        <f t="shared" si="39"/>
        <v/>
      </c>
    </row>
    <row r="2539" spans="2:9" x14ac:dyDescent="0.25">
      <c r="B2539" s="59"/>
      <c r="C2539" s="60"/>
      <c r="D2539" s="60"/>
      <c r="F2539" s="60"/>
      <c r="G2539" s="60"/>
      <c r="H2539" s="62"/>
      <c r="I2539" s="62" t="str">
        <f t="shared" si="39"/>
        <v/>
      </c>
    </row>
    <row r="2540" spans="2:9" x14ac:dyDescent="0.25">
      <c r="B2540" s="59"/>
      <c r="C2540" s="60"/>
      <c r="D2540" s="60"/>
      <c r="F2540" s="60"/>
      <c r="G2540" s="60"/>
      <c r="H2540" s="62"/>
      <c r="I2540" s="62" t="str">
        <f t="shared" si="39"/>
        <v/>
      </c>
    </row>
    <row r="2541" spans="2:9" x14ac:dyDescent="0.25">
      <c r="B2541" s="59"/>
      <c r="C2541" s="60"/>
      <c r="D2541" s="60"/>
      <c r="F2541" s="60"/>
      <c r="G2541" s="60"/>
      <c r="H2541" s="62"/>
      <c r="I2541" s="62" t="str">
        <f t="shared" si="39"/>
        <v/>
      </c>
    </row>
    <row r="2542" spans="2:9" x14ac:dyDescent="0.25">
      <c r="B2542" s="59"/>
      <c r="C2542" s="60"/>
      <c r="D2542" s="60"/>
      <c r="F2542" s="60"/>
      <c r="G2542" s="60"/>
      <c r="H2542" s="62"/>
      <c r="I2542" s="62" t="str">
        <f t="shared" si="39"/>
        <v/>
      </c>
    </row>
    <row r="2543" spans="2:9" x14ac:dyDescent="0.25">
      <c r="B2543" s="59"/>
      <c r="C2543" s="60"/>
      <c r="D2543" s="60"/>
      <c r="F2543" s="60"/>
      <c r="G2543" s="60"/>
      <c r="H2543" s="62"/>
      <c r="I2543" s="62" t="str">
        <f t="shared" si="39"/>
        <v/>
      </c>
    </row>
    <row r="2544" spans="2:9" x14ac:dyDescent="0.25">
      <c r="B2544" s="59"/>
      <c r="C2544" s="60"/>
      <c r="D2544" s="60"/>
      <c r="F2544" s="60"/>
      <c r="G2544" s="60"/>
      <c r="H2544" s="62"/>
      <c r="I2544" s="62" t="str">
        <f t="shared" si="39"/>
        <v/>
      </c>
    </row>
    <row r="2545" spans="2:9" x14ac:dyDescent="0.25">
      <c r="B2545" s="59"/>
      <c r="C2545" s="60"/>
      <c r="D2545" s="60"/>
      <c r="F2545" s="60"/>
      <c r="G2545" s="60"/>
      <c r="H2545" s="62"/>
      <c r="I2545" s="62" t="str">
        <f t="shared" si="39"/>
        <v/>
      </c>
    </row>
    <row r="2546" spans="2:9" x14ac:dyDescent="0.25">
      <c r="B2546" s="59"/>
      <c r="C2546" s="60"/>
      <c r="D2546" s="60"/>
      <c r="F2546" s="60"/>
      <c r="G2546" s="60"/>
      <c r="H2546" s="62"/>
      <c r="I2546" s="62" t="str">
        <f t="shared" si="39"/>
        <v/>
      </c>
    </row>
    <row r="2547" spans="2:9" x14ac:dyDescent="0.25">
      <c r="B2547" s="59"/>
      <c r="C2547" s="60"/>
      <c r="D2547" s="60"/>
      <c r="F2547" s="60"/>
      <c r="G2547" s="60"/>
      <c r="H2547" s="62"/>
      <c r="I2547" s="62" t="str">
        <f t="shared" si="39"/>
        <v/>
      </c>
    </row>
    <row r="2548" spans="2:9" x14ac:dyDescent="0.25">
      <c r="B2548" s="59"/>
      <c r="C2548" s="60"/>
      <c r="D2548" s="60"/>
      <c r="F2548" s="60"/>
      <c r="G2548" s="60"/>
      <c r="H2548" s="62"/>
      <c r="I2548" s="62" t="str">
        <f t="shared" si="39"/>
        <v/>
      </c>
    </row>
    <row r="2549" spans="2:9" x14ac:dyDescent="0.25">
      <c r="B2549" s="59"/>
      <c r="C2549" s="60"/>
      <c r="D2549" s="60"/>
      <c r="F2549" s="60"/>
      <c r="G2549" s="60"/>
      <c r="H2549" s="62"/>
      <c r="I2549" s="62" t="str">
        <f t="shared" si="39"/>
        <v/>
      </c>
    </row>
    <row r="2550" spans="2:9" x14ac:dyDescent="0.25">
      <c r="B2550" s="59"/>
      <c r="C2550" s="60"/>
      <c r="D2550" s="60"/>
      <c r="F2550" s="60"/>
      <c r="G2550" s="60"/>
      <c r="H2550" s="62"/>
      <c r="I2550" s="62" t="str">
        <f t="shared" si="39"/>
        <v/>
      </c>
    </row>
    <row r="2551" spans="2:9" x14ac:dyDescent="0.25">
      <c r="B2551" s="59"/>
      <c r="C2551" s="60"/>
      <c r="D2551" s="60"/>
      <c r="F2551" s="60"/>
      <c r="G2551" s="60"/>
      <c r="H2551" s="62"/>
      <c r="I2551" s="62" t="str">
        <f t="shared" si="39"/>
        <v/>
      </c>
    </row>
    <row r="2552" spans="2:9" x14ac:dyDescent="0.25">
      <c r="B2552" s="59"/>
      <c r="C2552" s="60"/>
      <c r="D2552" s="60"/>
      <c r="F2552" s="60"/>
      <c r="G2552" s="60"/>
      <c r="H2552" s="62"/>
      <c r="I2552" s="62" t="str">
        <f t="shared" si="39"/>
        <v/>
      </c>
    </row>
    <row r="2553" spans="2:9" x14ac:dyDescent="0.25">
      <c r="B2553" s="59"/>
      <c r="C2553" s="60"/>
      <c r="D2553" s="60"/>
      <c r="F2553" s="60"/>
      <c r="G2553" s="60"/>
      <c r="H2553" s="62"/>
      <c r="I2553" s="62" t="str">
        <f t="shared" si="39"/>
        <v/>
      </c>
    </row>
    <row r="2554" spans="2:9" x14ac:dyDescent="0.25">
      <c r="B2554" s="59"/>
      <c r="C2554" s="60"/>
      <c r="D2554" s="60"/>
      <c r="F2554" s="60"/>
      <c r="G2554" s="60"/>
      <c r="H2554" s="62"/>
      <c r="I2554" s="62" t="str">
        <f t="shared" si="39"/>
        <v/>
      </c>
    </row>
    <row r="2555" spans="2:9" x14ac:dyDescent="0.25">
      <c r="B2555" s="59"/>
      <c r="C2555" s="60"/>
      <c r="D2555" s="60"/>
      <c r="F2555" s="60"/>
      <c r="G2555" s="60"/>
      <c r="H2555" s="62"/>
      <c r="I2555" s="62" t="str">
        <f t="shared" si="39"/>
        <v/>
      </c>
    </row>
    <row r="2556" spans="2:9" x14ac:dyDescent="0.25">
      <c r="B2556" s="59"/>
      <c r="C2556" s="60"/>
      <c r="D2556" s="60"/>
      <c r="F2556" s="60"/>
      <c r="G2556" s="60"/>
      <c r="H2556" s="62"/>
      <c r="I2556" s="62" t="str">
        <f t="shared" si="39"/>
        <v/>
      </c>
    </row>
    <row r="2557" spans="2:9" x14ac:dyDescent="0.25">
      <c r="B2557" s="59"/>
      <c r="C2557" s="60"/>
      <c r="D2557" s="60"/>
      <c r="F2557" s="60"/>
      <c r="G2557" s="60"/>
      <c r="H2557" s="62"/>
      <c r="I2557" s="62" t="str">
        <f t="shared" si="39"/>
        <v/>
      </c>
    </row>
    <row r="2558" spans="2:9" x14ac:dyDescent="0.25">
      <c r="B2558" s="59"/>
      <c r="C2558" s="60"/>
      <c r="D2558" s="60"/>
      <c r="F2558" s="60"/>
      <c r="G2558" s="60"/>
      <c r="H2558" s="62"/>
      <c r="I2558" s="62" t="str">
        <f t="shared" si="39"/>
        <v/>
      </c>
    </row>
    <row r="2559" spans="2:9" x14ac:dyDescent="0.25">
      <c r="B2559" s="59"/>
      <c r="C2559" s="60"/>
      <c r="D2559" s="60"/>
      <c r="F2559" s="60"/>
      <c r="G2559" s="60"/>
      <c r="H2559" s="62"/>
      <c r="I2559" s="62" t="str">
        <f t="shared" si="39"/>
        <v/>
      </c>
    </row>
    <row r="2560" spans="2:9" x14ac:dyDescent="0.25">
      <c r="B2560" s="59"/>
      <c r="C2560" s="60"/>
      <c r="D2560" s="60"/>
      <c r="F2560" s="60"/>
      <c r="G2560" s="60"/>
      <c r="H2560" s="62"/>
      <c r="I2560" s="62" t="str">
        <f t="shared" si="39"/>
        <v/>
      </c>
    </row>
    <row r="2561" spans="2:9" x14ac:dyDescent="0.25">
      <c r="B2561" s="59"/>
      <c r="C2561" s="60"/>
      <c r="D2561" s="60"/>
      <c r="F2561" s="60"/>
      <c r="G2561" s="60"/>
      <c r="H2561" s="62"/>
      <c r="I2561" s="62" t="str">
        <f t="shared" si="39"/>
        <v/>
      </c>
    </row>
    <row r="2562" spans="2:9" x14ac:dyDescent="0.25">
      <c r="B2562" s="59"/>
      <c r="C2562" s="60"/>
      <c r="D2562" s="60"/>
      <c r="F2562" s="60"/>
      <c r="G2562" s="60"/>
      <c r="H2562" s="62"/>
      <c r="I2562" s="62" t="str">
        <f t="shared" si="39"/>
        <v/>
      </c>
    </row>
    <row r="2563" spans="2:9" x14ac:dyDescent="0.25">
      <c r="B2563" s="59"/>
      <c r="C2563" s="60"/>
      <c r="D2563" s="60"/>
      <c r="F2563" s="60"/>
      <c r="G2563" s="60"/>
      <c r="H2563" s="62"/>
      <c r="I2563" s="62" t="str">
        <f t="shared" si="39"/>
        <v/>
      </c>
    </row>
    <row r="2564" spans="2:9" x14ac:dyDescent="0.25">
      <c r="B2564" s="59"/>
      <c r="C2564" s="60"/>
      <c r="D2564" s="60"/>
      <c r="F2564" s="60"/>
      <c r="G2564" s="60"/>
      <c r="H2564" s="62"/>
      <c r="I2564" s="62" t="str">
        <f t="shared" si="39"/>
        <v/>
      </c>
    </row>
    <row r="2565" spans="2:9" x14ac:dyDescent="0.25">
      <c r="B2565" s="59"/>
      <c r="C2565" s="60"/>
      <c r="D2565" s="60"/>
      <c r="F2565" s="60"/>
      <c r="G2565" s="60"/>
      <c r="H2565" s="62"/>
      <c r="I2565" s="62" t="str">
        <f t="shared" ref="I2565:I2628" si="40">IF(H2565&lt;&gt;"",H2565-H2564,"")</f>
        <v/>
      </c>
    </row>
    <row r="2566" spans="2:9" x14ac:dyDescent="0.25">
      <c r="B2566" s="59"/>
      <c r="C2566" s="60"/>
      <c r="D2566" s="60"/>
      <c r="F2566" s="60"/>
      <c r="G2566" s="60"/>
      <c r="H2566" s="62"/>
      <c r="I2566" s="62" t="str">
        <f t="shared" si="40"/>
        <v/>
      </c>
    </row>
    <row r="2567" spans="2:9" x14ac:dyDescent="0.25">
      <c r="B2567" s="59"/>
      <c r="C2567" s="60"/>
      <c r="D2567" s="60"/>
      <c r="F2567" s="60"/>
      <c r="G2567" s="60"/>
      <c r="H2567" s="62"/>
      <c r="I2567" s="62" t="str">
        <f t="shared" si="40"/>
        <v/>
      </c>
    </row>
    <row r="2568" spans="2:9" x14ac:dyDescent="0.25">
      <c r="B2568" s="59"/>
      <c r="C2568" s="60"/>
      <c r="D2568" s="60"/>
      <c r="F2568" s="60"/>
      <c r="G2568" s="60"/>
      <c r="H2568" s="62"/>
      <c r="I2568" s="62" t="str">
        <f t="shared" si="40"/>
        <v/>
      </c>
    </row>
    <row r="2569" spans="2:9" x14ac:dyDescent="0.25">
      <c r="B2569" s="59"/>
      <c r="C2569" s="60"/>
      <c r="D2569" s="60"/>
      <c r="F2569" s="60"/>
      <c r="G2569" s="60"/>
      <c r="H2569" s="62"/>
      <c r="I2569" s="62" t="str">
        <f t="shared" si="40"/>
        <v/>
      </c>
    </row>
    <row r="2570" spans="2:9" x14ac:dyDescent="0.25">
      <c r="B2570" s="59"/>
      <c r="C2570" s="60"/>
      <c r="D2570" s="60"/>
      <c r="F2570" s="60"/>
      <c r="G2570" s="60"/>
      <c r="H2570" s="62"/>
      <c r="I2570" s="62" t="str">
        <f t="shared" si="40"/>
        <v/>
      </c>
    </row>
    <row r="2571" spans="2:9" x14ac:dyDescent="0.25">
      <c r="B2571" s="59"/>
      <c r="C2571" s="60"/>
      <c r="D2571" s="60"/>
      <c r="F2571" s="60"/>
      <c r="G2571" s="60"/>
      <c r="H2571" s="62"/>
      <c r="I2571" s="62" t="str">
        <f t="shared" si="40"/>
        <v/>
      </c>
    </row>
    <row r="2572" spans="2:9" x14ac:dyDescent="0.25">
      <c r="B2572" s="59"/>
      <c r="C2572" s="60"/>
      <c r="D2572" s="60"/>
      <c r="F2572" s="60"/>
      <c r="G2572" s="60"/>
      <c r="H2572" s="62"/>
      <c r="I2572" s="62" t="str">
        <f t="shared" si="40"/>
        <v/>
      </c>
    </row>
    <row r="2573" spans="2:9" x14ac:dyDescent="0.25">
      <c r="B2573" s="59"/>
      <c r="C2573" s="60"/>
      <c r="D2573" s="60"/>
      <c r="F2573" s="60"/>
      <c r="G2573" s="60"/>
      <c r="H2573" s="62"/>
      <c r="I2573" s="62" t="str">
        <f t="shared" si="40"/>
        <v/>
      </c>
    </row>
    <row r="2574" spans="2:9" x14ac:dyDescent="0.25">
      <c r="B2574" s="59"/>
      <c r="C2574" s="60"/>
      <c r="D2574" s="60"/>
      <c r="F2574" s="60"/>
      <c r="G2574" s="60"/>
      <c r="H2574" s="62"/>
      <c r="I2574" s="62" t="str">
        <f t="shared" si="40"/>
        <v/>
      </c>
    </row>
    <row r="2575" spans="2:9" x14ac:dyDescent="0.25">
      <c r="B2575" s="59"/>
      <c r="C2575" s="60"/>
      <c r="D2575" s="60"/>
      <c r="F2575" s="60"/>
      <c r="G2575" s="60"/>
      <c r="H2575" s="62"/>
      <c r="I2575" s="62" t="str">
        <f t="shared" si="40"/>
        <v/>
      </c>
    </row>
    <row r="2576" spans="2:9" x14ac:dyDescent="0.25">
      <c r="B2576" s="59"/>
      <c r="C2576" s="60"/>
      <c r="D2576" s="60"/>
      <c r="F2576" s="60"/>
      <c r="G2576" s="60"/>
      <c r="H2576" s="62"/>
      <c r="I2576" s="62" t="str">
        <f t="shared" si="40"/>
        <v/>
      </c>
    </row>
    <row r="2577" spans="2:9" x14ac:dyDescent="0.25">
      <c r="B2577" s="59"/>
      <c r="C2577" s="60"/>
      <c r="D2577" s="60"/>
      <c r="F2577" s="60"/>
      <c r="G2577" s="60"/>
      <c r="H2577" s="62"/>
      <c r="I2577" s="62" t="str">
        <f t="shared" si="40"/>
        <v/>
      </c>
    </row>
    <row r="2578" spans="2:9" x14ac:dyDescent="0.25">
      <c r="B2578" s="59"/>
      <c r="C2578" s="60"/>
      <c r="D2578" s="60"/>
      <c r="F2578" s="60"/>
      <c r="G2578" s="60"/>
      <c r="H2578" s="62"/>
      <c r="I2578" s="62" t="str">
        <f t="shared" si="40"/>
        <v/>
      </c>
    </row>
    <row r="2579" spans="2:9" x14ac:dyDescent="0.25">
      <c r="B2579" s="59"/>
      <c r="C2579" s="60"/>
      <c r="D2579" s="60"/>
      <c r="F2579" s="60"/>
      <c r="G2579" s="60"/>
      <c r="H2579" s="62"/>
      <c r="I2579" s="62" t="str">
        <f t="shared" si="40"/>
        <v/>
      </c>
    </row>
    <row r="2580" spans="2:9" x14ac:dyDescent="0.25">
      <c r="B2580" s="59"/>
      <c r="C2580" s="60"/>
      <c r="D2580" s="60"/>
      <c r="F2580" s="60"/>
      <c r="G2580" s="60"/>
      <c r="H2580" s="62"/>
      <c r="I2580" s="62" t="str">
        <f t="shared" si="40"/>
        <v/>
      </c>
    </row>
    <row r="2581" spans="2:9" x14ac:dyDescent="0.25">
      <c r="B2581" s="59"/>
      <c r="C2581" s="60"/>
      <c r="D2581" s="60"/>
      <c r="F2581" s="60"/>
      <c r="G2581" s="60"/>
      <c r="H2581" s="62"/>
      <c r="I2581" s="62" t="str">
        <f t="shared" si="40"/>
        <v/>
      </c>
    </row>
    <row r="2582" spans="2:9" x14ac:dyDescent="0.25">
      <c r="B2582" s="59"/>
      <c r="C2582" s="60"/>
      <c r="D2582" s="60"/>
      <c r="F2582" s="60"/>
      <c r="G2582" s="60"/>
      <c r="H2582" s="62"/>
      <c r="I2582" s="62" t="str">
        <f t="shared" si="40"/>
        <v/>
      </c>
    </row>
    <row r="2583" spans="2:9" x14ac:dyDescent="0.25">
      <c r="B2583" s="59"/>
      <c r="C2583" s="60"/>
      <c r="D2583" s="60"/>
      <c r="F2583" s="60"/>
      <c r="G2583" s="60"/>
      <c r="H2583" s="62"/>
      <c r="I2583" s="62" t="str">
        <f t="shared" si="40"/>
        <v/>
      </c>
    </row>
    <row r="2584" spans="2:9" x14ac:dyDescent="0.25">
      <c r="B2584" s="59"/>
      <c r="C2584" s="60"/>
      <c r="D2584" s="60"/>
      <c r="F2584" s="60"/>
      <c r="G2584" s="60"/>
      <c r="H2584" s="62"/>
      <c r="I2584" s="62" t="str">
        <f t="shared" si="40"/>
        <v/>
      </c>
    </row>
    <row r="2585" spans="2:9" x14ac:dyDescent="0.25">
      <c r="B2585" s="59"/>
      <c r="C2585" s="60"/>
      <c r="D2585" s="60"/>
      <c r="F2585" s="60"/>
      <c r="G2585" s="60"/>
      <c r="H2585" s="62"/>
      <c r="I2585" s="62" t="str">
        <f t="shared" si="40"/>
        <v/>
      </c>
    </row>
    <row r="2586" spans="2:9" x14ac:dyDescent="0.25">
      <c r="B2586" s="59"/>
      <c r="C2586" s="60"/>
      <c r="D2586" s="60"/>
      <c r="F2586" s="60"/>
      <c r="G2586" s="60"/>
      <c r="H2586" s="62"/>
      <c r="I2586" s="62" t="str">
        <f t="shared" si="40"/>
        <v/>
      </c>
    </row>
    <row r="2587" spans="2:9" x14ac:dyDescent="0.25">
      <c r="B2587" s="59"/>
      <c r="C2587" s="60"/>
      <c r="D2587" s="60"/>
      <c r="F2587" s="60"/>
      <c r="G2587" s="60"/>
      <c r="H2587" s="62"/>
      <c r="I2587" s="62" t="str">
        <f t="shared" si="40"/>
        <v/>
      </c>
    </row>
    <row r="2588" spans="2:9" x14ac:dyDescent="0.25">
      <c r="B2588" s="59"/>
      <c r="C2588" s="60"/>
      <c r="D2588" s="60"/>
      <c r="F2588" s="60"/>
      <c r="G2588" s="60"/>
      <c r="H2588" s="62"/>
      <c r="I2588" s="62" t="str">
        <f t="shared" si="40"/>
        <v/>
      </c>
    </row>
    <row r="2589" spans="2:9" x14ac:dyDescent="0.25">
      <c r="B2589" s="59"/>
      <c r="C2589" s="60"/>
      <c r="D2589" s="60"/>
      <c r="F2589" s="60"/>
      <c r="G2589" s="60"/>
      <c r="H2589" s="62"/>
      <c r="I2589" s="62" t="str">
        <f t="shared" si="40"/>
        <v/>
      </c>
    </row>
    <row r="2590" spans="2:9" x14ac:dyDescent="0.25">
      <c r="B2590" s="59"/>
      <c r="C2590" s="60"/>
      <c r="D2590" s="60"/>
      <c r="F2590" s="60"/>
      <c r="G2590" s="60"/>
      <c r="H2590" s="62"/>
      <c r="I2590" s="62" t="str">
        <f t="shared" si="40"/>
        <v/>
      </c>
    </row>
    <row r="2591" spans="2:9" x14ac:dyDescent="0.25">
      <c r="B2591" s="59"/>
      <c r="C2591" s="60"/>
      <c r="D2591" s="60"/>
      <c r="F2591" s="60"/>
      <c r="G2591" s="60"/>
      <c r="H2591" s="62"/>
      <c r="I2591" s="62" t="str">
        <f t="shared" si="40"/>
        <v/>
      </c>
    </row>
    <row r="2592" spans="2:9" x14ac:dyDescent="0.25">
      <c r="B2592" s="59"/>
      <c r="C2592" s="60"/>
      <c r="D2592" s="60"/>
      <c r="F2592" s="60"/>
      <c r="G2592" s="60"/>
      <c r="H2592" s="62"/>
      <c r="I2592" s="62" t="str">
        <f t="shared" si="40"/>
        <v/>
      </c>
    </row>
    <row r="2593" spans="2:9" x14ac:dyDescent="0.25">
      <c r="B2593" s="59"/>
      <c r="C2593" s="60"/>
      <c r="D2593" s="60"/>
      <c r="F2593" s="60"/>
      <c r="G2593" s="60"/>
      <c r="H2593" s="62"/>
      <c r="I2593" s="62" t="str">
        <f t="shared" si="40"/>
        <v/>
      </c>
    </row>
    <row r="2594" spans="2:9" x14ac:dyDescent="0.25">
      <c r="B2594" s="59"/>
      <c r="C2594" s="60"/>
      <c r="D2594" s="60"/>
      <c r="F2594" s="60"/>
      <c r="G2594" s="60"/>
      <c r="H2594" s="62"/>
      <c r="I2594" s="62" t="str">
        <f t="shared" si="40"/>
        <v/>
      </c>
    </row>
    <row r="2595" spans="2:9" x14ac:dyDescent="0.25">
      <c r="B2595" s="59"/>
      <c r="C2595" s="60"/>
      <c r="D2595" s="60"/>
      <c r="F2595" s="60"/>
      <c r="G2595" s="60"/>
      <c r="H2595" s="62"/>
      <c r="I2595" s="62" t="str">
        <f t="shared" si="40"/>
        <v/>
      </c>
    </row>
    <row r="2596" spans="2:9" x14ac:dyDescent="0.25">
      <c r="B2596" s="59"/>
      <c r="C2596" s="60"/>
      <c r="D2596" s="60"/>
      <c r="F2596" s="60"/>
      <c r="G2596" s="60"/>
      <c r="H2596" s="62"/>
      <c r="I2596" s="62" t="str">
        <f t="shared" si="40"/>
        <v/>
      </c>
    </row>
    <row r="2597" spans="2:9" x14ac:dyDescent="0.25">
      <c r="B2597" s="59"/>
      <c r="C2597" s="60"/>
      <c r="D2597" s="60"/>
      <c r="F2597" s="60"/>
      <c r="G2597" s="60"/>
      <c r="H2597" s="62"/>
      <c r="I2597" s="62" t="str">
        <f t="shared" si="40"/>
        <v/>
      </c>
    </row>
    <row r="2598" spans="2:9" x14ac:dyDescent="0.25">
      <c r="B2598" s="59"/>
      <c r="C2598" s="60"/>
      <c r="D2598" s="60"/>
      <c r="F2598" s="60"/>
      <c r="G2598" s="60"/>
      <c r="H2598" s="62"/>
      <c r="I2598" s="62" t="str">
        <f t="shared" si="40"/>
        <v/>
      </c>
    </row>
    <row r="2599" spans="2:9" x14ac:dyDescent="0.25">
      <c r="B2599" s="59"/>
      <c r="C2599" s="60"/>
      <c r="D2599" s="60"/>
      <c r="F2599" s="60"/>
      <c r="G2599" s="60"/>
      <c r="H2599" s="62"/>
      <c r="I2599" s="62" t="str">
        <f t="shared" si="40"/>
        <v/>
      </c>
    </row>
    <row r="2600" spans="2:9" x14ac:dyDescent="0.25">
      <c r="B2600" s="59"/>
      <c r="C2600" s="60"/>
      <c r="D2600" s="60"/>
      <c r="F2600" s="60"/>
      <c r="G2600" s="60"/>
      <c r="H2600" s="62"/>
      <c r="I2600" s="62" t="str">
        <f t="shared" si="40"/>
        <v/>
      </c>
    </row>
    <row r="2601" spans="2:9" x14ac:dyDescent="0.25">
      <c r="B2601" s="59"/>
      <c r="C2601" s="60"/>
      <c r="D2601" s="60"/>
      <c r="F2601" s="60"/>
      <c r="G2601" s="60"/>
      <c r="H2601" s="62"/>
      <c r="I2601" s="62" t="str">
        <f t="shared" si="40"/>
        <v/>
      </c>
    </row>
    <row r="2602" spans="2:9" x14ac:dyDescent="0.25">
      <c r="B2602" s="59"/>
      <c r="C2602" s="60"/>
      <c r="D2602" s="60"/>
      <c r="F2602" s="60"/>
      <c r="G2602" s="60"/>
      <c r="H2602" s="62"/>
      <c r="I2602" s="62" t="str">
        <f t="shared" si="40"/>
        <v/>
      </c>
    </row>
    <row r="2603" spans="2:9" x14ac:dyDescent="0.25">
      <c r="B2603" s="59"/>
      <c r="C2603" s="60"/>
      <c r="D2603" s="60"/>
      <c r="F2603" s="60"/>
      <c r="G2603" s="60"/>
      <c r="H2603" s="62"/>
      <c r="I2603" s="62" t="str">
        <f t="shared" si="40"/>
        <v/>
      </c>
    </row>
    <row r="2604" spans="2:9" x14ac:dyDescent="0.25">
      <c r="B2604" s="59"/>
      <c r="C2604" s="60"/>
      <c r="D2604" s="60"/>
      <c r="F2604" s="60"/>
      <c r="G2604" s="60"/>
      <c r="H2604" s="62"/>
      <c r="I2604" s="62" t="str">
        <f t="shared" si="40"/>
        <v/>
      </c>
    </row>
    <row r="2605" spans="2:9" x14ac:dyDescent="0.25">
      <c r="B2605" s="59"/>
      <c r="C2605" s="60"/>
      <c r="D2605" s="60"/>
      <c r="F2605" s="60"/>
      <c r="G2605" s="60"/>
      <c r="H2605" s="62"/>
      <c r="I2605" s="62" t="str">
        <f t="shared" si="40"/>
        <v/>
      </c>
    </row>
    <row r="2606" spans="2:9" x14ac:dyDescent="0.25">
      <c r="B2606" s="59"/>
      <c r="C2606" s="60"/>
      <c r="D2606" s="60"/>
      <c r="F2606" s="60"/>
      <c r="G2606" s="60"/>
      <c r="H2606" s="62"/>
      <c r="I2606" s="62" t="str">
        <f t="shared" si="40"/>
        <v/>
      </c>
    </row>
    <row r="2607" spans="2:9" x14ac:dyDescent="0.25">
      <c r="B2607" s="59"/>
      <c r="C2607" s="60"/>
      <c r="D2607" s="60"/>
      <c r="F2607" s="60"/>
      <c r="G2607" s="60"/>
      <c r="H2607" s="62"/>
      <c r="I2607" s="62" t="str">
        <f t="shared" si="40"/>
        <v/>
      </c>
    </row>
    <row r="2608" spans="2:9" x14ac:dyDescent="0.25">
      <c r="B2608" s="59"/>
      <c r="C2608" s="60"/>
      <c r="D2608" s="60"/>
      <c r="F2608" s="60"/>
      <c r="G2608" s="60"/>
      <c r="H2608" s="62"/>
      <c r="I2608" s="62" t="str">
        <f t="shared" si="40"/>
        <v/>
      </c>
    </row>
    <row r="2609" spans="2:9" x14ac:dyDescent="0.25">
      <c r="B2609" s="59"/>
      <c r="C2609" s="60"/>
      <c r="D2609" s="60"/>
      <c r="F2609" s="60"/>
      <c r="G2609" s="60"/>
      <c r="H2609" s="62"/>
      <c r="I2609" s="62" t="str">
        <f t="shared" si="40"/>
        <v/>
      </c>
    </row>
    <row r="2610" spans="2:9" x14ac:dyDescent="0.25">
      <c r="B2610" s="59"/>
      <c r="C2610" s="60"/>
      <c r="D2610" s="60"/>
      <c r="F2610" s="60"/>
      <c r="G2610" s="60"/>
      <c r="H2610" s="62"/>
      <c r="I2610" s="62" t="str">
        <f t="shared" si="40"/>
        <v/>
      </c>
    </row>
    <row r="2611" spans="2:9" x14ac:dyDescent="0.25">
      <c r="B2611" s="59"/>
      <c r="C2611" s="60"/>
      <c r="D2611" s="60"/>
      <c r="F2611" s="60"/>
      <c r="G2611" s="60"/>
      <c r="H2611" s="62"/>
      <c r="I2611" s="62" t="str">
        <f t="shared" si="40"/>
        <v/>
      </c>
    </row>
    <row r="2612" spans="2:9" x14ac:dyDescent="0.25">
      <c r="B2612" s="59"/>
      <c r="C2612" s="60"/>
      <c r="D2612" s="60"/>
      <c r="F2612" s="60"/>
      <c r="G2612" s="60"/>
      <c r="H2612" s="62"/>
      <c r="I2612" s="62" t="str">
        <f t="shared" si="40"/>
        <v/>
      </c>
    </row>
    <row r="2613" spans="2:9" x14ac:dyDescent="0.25">
      <c r="B2613" s="59"/>
      <c r="C2613" s="60"/>
      <c r="D2613" s="60"/>
      <c r="F2613" s="60"/>
      <c r="G2613" s="60"/>
      <c r="H2613" s="62"/>
      <c r="I2613" s="62" t="str">
        <f t="shared" si="40"/>
        <v/>
      </c>
    </row>
    <row r="2614" spans="2:9" x14ac:dyDescent="0.25">
      <c r="B2614" s="59"/>
      <c r="C2614" s="60"/>
      <c r="D2614" s="60"/>
      <c r="F2614" s="60"/>
      <c r="G2614" s="60"/>
      <c r="H2614" s="62"/>
      <c r="I2614" s="62" t="str">
        <f t="shared" si="40"/>
        <v/>
      </c>
    </row>
    <row r="2615" spans="2:9" x14ac:dyDescent="0.25">
      <c r="B2615" s="59"/>
      <c r="C2615" s="60"/>
      <c r="D2615" s="60"/>
      <c r="F2615" s="60"/>
      <c r="G2615" s="60"/>
      <c r="H2615" s="62"/>
      <c r="I2615" s="62" t="str">
        <f t="shared" si="40"/>
        <v/>
      </c>
    </row>
    <row r="2616" spans="2:9" x14ac:dyDescent="0.25">
      <c r="B2616" s="59"/>
      <c r="C2616" s="60"/>
      <c r="D2616" s="60"/>
      <c r="F2616" s="60"/>
      <c r="G2616" s="60"/>
      <c r="H2616" s="62"/>
      <c r="I2616" s="62" t="str">
        <f t="shared" si="40"/>
        <v/>
      </c>
    </row>
    <row r="2617" spans="2:9" x14ac:dyDescent="0.25">
      <c r="B2617" s="59"/>
      <c r="C2617" s="60"/>
      <c r="D2617" s="60"/>
      <c r="F2617" s="60"/>
      <c r="G2617" s="60"/>
      <c r="H2617" s="62"/>
      <c r="I2617" s="62" t="str">
        <f t="shared" si="40"/>
        <v/>
      </c>
    </row>
    <row r="2618" spans="2:9" x14ac:dyDescent="0.25">
      <c r="B2618" s="59"/>
      <c r="C2618" s="60"/>
      <c r="D2618" s="60"/>
      <c r="F2618" s="60"/>
      <c r="G2618" s="60"/>
      <c r="H2618" s="62"/>
      <c r="I2618" s="62" t="str">
        <f t="shared" si="40"/>
        <v/>
      </c>
    </row>
    <row r="2619" spans="2:9" x14ac:dyDescent="0.25">
      <c r="B2619" s="59"/>
      <c r="C2619" s="60"/>
      <c r="D2619" s="60"/>
      <c r="F2619" s="60"/>
      <c r="G2619" s="60"/>
      <c r="H2619" s="62"/>
      <c r="I2619" s="62" t="str">
        <f t="shared" si="40"/>
        <v/>
      </c>
    </row>
    <row r="2620" spans="2:9" x14ac:dyDescent="0.25">
      <c r="B2620" s="59"/>
      <c r="C2620" s="60"/>
      <c r="D2620" s="60"/>
      <c r="F2620" s="60"/>
      <c r="G2620" s="60"/>
      <c r="H2620" s="62"/>
      <c r="I2620" s="62" t="str">
        <f t="shared" si="40"/>
        <v/>
      </c>
    </row>
    <row r="2621" spans="2:9" x14ac:dyDescent="0.25">
      <c r="B2621" s="59"/>
      <c r="C2621" s="60"/>
      <c r="D2621" s="60"/>
      <c r="F2621" s="60"/>
      <c r="G2621" s="60"/>
      <c r="H2621" s="62"/>
      <c r="I2621" s="62" t="str">
        <f t="shared" si="40"/>
        <v/>
      </c>
    </row>
    <row r="2622" spans="2:9" x14ac:dyDescent="0.25">
      <c r="B2622" s="59"/>
      <c r="C2622" s="60"/>
      <c r="D2622" s="60"/>
      <c r="F2622" s="60"/>
      <c r="G2622" s="60"/>
      <c r="H2622" s="62"/>
      <c r="I2622" s="62" t="str">
        <f t="shared" si="40"/>
        <v/>
      </c>
    </row>
    <row r="2623" spans="2:9" x14ac:dyDescent="0.25">
      <c r="B2623" s="59"/>
      <c r="C2623" s="60"/>
      <c r="D2623" s="60"/>
      <c r="F2623" s="60"/>
      <c r="G2623" s="60"/>
      <c r="H2623" s="62"/>
      <c r="I2623" s="62" t="str">
        <f t="shared" si="40"/>
        <v/>
      </c>
    </row>
    <row r="2624" spans="2:9" x14ac:dyDescent="0.25">
      <c r="B2624" s="59"/>
      <c r="C2624" s="60"/>
      <c r="D2624" s="60"/>
      <c r="F2624" s="60"/>
      <c r="G2624" s="60"/>
      <c r="H2624" s="62"/>
      <c r="I2624" s="62" t="str">
        <f t="shared" si="40"/>
        <v/>
      </c>
    </row>
    <row r="2625" spans="2:9" x14ac:dyDescent="0.25">
      <c r="B2625" s="59"/>
      <c r="C2625" s="60"/>
      <c r="D2625" s="60"/>
      <c r="F2625" s="60"/>
      <c r="G2625" s="60"/>
      <c r="H2625" s="62"/>
      <c r="I2625" s="62" t="str">
        <f t="shared" si="40"/>
        <v/>
      </c>
    </row>
    <row r="2626" spans="2:9" x14ac:dyDescent="0.25">
      <c r="B2626" s="59"/>
      <c r="C2626" s="60"/>
      <c r="D2626" s="60"/>
      <c r="F2626" s="60"/>
      <c r="G2626" s="60"/>
      <c r="H2626" s="62"/>
      <c r="I2626" s="62" t="str">
        <f t="shared" si="40"/>
        <v/>
      </c>
    </row>
    <row r="2627" spans="2:9" x14ac:dyDescent="0.25">
      <c r="B2627" s="59"/>
      <c r="C2627" s="60"/>
      <c r="D2627" s="60"/>
      <c r="F2627" s="60"/>
      <c r="G2627" s="60"/>
      <c r="H2627" s="62"/>
      <c r="I2627" s="62" t="str">
        <f t="shared" si="40"/>
        <v/>
      </c>
    </row>
    <row r="2628" spans="2:9" x14ac:dyDescent="0.25">
      <c r="B2628" s="59"/>
      <c r="C2628" s="60"/>
      <c r="D2628" s="60"/>
      <c r="F2628" s="60"/>
      <c r="G2628" s="60"/>
      <c r="H2628" s="62"/>
      <c r="I2628" s="62" t="str">
        <f t="shared" si="40"/>
        <v/>
      </c>
    </row>
    <row r="2629" spans="2:9" x14ac:dyDescent="0.25">
      <c r="B2629" s="59"/>
      <c r="C2629" s="60"/>
      <c r="D2629" s="60"/>
      <c r="F2629" s="60"/>
      <c r="G2629" s="60"/>
      <c r="H2629" s="62"/>
      <c r="I2629" s="62" t="str">
        <f t="shared" ref="I2629:I2692" si="41">IF(H2629&lt;&gt;"",H2629-H2628,"")</f>
        <v/>
      </c>
    </row>
    <row r="2630" spans="2:9" x14ac:dyDescent="0.25">
      <c r="B2630" s="59"/>
      <c r="C2630" s="60"/>
      <c r="D2630" s="60"/>
      <c r="F2630" s="60"/>
      <c r="G2630" s="60"/>
      <c r="H2630" s="62"/>
      <c r="I2630" s="62" t="str">
        <f t="shared" si="41"/>
        <v/>
      </c>
    </row>
    <row r="2631" spans="2:9" x14ac:dyDescent="0.25">
      <c r="B2631" s="59"/>
      <c r="C2631" s="60"/>
      <c r="D2631" s="60"/>
      <c r="F2631" s="60"/>
      <c r="G2631" s="60"/>
      <c r="H2631" s="62"/>
      <c r="I2631" s="62" t="str">
        <f t="shared" si="41"/>
        <v/>
      </c>
    </row>
    <row r="2632" spans="2:9" x14ac:dyDescent="0.25">
      <c r="B2632" s="59"/>
      <c r="C2632" s="60"/>
      <c r="D2632" s="60"/>
      <c r="F2632" s="60"/>
      <c r="G2632" s="60"/>
      <c r="H2632" s="62"/>
      <c r="I2632" s="62" t="str">
        <f t="shared" si="41"/>
        <v/>
      </c>
    </row>
    <row r="2633" spans="2:9" x14ac:dyDescent="0.25">
      <c r="B2633" s="59"/>
      <c r="C2633" s="60"/>
      <c r="D2633" s="60"/>
      <c r="F2633" s="60"/>
      <c r="G2633" s="60"/>
      <c r="H2633" s="62"/>
      <c r="I2633" s="62" t="str">
        <f t="shared" si="41"/>
        <v/>
      </c>
    </row>
    <row r="2634" spans="2:9" x14ac:dyDescent="0.25">
      <c r="B2634" s="59"/>
      <c r="C2634" s="60"/>
      <c r="D2634" s="60"/>
      <c r="F2634" s="60"/>
      <c r="G2634" s="60"/>
      <c r="H2634" s="62"/>
      <c r="I2634" s="62" t="str">
        <f t="shared" si="41"/>
        <v/>
      </c>
    </row>
    <row r="2635" spans="2:9" x14ac:dyDescent="0.25">
      <c r="B2635" s="59"/>
      <c r="C2635" s="60"/>
      <c r="D2635" s="60"/>
      <c r="F2635" s="60"/>
      <c r="G2635" s="60"/>
      <c r="H2635" s="62"/>
      <c r="I2635" s="62" t="str">
        <f t="shared" si="41"/>
        <v/>
      </c>
    </row>
    <row r="2636" spans="2:9" x14ac:dyDescent="0.25">
      <c r="B2636" s="59"/>
      <c r="C2636" s="60"/>
      <c r="D2636" s="60"/>
      <c r="F2636" s="60"/>
      <c r="G2636" s="60"/>
      <c r="H2636" s="62"/>
      <c r="I2636" s="62" t="str">
        <f t="shared" si="41"/>
        <v/>
      </c>
    </row>
    <row r="2637" spans="2:9" x14ac:dyDescent="0.25">
      <c r="B2637" s="59"/>
      <c r="C2637" s="60"/>
      <c r="D2637" s="60"/>
      <c r="F2637" s="60"/>
      <c r="G2637" s="60"/>
      <c r="H2637" s="62"/>
      <c r="I2637" s="62" t="str">
        <f t="shared" si="41"/>
        <v/>
      </c>
    </row>
    <row r="2638" spans="2:9" x14ac:dyDescent="0.25">
      <c r="B2638" s="59"/>
      <c r="C2638" s="60"/>
      <c r="D2638" s="60"/>
      <c r="F2638" s="60"/>
      <c r="G2638" s="60"/>
      <c r="H2638" s="62"/>
      <c r="I2638" s="62" t="str">
        <f t="shared" si="41"/>
        <v/>
      </c>
    </row>
    <row r="2639" spans="2:9" x14ac:dyDescent="0.25">
      <c r="B2639" s="59"/>
      <c r="C2639" s="60"/>
      <c r="D2639" s="60"/>
      <c r="F2639" s="60"/>
      <c r="G2639" s="60"/>
      <c r="H2639" s="62"/>
      <c r="I2639" s="62" t="str">
        <f t="shared" si="41"/>
        <v/>
      </c>
    </row>
    <row r="2640" spans="2:9" x14ac:dyDescent="0.25">
      <c r="B2640" s="59"/>
      <c r="C2640" s="60"/>
      <c r="D2640" s="60"/>
      <c r="F2640" s="60"/>
      <c r="G2640" s="60"/>
      <c r="H2640" s="62"/>
      <c r="I2640" s="62" t="str">
        <f t="shared" si="41"/>
        <v/>
      </c>
    </row>
    <row r="2641" spans="2:9" x14ac:dyDescent="0.25">
      <c r="B2641" s="59"/>
      <c r="C2641" s="60"/>
      <c r="D2641" s="60"/>
      <c r="F2641" s="60"/>
      <c r="G2641" s="60"/>
      <c r="H2641" s="62"/>
      <c r="I2641" s="62" t="str">
        <f t="shared" si="41"/>
        <v/>
      </c>
    </row>
    <row r="2642" spans="2:9" x14ac:dyDescent="0.25">
      <c r="B2642" s="59"/>
      <c r="C2642" s="60"/>
      <c r="D2642" s="60"/>
      <c r="F2642" s="60"/>
      <c r="G2642" s="60"/>
      <c r="H2642" s="62"/>
      <c r="I2642" s="62" t="str">
        <f t="shared" si="41"/>
        <v/>
      </c>
    </row>
    <row r="2643" spans="2:9" x14ac:dyDescent="0.25">
      <c r="B2643" s="59"/>
      <c r="C2643" s="60"/>
      <c r="D2643" s="60"/>
      <c r="F2643" s="60"/>
      <c r="G2643" s="60"/>
      <c r="H2643" s="62"/>
      <c r="I2643" s="62" t="str">
        <f t="shared" si="41"/>
        <v/>
      </c>
    </row>
    <row r="2644" spans="2:9" x14ac:dyDescent="0.25">
      <c r="B2644" s="59"/>
      <c r="C2644" s="60"/>
      <c r="D2644" s="60"/>
      <c r="F2644" s="60"/>
      <c r="G2644" s="60"/>
      <c r="H2644" s="62"/>
      <c r="I2644" s="62" t="str">
        <f t="shared" si="41"/>
        <v/>
      </c>
    </row>
    <row r="2645" spans="2:9" x14ac:dyDescent="0.25">
      <c r="B2645" s="59"/>
      <c r="C2645" s="60"/>
      <c r="D2645" s="60"/>
      <c r="F2645" s="60"/>
      <c r="G2645" s="60"/>
      <c r="H2645" s="62"/>
      <c r="I2645" s="62" t="str">
        <f t="shared" si="41"/>
        <v/>
      </c>
    </row>
    <row r="2646" spans="2:9" x14ac:dyDescent="0.25">
      <c r="B2646" s="59"/>
      <c r="C2646" s="60"/>
      <c r="D2646" s="60"/>
      <c r="F2646" s="60"/>
      <c r="G2646" s="60"/>
      <c r="H2646" s="62"/>
      <c r="I2646" s="62" t="str">
        <f t="shared" si="41"/>
        <v/>
      </c>
    </row>
    <row r="2647" spans="2:9" x14ac:dyDescent="0.25">
      <c r="B2647" s="59"/>
      <c r="C2647" s="60"/>
      <c r="D2647" s="60"/>
      <c r="F2647" s="60"/>
      <c r="G2647" s="60"/>
      <c r="H2647" s="62"/>
      <c r="I2647" s="62" t="str">
        <f t="shared" si="41"/>
        <v/>
      </c>
    </row>
    <row r="2648" spans="2:9" x14ac:dyDescent="0.25">
      <c r="B2648" s="59"/>
      <c r="C2648" s="60"/>
      <c r="D2648" s="60"/>
      <c r="F2648" s="60"/>
      <c r="G2648" s="60"/>
      <c r="H2648" s="62"/>
      <c r="I2648" s="62" t="str">
        <f t="shared" si="41"/>
        <v/>
      </c>
    </row>
    <row r="2649" spans="2:9" x14ac:dyDescent="0.25">
      <c r="B2649" s="59"/>
      <c r="C2649" s="60"/>
      <c r="D2649" s="60"/>
      <c r="F2649" s="60"/>
      <c r="G2649" s="60"/>
      <c r="H2649" s="62"/>
      <c r="I2649" s="62" t="str">
        <f t="shared" si="41"/>
        <v/>
      </c>
    </row>
    <row r="2650" spans="2:9" x14ac:dyDescent="0.25">
      <c r="B2650" s="59"/>
      <c r="C2650" s="60"/>
      <c r="D2650" s="60"/>
      <c r="F2650" s="60"/>
      <c r="G2650" s="60"/>
      <c r="H2650" s="62"/>
      <c r="I2650" s="62" t="str">
        <f t="shared" si="41"/>
        <v/>
      </c>
    </row>
    <row r="2651" spans="2:9" x14ac:dyDescent="0.25">
      <c r="B2651" s="59"/>
      <c r="C2651" s="60"/>
      <c r="D2651" s="60"/>
      <c r="F2651" s="60"/>
      <c r="G2651" s="60"/>
      <c r="H2651" s="62"/>
      <c r="I2651" s="62" t="str">
        <f t="shared" si="41"/>
        <v/>
      </c>
    </row>
    <row r="2652" spans="2:9" x14ac:dyDescent="0.25">
      <c r="B2652" s="59"/>
      <c r="C2652" s="60"/>
      <c r="D2652" s="60"/>
      <c r="F2652" s="60"/>
      <c r="G2652" s="60"/>
      <c r="H2652" s="62"/>
      <c r="I2652" s="62" t="str">
        <f t="shared" si="41"/>
        <v/>
      </c>
    </row>
    <row r="2653" spans="2:9" x14ac:dyDescent="0.25">
      <c r="B2653" s="59"/>
      <c r="C2653" s="60"/>
      <c r="D2653" s="60"/>
      <c r="F2653" s="60"/>
      <c r="G2653" s="60"/>
      <c r="H2653" s="62"/>
      <c r="I2653" s="62" t="str">
        <f t="shared" si="41"/>
        <v/>
      </c>
    </row>
    <row r="2654" spans="2:9" x14ac:dyDescent="0.25">
      <c r="B2654" s="59"/>
      <c r="C2654" s="60"/>
      <c r="D2654" s="60"/>
      <c r="F2654" s="60"/>
      <c r="G2654" s="60"/>
      <c r="H2654" s="62"/>
      <c r="I2654" s="62" t="str">
        <f t="shared" si="41"/>
        <v/>
      </c>
    </row>
    <row r="2655" spans="2:9" x14ac:dyDescent="0.25">
      <c r="B2655" s="59"/>
      <c r="C2655" s="60"/>
      <c r="D2655" s="60"/>
      <c r="F2655" s="60"/>
      <c r="G2655" s="60"/>
      <c r="H2655" s="62"/>
      <c r="I2655" s="62" t="str">
        <f t="shared" si="41"/>
        <v/>
      </c>
    </row>
    <row r="2656" spans="2:9" x14ac:dyDescent="0.25">
      <c r="B2656" s="59"/>
      <c r="C2656" s="60"/>
      <c r="D2656" s="60"/>
      <c r="F2656" s="60"/>
      <c r="G2656" s="60"/>
      <c r="H2656" s="62"/>
      <c r="I2656" s="62" t="str">
        <f t="shared" si="41"/>
        <v/>
      </c>
    </row>
    <row r="2657" spans="2:9" x14ac:dyDescent="0.25">
      <c r="B2657" s="59"/>
      <c r="C2657" s="60"/>
      <c r="D2657" s="60"/>
      <c r="F2657" s="60"/>
      <c r="G2657" s="60"/>
      <c r="H2657" s="62"/>
      <c r="I2657" s="62" t="str">
        <f t="shared" si="41"/>
        <v/>
      </c>
    </row>
    <row r="2658" spans="2:9" x14ac:dyDescent="0.25">
      <c r="B2658" s="59"/>
      <c r="C2658" s="60"/>
      <c r="D2658" s="60"/>
      <c r="F2658" s="60"/>
      <c r="G2658" s="60"/>
      <c r="H2658" s="62"/>
      <c r="I2658" s="62" t="str">
        <f t="shared" si="41"/>
        <v/>
      </c>
    </row>
    <row r="2659" spans="2:9" x14ac:dyDescent="0.25">
      <c r="B2659" s="59"/>
      <c r="C2659" s="60"/>
      <c r="D2659" s="60"/>
      <c r="F2659" s="60"/>
      <c r="G2659" s="60"/>
      <c r="H2659" s="62"/>
      <c r="I2659" s="62" t="str">
        <f t="shared" si="41"/>
        <v/>
      </c>
    </row>
    <row r="2660" spans="2:9" x14ac:dyDescent="0.25">
      <c r="B2660" s="59"/>
      <c r="C2660" s="60"/>
      <c r="D2660" s="60"/>
      <c r="F2660" s="60"/>
      <c r="G2660" s="60"/>
      <c r="H2660" s="62"/>
      <c r="I2660" s="62" t="str">
        <f t="shared" si="41"/>
        <v/>
      </c>
    </row>
    <row r="2661" spans="2:9" x14ac:dyDescent="0.25">
      <c r="B2661" s="59"/>
      <c r="C2661" s="60"/>
      <c r="D2661" s="60"/>
      <c r="F2661" s="60"/>
      <c r="G2661" s="60"/>
      <c r="H2661" s="62"/>
      <c r="I2661" s="62" t="str">
        <f t="shared" si="41"/>
        <v/>
      </c>
    </row>
    <row r="2662" spans="2:9" x14ac:dyDescent="0.25">
      <c r="B2662" s="59"/>
      <c r="C2662" s="60"/>
      <c r="D2662" s="60"/>
      <c r="F2662" s="60"/>
      <c r="G2662" s="60"/>
      <c r="H2662" s="62"/>
      <c r="I2662" s="62" t="str">
        <f t="shared" si="41"/>
        <v/>
      </c>
    </row>
    <row r="2663" spans="2:9" x14ac:dyDescent="0.25">
      <c r="B2663" s="59"/>
      <c r="C2663" s="60"/>
      <c r="D2663" s="60"/>
      <c r="F2663" s="60"/>
      <c r="G2663" s="60"/>
      <c r="H2663" s="62"/>
      <c r="I2663" s="62" t="str">
        <f t="shared" si="41"/>
        <v/>
      </c>
    </row>
    <row r="2664" spans="2:9" x14ac:dyDescent="0.25">
      <c r="B2664" s="59"/>
      <c r="C2664" s="60"/>
      <c r="D2664" s="60"/>
      <c r="F2664" s="60"/>
      <c r="G2664" s="60"/>
      <c r="H2664" s="62"/>
      <c r="I2664" s="62" t="str">
        <f t="shared" si="41"/>
        <v/>
      </c>
    </row>
    <row r="2665" spans="2:9" x14ac:dyDescent="0.25">
      <c r="B2665" s="59"/>
      <c r="C2665" s="60"/>
      <c r="D2665" s="60"/>
      <c r="F2665" s="60"/>
      <c r="G2665" s="60"/>
      <c r="H2665" s="62"/>
      <c r="I2665" s="62" t="str">
        <f t="shared" si="41"/>
        <v/>
      </c>
    </row>
    <row r="2666" spans="2:9" x14ac:dyDescent="0.25">
      <c r="B2666" s="59"/>
      <c r="C2666" s="60"/>
      <c r="D2666" s="60"/>
      <c r="F2666" s="60"/>
      <c r="G2666" s="60"/>
      <c r="H2666" s="62"/>
      <c r="I2666" s="62" t="str">
        <f t="shared" si="41"/>
        <v/>
      </c>
    </row>
    <row r="2667" spans="2:9" x14ac:dyDescent="0.25">
      <c r="B2667" s="59"/>
      <c r="C2667" s="60"/>
      <c r="D2667" s="60"/>
      <c r="F2667" s="60"/>
      <c r="G2667" s="60"/>
      <c r="H2667" s="62"/>
      <c r="I2667" s="62" t="str">
        <f t="shared" si="41"/>
        <v/>
      </c>
    </row>
    <row r="2668" spans="2:9" x14ac:dyDescent="0.25">
      <c r="B2668" s="59"/>
      <c r="C2668" s="60"/>
      <c r="D2668" s="60"/>
      <c r="F2668" s="60"/>
      <c r="G2668" s="60"/>
      <c r="H2668" s="62"/>
      <c r="I2668" s="62" t="str">
        <f t="shared" si="41"/>
        <v/>
      </c>
    </row>
    <row r="2669" spans="2:9" x14ac:dyDescent="0.25">
      <c r="B2669" s="59"/>
      <c r="C2669" s="60"/>
      <c r="D2669" s="60"/>
      <c r="F2669" s="60"/>
      <c r="G2669" s="60"/>
      <c r="H2669" s="62"/>
      <c r="I2669" s="62" t="str">
        <f t="shared" si="41"/>
        <v/>
      </c>
    </row>
    <row r="2670" spans="2:9" x14ac:dyDescent="0.25">
      <c r="B2670" s="59"/>
      <c r="C2670" s="60"/>
      <c r="D2670" s="60"/>
      <c r="F2670" s="60"/>
      <c r="G2670" s="60"/>
      <c r="H2670" s="62"/>
      <c r="I2670" s="62" t="str">
        <f t="shared" si="41"/>
        <v/>
      </c>
    </row>
    <row r="2671" spans="2:9" x14ac:dyDescent="0.25">
      <c r="B2671" s="59"/>
      <c r="C2671" s="60"/>
      <c r="D2671" s="60"/>
      <c r="F2671" s="60"/>
      <c r="G2671" s="60"/>
      <c r="H2671" s="62"/>
      <c r="I2671" s="62" t="str">
        <f t="shared" si="41"/>
        <v/>
      </c>
    </row>
    <row r="2672" spans="2:9" x14ac:dyDescent="0.25">
      <c r="B2672" s="59"/>
      <c r="C2672" s="60"/>
      <c r="D2672" s="60"/>
      <c r="F2672" s="60"/>
      <c r="G2672" s="60"/>
      <c r="H2672" s="62"/>
      <c r="I2672" s="62" t="str">
        <f t="shared" si="41"/>
        <v/>
      </c>
    </row>
    <row r="2673" spans="2:9" x14ac:dyDescent="0.25">
      <c r="B2673" s="59"/>
      <c r="C2673" s="60"/>
      <c r="D2673" s="60"/>
      <c r="F2673" s="60"/>
      <c r="G2673" s="60"/>
      <c r="H2673" s="62"/>
      <c r="I2673" s="62" t="str">
        <f t="shared" si="41"/>
        <v/>
      </c>
    </row>
    <row r="2674" spans="2:9" x14ac:dyDescent="0.25">
      <c r="B2674" s="59"/>
      <c r="C2674" s="60"/>
      <c r="D2674" s="60"/>
      <c r="F2674" s="60"/>
      <c r="G2674" s="60"/>
      <c r="H2674" s="62"/>
      <c r="I2674" s="62" t="str">
        <f t="shared" si="41"/>
        <v/>
      </c>
    </row>
    <row r="2675" spans="2:9" x14ac:dyDescent="0.25">
      <c r="B2675" s="59"/>
      <c r="C2675" s="60"/>
      <c r="D2675" s="60"/>
      <c r="F2675" s="60"/>
      <c r="G2675" s="60"/>
      <c r="H2675" s="62"/>
      <c r="I2675" s="62" t="str">
        <f t="shared" si="41"/>
        <v/>
      </c>
    </row>
    <row r="2676" spans="2:9" x14ac:dyDescent="0.25">
      <c r="B2676" s="59"/>
      <c r="C2676" s="60"/>
      <c r="D2676" s="60"/>
      <c r="F2676" s="60"/>
      <c r="G2676" s="60"/>
      <c r="H2676" s="62"/>
      <c r="I2676" s="62" t="str">
        <f t="shared" si="41"/>
        <v/>
      </c>
    </row>
    <row r="2677" spans="2:9" x14ac:dyDescent="0.25">
      <c r="B2677" s="59"/>
      <c r="C2677" s="60"/>
      <c r="D2677" s="60"/>
      <c r="F2677" s="60"/>
      <c r="G2677" s="60"/>
      <c r="H2677" s="62"/>
      <c r="I2677" s="62" t="str">
        <f t="shared" si="41"/>
        <v/>
      </c>
    </row>
    <row r="2678" spans="2:9" x14ac:dyDescent="0.25">
      <c r="B2678" s="59"/>
      <c r="C2678" s="60"/>
      <c r="D2678" s="60"/>
      <c r="F2678" s="60"/>
      <c r="G2678" s="60"/>
      <c r="H2678" s="62"/>
      <c r="I2678" s="62" t="str">
        <f t="shared" si="41"/>
        <v/>
      </c>
    </row>
    <row r="2679" spans="2:9" x14ac:dyDescent="0.25">
      <c r="B2679" s="59"/>
      <c r="C2679" s="60"/>
      <c r="D2679" s="60"/>
      <c r="F2679" s="60"/>
      <c r="G2679" s="60"/>
      <c r="H2679" s="62"/>
      <c r="I2679" s="62" t="str">
        <f t="shared" si="41"/>
        <v/>
      </c>
    </row>
    <row r="2680" spans="2:9" x14ac:dyDescent="0.25">
      <c r="B2680" s="59"/>
      <c r="C2680" s="60"/>
      <c r="D2680" s="60"/>
      <c r="F2680" s="60"/>
      <c r="G2680" s="60"/>
      <c r="H2680" s="62"/>
      <c r="I2680" s="62" t="str">
        <f t="shared" si="41"/>
        <v/>
      </c>
    </row>
    <row r="2681" spans="2:9" x14ac:dyDescent="0.25">
      <c r="B2681" s="59"/>
      <c r="C2681" s="60"/>
      <c r="D2681" s="60"/>
      <c r="F2681" s="60"/>
      <c r="G2681" s="60"/>
      <c r="H2681" s="62"/>
      <c r="I2681" s="62" t="str">
        <f t="shared" si="41"/>
        <v/>
      </c>
    </row>
    <row r="2682" spans="2:9" x14ac:dyDescent="0.25">
      <c r="B2682" s="59"/>
      <c r="C2682" s="60"/>
      <c r="D2682" s="60"/>
      <c r="F2682" s="60"/>
      <c r="G2682" s="60"/>
      <c r="H2682" s="62"/>
      <c r="I2682" s="62" t="str">
        <f t="shared" si="41"/>
        <v/>
      </c>
    </row>
    <row r="2683" spans="2:9" x14ac:dyDescent="0.25">
      <c r="B2683" s="59"/>
      <c r="C2683" s="60"/>
      <c r="D2683" s="60"/>
      <c r="F2683" s="60"/>
      <c r="G2683" s="60"/>
      <c r="H2683" s="62"/>
      <c r="I2683" s="62" t="str">
        <f t="shared" si="41"/>
        <v/>
      </c>
    </row>
    <row r="2684" spans="2:9" x14ac:dyDescent="0.25">
      <c r="B2684" s="59"/>
      <c r="C2684" s="60"/>
      <c r="D2684" s="60"/>
      <c r="F2684" s="60"/>
      <c r="G2684" s="60"/>
      <c r="H2684" s="62"/>
      <c r="I2684" s="62" t="str">
        <f t="shared" si="41"/>
        <v/>
      </c>
    </row>
    <row r="2685" spans="2:9" x14ac:dyDescent="0.25">
      <c r="B2685" s="59"/>
      <c r="C2685" s="60"/>
      <c r="D2685" s="60"/>
      <c r="F2685" s="60"/>
      <c r="G2685" s="60"/>
      <c r="H2685" s="62"/>
      <c r="I2685" s="62" t="str">
        <f t="shared" si="41"/>
        <v/>
      </c>
    </row>
    <row r="2686" spans="2:9" x14ac:dyDescent="0.25">
      <c r="B2686" s="59"/>
      <c r="C2686" s="60"/>
      <c r="D2686" s="60"/>
      <c r="F2686" s="60"/>
      <c r="G2686" s="60"/>
      <c r="H2686" s="62"/>
      <c r="I2686" s="62" t="str">
        <f t="shared" si="41"/>
        <v/>
      </c>
    </row>
    <row r="2687" spans="2:9" x14ac:dyDescent="0.25">
      <c r="B2687" s="59"/>
      <c r="C2687" s="60"/>
      <c r="D2687" s="60"/>
      <c r="F2687" s="60"/>
      <c r="G2687" s="60"/>
      <c r="H2687" s="62"/>
      <c r="I2687" s="62" t="str">
        <f t="shared" si="41"/>
        <v/>
      </c>
    </row>
    <row r="2688" spans="2:9" x14ac:dyDescent="0.25">
      <c r="B2688" s="59"/>
      <c r="C2688" s="60"/>
      <c r="D2688" s="60"/>
      <c r="F2688" s="60"/>
      <c r="G2688" s="60"/>
      <c r="H2688" s="62"/>
      <c r="I2688" s="62" t="str">
        <f t="shared" si="41"/>
        <v/>
      </c>
    </row>
    <row r="2689" spans="2:9" x14ac:dyDescent="0.25">
      <c r="B2689" s="59"/>
      <c r="C2689" s="60"/>
      <c r="D2689" s="60"/>
      <c r="F2689" s="60"/>
      <c r="G2689" s="60"/>
      <c r="H2689" s="62"/>
      <c r="I2689" s="62" t="str">
        <f t="shared" si="41"/>
        <v/>
      </c>
    </row>
    <row r="2690" spans="2:9" x14ac:dyDescent="0.25">
      <c r="B2690" s="59"/>
      <c r="C2690" s="60"/>
      <c r="D2690" s="60"/>
      <c r="F2690" s="60"/>
      <c r="G2690" s="60"/>
      <c r="H2690" s="62"/>
      <c r="I2690" s="62" t="str">
        <f t="shared" si="41"/>
        <v/>
      </c>
    </row>
    <row r="2691" spans="2:9" x14ac:dyDescent="0.25">
      <c r="B2691" s="59"/>
      <c r="C2691" s="60"/>
      <c r="D2691" s="60"/>
      <c r="F2691" s="60"/>
      <c r="G2691" s="60"/>
      <c r="H2691" s="62"/>
      <c r="I2691" s="62" t="str">
        <f t="shared" si="41"/>
        <v/>
      </c>
    </row>
    <row r="2692" spans="2:9" x14ac:dyDescent="0.25">
      <c r="B2692" s="59"/>
      <c r="C2692" s="60"/>
      <c r="D2692" s="60"/>
      <c r="F2692" s="60"/>
      <c r="G2692" s="60"/>
      <c r="H2692" s="62"/>
      <c r="I2692" s="62" t="str">
        <f t="shared" si="41"/>
        <v/>
      </c>
    </row>
    <row r="2693" spans="2:9" x14ac:dyDescent="0.25">
      <c r="B2693" s="59"/>
      <c r="C2693" s="60"/>
      <c r="D2693" s="60"/>
      <c r="F2693" s="60"/>
      <c r="G2693" s="60"/>
      <c r="H2693" s="62"/>
      <c r="I2693" s="62" t="str">
        <f t="shared" ref="I2693:I2756" si="42">IF(H2693&lt;&gt;"",H2693-H2692,"")</f>
        <v/>
      </c>
    </row>
    <row r="2694" spans="2:9" x14ac:dyDescent="0.25">
      <c r="B2694" s="59"/>
      <c r="C2694" s="60"/>
      <c r="D2694" s="60"/>
      <c r="F2694" s="60"/>
      <c r="G2694" s="60"/>
      <c r="H2694" s="62"/>
      <c r="I2694" s="62" t="str">
        <f t="shared" si="42"/>
        <v/>
      </c>
    </row>
    <row r="2695" spans="2:9" x14ac:dyDescent="0.25">
      <c r="B2695" s="59"/>
      <c r="C2695" s="60"/>
      <c r="D2695" s="60"/>
      <c r="F2695" s="60"/>
      <c r="G2695" s="60"/>
      <c r="H2695" s="62"/>
      <c r="I2695" s="62" t="str">
        <f t="shared" si="42"/>
        <v/>
      </c>
    </row>
    <row r="2696" spans="2:9" x14ac:dyDescent="0.25">
      <c r="B2696" s="59"/>
      <c r="C2696" s="60"/>
      <c r="D2696" s="60"/>
      <c r="F2696" s="60"/>
      <c r="G2696" s="60"/>
      <c r="H2696" s="62"/>
      <c r="I2696" s="62" t="str">
        <f t="shared" si="42"/>
        <v/>
      </c>
    </row>
    <row r="2697" spans="2:9" x14ac:dyDescent="0.25">
      <c r="B2697" s="59"/>
      <c r="C2697" s="60"/>
      <c r="D2697" s="60"/>
      <c r="F2697" s="60"/>
      <c r="G2697" s="60"/>
      <c r="H2697" s="62"/>
      <c r="I2697" s="62" t="str">
        <f t="shared" si="42"/>
        <v/>
      </c>
    </row>
    <row r="2698" spans="2:9" x14ac:dyDescent="0.25">
      <c r="B2698" s="59"/>
      <c r="C2698" s="60"/>
      <c r="D2698" s="60"/>
      <c r="F2698" s="60"/>
      <c r="G2698" s="60"/>
      <c r="H2698" s="62"/>
      <c r="I2698" s="62" t="str">
        <f t="shared" si="42"/>
        <v/>
      </c>
    </row>
    <row r="2699" spans="2:9" x14ac:dyDescent="0.25">
      <c r="B2699" s="59"/>
      <c r="C2699" s="60"/>
      <c r="D2699" s="60"/>
      <c r="F2699" s="60"/>
      <c r="G2699" s="60"/>
      <c r="H2699" s="62"/>
      <c r="I2699" s="62" t="str">
        <f t="shared" si="42"/>
        <v/>
      </c>
    </row>
    <row r="2700" spans="2:9" x14ac:dyDescent="0.25">
      <c r="B2700" s="59"/>
      <c r="C2700" s="60"/>
      <c r="D2700" s="60"/>
      <c r="F2700" s="60"/>
      <c r="G2700" s="60"/>
      <c r="H2700" s="62"/>
      <c r="I2700" s="62" t="str">
        <f t="shared" si="42"/>
        <v/>
      </c>
    </row>
    <row r="2701" spans="2:9" x14ac:dyDescent="0.25">
      <c r="B2701" s="59"/>
      <c r="C2701" s="60"/>
      <c r="D2701" s="60"/>
      <c r="F2701" s="60"/>
      <c r="G2701" s="60"/>
      <c r="H2701" s="62"/>
      <c r="I2701" s="62" t="str">
        <f t="shared" si="42"/>
        <v/>
      </c>
    </row>
    <row r="2702" spans="2:9" x14ac:dyDescent="0.25">
      <c r="B2702" s="59"/>
      <c r="C2702" s="60"/>
      <c r="D2702" s="60"/>
      <c r="F2702" s="60"/>
      <c r="G2702" s="60"/>
      <c r="H2702" s="62"/>
      <c r="I2702" s="62" t="str">
        <f t="shared" si="42"/>
        <v/>
      </c>
    </row>
    <row r="2703" spans="2:9" x14ac:dyDescent="0.25">
      <c r="B2703" s="59"/>
      <c r="C2703" s="60"/>
      <c r="D2703" s="60"/>
      <c r="F2703" s="60"/>
      <c r="G2703" s="60"/>
      <c r="H2703" s="62"/>
      <c r="I2703" s="62" t="str">
        <f t="shared" si="42"/>
        <v/>
      </c>
    </row>
    <row r="2704" spans="2:9" x14ac:dyDescent="0.25">
      <c r="B2704" s="59"/>
      <c r="C2704" s="60"/>
      <c r="D2704" s="60"/>
      <c r="F2704" s="60"/>
      <c r="G2704" s="60"/>
      <c r="H2704" s="62"/>
      <c r="I2704" s="62" t="str">
        <f t="shared" si="42"/>
        <v/>
      </c>
    </row>
    <row r="2705" spans="2:9" x14ac:dyDescent="0.25">
      <c r="B2705" s="59"/>
      <c r="C2705" s="60"/>
      <c r="D2705" s="60"/>
      <c r="F2705" s="60"/>
      <c r="G2705" s="60"/>
      <c r="H2705" s="62"/>
      <c r="I2705" s="62" t="str">
        <f t="shared" si="42"/>
        <v/>
      </c>
    </row>
    <row r="2706" spans="2:9" x14ac:dyDescent="0.25">
      <c r="B2706" s="59"/>
      <c r="C2706" s="60"/>
      <c r="D2706" s="60"/>
      <c r="F2706" s="60"/>
      <c r="G2706" s="60"/>
      <c r="H2706" s="62"/>
      <c r="I2706" s="62" t="str">
        <f t="shared" si="42"/>
        <v/>
      </c>
    </row>
    <row r="2707" spans="2:9" x14ac:dyDescent="0.25">
      <c r="B2707" s="59"/>
      <c r="C2707" s="60"/>
      <c r="D2707" s="60"/>
      <c r="F2707" s="60"/>
      <c r="G2707" s="60"/>
      <c r="H2707" s="62"/>
      <c r="I2707" s="62" t="str">
        <f t="shared" si="42"/>
        <v/>
      </c>
    </row>
    <row r="2708" spans="2:9" x14ac:dyDescent="0.25">
      <c r="B2708" s="59"/>
      <c r="C2708" s="60"/>
      <c r="D2708" s="60"/>
      <c r="F2708" s="60"/>
      <c r="G2708" s="60"/>
      <c r="H2708" s="62"/>
      <c r="I2708" s="62" t="str">
        <f t="shared" si="42"/>
        <v/>
      </c>
    </row>
    <row r="2709" spans="2:9" x14ac:dyDescent="0.25">
      <c r="B2709" s="59"/>
      <c r="C2709" s="60"/>
      <c r="D2709" s="60"/>
      <c r="F2709" s="60"/>
      <c r="G2709" s="60"/>
      <c r="H2709" s="62"/>
      <c r="I2709" s="62" t="str">
        <f t="shared" si="42"/>
        <v/>
      </c>
    </row>
    <row r="2710" spans="2:9" x14ac:dyDescent="0.25">
      <c r="B2710" s="59"/>
      <c r="C2710" s="60"/>
      <c r="D2710" s="60"/>
      <c r="F2710" s="60"/>
      <c r="G2710" s="60"/>
      <c r="H2710" s="62"/>
      <c r="I2710" s="62" t="str">
        <f t="shared" si="42"/>
        <v/>
      </c>
    </row>
    <row r="2711" spans="2:9" x14ac:dyDescent="0.25">
      <c r="B2711" s="59"/>
      <c r="C2711" s="60"/>
      <c r="D2711" s="60"/>
      <c r="F2711" s="60"/>
      <c r="G2711" s="60"/>
      <c r="H2711" s="62"/>
      <c r="I2711" s="62" t="str">
        <f t="shared" si="42"/>
        <v/>
      </c>
    </row>
    <row r="2712" spans="2:9" x14ac:dyDescent="0.25">
      <c r="B2712" s="59"/>
      <c r="C2712" s="60"/>
      <c r="D2712" s="60"/>
      <c r="F2712" s="60"/>
      <c r="G2712" s="60"/>
      <c r="H2712" s="62"/>
      <c r="I2712" s="62" t="str">
        <f t="shared" si="42"/>
        <v/>
      </c>
    </row>
    <row r="2713" spans="2:9" x14ac:dyDescent="0.25">
      <c r="B2713" s="59"/>
      <c r="C2713" s="60"/>
      <c r="D2713" s="60"/>
      <c r="F2713" s="60"/>
      <c r="G2713" s="60"/>
      <c r="H2713" s="62"/>
      <c r="I2713" s="62" t="str">
        <f t="shared" si="42"/>
        <v/>
      </c>
    </row>
    <row r="2714" spans="2:9" x14ac:dyDescent="0.25">
      <c r="B2714" s="59"/>
      <c r="C2714" s="60"/>
      <c r="D2714" s="60"/>
      <c r="F2714" s="60"/>
      <c r="G2714" s="60"/>
      <c r="H2714" s="62"/>
      <c r="I2714" s="62" t="str">
        <f t="shared" si="42"/>
        <v/>
      </c>
    </row>
    <row r="2715" spans="2:9" x14ac:dyDescent="0.25">
      <c r="B2715" s="59"/>
      <c r="C2715" s="60"/>
      <c r="D2715" s="60"/>
      <c r="F2715" s="60"/>
      <c r="G2715" s="60"/>
      <c r="H2715" s="62"/>
      <c r="I2715" s="62" t="str">
        <f t="shared" si="42"/>
        <v/>
      </c>
    </row>
    <row r="2716" spans="2:9" x14ac:dyDescent="0.25">
      <c r="B2716" s="59"/>
      <c r="C2716" s="60"/>
      <c r="D2716" s="60"/>
      <c r="F2716" s="60"/>
      <c r="G2716" s="60"/>
      <c r="H2716" s="62"/>
      <c r="I2716" s="62" t="str">
        <f t="shared" si="42"/>
        <v/>
      </c>
    </row>
    <row r="2717" spans="2:9" x14ac:dyDescent="0.25">
      <c r="B2717" s="59"/>
      <c r="C2717" s="60"/>
      <c r="D2717" s="60"/>
      <c r="F2717" s="60"/>
      <c r="G2717" s="60"/>
      <c r="H2717" s="62"/>
      <c r="I2717" s="62" t="str">
        <f t="shared" si="42"/>
        <v/>
      </c>
    </row>
    <row r="2718" spans="2:9" x14ac:dyDescent="0.25">
      <c r="B2718" s="59"/>
      <c r="C2718" s="60"/>
      <c r="D2718" s="60"/>
      <c r="F2718" s="60"/>
      <c r="G2718" s="60"/>
      <c r="H2718" s="62"/>
      <c r="I2718" s="62" t="str">
        <f t="shared" si="42"/>
        <v/>
      </c>
    </row>
    <row r="2719" spans="2:9" x14ac:dyDescent="0.25">
      <c r="B2719" s="59"/>
      <c r="C2719" s="60"/>
      <c r="D2719" s="60"/>
      <c r="F2719" s="60"/>
      <c r="G2719" s="60"/>
      <c r="H2719" s="62"/>
      <c r="I2719" s="62" t="str">
        <f t="shared" si="42"/>
        <v/>
      </c>
    </row>
    <row r="2720" spans="2:9" x14ac:dyDescent="0.25">
      <c r="B2720" s="59"/>
      <c r="C2720" s="60"/>
      <c r="D2720" s="60"/>
      <c r="F2720" s="60"/>
      <c r="G2720" s="60"/>
      <c r="H2720" s="62"/>
      <c r="I2720" s="62" t="str">
        <f t="shared" si="42"/>
        <v/>
      </c>
    </row>
    <row r="2721" spans="2:9" x14ac:dyDescent="0.25">
      <c r="B2721" s="59"/>
      <c r="C2721" s="60"/>
      <c r="D2721" s="60"/>
      <c r="F2721" s="60"/>
      <c r="G2721" s="60"/>
      <c r="H2721" s="62"/>
      <c r="I2721" s="62" t="str">
        <f t="shared" si="42"/>
        <v/>
      </c>
    </row>
    <row r="2722" spans="2:9" x14ac:dyDescent="0.25">
      <c r="B2722" s="59"/>
      <c r="C2722" s="60"/>
      <c r="D2722" s="60"/>
      <c r="F2722" s="60"/>
      <c r="G2722" s="60"/>
      <c r="H2722" s="62"/>
      <c r="I2722" s="62" t="str">
        <f t="shared" si="42"/>
        <v/>
      </c>
    </row>
    <row r="2723" spans="2:9" x14ac:dyDescent="0.25">
      <c r="B2723" s="59"/>
      <c r="C2723" s="60"/>
      <c r="D2723" s="60"/>
      <c r="F2723" s="60"/>
      <c r="G2723" s="60"/>
      <c r="H2723" s="62"/>
      <c r="I2723" s="62" t="str">
        <f t="shared" si="42"/>
        <v/>
      </c>
    </row>
    <row r="2724" spans="2:9" x14ac:dyDescent="0.25">
      <c r="B2724" s="59"/>
      <c r="C2724" s="60"/>
      <c r="D2724" s="60"/>
      <c r="F2724" s="60"/>
      <c r="G2724" s="60"/>
      <c r="H2724" s="62"/>
      <c r="I2724" s="62" t="str">
        <f t="shared" si="42"/>
        <v/>
      </c>
    </row>
    <row r="2725" spans="2:9" x14ac:dyDescent="0.25">
      <c r="B2725" s="59"/>
      <c r="C2725" s="60"/>
      <c r="D2725" s="60"/>
      <c r="F2725" s="60"/>
      <c r="G2725" s="60"/>
      <c r="H2725" s="62"/>
      <c r="I2725" s="62" t="str">
        <f t="shared" si="42"/>
        <v/>
      </c>
    </row>
    <row r="2726" spans="2:9" x14ac:dyDescent="0.25">
      <c r="B2726" s="59"/>
      <c r="C2726" s="60"/>
      <c r="D2726" s="60"/>
      <c r="F2726" s="60"/>
      <c r="G2726" s="60"/>
      <c r="H2726" s="62"/>
      <c r="I2726" s="62" t="str">
        <f t="shared" si="42"/>
        <v/>
      </c>
    </row>
    <row r="2727" spans="2:9" x14ac:dyDescent="0.25">
      <c r="B2727" s="59"/>
      <c r="C2727" s="60"/>
      <c r="D2727" s="60"/>
      <c r="F2727" s="60"/>
      <c r="G2727" s="60"/>
      <c r="H2727" s="62"/>
      <c r="I2727" s="62" t="str">
        <f t="shared" si="42"/>
        <v/>
      </c>
    </row>
    <row r="2728" spans="2:9" x14ac:dyDescent="0.25">
      <c r="B2728" s="59"/>
      <c r="C2728" s="60"/>
      <c r="D2728" s="60"/>
      <c r="F2728" s="60"/>
      <c r="G2728" s="60"/>
      <c r="H2728" s="62"/>
      <c r="I2728" s="62" t="str">
        <f t="shared" si="42"/>
        <v/>
      </c>
    </row>
    <row r="2729" spans="2:9" x14ac:dyDescent="0.25">
      <c r="B2729" s="59"/>
      <c r="C2729" s="60"/>
      <c r="D2729" s="60"/>
      <c r="F2729" s="60"/>
      <c r="G2729" s="60"/>
      <c r="H2729" s="62"/>
      <c r="I2729" s="62" t="str">
        <f t="shared" si="42"/>
        <v/>
      </c>
    </row>
    <row r="2730" spans="2:9" x14ac:dyDescent="0.25">
      <c r="B2730" s="59"/>
      <c r="C2730" s="60"/>
      <c r="D2730" s="60"/>
      <c r="F2730" s="60"/>
      <c r="G2730" s="60"/>
      <c r="H2730" s="62"/>
      <c r="I2730" s="62" t="str">
        <f t="shared" si="42"/>
        <v/>
      </c>
    </row>
    <row r="2731" spans="2:9" x14ac:dyDescent="0.25">
      <c r="B2731" s="59"/>
      <c r="C2731" s="60"/>
      <c r="D2731" s="60"/>
      <c r="F2731" s="60"/>
      <c r="G2731" s="60"/>
      <c r="H2731" s="62"/>
      <c r="I2731" s="62" t="str">
        <f t="shared" si="42"/>
        <v/>
      </c>
    </row>
    <row r="2732" spans="2:9" x14ac:dyDescent="0.25">
      <c r="B2732" s="59"/>
      <c r="C2732" s="60"/>
      <c r="D2732" s="60"/>
      <c r="F2732" s="60"/>
      <c r="G2732" s="60"/>
      <c r="H2732" s="62"/>
      <c r="I2732" s="62" t="str">
        <f t="shared" si="42"/>
        <v/>
      </c>
    </row>
    <row r="2733" spans="2:9" x14ac:dyDescent="0.25">
      <c r="B2733" s="59"/>
      <c r="C2733" s="60"/>
      <c r="D2733" s="60"/>
      <c r="F2733" s="60"/>
      <c r="G2733" s="60"/>
      <c r="H2733" s="62"/>
      <c r="I2733" s="62" t="str">
        <f t="shared" si="42"/>
        <v/>
      </c>
    </row>
    <row r="2734" spans="2:9" x14ac:dyDescent="0.25">
      <c r="B2734" s="59"/>
      <c r="C2734" s="60"/>
      <c r="D2734" s="60"/>
      <c r="F2734" s="60"/>
      <c r="G2734" s="60"/>
      <c r="H2734" s="62"/>
      <c r="I2734" s="62" t="str">
        <f t="shared" si="42"/>
        <v/>
      </c>
    </row>
    <row r="2735" spans="2:9" x14ac:dyDescent="0.25">
      <c r="B2735" s="59"/>
      <c r="C2735" s="60"/>
      <c r="D2735" s="60"/>
      <c r="F2735" s="60"/>
      <c r="G2735" s="60"/>
      <c r="H2735" s="62"/>
      <c r="I2735" s="62" t="str">
        <f t="shared" si="42"/>
        <v/>
      </c>
    </row>
    <row r="2736" spans="2:9" x14ac:dyDescent="0.25">
      <c r="B2736" s="59"/>
      <c r="C2736" s="60"/>
      <c r="D2736" s="60"/>
      <c r="F2736" s="60"/>
      <c r="G2736" s="60"/>
      <c r="H2736" s="62"/>
      <c r="I2736" s="62" t="str">
        <f t="shared" si="42"/>
        <v/>
      </c>
    </row>
    <row r="2737" spans="2:9" x14ac:dyDescent="0.25">
      <c r="B2737" s="59"/>
      <c r="C2737" s="60"/>
      <c r="D2737" s="60"/>
      <c r="F2737" s="60"/>
      <c r="G2737" s="60"/>
      <c r="H2737" s="62"/>
      <c r="I2737" s="62" t="str">
        <f t="shared" si="42"/>
        <v/>
      </c>
    </row>
    <row r="2738" spans="2:9" x14ac:dyDescent="0.25">
      <c r="B2738" s="59"/>
      <c r="C2738" s="60"/>
      <c r="D2738" s="60"/>
      <c r="F2738" s="60"/>
      <c r="G2738" s="60"/>
      <c r="H2738" s="62"/>
      <c r="I2738" s="62" t="str">
        <f t="shared" si="42"/>
        <v/>
      </c>
    </row>
    <row r="2739" spans="2:9" x14ac:dyDescent="0.25">
      <c r="B2739" s="59"/>
      <c r="C2739" s="60"/>
      <c r="D2739" s="60"/>
      <c r="F2739" s="60"/>
      <c r="G2739" s="60"/>
      <c r="H2739" s="62"/>
      <c r="I2739" s="62" t="str">
        <f t="shared" si="42"/>
        <v/>
      </c>
    </row>
    <row r="2740" spans="2:9" x14ac:dyDescent="0.25">
      <c r="B2740" s="59"/>
      <c r="C2740" s="60"/>
      <c r="D2740" s="60"/>
      <c r="F2740" s="60"/>
      <c r="G2740" s="60"/>
      <c r="H2740" s="62"/>
      <c r="I2740" s="62" t="str">
        <f t="shared" si="42"/>
        <v/>
      </c>
    </row>
    <row r="2741" spans="2:9" x14ac:dyDescent="0.25">
      <c r="B2741" s="59"/>
      <c r="C2741" s="60"/>
      <c r="D2741" s="60"/>
      <c r="F2741" s="60"/>
      <c r="G2741" s="60"/>
      <c r="H2741" s="62"/>
      <c r="I2741" s="62" t="str">
        <f t="shared" si="42"/>
        <v/>
      </c>
    </row>
    <row r="2742" spans="2:9" x14ac:dyDescent="0.25">
      <c r="B2742" s="59"/>
      <c r="C2742" s="60"/>
      <c r="D2742" s="60"/>
      <c r="F2742" s="60"/>
      <c r="G2742" s="60"/>
      <c r="H2742" s="62"/>
      <c r="I2742" s="62" t="str">
        <f t="shared" si="42"/>
        <v/>
      </c>
    </row>
    <row r="2743" spans="2:9" x14ac:dyDescent="0.25">
      <c r="B2743" s="59"/>
      <c r="C2743" s="60"/>
      <c r="D2743" s="60"/>
      <c r="F2743" s="60"/>
      <c r="G2743" s="60"/>
      <c r="H2743" s="62"/>
      <c r="I2743" s="62" t="str">
        <f t="shared" si="42"/>
        <v/>
      </c>
    </row>
    <row r="2744" spans="2:9" x14ac:dyDescent="0.25">
      <c r="B2744" s="59"/>
      <c r="C2744" s="60"/>
      <c r="D2744" s="60"/>
      <c r="F2744" s="60"/>
      <c r="G2744" s="60"/>
      <c r="H2744" s="62"/>
      <c r="I2744" s="62" t="str">
        <f t="shared" si="42"/>
        <v/>
      </c>
    </row>
    <row r="2745" spans="2:9" x14ac:dyDescent="0.25">
      <c r="B2745" s="59"/>
      <c r="C2745" s="60"/>
      <c r="D2745" s="60"/>
      <c r="F2745" s="60"/>
      <c r="G2745" s="60"/>
      <c r="H2745" s="62"/>
      <c r="I2745" s="62" t="str">
        <f t="shared" si="42"/>
        <v/>
      </c>
    </row>
    <row r="2746" spans="2:9" x14ac:dyDescent="0.25">
      <c r="B2746" s="59"/>
      <c r="C2746" s="60"/>
      <c r="D2746" s="60"/>
      <c r="F2746" s="60"/>
      <c r="G2746" s="60"/>
      <c r="H2746" s="62"/>
      <c r="I2746" s="62" t="str">
        <f t="shared" si="42"/>
        <v/>
      </c>
    </row>
    <row r="2747" spans="2:9" x14ac:dyDescent="0.25">
      <c r="B2747" s="59"/>
      <c r="C2747" s="60"/>
      <c r="D2747" s="60"/>
      <c r="F2747" s="60"/>
      <c r="G2747" s="60"/>
      <c r="H2747" s="62"/>
      <c r="I2747" s="62" t="str">
        <f t="shared" si="42"/>
        <v/>
      </c>
    </row>
    <row r="2748" spans="2:9" x14ac:dyDescent="0.25">
      <c r="B2748" s="59"/>
      <c r="C2748" s="60"/>
      <c r="D2748" s="60"/>
      <c r="F2748" s="60"/>
      <c r="G2748" s="60"/>
      <c r="H2748" s="62"/>
      <c r="I2748" s="62" t="str">
        <f t="shared" si="42"/>
        <v/>
      </c>
    </row>
    <row r="2749" spans="2:9" x14ac:dyDescent="0.25">
      <c r="B2749" s="59"/>
      <c r="C2749" s="60"/>
      <c r="D2749" s="60"/>
      <c r="F2749" s="60"/>
      <c r="G2749" s="60"/>
      <c r="H2749" s="62"/>
      <c r="I2749" s="62" t="str">
        <f t="shared" si="42"/>
        <v/>
      </c>
    </row>
    <row r="2750" spans="2:9" x14ac:dyDescent="0.25">
      <c r="B2750" s="59"/>
      <c r="C2750" s="60"/>
      <c r="D2750" s="60"/>
      <c r="F2750" s="60"/>
      <c r="G2750" s="60"/>
      <c r="H2750" s="62"/>
      <c r="I2750" s="62" t="str">
        <f t="shared" si="42"/>
        <v/>
      </c>
    </row>
    <row r="2751" spans="2:9" x14ac:dyDescent="0.25">
      <c r="B2751" s="59"/>
      <c r="C2751" s="60"/>
      <c r="D2751" s="60"/>
      <c r="F2751" s="60"/>
      <c r="G2751" s="60"/>
      <c r="H2751" s="62"/>
      <c r="I2751" s="62" t="str">
        <f t="shared" si="42"/>
        <v/>
      </c>
    </row>
    <row r="2752" spans="2:9" x14ac:dyDescent="0.25">
      <c r="B2752" s="59"/>
      <c r="C2752" s="60"/>
      <c r="D2752" s="60"/>
      <c r="F2752" s="60"/>
      <c r="G2752" s="60"/>
      <c r="H2752" s="62"/>
      <c r="I2752" s="62" t="str">
        <f t="shared" si="42"/>
        <v/>
      </c>
    </row>
    <row r="2753" spans="2:9" x14ac:dyDescent="0.25">
      <c r="B2753" s="59"/>
      <c r="C2753" s="60"/>
      <c r="D2753" s="60"/>
      <c r="F2753" s="60"/>
      <c r="G2753" s="60"/>
      <c r="H2753" s="62"/>
      <c r="I2753" s="62" t="str">
        <f t="shared" si="42"/>
        <v/>
      </c>
    </row>
    <row r="2754" spans="2:9" x14ac:dyDescent="0.25">
      <c r="B2754" s="59"/>
      <c r="C2754" s="60"/>
      <c r="D2754" s="60"/>
      <c r="F2754" s="60"/>
      <c r="G2754" s="60"/>
      <c r="H2754" s="62"/>
      <c r="I2754" s="62" t="str">
        <f t="shared" si="42"/>
        <v/>
      </c>
    </row>
    <row r="2755" spans="2:9" x14ac:dyDescent="0.25">
      <c r="B2755" s="59"/>
      <c r="C2755" s="60"/>
      <c r="D2755" s="60"/>
      <c r="F2755" s="60"/>
      <c r="G2755" s="60"/>
      <c r="H2755" s="62"/>
      <c r="I2755" s="62" t="str">
        <f t="shared" si="42"/>
        <v/>
      </c>
    </row>
    <row r="2756" spans="2:9" x14ac:dyDescent="0.25">
      <c r="B2756" s="59"/>
      <c r="C2756" s="60"/>
      <c r="D2756" s="60"/>
      <c r="F2756" s="60"/>
      <c r="G2756" s="60"/>
      <c r="H2756" s="62"/>
      <c r="I2756" s="62" t="str">
        <f t="shared" si="42"/>
        <v/>
      </c>
    </row>
    <row r="2757" spans="2:9" x14ac:dyDescent="0.25">
      <c r="B2757" s="59"/>
      <c r="C2757" s="60"/>
      <c r="D2757" s="60"/>
      <c r="F2757" s="60"/>
      <c r="G2757" s="60"/>
      <c r="H2757" s="62"/>
      <c r="I2757" s="62" t="str">
        <f t="shared" ref="I2757:I2820" si="43">IF(H2757&lt;&gt;"",H2757-H2756,"")</f>
        <v/>
      </c>
    </row>
    <row r="2758" spans="2:9" x14ac:dyDescent="0.25">
      <c r="B2758" s="59"/>
      <c r="C2758" s="60"/>
      <c r="D2758" s="60"/>
      <c r="F2758" s="60"/>
      <c r="G2758" s="60"/>
      <c r="H2758" s="62"/>
      <c r="I2758" s="62" t="str">
        <f t="shared" si="43"/>
        <v/>
      </c>
    </row>
    <row r="2759" spans="2:9" x14ac:dyDescent="0.25">
      <c r="B2759" s="59"/>
      <c r="C2759" s="60"/>
      <c r="D2759" s="60"/>
      <c r="F2759" s="60"/>
      <c r="G2759" s="60"/>
      <c r="H2759" s="62"/>
      <c r="I2759" s="62" t="str">
        <f t="shared" si="43"/>
        <v/>
      </c>
    </row>
    <row r="2760" spans="2:9" x14ac:dyDescent="0.25">
      <c r="B2760" s="59"/>
      <c r="C2760" s="60"/>
      <c r="D2760" s="60"/>
      <c r="F2760" s="60"/>
      <c r="G2760" s="60"/>
      <c r="H2760" s="62"/>
      <c r="I2760" s="62" t="str">
        <f t="shared" si="43"/>
        <v/>
      </c>
    </row>
    <row r="2761" spans="2:9" x14ac:dyDescent="0.25">
      <c r="B2761" s="59"/>
      <c r="C2761" s="60"/>
      <c r="D2761" s="60"/>
      <c r="F2761" s="60"/>
      <c r="G2761" s="60"/>
      <c r="H2761" s="62"/>
      <c r="I2761" s="62" t="str">
        <f t="shared" si="43"/>
        <v/>
      </c>
    </row>
    <row r="2762" spans="2:9" x14ac:dyDescent="0.25">
      <c r="B2762" s="59"/>
      <c r="C2762" s="60"/>
      <c r="D2762" s="60"/>
      <c r="F2762" s="60"/>
      <c r="G2762" s="60"/>
      <c r="H2762" s="62"/>
      <c r="I2762" s="62" t="str">
        <f t="shared" si="43"/>
        <v/>
      </c>
    </row>
    <row r="2763" spans="2:9" x14ac:dyDescent="0.25">
      <c r="B2763" s="59"/>
      <c r="C2763" s="60"/>
      <c r="D2763" s="60"/>
      <c r="F2763" s="60"/>
      <c r="G2763" s="60"/>
      <c r="H2763" s="62"/>
      <c r="I2763" s="62" t="str">
        <f t="shared" si="43"/>
        <v/>
      </c>
    </row>
    <row r="2764" spans="2:9" x14ac:dyDescent="0.25">
      <c r="B2764" s="59"/>
      <c r="C2764" s="60"/>
      <c r="D2764" s="60"/>
      <c r="F2764" s="60"/>
      <c r="G2764" s="60"/>
      <c r="H2764" s="62"/>
      <c r="I2764" s="62" t="str">
        <f t="shared" si="43"/>
        <v/>
      </c>
    </row>
    <row r="2765" spans="2:9" x14ac:dyDescent="0.25">
      <c r="B2765" s="59"/>
      <c r="C2765" s="60"/>
      <c r="D2765" s="60"/>
      <c r="F2765" s="60"/>
      <c r="G2765" s="60"/>
      <c r="H2765" s="62"/>
      <c r="I2765" s="62" t="str">
        <f t="shared" si="43"/>
        <v/>
      </c>
    </row>
    <row r="2766" spans="2:9" x14ac:dyDescent="0.25">
      <c r="B2766" s="59"/>
      <c r="C2766" s="60"/>
      <c r="D2766" s="60"/>
      <c r="F2766" s="60"/>
      <c r="G2766" s="60"/>
      <c r="H2766" s="62"/>
      <c r="I2766" s="62" t="str">
        <f t="shared" si="43"/>
        <v/>
      </c>
    </row>
    <row r="2767" spans="2:9" x14ac:dyDescent="0.25">
      <c r="B2767" s="59"/>
      <c r="C2767" s="60"/>
      <c r="D2767" s="60"/>
      <c r="F2767" s="60"/>
      <c r="G2767" s="60"/>
      <c r="H2767" s="62"/>
      <c r="I2767" s="62" t="str">
        <f t="shared" si="43"/>
        <v/>
      </c>
    </row>
    <row r="2768" spans="2:9" x14ac:dyDescent="0.25">
      <c r="B2768" s="59"/>
      <c r="C2768" s="60"/>
      <c r="D2768" s="60"/>
      <c r="F2768" s="60"/>
      <c r="G2768" s="60"/>
      <c r="H2768" s="62"/>
      <c r="I2768" s="62" t="str">
        <f t="shared" si="43"/>
        <v/>
      </c>
    </row>
    <row r="2769" spans="2:9" x14ac:dyDescent="0.25">
      <c r="B2769" s="59"/>
      <c r="C2769" s="60"/>
      <c r="D2769" s="60"/>
      <c r="F2769" s="60"/>
      <c r="G2769" s="60"/>
      <c r="H2769" s="62"/>
      <c r="I2769" s="62" t="str">
        <f t="shared" si="43"/>
        <v/>
      </c>
    </row>
    <row r="2770" spans="2:9" x14ac:dyDescent="0.25">
      <c r="B2770" s="59"/>
      <c r="C2770" s="60"/>
      <c r="D2770" s="60"/>
      <c r="F2770" s="60"/>
      <c r="G2770" s="60"/>
      <c r="H2770" s="62"/>
      <c r="I2770" s="62" t="str">
        <f t="shared" si="43"/>
        <v/>
      </c>
    </row>
    <row r="2771" spans="2:9" x14ac:dyDescent="0.25">
      <c r="B2771" s="59"/>
      <c r="C2771" s="60"/>
      <c r="D2771" s="60"/>
      <c r="F2771" s="60"/>
      <c r="G2771" s="60"/>
      <c r="H2771" s="62"/>
      <c r="I2771" s="62" t="str">
        <f t="shared" si="43"/>
        <v/>
      </c>
    </row>
    <row r="2772" spans="2:9" x14ac:dyDescent="0.25">
      <c r="B2772" s="59"/>
      <c r="C2772" s="60"/>
      <c r="D2772" s="60"/>
      <c r="F2772" s="60"/>
      <c r="G2772" s="60"/>
      <c r="H2772" s="62"/>
      <c r="I2772" s="62" t="str">
        <f t="shared" si="43"/>
        <v/>
      </c>
    </row>
    <row r="2773" spans="2:9" x14ac:dyDescent="0.25">
      <c r="B2773" s="59"/>
      <c r="C2773" s="60"/>
      <c r="D2773" s="60"/>
      <c r="F2773" s="60"/>
      <c r="G2773" s="60"/>
      <c r="H2773" s="62"/>
      <c r="I2773" s="62" t="str">
        <f t="shared" si="43"/>
        <v/>
      </c>
    </row>
    <row r="2774" spans="2:9" x14ac:dyDescent="0.25">
      <c r="B2774" s="59"/>
      <c r="C2774" s="60"/>
      <c r="D2774" s="60"/>
      <c r="F2774" s="60"/>
      <c r="G2774" s="60"/>
      <c r="H2774" s="62"/>
      <c r="I2774" s="62" t="str">
        <f t="shared" si="43"/>
        <v/>
      </c>
    </row>
    <row r="2775" spans="2:9" x14ac:dyDescent="0.25">
      <c r="B2775" s="59"/>
      <c r="C2775" s="60"/>
      <c r="D2775" s="60"/>
      <c r="F2775" s="60"/>
      <c r="G2775" s="60"/>
      <c r="H2775" s="62"/>
      <c r="I2775" s="62" t="str">
        <f t="shared" si="43"/>
        <v/>
      </c>
    </row>
    <row r="2776" spans="2:9" x14ac:dyDescent="0.25">
      <c r="B2776" s="59"/>
      <c r="C2776" s="60"/>
      <c r="D2776" s="60"/>
      <c r="F2776" s="60"/>
      <c r="G2776" s="60"/>
      <c r="H2776" s="62"/>
      <c r="I2776" s="62" t="str">
        <f t="shared" si="43"/>
        <v/>
      </c>
    </row>
    <row r="2777" spans="2:9" x14ac:dyDescent="0.25">
      <c r="B2777" s="59"/>
      <c r="C2777" s="60"/>
      <c r="D2777" s="60"/>
      <c r="F2777" s="60"/>
      <c r="G2777" s="60"/>
      <c r="H2777" s="62"/>
      <c r="I2777" s="62" t="str">
        <f t="shared" si="43"/>
        <v/>
      </c>
    </row>
    <row r="2778" spans="2:9" x14ac:dyDescent="0.25">
      <c r="B2778" s="59"/>
      <c r="C2778" s="60"/>
      <c r="D2778" s="60"/>
      <c r="F2778" s="60"/>
      <c r="G2778" s="60"/>
      <c r="H2778" s="62"/>
      <c r="I2778" s="62" t="str">
        <f t="shared" si="43"/>
        <v/>
      </c>
    </row>
    <row r="2779" spans="2:9" x14ac:dyDescent="0.25">
      <c r="B2779" s="59"/>
      <c r="C2779" s="60"/>
      <c r="D2779" s="60"/>
      <c r="F2779" s="60"/>
      <c r="G2779" s="60"/>
      <c r="H2779" s="62"/>
      <c r="I2779" s="62" t="str">
        <f t="shared" si="43"/>
        <v/>
      </c>
    </row>
    <row r="2780" spans="2:9" x14ac:dyDescent="0.25">
      <c r="B2780" s="59"/>
      <c r="C2780" s="60"/>
      <c r="D2780" s="60"/>
      <c r="F2780" s="60"/>
      <c r="G2780" s="60"/>
      <c r="H2780" s="62"/>
      <c r="I2780" s="62" t="str">
        <f t="shared" si="43"/>
        <v/>
      </c>
    </row>
    <row r="2781" spans="2:9" x14ac:dyDescent="0.25">
      <c r="B2781" s="59"/>
      <c r="C2781" s="60"/>
      <c r="D2781" s="60"/>
      <c r="F2781" s="60"/>
      <c r="G2781" s="60"/>
      <c r="H2781" s="62"/>
      <c r="I2781" s="62" t="str">
        <f t="shared" si="43"/>
        <v/>
      </c>
    </row>
    <row r="2782" spans="2:9" x14ac:dyDescent="0.25">
      <c r="B2782" s="59"/>
      <c r="C2782" s="60"/>
      <c r="D2782" s="60"/>
      <c r="F2782" s="60"/>
      <c r="G2782" s="60"/>
      <c r="H2782" s="62"/>
      <c r="I2782" s="62" t="str">
        <f t="shared" si="43"/>
        <v/>
      </c>
    </row>
    <row r="2783" spans="2:9" x14ac:dyDescent="0.25">
      <c r="B2783" s="59"/>
      <c r="C2783" s="60"/>
      <c r="D2783" s="60"/>
      <c r="F2783" s="60"/>
      <c r="G2783" s="60"/>
      <c r="H2783" s="62"/>
      <c r="I2783" s="62" t="str">
        <f t="shared" si="43"/>
        <v/>
      </c>
    </row>
    <row r="2784" spans="2:9" x14ac:dyDescent="0.25">
      <c r="B2784" s="59"/>
      <c r="C2784" s="60"/>
      <c r="D2784" s="60"/>
      <c r="F2784" s="60"/>
      <c r="G2784" s="60"/>
      <c r="H2784" s="62"/>
      <c r="I2784" s="62" t="str">
        <f t="shared" si="43"/>
        <v/>
      </c>
    </row>
    <row r="2785" spans="2:9" x14ac:dyDescent="0.25">
      <c r="B2785" s="59"/>
      <c r="C2785" s="60"/>
      <c r="D2785" s="60"/>
      <c r="F2785" s="60"/>
      <c r="G2785" s="60"/>
      <c r="H2785" s="62"/>
      <c r="I2785" s="62" t="str">
        <f t="shared" si="43"/>
        <v/>
      </c>
    </row>
    <row r="2786" spans="2:9" x14ac:dyDescent="0.25">
      <c r="B2786" s="59"/>
      <c r="C2786" s="60"/>
      <c r="D2786" s="60"/>
      <c r="F2786" s="60"/>
      <c r="G2786" s="60"/>
      <c r="H2786" s="62"/>
      <c r="I2786" s="62" t="str">
        <f t="shared" si="43"/>
        <v/>
      </c>
    </row>
    <row r="2787" spans="2:9" x14ac:dyDescent="0.25">
      <c r="B2787" s="59"/>
      <c r="C2787" s="60"/>
      <c r="D2787" s="60"/>
      <c r="F2787" s="60"/>
      <c r="G2787" s="60"/>
      <c r="H2787" s="62"/>
      <c r="I2787" s="62" t="str">
        <f t="shared" si="43"/>
        <v/>
      </c>
    </row>
    <row r="2788" spans="2:9" x14ac:dyDescent="0.25">
      <c r="B2788" s="59"/>
      <c r="C2788" s="60"/>
      <c r="D2788" s="60"/>
      <c r="F2788" s="60"/>
      <c r="G2788" s="60"/>
      <c r="H2788" s="62"/>
      <c r="I2788" s="62" t="str">
        <f t="shared" si="43"/>
        <v/>
      </c>
    </row>
    <row r="2789" spans="2:9" x14ac:dyDescent="0.25">
      <c r="B2789" s="59"/>
      <c r="C2789" s="60"/>
      <c r="D2789" s="60"/>
      <c r="F2789" s="60"/>
      <c r="G2789" s="60"/>
      <c r="H2789" s="62"/>
      <c r="I2789" s="62" t="str">
        <f t="shared" si="43"/>
        <v/>
      </c>
    </row>
    <row r="2790" spans="2:9" x14ac:dyDescent="0.25">
      <c r="B2790" s="59"/>
      <c r="C2790" s="60"/>
      <c r="D2790" s="60"/>
      <c r="F2790" s="60"/>
      <c r="G2790" s="60"/>
      <c r="H2790" s="62"/>
      <c r="I2790" s="62" t="str">
        <f t="shared" si="43"/>
        <v/>
      </c>
    </row>
    <row r="2791" spans="2:9" x14ac:dyDescent="0.25">
      <c r="B2791" s="59"/>
      <c r="C2791" s="60"/>
      <c r="D2791" s="60"/>
      <c r="F2791" s="60"/>
      <c r="G2791" s="60"/>
      <c r="H2791" s="62"/>
      <c r="I2791" s="62" t="str">
        <f t="shared" si="43"/>
        <v/>
      </c>
    </row>
    <row r="2792" spans="2:9" x14ac:dyDescent="0.25">
      <c r="B2792" s="59"/>
      <c r="C2792" s="60"/>
      <c r="D2792" s="60"/>
      <c r="F2792" s="60"/>
      <c r="G2792" s="60"/>
      <c r="H2792" s="62"/>
      <c r="I2792" s="62" t="str">
        <f t="shared" si="43"/>
        <v/>
      </c>
    </row>
    <row r="2793" spans="2:9" x14ac:dyDescent="0.25">
      <c r="B2793" s="59"/>
      <c r="C2793" s="60"/>
      <c r="D2793" s="60"/>
      <c r="F2793" s="60"/>
      <c r="G2793" s="60"/>
      <c r="H2793" s="62"/>
      <c r="I2793" s="62" t="str">
        <f t="shared" si="43"/>
        <v/>
      </c>
    </row>
    <row r="2794" spans="2:9" x14ac:dyDescent="0.25">
      <c r="B2794" s="59"/>
      <c r="C2794" s="60"/>
      <c r="D2794" s="60"/>
      <c r="F2794" s="60"/>
      <c r="G2794" s="60"/>
      <c r="H2794" s="62"/>
      <c r="I2794" s="62" t="str">
        <f t="shared" si="43"/>
        <v/>
      </c>
    </row>
    <row r="2795" spans="2:9" x14ac:dyDescent="0.25">
      <c r="B2795" s="59"/>
      <c r="C2795" s="60"/>
      <c r="D2795" s="60"/>
      <c r="F2795" s="60"/>
      <c r="G2795" s="60"/>
      <c r="H2795" s="62"/>
      <c r="I2795" s="62" t="str">
        <f t="shared" si="43"/>
        <v/>
      </c>
    </row>
    <row r="2796" spans="2:9" x14ac:dyDescent="0.25">
      <c r="B2796" s="59"/>
      <c r="C2796" s="60"/>
      <c r="D2796" s="60"/>
      <c r="F2796" s="60"/>
      <c r="G2796" s="60"/>
      <c r="H2796" s="62"/>
      <c r="I2796" s="62" t="str">
        <f t="shared" si="43"/>
        <v/>
      </c>
    </row>
    <row r="2797" spans="2:9" x14ac:dyDescent="0.25">
      <c r="B2797" s="59"/>
      <c r="C2797" s="60"/>
      <c r="D2797" s="60"/>
      <c r="F2797" s="60"/>
      <c r="G2797" s="60"/>
      <c r="H2797" s="62"/>
      <c r="I2797" s="62" t="str">
        <f t="shared" si="43"/>
        <v/>
      </c>
    </row>
    <row r="2798" spans="2:9" x14ac:dyDescent="0.25">
      <c r="B2798" s="59"/>
      <c r="C2798" s="60"/>
      <c r="D2798" s="60"/>
      <c r="F2798" s="60"/>
      <c r="G2798" s="60"/>
      <c r="H2798" s="62"/>
      <c r="I2798" s="62" t="str">
        <f t="shared" si="43"/>
        <v/>
      </c>
    </row>
    <row r="2799" spans="2:9" x14ac:dyDescent="0.25">
      <c r="B2799" s="59"/>
      <c r="C2799" s="60"/>
      <c r="D2799" s="60"/>
      <c r="F2799" s="60"/>
      <c r="G2799" s="60"/>
      <c r="H2799" s="62"/>
      <c r="I2799" s="62" t="str">
        <f t="shared" si="43"/>
        <v/>
      </c>
    </row>
    <row r="2800" spans="2:9" x14ac:dyDescent="0.25">
      <c r="B2800" s="59"/>
      <c r="C2800" s="60"/>
      <c r="D2800" s="60"/>
      <c r="F2800" s="60"/>
      <c r="G2800" s="60"/>
      <c r="H2800" s="62"/>
      <c r="I2800" s="62" t="str">
        <f t="shared" si="43"/>
        <v/>
      </c>
    </row>
    <row r="2801" spans="2:9" x14ac:dyDescent="0.25">
      <c r="B2801" s="59"/>
      <c r="C2801" s="60"/>
      <c r="D2801" s="60"/>
      <c r="F2801" s="60"/>
      <c r="G2801" s="60"/>
      <c r="H2801" s="62"/>
      <c r="I2801" s="62" t="str">
        <f t="shared" si="43"/>
        <v/>
      </c>
    </row>
    <row r="2802" spans="2:9" x14ac:dyDescent="0.25">
      <c r="B2802" s="59"/>
      <c r="C2802" s="60"/>
      <c r="D2802" s="60"/>
      <c r="F2802" s="60"/>
      <c r="G2802" s="60"/>
      <c r="H2802" s="62"/>
      <c r="I2802" s="62" t="str">
        <f t="shared" si="43"/>
        <v/>
      </c>
    </row>
    <row r="2803" spans="2:9" x14ac:dyDescent="0.25">
      <c r="B2803" s="59"/>
      <c r="C2803" s="60"/>
      <c r="D2803" s="60"/>
      <c r="F2803" s="60"/>
      <c r="G2803" s="60"/>
      <c r="H2803" s="62"/>
      <c r="I2803" s="62" t="str">
        <f t="shared" si="43"/>
        <v/>
      </c>
    </row>
    <row r="2804" spans="2:9" x14ac:dyDescent="0.25">
      <c r="B2804" s="59"/>
      <c r="C2804" s="60"/>
      <c r="D2804" s="60"/>
      <c r="F2804" s="60"/>
      <c r="G2804" s="60"/>
      <c r="H2804" s="62"/>
      <c r="I2804" s="62" t="str">
        <f t="shared" si="43"/>
        <v/>
      </c>
    </row>
    <row r="2805" spans="2:9" x14ac:dyDescent="0.25">
      <c r="B2805" s="59"/>
      <c r="C2805" s="60"/>
      <c r="D2805" s="60"/>
      <c r="F2805" s="60"/>
      <c r="G2805" s="60"/>
      <c r="H2805" s="62"/>
      <c r="I2805" s="62" t="str">
        <f t="shared" si="43"/>
        <v/>
      </c>
    </row>
    <row r="2806" spans="2:9" x14ac:dyDescent="0.25">
      <c r="B2806" s="59"/>
      <c r="C2806" s="60"/>
      <c r="D2806" s="60"/>
      <c r="F2806" s="60"/>
      <c r="G2806" s="60"/>
      <c r="H2806" s="62"/>
      <c r="I2806" s="62" t="str">
        <f t="shared" si="43"/>
        <v/>
      </c>
    </row>
    <row r="2807" spans="2:9" x14ac:dyDescent="0.25">
      <c r="B2807" s="59"/>
      <c r="C2807" s="60"/>
      <c r="D2807" s="60"/>
      <c r="F2807" s="60"/>
      <c r="G2807" s="60"/>
      <c r="H2807" s="62"/>
      <c r="I2807" s="62" t="str">
        <f t="shared" si="43"/>
        <v/>
      </c>
    </row>
    <row r="2808" spans="2:9" x14ac:dyDescent="0.25">
      <c r="B2808" s="59"/>
      <c r="C2808" s="60"/>
      <c r="D2808" s="60"/>
      <c r="F2808" s="60"/>
      <c r="G2808" s="60"/>
      <c r="H2808" s="62"/>
      <c r="I2808" s="62" t="str">
        <f t="shared" si="43"/>
        <v/>
      </c>
    </row>
    <row r="2809" spans="2:9" x14ac:dyDescent="0.25">
      <c r="B2809" s="59"/>
      <c r="C2809" s="60"/>
      <c r="D2809" s="60"/>
      <c r="F2809" s="60"/>
      <c r="G2809" s="60"/>
      <c r="H2809" s="62"/>
      <c r="I2809" s="62" t="str">
        <f t="shared" si="43"/>
        <v/>
      </c>
    </row>
    <row r="2810" spans="2:9" x14ac:dyDescent="0.25">
      <c r="B2810" s="59"/>
      <c r="C2810" s="60"/>
      <c r="D2810" s="60"/>
      <c r="F2810" s="60"/>
      <c r="G2810" s="60"/>
      <c r="H2810" s="62"/>
      <c r="I2810" s="62" t="str">
        <f t="shared" si="43"/>
        <v/>
      </c>
    </row>
    <row r="2811" spans="2:9" x14ac:dyDescent="0.25">
      <c r="B2811" s="59"/>
      <c r="C2811" s="60"/>
      <c r="D2811" s="60"/>
      <c r="F2811" s="60"/>
      <c r="G2811" s="60"/>
      <c r="H2811" s="62"/>
      <c r="I2811" s="62" t="str">
        <f t="shared" si="43"/>
        <v/>
      </c>
    </row>
    <row r="2812" spans="2:9" x14ac:dyDescent="0.25">
      <c r="B2812" s="59"/>
      <c r="C2812" s="60"/>
      <c r="D2812" s="60"/>
      <c r="F2812" s="60"/>
      <c r="G2812" s="60"/>
      <c r="H2812" s="62"/>
      <c r="I2812" s="62" t="str">
        <f t="shared" si="43"/>
        <v/>
      </c>
    </row>
    <row r="2813" spans="2:9" x14ac:dyDescent="0.25">
      <c r="B2813" s="59"/>
      <c r="C2813" s="60"/>
      <c r="D2813" s="60"/>
      <c r="F2813" s="60"/>
      <c r="G2813" s="60"/>
      <c r="H2813" s="62"/>
      <c r="I2813" s="62" t="str">
        <f t="shared" si="43"/>
        <v/>
      </c>
    </row>
    <row r="2814" spans="2:9" x14ac:dyDescent="0.25">
      <c r="B2814" s="59"/>
      <c r="C2814" s="60"/>
      <c r="D2814" s="60"/>
      <c r="F2814" s="60"/>
      <c r="G2814" s="60"/>
      <c r="H2814" s="62"/>
      <c r="I2814" s="62" t="str">
        <f t="shared" si="43"/>
        <v/>
      </c>
    </row>
    <row r="2815" spans="2:9" x14ac:dyDescent="0.25">
      <c r="B2815" s="59"/>
      <c r="C2815" s="60"/>
      <c r="D2815" s="60"/>
      <c r="F2815" s="60"/>
      <c r="G2815" s="60"/>
      <c r="H2815" s="62"/>
      <c r="I2815" s="62" t="str">
        <f t="shared" si="43"/>
        <v/>
      </c>
    </row>
    <row r="2816" spans="2:9" x14ac:dyDescent="0.25">
      <c r="B2816" s="59"/>
      <c r="C2816" s="60"/>
      <c r="D2816" s="60"/>
      <c r="F2816" s="60"/>
      <c r="G2816" s="60"/>
      <c r="H2816" s="62"/>
      <c r="I2816" s="62" t="str">
        <f t="shared" si="43"/>
        <v/>
      </c>
    </row>
    <row r="2817" spans="2:9" x14ac:dyDescent="0.25">
      <c r="B2817" s="59"/>
      <c r="C2817" s="60"/>
      <c r="D2817" s="60"/>
      <c r="F2817" s="60"/>
      <c r="G2817" s="60"/>
      <c r="H2817" s="62"/>
      <c r="I2817" s="62" t="str">
        <f t="shared" si="43"/>
        <v/>
      </c>
    </row>
    <row r="2818" spans="2:9" x14ac:dyDescent="0.25">
      <c r="B2818" s="59"/>
      <c r="C2818" s="60"/>
      <c r="D2818" s="60"/>
      <c r="F2818" s="60"/>
      <c r="G2818" s="60"/>
      <c r="H2818" s="62"/>
      <c r="I2818" s="62" t="str">
        <f t="shared" si="43"/>
        <v/>
      </c>
    </row>
    <row r="2819" spans="2:9" x14ac:dyDescent="0.25">
      <c r="B2819" s="59"/>
      <c r="C2819" s="60"/>
      <c r="D2819" s="60"/>
      <c r="F2819" s="60"/>
      <c r="G2819" s="60"/>
      <c r="H2819" s="62"/>
      <c r="I2819" s="62" t="str">
        <f t="shared" si="43"/>
        <v/>
      </c>
    </row>
    <row r="2820" spans="2:9" x14ac:dyDescent="0.25">
      <c r="B2820" s="59"/>
      <c r="C2820" s="60"/>
      <c r="D2820" s="60"/>
      <c r="F2820" s="60"/>
      <c r="G2820" s="60"/>
      <c r="H2820" s="62"/>
      <c r="I2820" s="62" t="str">
        <f t="shared" si="43"/>
        <v/>
      </c>
    </row>
    <row r="2821" spans="2:9" x14ac:dyDescent="0.25">
      <c r="B2821" s="59"/>
      <c r="C2821" s="60"/>
      <c r="D2821" s="60"/>
      <c r="F2821" s="60"/>
      <c r="G2821" s="60"/>
      <c r="H2821" s="62"/>
      <c r="I2821" s="62" t="str">
        <f t="shared" ref="I2821:I2884" si="44">IF(H2821&lt;&gt;"",H2821-H2820,"")</f>
        <v/>
      </c>
    </row>
    <row r="2822" spans="2:9" x14ac:dyDescent="0.25">
      <c r="B2822" s="59"/>
      <c r="C2822" s="60"/>
      <c r="D2822" s="60"/>
      <c r="F2822" s="60"/>
      <c r="G2822" s="60"/>
      <c r="H2822" s="62"/>
      <c r="I2822" s="62" t="str">
        <f t="shared" si="44"/>
        <v/>
      </c>
    </row>
    <row r="2823" spans="2:9" x14ac:dyDescent="0.25">
      <c r="B2823" s="59"/>
      <c r="C2823" s="60"/>
      <c r="D2823" s="60"/>
      <c r="F2823" s="60"/>
      <c r="G2823" s="60"/>
      <c r="H2823" s="62"/>
      <c r="I2823" s="62" t="str">
        <f t="shared" si="44"/>
        <v/>
      </c>
    </row>
    <row r="2824" spans="2:9" x14ac:dyDescent="0.25">
      <c r="B2824" s="59"/>
      <c r="C2824" s="60"/>
      <c r="D2824" s="60"/>
      <c r="F2824" s="60"/>
      <c r="G2824" s="60"/>
      <c r="H2824" s="62"/>
      <c r="I2824" s="62" t="str">
        <f t="shared" si="44"/>
        <v/>
      </c>
    </row>
    <row r="2825" spans="2:9" x14ac:dyDescent="0.25">
      <c r="B2825" s="59"/>
      <c r="C2825" s="60"/>
      <c r="D2825" s="60"/>
      <c r="F2825" s="60"/>
      <c r="G2825" s="60"/>
      <c r="H2825" s="62"/>
      <c r="I2825" s="62" t="str">
        <f t="shared" si="44"/>
        <v/>
      </c>
    </row>
    <row r="2826" spans="2:9" x14ac:dyDescent="0.25">
      <c r="B2826" s="59"/>
      <c r="C2826" s="60"/>
      <c r="D2826" s="60"/>
      <c r="F2826" s="60"/>
      <c r="G2826" s="60"/>
      <c r="H2826" s="62"/>
      <c r="I2826" s="62" t="str">
        <f t="shared" si="44"/>
        <v/>
      </c>
    </row>
    <row r="2827" spans="2:9" x14ac:dyDescent="0.25">
      <c r="B2827" s="59"/>
      <c r="C2827" s="60"/>
      <c r="D2827" s="60"/>
      <c r="F2827" s="60"/>
      <c r="G2827" s="60"/>
      <c r="H2827" s="62"/>
      <c r="I2827" s="62" t="str">
        <f t="shared" si="44"/>
        <v/>
      </c>
    </row>
    <row r="2828" spans="2:9" x14ac:dyDescent="0.25">
      <c r="B2828" s="59"/>
      <c r="C2828" s="60"/>
      <c r="D2828" s="60"/>
      <c r="F2828" s="60"/>
      <c r="G2828" s="60"/>
      <c r="H2828" s="62"/>
      <c r="I2828" s="62" t="str">
        <f t="shared" si="44"/>
        <v/>
      </c>
    </row>
    <row r="2829" spans="2:9" x14ac:dyDescent="0.25">
      <c r="B2829" s="59"/>
      <c r="C2829" s="60"/>
      <c r="D2829" s="60"/>
      <c r="F2829" s="60"/>
      <c r="G2829" s="60"/>
      <c r="H2829" s="62"/>
      <c r="I2829" s="62" t="str">
        <f t="shared" si="44"/>
        <v/>
      </c>
    </row>
    <row r="2830" spans="2:9" x14ac:dyDescent="0.25">
      <c r="B2830" s="59"/>
      <c r="C2830" s="60"/>
      <c r="D2830" s="60"/>
      <c r="F2830" s="60"/>
      <c r="G2830" s="60"/>
      <c r="H2830" s="62"/>
      <c r="I2830" s="62" t="str">
        <f t="shared" si="44"/>
        <v/>
      </c>
    </row>
    <row r="2831" spans="2:9" x14ac:dyDescent="0.25">
      <c r="B2831" s="59"/>
      <c r="C2831" s="60"/>
      <c r="D2831" s="60"/>
      <c r="F2831" s="60"/>
      <c r="G2831" s="60"/>
      <c r="H2831" s="62"/>
      <c r="I2831" s="62" t="str">
        <f t="shared" si="44"/>
        <v/>
      </c>
    </row>
    <row r="2832" spans="2:9" x14ac:dyDescent="0.25">
      <c r="B2832" s="59"/>
      <c r="C2832" s="60"/>
      <c r="D2832" s="60"/>
      <c r="F2832" s="60"/>
      <c r="G2832" s="60"/>
      <c r="H2832" s="62"/>
      <c r="I2832" s="62" t="str">
        <f t="shared" si="44"/>
        <v/>
      </c>
    </row>
    <row r="2833" spans="2:9" x14ac:dyDescent="0.25">
      <c r="B2833" s="59"/>
      <c r="C2833" s="60"/>
      <c r="D2833" s="60"/>
      <c r="F2833" s="60"/>
      <c r="G2833" s="60"/>
      <c r="H2833" s="62"/>
      <c r="I2833" s="62" t="str">
        <f t="shared" si="44"/>
        <v/>
      </c>
    </row>
    <row r="2834" spans="2:9" x14ac:dyDescent="0.25">
      <c r="B2834" s="59"/>
      <c r="C2834" s="60"/>
      <c r="D2834" s="60"/>
      <c r="F2834" s="60"/>
      <c r="G2834" s="60"/>
      <c r="H2834" s="62"/>
      <c r="I2834" s="62" t="str">
        <f t="shared" si="44"/>
        <v/>
      </c>
    </row>
    <row r="2835" spans="2:9" x14ac:dyDescent="0.25">
      <c r="B2835" s="59"/>
      <c r="C2835" s="60"/>
      <c r="D2835" s="60"/>
      <c r="F2835" s="60"/>
      <c r="G2835" s="60"/>
      <c r="H2835" s="62"/>
      <c r="I2835" s="62" t="str">
        <f t="shared" si="44"/>
        <v/>
      </c>
    </row>
    <row r="2836" spans="2:9" x14ac:dyDescent="0.25">
      <c r="B2836" s="59"/>
      <c r="C2836" s="60"/>
      <c r="D2836" s="60"/>
      <c r="F2836" s="60"/>
      <c r="G2836" s="60"/>
      <c r="H2836" s="62"/>
      <c r="I2836" s="62" t="str">
        <f t="shared" si="44"/>
        <v/>
      </c>
    </row>
    <row r="2837" spans="2:9" x14ac:dyDescent="0.25">
      <c r="B2837" s="59"/>
      <c r="C2837" s="60"/>
      <c r="D2837" s="60"/>
      <c r="F2837" s="60"/>
      <c r="G2837" s="60"/>
      <c r="H2837" s="62"/>
      <c r="I2837" s="62" t="str">
        <f t="shared" si="44"/>
        <v/>
      </c>
    </row>
    <row r="2838" spans="2:9" x14ac:dyDescent="0.25">
      <c r="B2838" s="59"/>
      <c r="C2838" s="60"/>
      <c r="D2838" s="60"/>
      <c r="F2838" s="60"/>
      <c r="G2838" s="60"/>
      <c r="H2838" s="62"/>
      <c r="I2838" s="62" t="str">
        <f t="shared" si="44"/>
        <v/>
      </c>
    </row>
    <row r="2839" spans="2:9" x14ac:dyDescent="0.25">
      <c r="B2839" s="59"/>
      <c r="C2839" s="60"/>
      <c r="D2839" s="60"/>
      <c r="F2839" s="60"/>
      <c r="G2839" s="60"/>
      <c r="H2839" s="62"/>
      <c r="I2839" s="62" t="str">
        <f t="shared" si="44"/>
        <v/>
      </c>
    </row>
    <row r="2840" spans="2:9" x14ac:dyDescent="0.25">
      <c r="B2840" s="59"/>
      <c r="C2840" s="60"/>
      <c r="D2840" s="60"/>
      <c r="F2840" s="60"/>
      <c r="G2840" s="60"/>
      <c r="H2840" s="62"/>
      <c r="I2840" s="62" t="str">
        <f t="shared" si="44"/>
        <v/>
      </c>
    </row>
    <row r="2841" spans="2:9" x14ac:dyDescent="0.25">
      <c r="B2841" s="59"/>
      <c r="C2841" s="60"/>
      <c r="D2841" s="60"/>
      <c r="F2841" s="60"/>
      <c r="G2841" s="60"/>
      <c r="H2841" s="62"/>
      <c r="I2841" s="62" t="str">
        <f t="shared" si="44"/>
        <v/>
      </c>
    </row>
    <row r="2842" spans="2:9" x14ac:dyDescent="0.25">
      <c r="B2842" s="59"/>
      <c r="C2842" s="60"/>
      <c r="D2842" s="60"/>
      <c r="F2842" s="60"/>
      <c r="G2842" s="60"/>
      <c r="H2842" s="62"/>
      <c r="I2842" s="62" t="str">
        <f t="shared" si="44"/>
        <v/>
      </c>
    </row>
    <row r="2843" spans="2:9" x14ac:dyDescent="0.25">
      <c r="B2843" s="59"/>
      <c r="C2843" s="60"/>
      <c r="D2843" s="60"/>
      <c r="F2843" s="60"/>
      <c r="G2843" s="60"/>
      <c r="H2843" s="62"/>
      <c r="I2843" s="62" t="str">
        <f t="shared" si="44"/>
        <v/>
      </c>
    </row>
    <row r="2844" spans="2:9" x14ac:dyDescent="0.25">
      <c r="B2844" s="59"/>
      <c r="C2844" s="60"/>
      <c r="D2844" s="60"/>
      <c r="F2844" s="60"/>
      <c r="G2844" s="60"/>
      <c r="H2844" s="62"/>
      <c r="I2844" s="62" t="str">
        <f t="shared" si="44"/>
        <v/>
      </c>
    </row>
    <row r="2845" spans="2:9" x14ac:dyDescent="0.25">
      <c r="B2845" s="59"/>
      <c r="C2845" s="60"/>
      <c r="D2845" s="60"/>
      <c r="F2845" s="60"/>
      <c r="G2845" s="60"/>
      <c r="H2845" s="62"/>
      <c r="I2845" s="62" t="str">
        <f t="shared" si="44"/>
        <v/>
      </c>
    </row>
    <row r="2846" spans="2:9" x14ac:dyDescent="0.25">
      <c r="B2846" s="59"/>
      <c r="C2846" s="60"/>
      <c r="D2846" s="60"/>
      <c r="F2846" s="60"/>
      <c r="G2846" s="60"/>
      <c r="H2846" s="62"/>
      <c r="I2846" s="62" t="str">
        <f t="shared" si="44"/>
        <v/>
      </c>
    </row>
    <row r="2847" spans="2:9" x14ac:dyDescent="0.25">
      <c r="B2847" s="59"/>
      <c r="C2847" s="60"/>
      <c r="D2847" s="60"/>
      <c r="F2847" s="60"/>
      <c r="G2847" s="60"/>
      <c r="H2847" s="62"/>
      <c r="I2847" s="62" t="str">
        <f t="shared" si="44"/>
        <v/>
      </c>
    </row>
    <row r="2848" spans="2:9" x14ac:dyDescent="0.25">
      <c r="B2848" s="59"/>
      <c r="C2848" s="60"/>
      <c r="D2848" s="60"/>
      <c r="F2848" s="60"/>
      <c r="G2848" s="60"/>
      <c r="H2848" s="62"/>
      <c r="I2848" s="62" t="str">
        <f t="shared" si="44"/>
        <v/>
      </c>
    </row>
    <row r="2849" spans="2:9" x14ac:dyDescent="0.25">
      <c r="B2849" s="59"/>
      <c r="C2849" s="60"/>
      <c r="D2849" s="60"/>
      <c r="F2849" s="60"/>
      <c r="G2849" s="60"/>
      <c r="H2849" s="62"/>
      <c r="I2849" s="62" t="str">
        <f t="shared" si="44"/>
        <v/>
      </c>
    </row>
    <row r="2850" spans="2:9" x14ac:dyDescent="0.25">
      <c r="B2850" s="59"/>
      <c r="C2850" s="60"/>
      <c r="D2850" s="60"/>
      <c r="F2850" s="60"/>
      <c r="G2850" s="60"/>
      <c r="H2850" s="62"/>
      <c r="I2850" s="62" t="str">
        <f t="shared" si="44"/>
        <v/>
      </c>
    </row>
    <row r="2851" spans="2:9" x14ac:dyDescent="0.25">
      <c r="B2851" s="59"/>
      <c r="C2851" s="60"/>
      <c r="D2851" s="60"/>
      <c r="F2851" s="60"/>
      <c r="G2851" s="60"/>
      <c r="H2851" s="62"/>
      <c r="I2851" s="62" t="str">
        <f t="shared" si="44"/>
        <v/>
      </c>
    </row>
    <row r="2852" spans="2:9" x14ac:dyDescent="0.25">
      <c r="B2852" s="59"/>
      <c r="C2852" s="60"/>
      <c r="D2852" s="60"/>
      <c r="F2852" s="60"/>
      <c r="G2852" s="60"/>
      <c r="H2852" s="62"/>
      <c r="I2852" s="62" t="str">
        <f t="shared" si="44"/>
        <v/>
      </c>
    </row>
    <row r="2853" spans="2:9" x14ac:dyDescent="0.25">
      <c r="B2853" s="59"/>
      <c r="C2853" s="60"/>
      <c r="D2853" s="60"/>
      <c r="F2853" s="60"/>
      <c r="G2853" s="60"/>
      <c r="H2853" s="62"/>
      <c r="I2853" s="62" t="str">
        <f t="shared" si="44"/>
        <v/>
      </c>
    </row>
    <row r="2854" spans="2:9" x14ac:dyDescent="0.25">
      <c r="B2854" s="59"/>
      <c r="C2854" s="60"/>
      <c r="D2854" s="60"/>
      <c r="F2854" s="60"/>
      <c r="G2854" s="60"/>
      <c r="H2854" s="62"/>
      <c r="I2854" s="62" t="str">
        <f t="shared" si="44"/>
        <v/>
      </c>
    </row>
    <row r="2855" spans="2:9" x14ac:dyDescent="0.25">
      <c r="B2855" s="59"/>
      <c r="C2855" s="60"/>
      <c r="D2855" s="60"/>
      <c r="F2855" s="60"/>
      <c r="G2855" s="60"/>
      <c r="H2855" s="62"/>
      <c r="I2855" s="62" t="str">
        <f t="shared" si="44"/>
        <v/>
      </c>
    </row>
    <row r="2856" spans="2:9" x14ac:dyDescent="0.25">
      <c r="B2856" s="59"/>
      <c r="C2856" s="60"/>
      <c r="D2856" s="60"/>
      <c r="F2856" s="60"/>
      <c r="G2856" s="60"/>
      <c r="H2856" s="62"/>
      <c r="I2856" s="62" t="str">
        <f t="shared" si="44"/>
        <v/>
      </c>
    </row>
    <row r="2857" spans="2:9" x14ac:dyDescent="0.25">
      <c r="B2857" s="59"/>
      <c r="C2857" s="60"/>
      <c r="D2857" s="60"/>
      <c r="F2857" s="60"/>
      <c r="G2857" s="60"/>
      <c r="H2857" s="62"/>
      <c r="I2857" s="62" t="str">
        <f t="shared" si="44"/>
        <v/>
      </c>
    </row>
    <row r="2858" spans="2:9" x14ac:dyDescent="0.25">
      <c r="B2858" s="59"/>
      <c r="C2858" s="60"/>
      <c r="D2858" s="60"/>
      <c r="F2858" s="60"/>
      <c r="G2858" s="60"/>
      <c r="H2858" s="62"/>
      <c r="I2858" s="62" t="str">
        <f t="shared" si="44"/>
        <v/>
      </c>
    </row>
    <row r="2859" spans="2:9" x14ac:dyDescent="0.25">
      <c r="B2859" s="59"/>
      <c r="C2859" s="60"/>
      <c r="D2859" s="60"/>
      <c r="F2859" s="60"/>
      <c r="G2859" s="60"/>
      <c r="H2859" s="62"/>
      <c r="I2859" s="62" t="str">
        <f t="shared" si="44"/>
        <v/>
      </c>
    </row>
    <row r="2860" spans="2:9" x14ac:dyDescent="0.25">
      <c r="B2860" s="59"/>
      <c r="C2860" s="60"/>
      <c r="D2860" s="60"/>
      <c r="F2860" s="60"/>
      <c r="G2860" s="60"/>
      <c r="H2860" s="62"/>
      <c r="I2860" s="62" t="str">
        <f t="shared" si="44"/>
        <v/>
      </c>
    </row>
    <row r="2861" spans="2:9" x14ac:dyDescent="0.25">
      <c r="B2861" s="59"/>
      <c r="C2861" s="60"/>
      <c r="D2861" s="60"/>
      <c r="F2861" s="60"/>
      <c r="G2861" s="60"/>
      <c r="H2861" s="62"/>
      <c r="I2861" s="62" t="str">
        <f t="shared" si="44"/>
        <v/>
      </c>
    </row>
    <row r="2862" spans="2:9" x14ac:dyDescent="0.25">
      <c r="B2862" s="59"/>
      <c r="C2862" s="60"/>
      <c r="D2862" s="60"/>
      <c r="F2862" s="60"/>
      <c r="G2862" s="60"/>
      <c r="H2862" s="62"/>
      <c r="I2862" s="62" t="str">
        <f t="shared" si="44"/>
        <v/>
      </c>
    </row>
    <row r="2863" spans="2:9" x14ac:dyDescent="0.25">
      <c r="B2863" s="59"/>
      <c r="C2863" s="60"/>
      <c r="D2863" s="60"/>
      <c r="F2863" s="60"/>
      <c r="G2863" s="60"/>
      <c r="H2863" s="62"/>
      <c r="I2863" s="62" t="str">
        <f t="shared" si="44"/>
        <v/>
      </c>
    </row>
    <row r="2864" spans="2:9" x14ac:dyDescent="0.25">
      <c r="B2864" s="59"/>
      <c r="C2864" s="60"/>
      <c r="D2864" s="60"/>
      <c r="F2864" s="60"/>
      <c r="G2864" s="60"/>
      <c r="H2864" s="62"/>
      <c r="I2864" s="62" t="str">
        <f t="shared" si="44"/>
        <v/>
      </c>
    </row>
    <row r="2865" spans="2:9" x14ac:dyDescent="0.25">
      <c r="B2865" s="59"/>
      <c r="C2865" s="60"/>
      <c r="D2865" s="60"/>
      <c r="F2865" s="60"/>
      <c r="G2865" s="60"/>
      <c r="H2865" s="62"/>
      <c r="I2865" s="62" t="str">
        <f t="shared" si="44"/>
        <v/>
      </c>
    </row>
    <row r="2866" spans="2:9" x14ac:dyDescent="0.25">
      <c r="B2866" s="59"/>
      <c r="C2866" s="60"/>
      <c r="D2866" s="60"/>
      <c r="F2866" s="60"/>
      <c r="G2866" s="60"/>
      <c r="H2866" s="62"/>
      <c r="I2866" s="62" t="str">
        <f t="shared" si="44"/>
        <v/>
      </c>
    </row>
    <row r="2867" spans="2:9" x14ac:dyDescent="0.25">
      <c r="B2867" s="59"/>
      <c r="C2867" s="60"/>
      <c r="D2867" s="60"/>
      <c r="F2867" s="60"/>
      <c r="G2867" s="60"/>
      <c r="H2867" s="62"/>
      <c r="I2867" s="62" t="str">
        <f t="shared" si="44"/>
        <v/>
      </c>
    </row>
    <row r="2868" spans="2:9" x14ac:dyDescent="0.25">
      <c r="B2868" s="59"/>
      <c r="C2868" s="60"/>
      <c r="D2868" s="60"/>
      <c r="F2868" s="60"/>
      <c r="G2868" s="60"/>
      <c r="H2868" s="62"/>
      <c r="I2868" s="62" t="str">
        <f t="shared" si="44"/>
        <v/>
      </c>
    </row>
    <row r="2869" spans="2:9" x14ac:dyDescent="0.25">
      <c r="B2869" s="59"/>
      <c r="C2869" s="60"/>
      <c r="D2869" s="60"/>
      <c r="F2869" s="60"/>
      <c r="G2869" s="60"/>
      <c r="H2869" s="62"/>
      <c r="I2869" s="62" t="str">
        <f t="shared" si="44"/>
        <v/>
      </c>
    </row>
    <row r="2870" spans="2:9" x14ac:dyDescent="0.25">
      <c r="B2870" s="59"/>
      <c r="C2870" s="60"/>
      <c r="D2870" s="60"/>
      <c r="F2870" s="60"/>
      <c r="G2870" s="60"/>
      <c r="H2870" s="62"/>
      <c r="I2870" s="62" t="str">
        <f t="shared" si="44"/>
        <v/>
      </c>
    </row>
    <row r="2871" spans="2:9" x14ac:dyDescent="0.25">
      <c r="B2871" s="59"/>
      <c r="C2871" s="60"/>
      <c r="D2871" s="60"/>
      <c r="F2871" s="60"/>
      <c r="G2871" s="60"/>
      <c r="H2871" s="62"/>
      <c r="I2871" s="62" t="str">
        <f t="shared" si="44"/>
        <v/>
      </c>
    </row>
    <row r="2872" spans="2:9" x14ac:dyDescent="0.25">
      <c r="B2872" s="59"/>
      <c r="C2872" s="60"/>
      <c r="D2872" s="60"/>
      <c r="F2872" s="60"/>
      <c r="G2872" s="60"/>
      <c r="H2872" s="62"/>
      <c r="I2872" s="62" t="str">
        <f t="shared" si="44"/>
        <v/>
      </c>
    </row>
    <row r="2873" spans="2:9" x14ac:dyDescent="0.25">
      <c r="B2873" s="59"/>
      <c r="C2873" s="60"/>
      <c r="D2873" s="60"/>
      <c r="F2873" s="60"/>
      <c r="G2873" s="60"/>
      <c r="H2873" s="62"/>
      <c r="I2873" s="62" t="str">
        <f t="shared" si="44"/>
        <v/>
      </c>
    </row>
    <row r="2874" spans="2:9" x14ac:dyDescent="0.25">
      <c r="B2874" s="59"/>
      <c r="C2874" s="60"/>
      <c r="D2874" s="60"/>
      <c r="F2874" s="60"/>
      <c r="G2874" s="60"/>
      <c r="H2874" s="62"/>
      <c r="I2874" s="62" t="str">
        <f t="shared" si="44"/>
        <v/>
      </c>
    </row>
    <row r="2875" spans="2:9" x14ac:dyDescent="0.25">
      <c r="B2875" s="59"/>
      <c r="C2875" s="60"/>
      <c r="D2875" s="60"/>
      <c r="F2875" s="60"/>
      <c r="G2875" s="60"/>
      <c r="H2875" s="62"/>
      <c r="I2875" s="62" t="str">
        <f t="shared" si="44"/>
        <v/>
      </c>
    </row>
    <row r="2876" spans="2:9" x14ac:dyDescent="0.25">
      <c r="B2876" s="59"/>
      <c r="C2876" s="60"/>
      <c r="D2876" s="60"/>
      <c r="F2876" s="60"/>
      <c r="G2876" s="60"/>
      <c r="H2876" s="62"/>
      <c r="I2876" s="62" t="str">
        <f t="shared" si="44"/>
        <v/>
      </c>
    </row>
    <row r="2877" spans="2:9" x14ac:dyDescent="0.25">
      <c r="B2877" s="59"/>
      <c r="C2877" s="60"/>
      <c r="D2877" s="60"/>
      <c r="F2877" s="60"/>
      <c r="G2877" s="60"/>
      <c r="H2877" s="62"/>
      <c r="I2877" s="62" t="str">
        <f t="shared" si="44"/>
        <v/>
      </c>
    </row>
    <row r="2878" spans="2:9" x14ac:dyDescent="0.25">
      <c r="B2878" s="59"/>
      <c r="C2878" s="60"/>
      <c r="D2878" s="60"/>
      <c r="F2878" s="60"/>
      <c r="G2878" s="60"/>
      <c r="H2878" s="62"/>
      <c r="I2878" s="62" t="str">
        <f t="shared" si="44"/>
        <v/>
      </c>
    </row>
    <row r="2879" spans="2:9" x14ac:dyDescent="0.25">
      <c r="B2879" s="59"/>
      <c r="C2879" s="60"/>
      <c r="D2879" s="60"/>
      <c r="F2879" s="60"/>
      <c r="G2879" s="60"/>
      <c r="H2879" s="62"/>
      <c r="I2879" s="62" t="str">
        <f t="shared" si="44"/>
        <v/>
      </c>
    </row>
    <row r="2880" spans="2:9" x14ac:dyDescent="0.25">
      <c r="B2880" s="59"/>
      <c r="C2880" s="60"/>
      <c r="D2880" s="60"/>
      <c r="F2880" s="60"/>
      <c r="G2880" s="60"/>
      <c r="H2880" s="62"/>
      <c r="I2880" s="62" t="str">
        <f t="shared" si="44"/>
        <v/>
      </c>
    </row>
    <row r="2881" spans="2:9" x14ac:dyDescent="0.25">
      <c r="B2881" s="59"/>
      <c r="C2881" s="60"/>
      <c r="D2881" s="60"/>
      <c r="F2881" s="60"/>
      <c r="G2881" s="60"/>
      <c r="H2881" s="62"/>
      <c r="I2881" s="62" t="str">
        <f t="shared" si="44"/>
        <v/>
      </c>
    </row>
    <row r="2882" spans="2:9" x14ac:dyDescent="0.25">
      <c r="B2882" s="59"/>
      <c r="C2882" s="60"/>
      <c r="D2882" s="60"/>
      <c r="F2882" s="60"/>
      <c r="G2882" s="60"/>
      <c r="H2882" s="62"/>
      <c r="I2882" s="62" t="str">
        <f t="shared" si="44"/>
        <v/>
      </c>
    </row>
    <row r="2883" spans="2:9" x14ac:dyDescent="0.25">
      <c r="B2883" s="59"/>
      <c r="C2883" s="60"/>
      <c r="D2883" s="60"/>
      <c r="F2883" s="60"/>
      <c r="G2883" s="60"/>
      <c r="H2883" s="62"/>
      <c r="I2883" s="62" t="str">
        <f t="shared" si="44"/>
        <v/>
      </c>
    </row>
    <row r="2884" spans="2:9" x14ac:dyDescent="0.25">
      <c r="B2884" s="59"/>
      <c r="C2884" s="60"/>
      <c r="D2884" s="60"/>
      <c r="F2884" s="60"/>
      <c r="G2884" s="60"/>
      <c r="H2884" s="62"/>
      <c r="I2884" s="62" t="str">
        <f t="shared" si="44"/>
        <v/>
      </c>
    </row>
    <row r="2885" spans="2:9" x14ac:dyDescent="0.25">
      <c r="B2885" s="59"/>
      <c r="C2885" s="60"/>
      <c r="D2885" s="60"/>
      <c r="F2885" s="60"/>
      <c r="G2885" s="60"/>
      <c r="H2885" s="62"/>
      <c r="I2885" s="62" t="str">
        <f t="shared" ref="I2885:I2948" si="45">IF(H2885&lt;&gt;"",H2885-H2884,"")</f>
        <v/>
      </c>
    </row>
    <row r="2886" spans="2:9" x14ac:dyDescent="0.25">
      <c r="B2886" s="59"/>
      <c r="C2886" s="60"/>
      <c r="D2886" s="60"/>
      <c r="F2886" s="60"/>
      <c r="G2886" s="60"/>
      <c r="H2886" s="62"/>
      <c r="I2886" s="62" t="str">
        <f t="shared" si="45"/>
        <v/>
      </c>
    </row>
    <row r="2887" spans="2:9" x14ac:dyDescent="0.25">
      <c r="B2887" s="59"/>
      <c r="C2887" s="60"/>
      <c r="D2887" s="60"/>
      <c r="F2887" s="60"/>
      <c r="G2887" s="60"/>
      <c r="H2887" s="62"/>
      <c r="I2887" s="62" t="str">
        <f t="shared" si="45"/>
        <v/>
      </c>
    </row>
    <row r="2888" spans="2:9" x14ac:dyDescent="0.25">
      <c r="B2888" s="59"/>
      <c r="C2888" s="60"/>
      <c r="D2888" s="60"/>
      <c r="F2888" s="60"/>
      <c r="G2888" s="60"/>
      <c r="H2888" s="62"/>
      <c r="I2888" s="62" t="str">
        <f t="shared" si="45"/>
        <v/>
      </c>
    </row>
    <row r="2889" spans="2:9" x14ac:dyDescent="0.25">
      <c r="B2889" s="59"/>
      <c r="C2889" s="60"/>
      <c r="D2889" s="60"/>
      <c r="F2889" s="60"/>
      <c r="G2889" s="60"/>
      <c r="H2889" s="62"/>
      <c r="I2889" s="62" t="str">
        <f t="shared" si="45"/>
        <v/>
      </c>
    </row>
    <row r="2890" spans="2:9" x14ac:dyDescent="0.25">
      <c r="B2890" s="59"/>
      <c r="C2890" s="60"/>
      <c r="D2890" s="60"/>
      <c r="F2890" s="60"/>
      <c r="G2890" s="60"/>
      <c r="H2890" s="62"/>
      <c r="I2890" s="62" t="str">
        <f t="shared" si="45"/>
        <v/>
      </c>
    </row>
    <row r="2891" spans="2:9" x14ac:dyDescent="0.25">
      <c r="B2891" s="59"/>
      <c r="C2891" s="60"/>
      <c r="D2891" s="60"/>
      <c r="F2891" s="60"/>
      <c r="G2891" s="60"/>
      <c r="H2891" s="62"/>
      <c r="I2891" s="62" t="str">
        <f t="shared" si="45"/>
        <v/>
      </c>
    </row>
    <row r="2892" spans="2:9" x14ac:dyDescent="0.25">
      <c r="B2892" s="59"/>
      <c r="C2892" s="60"/>
      <c r="D2892" s="60"/>
      <c r="F2892" s="60"/>
      <c r="G2892" s="60"/>
      <c r="H2892" s="62"/>
      <c r="I2892" s="62" t="str">
        <f t="shared" si="45"/>
        <v/>
      </c>
    </row>
    <row r="2893" spans="2:9" x14ac:dyDescent="0.25">
      <c r="B2893" s="59"/>
      <c r="C2893" s="60"/>
      <c r="D2893" s="60"/>
      <c r="F2893" s="60"/>
      <c r="G2893" s="60"/>
      <c r="H2893" s="62"/>
      <c r="I2893" s="62" t="str">
        <f t="shared" si="45"/>
        <v/>
      </c>
    </row>
    <row r="2894" spans="2:9" x14ac:dyDescent="0.25">
      <c r="B2894" s="59"/>
      <c r="C2894" s="60"/>
      <c r="D2894" s="60"/>
      <c r="F2894" s="60"/>
      <c r="G2894" s="60"/>
      <c r="H2894" s="62"/>
      <c r="I2894" s="62" t="str">
        <f t="shared" si="45"/>
        <v/>
      </c>
    </row>
    <row r="2895" spans="2:9" x14ac:dyDescent="0.25">
      <c r="B2895" s="59"/>
      <c r="C2895" s="60"/>
      <c r="D2895" s="60"/>
      <c r="F2895" s="60"/>
      <c r="G2895" s="60"/>
      <c r="H2895" s="62"/>
      <c r="I2895" s="62" t="str">
        <f t="shared" si="45"/>
        <v/>
      </c>
    </row>
    <row r="2896" spans="2:9" x14ac:dyDescent="0.25">
      <c r="B2896" s="59"/>
      <c r="C2896" s="60"/>
      <c r="D2896" s="60"/>
      <c r="F2896" s="60"/>
      <c r="G2896" s="60"/>
      <c r="H2896" s="62"/>
      <c r="I2896" s="62" t="str">
        <f t="shared" si="45"/>
        <v/>
      </c>
    </row>
    <row r="2897" spans="2:9" x14ac:dyDescent="0.25">
      <c r="B2897" s="59"/>
      <c r="C2897" s="60"/>
      <c r="D2897" s="60"/>
      <c r="F2897" s="60"/>
      <c r="G2897" s="60"/>
      <c r="H2897" s="62"/>
      <c r="I2897" s="62" t="str">
        <f t="shared" si="45"/>
        <v/>
      </c>
    </row>
    <row r="2898" spans="2:9" x14ac:dyDescent="0.25">
      <c r="B2898" s="59"/>
      <c r="C2898" s="60"/>
      <c r="D2898" s="60"/>
      <c r="F2898" s="60"/>
      <c r="G2898" s="60"/>
      <c r="H2898" s="62"/>
      <c r="I2898" s="62" t="str">
        <f t="shared" si="45"/>
        <v/>
      </c>
    </row>
    <row r="2899" spans="2:9" x14ac:dyDescent="0.25">
      <c r="B2899" s="59"/>
      <c r="C2899" s="60"/>
      <c r="D2899" s="60"/>
      <c r="F2899" s="60"/>
      <c r="G2899" s="60"/>
      <c r="H2899" s="62"/>
      <c r="I2899" s="62" t="str">
        <f t="shared" si="45"/>
        <v/>
      </c>
    </row>
    <row r="2900" spans="2:9" x14ac:dyDescent="0.25">
      <c r="B2900" s="59"/>
      <c r="C2900" s="60"/>
      <c r="D2900" s="60"/>
      <c r="F2900" s="60"/>
      <c r="G2900" s="60"/>
      <c r="H2900" s="62"/>
      <c r="I2900" s="62" t="str">
        <f t="shared" si="45"/>
        <v/>
      </c>
    </row>
    <row r="2901" spans="2:9" x14ac:dyDescent="0.25">
      <c r="B2901" s="59"/>
      <c r="C2901" s="60"/>
      <c r="D2901" s="60"/>
      <c r="F2901" s="60"/>
      <c r="G2901" s="60"/>
      <c r="H2901" s="62"/>
      <c r="I2901" s="62" t="str">
        <f t="shared" si="45"/>
        <v/>
      </c>
    </row>
    <row r="2902" spans="2:9" x14ac:dyDescent="0.25">
      <c r="B2902" s="59"/>
      <c r="C2902" s="60"/>
      <c r="D2902" s="60"/>
      <c r="F2902" s="60"/>
      <c r="G2902" s="60"/>
      <c r="H2902" s="62"/>
      <c r="I2902" s="62" t="str">
        <f t="shared" si="45"/>
        <v/>
      </c>
    </row>
    <row r="2903" spans="2:9" x14ac:dyDescent="0.25">
      <c r="B2903" s="59"/>
      <c r="C2903" s="60"/>
      <c r="D2903" s="60"/>
      <c r="F2903" s="60"/>
      <c r="G2903" s="60"/>
      <c r="H2903" s="62"/>
      <c r="I2903" s="62" t="str">
        <f t="shared" si="45"/>
        <v/>
      </c>
    </row>
    <row r="2904" spans="2:9" x14ac:dyDescent="0.25">
      <c r="B2904" s="59"/>
      <c r="C2904" s="60"/>
      <c r="D2904" s="60"/>
      <c r="F2904" s="60"/>
      <c r="G2904" s="60"/>
      <c r="H2904" s="62"/>
      <c r="I2904" s="62" t="str">
        <f t="shared" si="45"/>
        <v/>
      </c>
    </row>
    <row r="2905" spans="2:9" x14ac:dyDescent="0.25">
      <c r="B2905" s="59"/>
      <c r="C2905" s="60"/>
      <c r="D2905" s="60"/>
      <c r="F2905" s="60"/>
      <c r="G2905" s="60"/>
      <c r="H2905" s="62"/>
      <c r="I2905" s="62" t="str">
        <f t="shared" si="45"/>
        <v/>
      </c>
    </row>
    <row r="2906" spans="2:9" x14ac:dyDescent="0.25">
      <c r="B2906" s="59"/>
      <c r="C2906" s="60"/>
      <c r="D2906" s="60"/>
      <c r="F2906" s="60"/>
      <c r="G2906" s="60"/>
      <c r="H2906" s="62"/>
      <c r="I2906" s="62" t="str">
        <f t="shared" si="45"/>
        <v/>
      </c>
    </row>
    <row r="2907" spans="2:9" x14ac:dyDescent="0.25">
      <c r="B2907" s="59"/>
      <c r="C2907" s="60"/>
      <c r="D2907" s="60"/>
      <c r="F2907" s="60"/>
      <c r="G2907" s="60"/>
      <c r="H2907" s="62"/>
      <c r="I2907" s="62" t="str">
        <f t="shared" si="45"/>
        <v/>
      </c>
    </row>
    <row r="2908" spans="2:9" x14ac:dyDescent="0.25">
      <c r="B2908" s="59"/>
      <c r="C2908" s="60"/>
      <c r="D2908" s="60"/>
      <c r="F2908" s="60"/>
      <c r="G2908" s="60"/>
      <c r="H2908" s="62"/>
      <c r="I2908" s="62" t="str">
        <f t="shared" si="45"/>
        <v/>
      </c>
    </row>
    <row r="2909" spans="2:9" x14ac:dyDescent="0.25">
      <c r="B2909" s="59"/>
      <c r="C2909" s="60"/>
      <c r="D2909" s="60"/>
      <c r="F2909" s="60"/>
      <c r="G2909" s="60"/>
      <c r="H2909" s="62"/>
      <c r="I2909" s="62" t="str">
        <f t="shared" si="45"/>
        <v/>
      </c>
    </row>
    <row r="2910" spans="2:9" x14ac:dyDescent="0.25">
      <c r="B2910" s="59"/>
      <c r="C2910" s="60"/>
      <c r="D2910" s="60"/>
      <c r="F2910" s="60"/>
      <c r="G2910" s="60"/>
      <c r="H2910" s="62"/>
      <c r="I2910" s="62" t="str">
        <f t="shared" si="45"/>
        <v/>
      </c>
    </row>
    <row r="2911" spans="2:9" x14ac:dyDescent="0.25">
      <c r="B2911" s="59"/>
      <c r="C2911" s="60"/>
      <c r="D2911" s="60"/>
      <c r="F2911" s="60"/>
      <c r="G2911" s="60"/>
      <c r="H2911" s="62"/>
      <c r="I2911" s="62" t="str">
        <f t="shared" si="45"/>
        <v/>
      </c>
    </row>
    <row r="2912" spans="2:9" x14ac:dyDescent="0.25">
      <c r="B2912" s="59"/>
      <c r="C2912" s="60"/>
      <c r="D2912" s="60"/>
      <c r="F2912" s="60"/>
      <c r="G2912" s="60"/>
      <c r="H2912" s="62"/>
      <c r="I2912" s="62" t="str">
        <f t="shared" si="45"/>
        <v/>
      </c>
    </row>
    <row r="2913" spans="2:9" x14ac:dyDescent="0.25">
      <c r="B2913" s="59"/>
      <c r="C2913" s="60"/>
      <c r="D2913" s="60"/>
      <c r="F2913" s="60"/>
      <c r="G2913" s="60"/>
      <c r="H2913" s="62"/>
      <c r="I2913" s="62" t="str">
        <f t="shared" si="45"/>
        <v/>
      </c>
    </row>
    <row r="2914" spans="2:9" x14ac:dyDescent="0.25">
      <c r="B2914" s="59"/>
      <c r="C2914" s="60"/>
      <c r="D2914" s="60"/>
      <c r="F2914" s="60"/>
      <c r="G2914" s="60"/>
      <c r="H2914" s="62"/>
      <c r="I2914" s="62" t="str">
        <f t="shared" si="45"/>
        <v/>
      </c>
    </row>
    <row r="2915" spans="2:9" x14ac:dyDescent="0.25">
      <c r="B2915" s="59"/>
      <c r="C2915" s="60"/>
      <c r="D2915" s="60"/>
      <c r="F2915" s="60"/>
      <c r="G2915" s="60"/>
      <c r="H2915" s="62"/>
      <c r="I2915" s="62" t="str">
        <f t="shared" si="45"/>
        <v/>
      </c>
    </row>
    <row r="2916" spans="2:9" x14ac:dyDescent="0.25">
      <c r="B2916" s="59"/>
      <c r="C2916" s="60"/>
      <c r="D2916" s="60"/>
      <c r="F2916" s="60"/>
      <c r="G2916" s="60"/>
      <c r="H2916" s="62"/>
      <c r="I2916" s="62" t="str">
        <f t="shared" si="45"/>
        <v/>
      </c>
    </row>
    <row r="2917" spans="2:9" x14ac:dyDescent="0.25">
      <c r="B2917" s="59"/>
      <c r="C2917" s="60"/>
      <c r="D2917" s="60"/>
      <c r="F2917" s="60"/>
      <c r="G2917" s="60"/>
      <c r="H2917" s="62"/>
      <c r="I2917" s="62" t="str">
        <f t="shared" si="45"/>
        <v/>
      </c>
    </row>
    <row r="2918" spans="2:9" x14ac:dyDescent="0.25">
      <c r="B2918" s="59"/>
      <c r="C2918" s="60"/>
      <c r="D2918" s="60"/>
      <c r="F2918" s="60"/>
      <c r="G2918" s="60"/>
      <c r="H2918" s="62"/>
      <c r="I2918" s="62" t="str">
        <f t="shared" si="45"/>
        <v/>
      </c>
    </row>
    <row r="2919" spans="2:9" x14ac:dyDescent="0.25">
      <c r="B2919" s="59"/>
      <c r="C2919" s="60"/>
      <c r="D2919" s="60"/>
      <c r="F2919" s="60"/>
      <c r="G2919" s="60"/>
      <c r="H2919" s="62"/>
      <c r="I2919" s="62" t="str">
        <f t="shared" si="45"/>
        <v/>
      </c>
    </row>
    <row r="2920" spans="2:9" x14ac:dyDescent="0.25">
      <c r="B2920" s="59"/>
      <c r="C2920" s="60"/>
      <c r="D2920" s="60"/>
      <c r="F2920" s="60"/>
      <c r="G2920" s="60"/>
      <c r="H2920" s="62"/>
      <c r="I2920" s="62" t="str">
        <f t="shared" si="45"/>
        <v/>
      </c>
    </row>
    <row r="2921" spans="2:9" x14ac:dyDescent="0.25">
      <c r="B2921" s="59"/>
      <c r="C2921" s="60"/>
      <c r="D2921" s="60"/>
      <c r="F2921" s="60"/>
      <c r="G2921" s="60"/>
      <c r="H2921" s="62"/>
      <c r="I2921" s="62" t="str">
        <f t="shared" si="45"/>
        <v/>
      </c>
    </row>
    <row r="2922" spans="2:9" x14ac:dyDescent="0.25">
      <c r="B2922" s="59"/>
      <c r="C2922" s="60"/>
      <c r="D2922" s="60"/>
      <c r="F2922" s="60"/>
      <c r="G2922" s="60"/>
      <c r="H2922" s="62"/>
      <c r="I2922" s="62" t="str">
        <f t="shared" si="45"/>
        <v/>
      </c>
    </row>
    <row r="2923" spans="2:9" x14ac:dyDescent="0.25">
      <c r="B2923" s="59"/>
      <c r="C2923" s="60"/>
      <c r="D2923" s="60"/>
      <c r="F2923" s="60"/>
      <c r="G2923" s="60"/>
      <c r="H2923" s="62"/>
      <c r="I2923" s="62" t="str">
        <f t="shared" si="45"/>
        <v/>
      </c>
    </row>
    <row r="2924" spans="2:9" x14ac:dyDescent="0.25">
      <c r="B2924" s="59"/>
      <c r="C2924" s="60"/>
      <c r="D2924" s="60"/>
      <c r="F2924" s="60"/>
      <c r="G2924" s="60"/>
      <c r="H2924" s="62"/>
      <c r="I2924" s="62" t="str">
        <f t="shared" si="45"/>
        <v/>
      </c>
    </row>
    <row r="2925" spans="2:9" x14ac:dyDescent="0.25">
      <c r="B2925" s="59"/>
      <c r="C2925" s="60"/>
      <c r="D2925" s="60"/>
      <c r="F2925" s="60"/>
      <c r="G2925" s="60"/>
      <c r="H2925" s="62"/>
      <c r="I2925" s="62" t="str">
        <f t="shared" si="45"/>
        <v/>
      </c>
    </row>
    <row r="2926" spans="2:9" x14ac:dyDescent="0.25">
      <c r="B2926" s="59"/>
      <c r="C2926" s="60"/>
      <c r="D2926" s="60"/>
      <c r="F2926" s="60"/>
      <c r="G2926" s="60"/>
      <c r="H2926" s="62"/>
      <c r="I2926" s="62" t="str">
        <f t="shared" si="45"/>
        <v/>
      </c>
    </row>
    <row r="2927" spans="2:9" x14ac:dyDescent="0.25">
      <c r="B2927" s="59"/>
      <c r="C2927" s="60"/>
      <c r="D2927" s="60"/>
      <c r="F2927" s="60"/>
      <c r="G2927" s="60"/>
      <c r="H2927" s="62"/>
      <c r="I2927" s="62" t="str">
        <f t="shared" si="45"/>
        <v/>
      </c>
    </row>
    <row r="2928" spans="2:9" x14ac:dyDescent="0.25">
      <c r="B2928" s="59"/>
      <c r="C2928" s="60"/>
      <c r="D2928" s="60"/>
      <c r="F2928" s="60"/>
      <c r="G2928" s="60"/>
      <c r="H2928" s="62"/>
      <c r="I2928" s="62" t="str">
        <f t="shared" si="45"/>
        <v/>
      </c>
    </row>
    <row r="2929" spans="2:9" x14ac:dyDescent="0.25">
      <c r="B2929" s="59"/>
      <c r="C2929" s="60"/>
      <c r="D2929" s="60"/>
      <c r="F2929" s="60"/>
      <c r="G2929" s="60"/>
      <c r="H2929" s="62"/>
      <c r="I2929" s="62" t="str">
        <f t="shared" si="45"/>
        <v/>
      </c>
    </row>
    <row r="2930" spans="2:9" x14ac:dyDescent="0.25">
      <c r="B2930" s="59"/>
      <c r="C2930" s="60"/>
      <c r="D2930" s="60"/>
      <c r="F2930" s="60"/>
      <c r="G2930" s="60"/>
      <c r="H2930" s="62"/>
      <c r="I2930" s="62" t="str">
        <f t="shared" si="45"/>
        <v/>
      </c>
    </row>
    <row r="2931" spans="2:9" x14ac:dyDescent="0.25">
      <c r="B2931" s="59"/>
      <c r="C2931" s="60"/>
      <c r="D2931" s="60"/>
      <c r="F2931" s="60"/>
      <c r="G2931" s="60"/>
      <c r="H2931" s="62"/>
      <c r="I2931" s="62" t="str">
        <f t="shared" si="45"/>
        <v/>
      </c>
    </row>
    <row r="2932" spans="2:9" x14ac:dyDescent="0.25">
      <c r="B2932" s="59"/>
      <c r="C2932" s="60"/>
      <c r="D2932" s="60"/>
      <c r="F2932" s="60"/>
      <c r="G2932" s="60"/>
      <c r="H2932" s="62"/>
      <c r="I2932" s="62" t="str">
        <f t="shared" si="45"/>
        <v/>
      </c>
    </row>
    <row r="2933" spans="2:9" x14ac:dyDescent="0.25">
      <c r="B2933" s="59"/>
      <c r="C2933" s="60"/>
      <c r="D2933" s="60"/>
      <c r="F2933" s="60"/>
      <c r="G2933" s="60"/>
      <c r="H2933" s="62"/>
      <c r="I2933" s="62" t="str">
        <f t="shared" si="45"/>
        <v/>
      </c>
    </row>
    <row r="2934" spans="2:9" x14ac:dyDescent="0.25">
      <c r="B2934" s="59"/>
      <c r="C2934" s="60"/>
      <c r="D2934" s="60"/>
      <c r="F2934" s="60"/>
      <c r="G2934" s="60"/>
      <c r="H2934" s="62"/>
      <c r="I2934" s="62" t="str">
        <f t="shared" si="45"/>
        <v/>
      </c>
    </row>
    <row r="2935" spans="2:9" x14ac:dyDescent="0.25">
      <c r="B2935" s="59"/>
      <c r="C2935" s="60"/>
      <c r="D2935" s="60"/>
      <c r="F2935" s="60"/>
      <c r="G2935" s="60"/>
      <c r="H2935" s="62"/>
      <c r="I2935" s="62" t="str">
        <f t="shared" si="45"/>
        <v/>
      </c>
    </row>
    <row r="2936" spans="2:9" x14ac:dyDescent="0.25">
      <c r="B2936" s="59"/>
      <c r="C2936" s="60"/>
      <c r="D2936" s="60"/>
      <c r="F2936" s="60"/>
      <c r="G2936" s="60"/>
      <c r="H2936" s="62"/>
      <c r="I2936" s="62" t="str">
        <f t="shared" si="45"/>
        <v/>
      </c>
    </row>
    <row r="2937" spans="2:9" x14ac:dyDescent="0.25">
      <c r="B2937" s="59"/>
      <c r="C2937" s="60"/>
      <c r="D2937" s="60"/>
      <c r="F2937" s="60"/>
      <c r="G2937" s="60"/>
      <c r="H2937" s="62"/>
      <c r="I2937" s="62" t="str">
        <f t="shared" si="45"/>
        <v/>
      </c>
    </row>
    <row r="2938" spans="2:9" x14ac:dyDescent="0.25">
      <c r="B2938" s="59"/>
      <c r="C2938" s="60"/>
      <c r="D2938" s="60"/>
      <c r="F2938" s="60"/>
      <c r="G2938" s="60"/>
      <c r="H2938" s="62"/>
      <c r="I2938" s="62" t="str">
        <f t="shared" si="45"/>
        <v/>
      </c>
    </row>
    <row r="2939" spans="2:9" x14ac:dyDescent="0.25">
      <c r="B2939" s="59"/>
      <c r="C2939" s="60"/>
      <c r="D2939" s="60"/>
      <c r="F2939" s="60"/>
      <c r="G2939" s="60"/>
      <c r="H2939" s="62"/>
      <c r="I2939" s="62" t="str">
        <f t="shared" si="45"/>
        <v/>
      </c>
    </row>
    <row r="2940" spans="2:9" x14ac:dyDescent="0.25">
      <c r="B2940" s="59"/>
      <c r="C2940" s="60"/>
      <c r="D2940" s="60"/>
      <c r="F2940" s="60"/>
      <c r="G2940" s="60"/>
      <c r="H2940" s="62"/>
      <c r="I2940" s="62" t="str">
        <f t="shared" si="45"/>
        <v/>
      </c>
    </row>
    <row r="2941" spans="2:9" x14ac:dyDescent="0.25">
      <c r="B2941" s="59"/>
      <c r="C2941" s="60"/>
      <c r="D2941" s="60"/>
      <c r="F2941" s="60"/>
      <c r="G2941" s="60"/>
      <c r="H2941" s="62"/>
      <c r="I2941" s="62" t="str">
        <f t="shared" si="45"/>
        <v/>
      </c>
    </row>
    <row r="2942" spans="2:9" x14ac:dyDescent="0.25">
      <c r="B2942" s="59"/>
      <c r="C2942" s="60"/>
      <c r="D2942" s="60"/>
      <c r="F2942" s="60"/>
      <c r="G2942" s="60"/>
      <c r="H2942" s="62"/>
      <c r="I2942" s="62" t="str">
        <f t="shared" si="45"/>
        <v/>
      </c>
    </row>
    <row r="2943" spans="2:9" x14ac:dyDescent="0.25">
      <c r="B2943" s="59"/>
      <c r="C2943" s="60"/>
      <c r="D2943" s="60"/>
      <c r="F2943" s="60"/>
      <c r="G2943" s="60"/>
      <c r="H2943" s="62"/>
      <c r="I2943" s="62" t="str">
        <f t="shared" si="45"/>
        <v/>
      </c>
    </row>
    <row r="2944" spans="2:9" x14ac:dyDescent="0.25">
      <c r="B2944" s="59"/>
      <c r="C2944" s="60"/>
      <c r="D2944" s="60"/>
      <c r="F2944" s="60"/>
      <c r="G2944" s="60"/>
      <c r="H2944" s="62"/>
      <c r="I2944" s="62" t="str">
        <f t="shared" si="45"/>
        <v/>
      </c>
    </row>
    <row r="2945" spans="2:9" x14ac:dyDescent="0.25">
      <c r="B2945" s="59"/>
      <c r="C2945" s="60"/>
      <c r="D2945" s="60"/>
      <c r="F2945" s="60"/>
      <c r="G2945" s="60"/>
      <c r="H2945" s="62"/>
      <c r="I2945" s="62" t="str">
        <f t="shared" si="45"/>
        <v/>
      </c>
    </row>
    <row r="2946" spans="2:9" x14ac:dyDescent="0.25">
      <c r="B2946" s="59"/>
      <c r="C2946" s="60"/>
      <c r="D2946" s="60"/>
      <c r="F2946" s="60"/>
      <c r="G2946" s="60"/>
      <c r="H2946" s="62"/>
      <c r="I2946" s="62" t="str">
        <f t="shared" si="45"/>
        <v/>
      </c>
    </row>
    <row r="2947" spans="2:9" x14ac:dyDescent="0.25">
      <c r="B2947" s="59"/>
      <c r="C2947" s="60"/>
      <c r="D2947" s="60"/>
      <c r="F2947" s="60"/>
      <c r="G2947" s="60"/>
      <c r="H2947" s="62"/>
      <c r="I2947" s="62" t="str">
        <f t="shared" si="45"/>
        <v/>
      </c>
    </row>
    <row r="2948" spans="2:9" x14ac:dyDescent="0.25">
      <c r="B2948" s="59"/>
      <c r="C2948" s="60"/>
      <c r="D2948" s="60"/>
      <c r="F2948" s="60"/>
      <c r="G2948" s="60"/>
      <c r="H2948" s="62"/>
      <c r="I2948" s="62" t="str">
        <f t="shared" si="45"/>
        <v/>
      </c>
    </row>
    <row r="2949" spans="2:9" x14ac:dyDescent="0.25">
      <c r="B2949" s="59"/>
      <c r="C2949" s="60"/>
      <c r="D2949" s="60"/>
      <c r="F2949" s="60"/>
      <c r="G2949" s="60"/>
      <c r="H2949" s="62"/>
      <c r="I2949" s="62" t="str">
        <f t="shared" ref="I2949:I3012" si="46">IF(H2949&lt;&gt;"",H2949-H2948,"")</f>
        <v/>
      </c>
    </row>
    <row r="2950" spans="2:9" x14ac:dyDescent="0.25">
      <c r="B2950" s="59"/>
      <c r="C2950" s="60"/>
      <c r="D2950" s="60"/>
      <c r="F2950" s="60"/>
      <c r="G2950" s="60"/>
      <c r="H2950" s="62"/>
      <c r="I2950" s="62" t="str">
        <f t="shared" si="46"/>
        <v/>
      </c>
    </row>
    <row r="2951" spans="2:9" x14ac:dyDescent="0.25">
      <c r="B2951" s="59"/>
      <c r="C2951" s="60"/>
      <c r="D2951" s="60"/>
      <c r="F2951" s="60"/>
      <c r="G2951" s="60"/>
      <c r="H2951" s="62"/>
      <c r="I2951" s="62" t="str">
        <f t="shared" si="46"/>
        <v/>
      </c>
    </row>
    <row r="2952" spans="2:9" x14ac:dyDescent="0.25">
      <c r="B2952" s="59"/>
      <c r="C2952" s="60"/>
      <c r="D2952" s="60"/>
      <c r="F2952" s="60"/>
      <c r="G2952" s="60"/>
      <c r="H2952" s="62"/>
      <c r="I2952" s="62" t="str">
        <f t="shared" si="46"/>
        <v/>
      </c>
    </row>
    <row r="2953" spans="2:9" x14ac:dyDescent="0.25">
      <c r="B2953" s="59"/>
      <c r="C2953" s="60"/>
      <c r="D2953" s="60"/>
      <c r="F2953" s="60"/>
      <c r="G2953" s="60"/>
      <c r="H2953" s="62"/>
      <c r="I2953" s="62" t="str">
        <f t="shared" si="46"/>
        <v/>
      </c>
    </row>
    <row r="2954" spans="2:9" x14ac:dyDescent="0.25">
      <c r="B2954" s="59"/>
      <c r="C2954" s="60"/>
      <c r="D2954" s="60"/>
      <c r="F2954" s="60"/>
      <c r="G2954" s="60"/>
      <c r="H2954" s="62"/>
      <c r="I2954" s="62" t="str">
        <f t="shared" si="46"/>
        <v/>
      </c>
    </row>
    <row r="2955" spans="2:9" x14ac:dyDescent="0.25">
      <c r="B2955" s="59"/>
      <c r="C2955" s="60"/>
      <c r="D2955" s="60"/>
      <c r="F2955" s="60"/>
      <c r="G2955" s="60"/>
      <c r="H2955" s="62"/>
      <c r="I2955" s="62" t="str">
        <f t="shared" si="46"/>
        <v/>
      </c>
    </row>
    <row r="2956" spans="2:9" x14ac:dyDescent="0.25">
      <c r="B2956" s="59"/>
      <c r="C2956" s="60"/>
      <c r="D2956" s="60"/>
      <c r="F2956" s="60"/>
      <c r="G2956" s="60"/>
      <c r="H2956" s="62"/>
      <c r="I2956" s="62" t="str">
        <f t="shared" si="46"/>
        <v/>
      </c>
    </row>
    <row r="2957" spans="2:9" x14ac:dyDescent="0.25">
      <c r="B2957" s="59"/>
      <c r="C2957" s="60"/>
      <c r="D2957" s="60"/>
      <c r="F2957" s="60"/>
      <c r="G2957" s="60"/>
      <c r="H2957" s="62"/>
      <c r="I2957" s="62" t="str">
        <f t="shared" si="46"/>
        <v/>
      </c>
    </row>
    <row r="2958" spans="2:9" x14ac:dyDescent="0.25">
      <c r="B2958" s="59"/>
      <c r="C2958" s="60"/>
      <c r="D2958" s="60"/>
      <c r="F2958" s="60"/>
      <c r="G2958" s="60"/>
      <c r="H2958" s="62"/>
      <c r="I2958" s="62" t="str">
        <f t="shared" si="46"/>
        <v/>
      </c>
    </row>
    <row r="2959" spans="2:9" x14ac:dyDescent="0.25">
      <c r="B2959" s="59"/>
      <c r="C2959" s="60"/>
      <c r="D2959" s="60"/>
      <c r="F2959" s="60"/>
      <c r="G2959" s="60"/>
      <c r="H2959" s="62"/>
      <c r="I2959" s="62" t="str">
        <f t="shared" si="46"/>
        <v/>
      </c>
    </row>
    <row r="2960" spans="2:9" x14ac:dyDescent="0.25">
      <c r="B2960" s="59"/>
      <c r="C2960" s="60"/>
      <c r="D2960" s="60"/>
      <c r="F2960" s="60"/>
      <c r="G2960" s="60"/>
      <c r="H2960" s="62"/>
      <c r="I2960" s="62" t="str">
        <f t="shared" si="46"/>
        <v/>
      </c>
    </row>
    <row r="2961" spans="2:9" x14ac:dyDescent="0.25">
      <c r="B2961" s="59"/>
      <c r="C2961" s="60"/>
      <c r="D2961" s="60"/>
      <c r="F2961" s="60"/>
      <c r="G2961" s="60"/>
      <c r="H2961" s="62"/>
      <c r="I2961" s="62" t="str">
        <f t="shared" si="46"/>
        <v/>
      </c>
    </row>
    <row r="2962" spans="2:9" x14ac:dyDescent="0.25">
      <c r="B2962" s="59"/>
      <c r="C2962" s="60"/>
      <c r="D2962" s="60"/>
      <c r="F2962" s="60"/>
      <c r="G2962" s="60"/>
      <c r="H2962" s="62"/>
      <c r="I2962" s="62" t="str">
        <f t="shared" si="46"/>
        <v/>
      </c>
    </row>
    <row r="2963" spans="2:9" x14ac:dyDescent="0.25">
      <c r="B2963" s="59"/>
      <c r="C2963" s="60"/>
      <c r="D2963" s="60"/>
      <c r="F2963" s="60"/>
      <c r="G2963" s="60"/>
      <c r="H2963" s="62"/>
      <c r="I2963" s="62" t="str">
        <f t="shared" si="46"/>
        <v/>
      </c>
    </row>
    <row r="2964" spans="2:9" x14ac:dyDescent="0.25">
      <c r="B2964" s="59"/>
      <c r="C2964" s="60"/>
      <c r="D2964" s="60"/>
      <c r="F2964" s="60"/>
      <c r="G2964" s="60"/>
      <c r="H2964" s="62"/>
      <c r="I2964" s="62" t="str">
        <f t="shared" si="46"/>
        <v/>
      </c>
    </row>
    <row r="2965" spans="2:9" x14ac:dyDescent="0.25">
      <c r="B2965" s="59"/>
      <c r="C2965" s="60"/>
      <c r="D2965" s="60"/>
      <c r="F2965" s="60"/>
      <c r="G2965" s="60"/>
      <c r="H2965" s="62"/>
      <c r="I2965" s="62" t="str">
        <f t="shared" si="46"/>
        <v/>
      </c>
    </row>
    <row r="2966" spans="2:9" x14ac:dyDescent="0.25">
      <c r="B2966" s="59"/>
      <c r="C2966" s="60"/>
      <c r="D2966" s="60"/>
      <c r="F2966" s="60"/>
      <c r="G2966" s="60"/>
      <c r="H2966" s="62"/>
      <c r="I2966" s="62" t="str">
        <f t="shared" si="46"/>
        <v/>
      </c>
    </row>
    <row r="2967" spans="2:9" x14ac:dyDescent="0.25">
      <c r="B2967" s="59"/>
      <c r="C2967" s="60"/>
      <c r="D2967" s="60"/>
      <c r="F2967" s="60"/>
      <c r="G2967" s="60"/>
      <c r="H2967" s="62"/>
      <c r="I2967" s="62" t="str">
        <f t="shared" si="46"/>
        <v/>
      </c>
    </row>
    <row r="2968" spans="2:9" x14ac:dyDescent="0.25">
      <c r="B2968" s="59"/>
      <c r="C2968" s="60"/>
      <c r="D2968" s="60"/>
      <c r="F2968" s="60"/>
      <c r="G2968" s="60"/>
      <c r="H2968" s="62"/>
      <c r="I2968" s="62" t="str">
        <f t="shared" si="46"/>
        <v/>
      </c>
    </row>
    <row r="2969" spans="2:9" x14ac:dyDescent="0.25">
      <c r="B2969" s="59"/>
      <c r="C2969" s="60"/>
      <c r="D2969" s="60"/>
      <c r="F2969" s="60"/>
      <c r="G2969" s="60"/>
      <c r="H2969" s="62"/>
      <c r="I2969" s="62" t="str">
        <f t="shared" si="46"/>
        <v/>
      </c>
    </row>
    <row r="2970" spans="2:9" x14ac:dyDescent="0.25">
      <c r="B2970" s="59"/>
      <c r="C2970" s="60"/>
      <c r="D2970" s="60"/>
      <c r="F2970" s="60"/>
      <c r="G2970" s="60"/>
      <c r="H2970" s="62"/>
      <c r="I2970" s="62" t="str">
        <f t="shared" si="46"/>
        <v/>
      </c>
    </row>
    <row r="2971" spans="2:9" x14ac:dyDescent="0.25">
      <c r="B2971" s="59"/>
      <c r="C2971" s="60"/>
      <c r="D2971" s="60"/>
      <c r="F2971" s="60"/>
      <c r="G2971" s="60"/>
      <c r="H2971" s="62"/>
      <c r="I2971" s="62" t="str">
        <f t="shared" si="46"/>
        <v/>
      </c>
    </row>
    <row r="2972" spans="2:9" x14ac:dyDescent="0.25">
      <c r="B2972" s="59"/>
      <c r="C2972" s="60"/>
      <c r="D2972" s="60"/>
      <c r="F2972" s="60"/>
      <c r="G2972" s="60"/>
      <c r="H2972" s="62"/>
      <c r="I2972" s="62" t="str">
        <f t="shared" si="46"/>
        <v/>
      </c>
    </row>
    <row r="2973" spans="2:9" x14ac:dyDescent="0.25">
      <c r="B2973" s="59"/>
      <c r="C2973" s="60"/>
      <c r="D2973" s="60"/>
      <c r="F2973" s="60"/>
      <c r="G2973" s="60"/>
      <c r="H2973" s="62"/>
      <c r="I2973" s="62" t="str">
        <f t="shared" si="46"/>
        <v/>
      </c>
    </row>
    <row r="2974" spans="2:9" x14ac:dyDescent="0.25">
      <c r="B2974" s="59"/>
      <c r="C2974" s="60"/>
      <c r="D2974" s="60"/>
      <c r="F2974" s="60"/>
      <c r="G2974" s="60"/>
      <c r="H2974" s="62"/>
      <c r="I2974" s="62" t="str">
        <f t="shared" si="46"/>
        <v/>
      </c>
    </row>
    <row r="2975" spans="2:9" x14ac:dyDescent="0.25">
      <c r="B2975" s="59"/>
      <c r="C2975" s="60"/>
      <c r="D2975" s="60"/>
      <c r="F2975" s="60"/>
      <c r="G2975" s="60"/>
      <c r="H2975" s="62"/>
      <c r="I2975" s="62" t="str">
        <f t="shared" si="46"/>
        <v/>
      </c>
    </row>
    <row r="2976" spans="2:9" x14ac:dyDescent="0.25">
      <c r="B2976" s="59"/>
      <c r="C2976" s="60"/>
      <c r="D2976" s="60"/>
      <c r="F2976" s="60"/>
      <c r="G2976" s="60"/>
      <c r="H2976" s="62"/>
      <c r="I2976" s="62" t="str">
        <f t="shared" si="46"/>
        <v/>
      </c>
    </row>
    <row r="2977" spans="2:9" x14ac:dyDescent="0.25">
      <c r="B2977" s="59"/>
      <c r="C2977" s="60"/>
      <c r="D2977" s="60"/>
      <c r="F2977" s="60"/>
      <c r="G2977" s="60"/>
      <c r="H2977" s="62"/>
      <c r="I2977" s="62" t="str">
        <f t="shared" si="46"/>
        <v/>
      </c>
    </row>
    <row r="2978" spans="2:9" x14ac:dyDescent="0.25">
      <c r="B2978" s="59"/>
      <c r="C2978" s="60"/>
      <c r="D2978" s="60"/>
      <c r="F2978" s="60"/>
      <c r="G2978" s="60"/>
      <c r="H2978" s="62"/>
      <c r="I2978" s="62" t="str">
        <f t="shared" si="46"/>
        <v/>
      </c>
    </row>
    <row r="2979" spans="2:9" x14ac:dyDescent="0.25">
      <c r="B2979" s="59"/>
      <c r="C2979" s="60"/>
      <c r="D2979" s="60"/>
      <c r="F2979" s="60"/>
      <c r="G2979" s="60"/>
      <c r="H2979" s="62"/>
      <c r="I2979" s="62" t="str">
        <f t="shared" si="46"/>
        <v/>
      </c>
    </row>
    <row r="2980" spans="2:9" x14ac:dyDescent="0.25">
      <c r="B2980" s="59"/>
      <c r="C2980" s="60"/>
      <c r="D2980" s="60"/>
      <c r="F2980" s="60"/>
      <c r="G2980" s="60"/>
      <c r="H2980" s="62"/>
      <c r="I2980" s="62" t="str">
        <f t="shared" si="46"/>
        <v/>
      </c>
    </row>
    <row r="2981" spans="2:9" x14ac:dyDescent="0.25">
      <c r="B2981" s="59"/>
      <c r="C2981" s="60"/>
      <c r="D2981" s="60"/>
      <c r="F2981" s="60"/>
      <c r="G2981" s="60"/>
      <c r="H2981" s="62"/>
      <c r="I2981" s="62" t="str">
        <f t="shared" si="46"/>
        <v/>
      </c>
    </row>
    <row r="2982" spans="2:9" x14ac:dyDescent="0.25">
      <c r="B2982" s="59"/>
      <c r="C2982" s="60"/>
      <c r="D2982" s="60"/>
      <c r="F2982" s="60"/>
      <c r="G2982" s="60"/>
      <c r="H2982" s="62"/>
      <c r="I2982" s="62" t="str">
        <f t="shared" si="46"/>
        <v/>
      </c>
    </row>
    <row r="2983" spans="2:9" x14ac:dyDescent="0.25">
      <c r="B2983" s="59"/>
      <c r="C2983" s="60"/>
      <c r="D2983" s="60"/>
      <c r="F2983" s="60"/>
      <c r="G2983" s="60"/>
      <c r="H2983" s="62"/>
      <c r="I2983" s="62" t="str">
        <f t="shared" si="46"/>
        <v/>
      </c>
    </row>
    <row r="2984" spans="2:9" x14ac:dyDescent="0.25">
      <c r="B2984" s="59"/>
      <c r="C2984" s="60"/>
      <c r="D2984" s="60"/>
      <c r="F2984" s="60"/>
      <c r="G2984" s="60"/>
      <c r="H2984" s="62"/>
      <c r="I2984" s="62" t="str">
        <f t="shared" si="46"/>
        <v/>
      </c>
    </row>
    <row r="2985" spans="2:9" x14ac:dyDescent="0.25">
      <c r="B2985" s="59"/>
      <c r="C2985" s="60"/>
      <c r="D2985" s="60"/>
      <c r="F2985" s="60"/>
      <c r="G2985" s="60"/>
      <c r="H2985" s="62"/>
      <c r="I2985" s="62" t="str">
        <f t="shared" si="46"/>
        <v/>
      </c>
    </row>
    <row r="2986" spans="2:9" x14ac:dyDescent="0.25">
      <c r="B2986" s="59"/>
      <c r="C2986" s="60"/>
      <c r="D2986" s="60"/>
      <c r="F2986" s="60"/>
      <c r="G2986" s="60"/>
      <c r="H2986" s="62"/>
      <c r="I2986" s="62" t="str">
        <f t="shared" si="46"/>
        <v/>
      </c>
    </row>
    <row r="2987" spans="2:9" x14ac:dyDescent="0.25">
      <c r="B2987" s="59"/>
      <c r="C2987" s="60"/>
      <c r="D2987" s="60"/>
      <c r="F2987" s="60"/>
      <c r="G2987" s="60"/>
      <c r="H2987" s="62"/>
      <c r="I2987" s="62" t="str">
        <f t="shared" si="46"/>
        <v/>
      </c>
    </row>
    <row r="2988" spans="2:9" x14ac:dyDescent="0.25">
      <c r="B2988" s="59"/>
      <c r="C2988" s="60"/>
      <c r="D2988" s="60"/>
      <c r="F2988" s="60"/>
      <c r="G2988" s="60"/>
      <c r="H2988" s="62"/>
      <c r="I2988" s="62" t="str">
        <f t="shared" si="46"/>
        <v/>
      </c>
    </row>
    <row r="2989" spans="2:9" x14ac:dyDescent="0.25">
      <c r="B2989" s="59"/>
      <c r="C2989" s="60"/>
      <c r="D2989" s="60"/>
      <c r="F2989" s="60"/>
      <c r="G2989" s="60"/>
      <c r="H2989" s="62"/>
      <c r="I2989" s="62" t="str">
        <f t="shared" si="46"/>
        <v/>
      </c>
    </row>
    <row r="2990" spans="2:9" x14ac:dyDescent="0.25">
      <c r="B2990" s="59"/>
      <c r="C2990" s="60"/>
      <c r="D2990" s="60"/>
      <c r="F2990" s="60"/>
      <c r="G2990" s="60"/>
      <c r="H2990" s="62"/>
      <c r="I2990" s="62" t="str">
        <f t="shared" si="46"/>
        <v/>
      </c>
    </row>
    <row r="2991" spans="2:9" x14ac:dyDescent="0.25">
      <c r="B2991" s="59"/>
      <c r="C2991" s="60"/>
      <c r="D2991" s="60"/>
      <c r="F2991" s="60"/>
      <c r="G2991" s="60"/>
      <c r="H2991" s="62"/>
      <c r="I2991" s="62" t="str">
        <f t="shared" si="46"/>
        <v/>
      </c>
    </row>
    <row r="2992" spans="2:9" x14ac:dyDescent="0.25">
      <c r="B2992" s="59"/>
      <c r="C2992" s="60"/>
      <c r="D2992" s="60"/>
      <c r="F2992" s="60"/>
      <c r="G2992" s="60"/>
      <c r="H2992" s="62"/>
      <c r="I2992" s="62" t="str">
        <f t="shared" si="46"/>
        <v/>
      </c>
    </row>
    <row r="2993" spans="2:9" x14ac:dyDescent="0.25">
      <c r="B2993" s="59"/>
      <c r="C2993" s="60"/>
      <c r="D2993" s="60"/>
      <c r="F2993" s="60"/>
      <c r="G2993" s="60"/>
      <c r="H2993" s="62"/>
      <c r="I2993" s="62" t="str">
        <f t="shared" si="46"/>
        <v/>
      </c>
    </row>
    <row r="2994" spans="2:9" x14ac:dyDescent="0.25">
      <c r="B2994" s="59"/>
      <c r="C2994" s="60"/>
      <c r="D2994" s="60"/>
      <c r="F2994" s="60"/>
      <c r="G2994" s="60"/>
      <c r="H2994" s="62"/>
      <c r="I2994" s="62" t="str">
        <f t="shared" si="46"/>
        <v/>
      </c>
    </row>
    <row r="2995" spans="2:9" x14ac:dyDescent="0.25">
      <c r="B2995" s="59"/>
      <c r="C2995" s="60"/>
      <c r="D2995" s="60"/>
      <c r="F2995" s="60"/>
      <c r="G2995" s="60"/>
      <c r="H2995" s="62"/>
      <c r="I2995" s="62" t="str">
        <f t="shared" si="46"/>
        <v/>
      </c>
    </row>
    <row r="2996" spans="2:9" x14ac:dyDescent="0.25">
      <c r="B2996" s="59"/>
      <c r="C2996" s="60"/>
      <c r="D2996" s="60"/>
      <c r="F2996" s="60"/>
      <c r="G2996" s="60"/>
      <c r="H2996" s="62"/>
      <c r="I2996" s="62" t="str">
        <f t="shared" si="46"/>
        <v/>
      </c>
    </row>
    <row r="2997" spans="2:9" x14ac:dyDescent="0.25">
      <c r="B2997" s="59"/>
      <c r="C2997" s="60"/>
      <c r="D2997" s="60"/>
      <c r="F2997" s="60"/>
      <c r="G2997" s="60"/>
      <c r="H2997" s="62"/>
      <c r="I2997" s="62" t="str">
        <f t="shared" si="46"/>
        <v/>
      </c>
    </row>
    <row r="2998" spans="2:9" x14ac:dyDescent="0.25">
      <c r="B2998" s="59"/>
      <c r="C2998" s="60"/>
      <c r="D2998" s="60"/>
      <c r="F2998" s="60"/>
      <c r="G2998" s="60"/>
      <c r="H2998" s="62"/>
      <c r="I2998" s="62" t="str">
        <f t="shared" si="46"/>
        <v/>
      </c>
    </row>
    <row r="2999" spans="2:9" x14ac:dyDescent="0.25">
      <c r="B2999" s="59"/>
      <c r="C2999" s="60"/>
      <c r="D2999" s="60"/>
      <c r="F2999" s="60"/>
      <c r="G2999" s="60"/>
      <c r="H2999" s="62"/>
      <c r="I2999" s="62" t="str">
        <f t="shared" si="46"/>
        <v/>
      </c>
    </row>
    <row r="3000" spans="2:9" x14ac:dyDescent="0.25">
      <c r="B3000" s="59"/>
      <c r="C3000" s="60"/>
      <c r="D3000" s="60"/>
      <c r="F3000" s="60"/>
      <c r="G3000" s="60"/>
      <c r="H3000" s="62"/>
      <c r="I3000" s="62" t="str">
        <f t="shared" si="46"/>
        <v/>
      </c>
    </row>
    <row r="3001" spans="2:9" x14ac:dyDescent="0.25">
      <c r="B3001" s="59"/>
      <c r="C3001" s="60"/>
      <c r="D3001" s="60"/>
      <c r="F3001" s="60"/>
      <c r="G3001" s="60"/>
      <c r="H3001" s="62"/>
      <c r="I3001" s="62" t="str">
        <f t="shared" si="46"/>
        <v/>
      </c>
    </row>
    <row r="3002" spans="2:9" x14ac:dyDescent="0.25">
      <c r="B3002" s="59"/>
      <c r="C3002" s="60"/>
      <c r="D3002" s="60"/>
      <c r="F3002" s="60"/>
      <c r="G3002" s="60"/>
      <c r="H3002" s="62"/>
      <c r="I3002" s="62" t="str">
        <f t="shared" si="46"/>
        <v/>
      </c>
    </row>
    <row r="3003" spans="2:9" x14ac:dyDescent="0.25">
      <c r="B3003" s="59"/>
      <c r="C3003" s="60"/>
      <c r="D3003" s="60"/>
      <c r="F3003" s="60"/>
      <c r="G3003" s="60"/>
      <c r="H3003" s="62"/>
      <c r="I3003" s="62" t="str">
        <f t="shared" si="46"/>
        <v/>
      </c>
    </row>
    <row r="3004" spans="2:9" x14ac:dyDescent="0.25">
      <c r="B3004" s="59"/>
      <c r="C3004" s="60"/>
      <c r="D3004" s="60"/>
      <c r="F3004" s="60"/>
      <c r="G3004" s="60"/>
      <c r="H3004" s="62"/>
      <c r="I3004" s="62" t="str">
        <f t="shared" si="46"/>
        <v/>
      </c>
    </row>
    <row r="3005" spans="2:9" x14ac:dyDescent="0.25">
      <c r="B3005" s="59"/>
      <c r="C3005" s="60"/>
      <c r="D3005" s="60"/>
      <c r="F3005" s="60"/>
      <c r="G3005" s="60"/>
      <c r="H3005" s="62"/>
      <c r="I3005" s="62" t="str">
        <f t="shared" si="46"/>
        <v/>
      </c>
    </row>
    <row r="3006" spans="2:9" x14ac:dyDescent="0.25">
      <c r="B3006" s="59"/>
      <c r="C3006" s="60"/>
      <c r="D3006" s="60"/>
      <c r="F3006" s="60"/>
      <c r="G3006" s="60"/>
      <c r="H3006" s="62"/>
      <c r="I3006" s="62" t="str">
        <f t="shared" si="46"/>
        <v/>
      </c>
    </row>
    <row r="3007" spans="2:9" x14ac:dyDescent="0.25">
      <c r="B3007" s="59"/>
      <c r="C3007" s="60"/>
      <c r="D3007" s="60"/>
      <c r="F3007" s="60"/>
      <c r="G3007" s="60"/>
      <c r="H3007" s="62"/>
      <c r="I3007" s="62" t="str">
        <f t="shared" si="46"/>
        <v/>
      </c>
    </row>
    <row r="3008" spans="2:9" x14ac:dyDescent="0.25">
      <c r="B3008" s="59"/>
      <c r="C3008" s="60"/>
      <c r="D3008" s="60"/>
      <c r="F3008" s="60"/>
      <c r="G3008" s="60"/>
      <c r="H3008" s="62"/>
      <c r="I3008" s="62" t="str">
        <f t="shared" si="46"/>
        <v/>
      </c>
    </row>
    <row r="3009" spans="2:9" x14ac:dyDescent="0.25">
      <c r="B3009" s="59"/>
      <c r="C3009" s="60"/>
      <c r="D3009" s="60"/>
      <c r="F3009" s="60"/>
      <c r="G3009" s="60"/>
      <c r="H3009" s="62"/>
      <c r="I3009" s="62" t="str">
        <f t="shared" si="46"/>
        <v/>
      </c>
    </row>
    <row r="3010" spans="2:9" x14ac:dyDescent="0.25">
      <c r="B3010" s="59"/>
      <c r="C3010" s="60"/>
      <c r="D3010" s="60"/>
      <c r="F3010" s="60"/>
      <c r="G3010" s="60"/>
      <c r="H3010" s="62"/>
      <c r="I3010" s="62" t="str">
        <f t="shared" si="46"/>
        <v/>
      </c>
    </row>
    <row r="3011" spans="2:9" x14ac:dyDescent="0.25">
      <c r="B3011" s="59"/>
      <c r="C3011" s="60"/>
      <c r="D3011" s="60"/>
      <c r="F3011" s="60"/>
      <c r="G3011" s="60"/>
      <c r="H3011" s="62"/>
      <c r="I3011" s="62" t="str">
        <f t="shared" si="46"/>
        <v/>
      </c>
    </row>
    <row r="3012" spans="2:9" x14ac:dyDescent="0.25">
      <c r="B3012" s="59"/>
      <c r="C3012" s="60"/>
      <c r="D3012" s="60"/>
      <c r="F3012" s="60"/>
      <c r="G3012" s="60"/>
      <c r="H3012" s="62"/>
      <c r="I3012" s="62" t="str">
        <f t="shared" si="46"/>
        <v/>
      </c>
    </row>
    <row r="3013" spans="2:9" x14ac:dyDescent="0.25">
      <c r="B3013" s="59"/>
      <c r="C3013" s="60"/>
      <c r="D3013" s="60"/>
      <c r="F3013" s="60"/>
      <c r="G3013" s="60"/>
      <c r="H3013" s="62"/>
      <c r="I3013" s="62" t="str">
        <f t="shared" ref="I3013:I3076" si="47">IF(H3013&lt;&gt;"",H3013-H3012,"")</f>
        <v/>
      </c>
    </row>
    <row r="3014" spans="2:9" x14ac:dyDescent="0.25">
      <c r="B3014" s="59"/>
      <c r="C3014" s="60"/>
      <c r="D3014" s="60"/>
      <c r="F3014" s="60"/>
      <c r="G3014" s="60"/>
      <c r="H3014" s="62"/>
      <c r="I3014" s="62" t="str">
        <f t="shared" si="47"/>
        <v/>
      </c>
    </row>
    <row r="3015" spans="2:9" x14ac:dyDescent="0.25">
      <c r="B3015" s="59"/>
      <c r="C3015" s="60"/>
      <c r="D3015" s="60"/>
      <c r="F3015" s="60"/>
      <c r="G3015" s="60"/>
      <c r="H3015" s="62"/>
      <c r="I3015" s="62" t="str">
        <f t="shared" si="47"/>
        <v/>
      </c>
    </row>
    <row r="3016" spans="2:9" x14ac:dyDescent="0.25">
      <c r="B3016" s="59"/>
      <c r="C3016" s="60"/>
      <c r="D3016" s="60"/>
      <c r="F3016" s="60"/>
      <c r="G3016" s="60"/>
      <c r="H3016" s="62"/>
      <c r="I3016" s="62" t="str">
        <f t="shared" si="47"/>
        <v/>
      </c>
    </row>
    <row r="3017" spans="2:9" x14ac:dyDescent="0.25">
      <c r="B3017" s="59"/>
      <c r="C3017" s="60"/>
      <c r="D3017" s="60"/>
      <c r="F3017" s="60"/>
      <c r="G3017" s="60"/>
      <c r="H3017" s="62"/>
      <c r="I3017" s="62" t="str">
        <f t="shared" si="47"/>
        <v/>
      </c>
    </row>
    <row r="3018" spans="2:9" x14ac:dyDescent="0.25">
      <c r="B3018" s="59"/>
      <c r="C3018" s="60"/>
      <c r="D3018" s="60"/>
      <c r="F3018" s="60"/>
      <c r="G3018" s="60"/>
      <c r="H3018" s="62"/>
      <c r="I3018" s="62" t="str">
        <f t="shared" si="47"/>
        <v/>
      </c>
    </row>
    <row r="3019" spans="2:9" x14ac:dyDescent="0.25">
      <c r="B3019" s="59"/>
      <c r="C3019" s="60"/>
      <c r="D3019" s="60"/>
      <c r="F3019" s="60"/>
      <c r="G3019" s="60"/>
      <c r="H3019" s="62"/>
      <c r="I3019" s="62" t="str">
        <f t="shared" si="47"/>
        <v/>
      </c>
    </row>
    <row r="3020" spans="2:9" x14ac:dyDescent="0.25">
      <c r="B3020" s="59"/>
      <c r="C3020" s="60"/>
      <c r="D3020" s="60"/>
      <c r="F3020" s="60"/>
      <c r="G3020" s="60"/>
      <c r="H3020" s="62"/>
      <c r="I3020" s="62" t="str">
        <f t="shared" si="47"/>
        <v/>
      </c>
    </row>
    <row r="3021" spans="2:9" x14ac:dyDescent="0.25">
      <c r="B3021" s="59"/>
      <c r="C3021" s="60"/>
      <c r="D3021" s="60"/>
      <c r="F3021" s="60"/>
      <c r="G3021" s="60"/>
      <c r="H3021" s="62"/>
      <c r="I3021" s="62" t="str">
        <f t="shared" si="47"/>
        <v/>
      </c>
    </row>
    <row r="3022" spans="2:9" x14ac:dyDescent="0.25">
      <c r="B3022" s="59"/>
      <c r="C3022" s="60"/>
      <c r="D3022" s="60"/>
      <c r="F3022" s="60"/>
      <c r="G3022" s="60"/>
      <c r="H3022" s="62"/>
      <c r="I3022" s="62" t="str">
        <f t="shared" si="47"/>
        <v/>
      </c>
    </row>
    <row r="3023" spans="2:9" x14ac:dyDescent="0.25">
      <c r="B3023" s="59"/>
      <c r="C3023" s="60"/>
      <c r="D3023" s="60"/>
      <c r="F3023" s="60"/>
      <c r="G3023" s="60"/>
      <c r="H3023" s="62"/>
      <c r="I3023" s="62" t="str">
        <f t="shared" si="47"/>
        <v/>
      </c>
    </row>
    <row r="3024" spans="2:9" x14ac:dyDescent="0.25">
      <c r="B3024" s="59"/>
      <c r="C3024" s="60"/>
      <c r="D3024" s="60"/>
      <c r="F3024" s="60"/>
      <c r="G3024" s="60"/>
      <c r="H3024" s="62"/>
      <c r="I3024" s="62" t="str">
        <f t="shared" si="47"/>
        <v/>
      </c>
    </row>
    <row r="3025" spans="2:9" x14ac:dyDescent="0.25">
      <c r="B3025" s="59"/>
      <c r="C3025" s="60"/>
      <c r="D3025" s="60"/>
      <c r="F3025" s="60"/>
      <c r="G3025" s="60"/>
      <c r="H3025" s="62"/>
      <c r="I3025" s="62" t="str">
        <f t="shared" si="47"/>
        <v/>
      </c>
    </row>
    <row r="3026" spans="2:9" x14ac:dyDescent="0.25">
      <c r="B3026" s="59"/>
      <c r="C3026" s="60"/>
      <c r="D3026" s="60"/>
      <c r="F3026" s="60"/>
      <c r="G3026" s="60"/>
      <c r="H3026" s="62"/>
      <c r="I3026" s="62" t="str">
        <f t="shared" si="47"/>
        <v/>
      </c>
    </row>
    <row r="3027" spans="2:9" x14ac:dyDescent="0.25">
      <c r="B3027" s="59"/>
      <c r="C3027" s="60"/>
      <c r="D3027" s="60"/>
      <c r="F3027" s="60"/>
      <c r="G3027" s="60"/>
      <c r="H3027" s="62"/>
      <c r="I3027" s="62" t="str">
        <f t="shared" si="47"/>
        <v/>
      </c>
    </row>
    <row r="3028" spans="2:9" x14ac:dyDescent="0.25">
      <c r="B3028" s="59"/>
      <c r="C3028" s="60"/>
      <c r="D3028" s="60"/>
      <c r="F3028" s="60"/>
      <c r="G3028" s="60"/>
      <c r="H3028" s="62"/>
      <c r="I3028" s="62" t="str">
        <f t="shared" si="47"/>
        <v/>
      </c>
    </row>
    <row r="3029" spans="2:9" x14ac:dyDescent="0.25">
      <c r="B3029" s="59"/>
      <c r="C3029" s="60"/>
      <c r="D3029" s="60"/>
      <c r="F3029" s="60"/>
      <c r="G3029" s="60"/>
      <c r="H3029" s="62"/>
      <c r="I3029" s="62" t="str">
        <f t="shared" si="47"/>
        <v/>
      </c>
    </row>
    <row r="3030" spans="2:9" x14ac:dyDescent="0.25">
      <c r="B3030" s="59"/>
      <c r="C3030" s="60"/>
      <c r="D3030" s="60"/>
      <c r="F3030" s="60"/>
      <c r="G3030" s="60"/>
      <c r="H3030" s="62"/>
      <c r="I3030" s="62" t="str">
        <f t="shared" si="47"/>
        <v/>
      </c>
    </row>
    <row r="3031" spans="2:9" x14ac:dyDescent="0.25">
      <c r="B3031" s="59"/>
      <c r="C3031" s="60"/>
      <c r="D3031" s="60"/>
      <c r="F3031" s="60"/>
      <c r="G3031" s="60"/>
      <c r="H3031" s="62"/>
      <c r="I3031" s="62" t="str">
        <f t="shared" si="47"/>
        <v/>
      </c>
    </row>
    <row r="3032" spans="2:9" x14ac:dyDescent="0.25">
      <c r="B3032" s="59"/>
      <c r="C3032" s="60"/>
      <c r="D3032" s="60"/>
      <c r="F3032" s="60"/>
      <c r="G3032" s="60"/>
      <c r="H3032" s="62"/>
      <c r="I3032" s="62" t="str">
        <f t="shared" si="47"/>
        <v/>
      </c>
    </row>
    <row r="3033" spans="2:9" x14ac:dyDescent="0.25">
      <c r="B3033" s="59"/>
      <c r="C3033" s="60"/>
      <c r="D3033" s="60"/>
      <c r="F3033" s="60"/>
      <c r="G3033" s="60"/>
      <c r="H3033" s="62"/>
      <c r="I3033" s="62" t="str">
        <f t="shared" si="47"/>
        <v/>
      </c>
    </row>
    <row r="3034" spans="2:9" x14ac:dyDescent="0.25">
      <c r="B3034" s="59"/>
      <c r="C3034" s="60"/>
      <c r="D3034" s="60"/>
      <c r="F3034" s="60"/>
      <c r="G3034" s="60"/>
      <c r="H3034" s="62"/>
      <c r="I3034" s="62" t="str">
        <f t="shared" si="47"/>
        <v/>
      </c>
    </row>
    <row r="3035" spans="2:9" x14ac:dyDescent="0.25">
      <c r="B3035" s="59"/>
      <c r="C3035" s="60"/>
      <c r="D3035" s="60"/>
      <c r="F3035" s="60"/>
      <c r="G3035" s="60"/>
      <c r="H3035" s="62"/>
      <c r="I3035" s="62" t="str">
        <f t="shared" si="47"/>
        <v/>
      </c>
    </row>
    <row r="3036" spans="2:9" x14ac:dyDescent="0.25">
      <c r="B3036" s="59"/>
      <c r="C3036" s="60"/>
      <c r="D3036" s="60"/>
      <c r="F3036" s="60"/>
      <c r="G3036" s="60"/>
      <c r="H3036" s="62"/>
      <c r="I3036" s="62" t="str">
        <f t="shared" si="47"/>
        <v/>
      </c>
    </row>
    <row r="3037" spans="2:9" x14ac:dyDescent="0.25">
      <c r="B3037" s="59"/>
      <c r="C3037" s="60"/>
      <c r="D3037" s="60"/>
      <c r="F3037" s="60"/>
      <c r="G3037" s="60"/>
      <c r="H3037" s="62"/>
      <c r="I3037" s="62" t="str">
        <f t="shared" si="47"/>
        <v/>
      </c>
    </row>
    <row r="3038" spans="2:9" x14ac:dyDescent="0.25">
      <c r="B3038" s="59"/>
      <c r="C3038" s="60"/>
      <c r="D3038" s="60"/>
      <c r="F3038" s="60"/>
      <c r="G3038" s="60"/>
      <c r="H3038" s="62"/>
      <c r="I3038" s="62" t="str">
        <f t="shared" si="47"/>
        <v/>
      </c>
    </row>
    <row r="3039" spans="2:9" x14ac:dyDescent="0.25">
      <c r="B3039" s="59"/>
      <c r="C3039" s="60"/>
      <c r="D3039" s="60"/>
      <c r="F3039" s="60"/>
      <c r="G3039" s="60"/>
      <c r="H3039" s="62"/>
      <c r="I3039" s="62" t="str">
        <f t="shared" si="47"/>
        <v/>
      </c>
    </row>
    <row r="3040" spans="2:9" x14ac:dyDescent="0.25">
      <c r="B3040" s="59"/>
      <c r="C3040" s="60"/>
      <c r="D3040" s="60"/>
      <c r="F3040" s="60"/>
      <c r="G3040" s="60"/>
      <c r="H3040" s="62"/>
      <c r="I3040" s="62" t="str">
        <f t="shared" si="47"/>
        <v/>
      </c>
    </row>
    <row r="3041" spans="2:9" x14ac:dyDescent="0.25">
      <c r="B3041" s="59"/>
      <c r="C3041" s="60"/>
      <c r="D3041" s="60"/>
      <c r="F3041" s="60"/>
      <c r="G3041" s="60"/>
      <c r="H3041" s="62"/>
      <c r="I3041" s="62" t="str">
        <f t="shared" si="47"/>
        <v/>
      </c>
    </row>
    <row r="3042" spans="2:9" x14ac:dyDescent="0.25">
      <c r="B3042" s="59"/>
      <c r="C3042" s="60"/>
      <c r="D3042" s="60"/>
      <c r="F3042" s="60"/>
      <c r="G3042" s="60"/>
      <c r="H3042" s="62"/>
      <c r="I3042" s="62" t="str">
        <f t="shared" si="47"/>
        <v/>
      </c>
    </row>
    <row r="3043" spans="2:9" x14ac:dyDescent="0.25">
      <c r="B3043" s="59"/>
      <c r="C3043" s="60"/>
      <c r="D3043" s="60"/>
      <c r="F3043" s="60"/>
      <c r="G3043" s="60"/>
      <c r="H3043" s="62"/>
      <c r="I3043" s="62" t="str">
        <f t="shared" si="47"/>
        <v/>
      </c>
    </row>
    <row r="3044" spans="2:9" x14ac:dyDescent="0.25">
      <c r="B3044" s="59"/>
      <c r="C3044" s="60"/>
      <c r="D3044" s="60"/>
      <c r="F3044" s="60"/>
      <c r="G3044" s="60"/>
      <c r="H3044" s="62"/>
      <c r="I3044" s="62" t="str">
        <f t="shared" si="47"/>
        <v/>
      </c>
    </row>
    <row r="3045" spans="2:9" x14ac:dyDescent="0.25">
      <c r="B3045" s="59"/>
      <c r="C3045" s="60"/>
      <c r="D3045" s="60"/>
      <c r="F3045" s="60"/>
      <c r="G3045" s="60"/>
      <c r="H3045" s="62"/>
      <c r="I3045" s="62" t="str">
        <f t="shared" si="47"/>
        <v/>
      </c>
    </row>
    <row r="3046" spans="2:9" x14ac:dyDescent="0.25">
      <c r="B3046" s="59"/>
      <c r="C3046" s="60"/>
      <c r="D3046" s="60"/>
      <c r="F3046" s="60"/>
      <c r="G3046" s="60"/>
      <c r="H3046" s="62"/>
      <c r="I3046" s="62" t="str">
        <f t="shared" si="47"/>
        <v/>
      </c>
    </row>
    <row r="3047" spans="2:9" x14ac:dyDescent="0.25">
      <c r="B3047" s="59"/>
      <c r="C3047" s="60"/>
      <c r="D3047" s="60"/>
      <c r="F3047" s="60"/>
      <c r="G3047" s="60"/>
      <c r="H3047" s="62"/>
      <c r="I3047" s="62" t="str">
        <f t="shared" si="47"/>
        <v/>
      </c>
    </row>
    <row r="3048" spans="2:9" x14ac:dyDescent="0.25">
      <c r="B3048" s="59"/>
      <c r="C3048" s="60"/>
      <c r="D3048" s="60"/>
      <c r="F3048" s="60"/>
      <c r="G3048" s="60"/>
      <c r="H3048" s="62"/>
      <c r="I3048" s="62" t="str">
        <f t="shared" si="47"/>
        <v/>
      </c>
    </row>
    <row r="3049" spans="2:9" x14ac:dyDescent="0.25">
      <c r="B3049" s="59"/>
      <c r="C3049" s="60"/>
      <c r="D3049" s="60"/>
      <c r="F3049" s="60"/>
      <c r="G3049" s="60"/>
      <c r="H3049" s="62"/>
      <c r="I3049" s="62" t="str">
        <f t="shared" si="47"/>
        <v/>
      </c>
    </row>
    <row r="3050" spans="2:9" x14ac:dyDescent="0.25">
      <c r="B3050" s="59"/>
      <c r="C3050" s="60"/>
      <c r="D3050" s="60"/>
      <c r="F3050" s="60"/>
      <c r="G3050" s="60"/>
      <c r="H3050" s="62"/>
      <c r="I3050" s="62" t="str">
        <f t="shared" si="47"/>
        <v/>
      </c>
    </row>
    <row r="3051" spans="2:9" x14ac:dyDescent="0.25">
      <c r="B3051" s="59"/>
      <c r="C3051" s="60"/>
      <c r="D3051" s="60"/>
      <c r="F3051" s="60"/>
      <c r="G3051" s="60"/>
      <c r="H3051" s="62"/>
      <c r="I3051" s="62" t="str">
        <f t="shared" si="47"/>
        <v/>
      </c>
    </row>
    <row r="3052" spans="2:9" x14ac:dyDescent="0.25">
      <c r="B3052" s="59"/>
      <c r="C3052" s="60"/>
      <c r="D3052" s="60"/>
      <c r="F3052" s="60"/>
      <c r="G3052" s="60"/>
      <c r="H3052" s="62"/>
      <c r="I3052" s="62" t="str">
        <f t="shared" si="47"/>
        <v/>
      </c>
    </row>
    <row r="3053" spans="2:9" x14ac:dyDescent="0.25">
      <c r="B3053" s="59"/>
      <c r="C3053" s="60"/>
      <c r="D3053" s="60"/>
      <c r="F3053" s="60"/>
      <c r="G3053" s="60"/>
      <c r="H3053" s="62"/>
      <c r="I3053" s="62" t="str">
        <f t="shared" si="47"/>
        <v/>
      </c>
    </row>
    <row r="3054" spans="2:9" x14ac:dyDescent="0.25">
      <c r="B3054" s="59"/>
      <c r="C3054" s="60"/>
      <c r="D3054" s="60"/>
      <c r="F3054" s="60"/>
      <c r="G3054" s="60"/>
      <c r="H3054" s="62"/>
      <c r="I3054" s="62" t="str">
        <f t="shared" si="47"/>
        <v/>
      </c>
    </row>
    <row r="3055" spans="2:9" x14ac:dyDescent="0.25">
      <c r="B3055" s="59"/>
      <c r="C3055" s="60"/>
      <c r="D3055" s="60"/>
      <c r="F3055" s="60"/>
      <c r="G3055" s="60"/>
      <c r="H3055" s="62"/>
      <c r="I3055" s="62" t="str">
        <f t="shared" si="47"/>
        <v/>
      </c>
    </row>
    <row r="3056" spans="2:9" x14ac:dyDescent="0.25">
      <c r="B3056" s="59"/>
      <c r="C3056" s="60"/>
      <c r="D3056" s="60"/>
      <c r="F3056" s="60"/>
      <c r="G3056" s="60"/>
      <c r="H3056" s="62"/>
      <c r="I3056" s="62" t="str">
        <f t="shared" si="47"/>
        <v/>
      </c>
    </row>
    <row r="3057" spans="2:9" x14ac:dyDescent="0.25">
      <c r="B3057" s="59"/>
      <c r="C3057" s="60"/>
      <c r="D3057" s="60"/>
      <c r="F3057" s="60"/>
      <c r="G3057" s="60"/>
      <c r="H3057" s="62"/>
      <c r="I3057" s="62" t="str">
        <f t="shared" si="47"/>
        <v/>
      </c>
    </row>
    <row r="3058" spans="2:9" x14ac:dyDescent="0.25">
      <c r="B3058" s="59"/>
      <c r="C3058" s="60"/>
      <c r="D3058" s="60"/>
      <c r="F3058" s="60"/>
      <c r="G3058" s="60"/>
      <c r="H3058" s="62"/>
      <c r="I3058" s="62" t="str">
        <f t="shared" si="47"/>
        <v/>
      </c>
    </row>
    <row r="3059" spans="2:9" x14ac:dyDescent="0.25">
      <c r="B3059" s="59"/>
      <c r="C3059" s="60"/>
      <c r="D3059" s="60"/>
      <c r="F3059" s="60"/>
      <c r="G3059" s="60"/>
      <c r="H3059" s="62"/>
      <c r="I3059" s="62" t="str">
        <f t="shared" si="47"/>
        <v/>
      </c>
    </row>
    <row r="3060" spans="2:9" x14ac:dyDescent="0.25">
      <c r="B3060" s="59"/>
      <c r="C3060" s="60"/>
      <c r="D3060" s="60"/>
      <c r="F3060" s="60"/>
      <c r="G3060" s="60"/>
      <c r="H3060" s="62"/>
      <c r="I3060" s="62" t="str">
        <f t="shared" si="47"/>
        <v/>
      </c>
    </row>
    <row r="3061" spans="2:9" x14ac:dyDescent="0.25">
      <c r="B3061" s="59"/>
      <c r="C3061" s="60"/>
      <c r="D3061" s="60"/>
      <c r="F3061" s="60"/>
      <c r="G3061" s="60"/>
      <c r="H3061" s="62"/>
      <c r="I3061" s="62" t="str">
        <f t="shared" si="47"/>
        <v/>
      </c>
    </row>
    <row r="3062" spans="2:9" x14ac:dyDescent="0.25">
      <c r="B3062" s="59"/>
      <c r="C3062" s="60"/>
      <c r="D3062" s="60"/>
      <c r="F3062" s="60"/>
      <c r="G3062" s="60"/>
      <c r="H3062" s="62"/>
      <c r="I3062" s="62" t="str">
        <f t="shared" si="47"/>
        <v/>
      </c>
    </row>
    <row r="3063" spans="2:9" x14ac:dyDescent="0.25">
      <c r="B3063" s="59"/>
      <c r="C3063" s="60"/>
      <c r="D3063" s="60"/>
      <c r="F3063" s="60"/>
      <c r="G3063" s="60"/>
      <c r="H3063" s="62"/>
      <c r="I3063" s="62" t="str">
        <f t="shared" si="47"/>
        <v/>
      </c>
    </row>
    <row r="3064" spans="2:9" x14ac:dyDescent="0.25">
      <c r="B3064" s="59"/>
      <c r="C3064" s="60"/>
      <c r="D3064" s="60"/>
      <c r="F3064" s="60"/>
      <c r="G3064" s="60"/>
      <c r="H3064" s="62"/>
      <c r="I3064" s="62" t="str">
        <f t="shared" si="47"/>
        <v/>
      </c>
    </row>
    <row r="3065" spans="2:9" x14ac:dyDescent="0.25">
      <c r="B3065" s="59"/>
      <c r="C3065" s="60"/>
      <c r="D3065" s="60"/>
      <c r="F3065" s="60"/>
      <c r="G3065" s="60"/>
      <c r="H3065" s="62"/>
      <c r="I3065" s="62" t="str">
        <f t="shared" si="47"/>
        <v/>
      </c>
    </row>
    <row r="3066" spans="2:9" x14ac:dyDescent="0.25">
      <c r="B3066" s="59"/>
      <c r="C3066" s="60"/>
      <c r="D3066" s="60"/>
      <c r="F3066" s="60"/>
      <c r="G3066" s="60"/>
      <c r="H3066" s="62"/>
      <c r="I3066" s="62" t="str">
        <f t="shared" si="47"/>
        <v/>
      </c>
    </row>
    <row r="3067" spans="2:9" x14ac:dyDescent="0.25">
      <c r="B3067" s="59"/>
      <c r="C3067" s="60"/>
      <c r="D3067" s="60"/>
      <c r="F3067" s="60"/>
      <c r="G3067" s="60"/>
      <c r="H3067" s="62"/>
      <c r="I3067" s="62" t="str">
        <f t="shared" si="47"/>
        <v/>
      </c>
    </row>
    <row r="3068" spans="2:9" x14ac:dyDescent="0.25">
      <c r="B3068" s="59"/>
      <c r="C3068" s="60"/>
      <c r="D3068" s="60"/>
      <c r="F3068" s="60"/>
      <c r="G3068" s="60"/>
      <c r="H3068" s="62"/>
      <c r="I3068" s="62" t="str">
        <f t="shared" si="47"/>
        <v/>
      </c>
    </row>
    <row r="3069" spans="2:9" x14ac:dyDescent="0.25">
      <c r="B3069" s="59"/>
      <c r="C3069" s="60"/>
      <c r="D3069" s="60"/>
      <c r="F3069" s="60"/>
      <c r="G3069" s="60"/>
      <c r="H3069" s="62"/>
      <c r="I3069" s="62" t="str">
        <f t="shared" si="47"/>
        <v/>
      </c>
    </row>
    <row r="3070" spans="2:9" x14ac:dyDescent="0.25">
      <c r="B3070" s="59"/>
      <c r="C3070" s="60"/>
      <c r="D3070" s="60"/>
      <c r="F3070" s="60"/>
      <c r="G3070" s="60"/>
      <c r="H3070" s="62"/>
      <c r="I3070" s="62" t="str">
        <f t="shared" si="47"/>
        <v/>
      </c>
    </row>
    <row r="3071" spans="2:9" x14ac:dyDescent="0.25">
      <c r="B3071" s="59"/>
      <c r="C3071" s="60"/>
      <c r="D3071" s="60"/>
      <c r="F3071" s="60"/>
      <c r="G3071" s="60"/>
      <c r="H3071" s="62"/>
      <c r="I3071" s="62" t="str">
        <f t="shared" si="47"/>
        <v/>
      </c>
    </row>
    <row r="3072" spans="2:9" x14ac:dyDescent="0.25">
      <c r="B3072" s="59"/>
      <c r="C3072" s="60"/>
      <c r="D3072" s="60"/>
      <c r="F3072" s="60"/>
      <c r="G3072" s="60"/>
      <c r="H3072" s="62"/>
      <c r="I3072" s="62" t="str">
        <f t="shared" si="47"/>
        <v/>
      </c>
    </row>
    <row r="3073" spans="2:9" x14ac:dyDescent="0.25">
      <c r="B3073" s="59"/>
      <c r="C3073" s="60"/>
      <c r="D3073" s="60"/>
      <c r="F3073" s="60"/>
      <c r="G3073" s="60"/>
      <c r="H3073" s="62"/>
      <c r="I3073" s="62" t="str">
        <f t="shared" si="47"/>
        <v/>
      </c>
    </row>
    <row r="3074" spans="2:9" x14ac:dyDescent="0.25">
      <c r="B3074" s="59"/>
      <c r="C3074" s="60"/>
      <c r="D3074" s="60"/>
      <c r="F3074" s="60"/>
      <c r="G3074" s="60"/>
      <c r="H3074" s="62"/>
      <c r="I3074" s="62" t="str">
        <f t="shared" si="47"/>
        <v/>
      </c>
    </row>
    <row r="3075" spans="2:9" x14ac:dyDescent="0.25">
      <c r="B3075" s="59"/>
      <c r="C3075" s="60"/>
      <c r="D3075" s="60"/>
      <c r="F3075" s="60"/>
      <c r="G3075" s="60"/>
      <c r="H3075" s="62"/>
      <c r="I3075" s="62" t="str">
        <f t="shared" si="47"/>
        <v/>
      </c>
    </row>
    <row r="3076" spans="2:9" x14ac:dyDescent="0.25">
      <c r="B3076" s="59"/>
      <c r="C3076" s="60"/>
      <c r="D3076" s="60"/>
      <c r="F3076" s="60"/>
      <c r="G3076" s="60"/>
      <c r="H3076" s="62"/>
      <c r="I3076" s="62" t="str">
        <f t="shared" si="47"/>
        <v/>
      </c>
    </row>
    <row r="3077" spans="2:9" x14ac:dyDescent="0.25">
      <c r="B3077" s="59"/>
      <c r="C3077" s="60"/>
      <c r="D3077" s="60"/>
      <c r="F3077" s="60"/>
      <c r="G3077" s="60"/>
      <c r="H3077" s="62"/>
      <c r="I3077" s="62" t="str">
        <f t="shared" ref="I3077:I3140" si="48">IF(H3077&lt;&gt;"",H3077-H3076,"")</f>
        <v/>
      </c>
    </row>
    <row r="3078" spans="2:9" x14ac:dyDescent="0.25">
      <c r="B3078" s="59"/>
      <c r="C3078" s="60"/>
      <c r="D3078" s="60"/>
      <c r="F3078" s="60"/>
      <c r="G3078" s="60"/>
      <c r="H3078" s="62"/>
      <c r="I3078" s="62" t="str">
        <f t="shared" si="48"/>
        <v/>
      </c>
    </row>
    <row r="3079" spans="2:9" x14ac:dyDescent="0.25">
      <c r="B3079" s="59"/>
      <c r="C3079" s="60"/>
      <c r="D3079" s="60"/>
      <c r="F3079" s="60"/>
      <c r="G3079" s="60"/>
      <c r="H3079" s="62"/>
      <c r="I3079" s="62" t="str">
        <f t="shared" si="48"/>
        <v/>
      </c>
    </row>
    <row r="3080" spans="2:9" x14ac:dyDescent="0.25">
      <c r="B3080" s="59"/>
      <c r="C3080" s="60"/>
      <c r="D3080" s="60"/>
      <c r="F3080" s="60"/>
      <c r="G3080" s="60"/>
      <c r="H3080" s="62"/>
      <c r="I3080" s="62" t="str">
        <f t="shared" si="48"/>
        <v/>
      </c>
    </row>
    <row r="3081" spans="2:9" x14ac:dyDescent="0.25">
      <c r="B3081" s="59"/>
      <c r="C3081" s="60"/>
      <c r="D3081" s="60"/>
      <c r="F3081" s="60"/>
      <c r="G3081" s="60"/>
      <c r="H3081" s="62"/>
      <c r="I3081" s="62" t="str">
        <f t="shared" si="48"/>
        <v/>
      </c>
    </row>
    <row r="3082" spans="2:9" x14ac:dyDescent="0.25">
      <c r="B3082" s="59"/>
      <c r="C3082" s="60"/>
      <c r="D3082" s="60"/>
      <c r="F3082" s="60"/>
      <c r="G3082" s="60"/>
      <c r="H3082" s="62"/>
      <c r="I3082" s="62" t="str">
        <f t="shared" si="48"/>
        <v/>
      </c>
    </row>
    <row r="3083" spans="2:9" x14ac:dyDescent="0.25">
      <c r="B3083" s="59"/>
      <c r="C3083" s="60"/>
      <c r="D3083" s="60"/>
      <c r="F3083" s="60"/>
      <c r="G3083" s="60"/>
      <c r="H3083" s="62"/>
      <c r="I3083" s="62" t="str">
        <f t="shared" si="48"/>
        <v/>
      </c>
    </row>
    <row r="3084" spans="2:9" x14ac:dyDescent="0.25">
      <c r="B3084" s="59"/>
      <c r="C3084" s="60"/>
      <c r="D3084" s="60"/>
      <c r="F3084" s="60"/>
      <c r="G3084" s="60"/>
      <c r="H3084" s="62"/>
      <c r="I3084" s="62" t="str">
        <f t="shared" si="48"/>
        <v/>
      </c>
    </row>
    <row r="3085" spans="2:9" x14ac:dyDescent="0.25">
      <c r="B3085" s="59"/>
      <c r="C3085" s="60"/>
      <c r="D3085" s="60"/>
      <c r="F3085" s="60"/>
      <c r="G3085" s="60"/>
      <c r="H3085" s="62"/>
      <c r="I3085" s="62" t="str">
        <f t="shared" si="48"/>
        <v/>
      </c>
    </row>
    <row r="3086" spans="2:9" x14ac:dyDescent="0.25">
      <c r="B3086" s="59"/>
      <c r="C3086" s="60"/>
      <c r="D3086" s="60"/>
      <c r="F3086" s="60"/>
      <c r="G3086" s="60"/>
      <c r="H3086" s="62"/>
      <c r="I3086" s="62" t="str">
        <f t="shared" si="48"/>
        <v/>
      </c>
    </row>
    <row r="3087" spans="2:9" x14ac:dyDescent="0.25">
      <c r="B3087" s="59"/>
      <c r="C3087" s="60"/>
      <c r="D3087" s="60"/>
      <c r="F3087" s="60"/>
      <c r="G3087" s="60"/>
      <c r="H3087" s="62"/>
      <c r="I3087" s="62" t="str">
        <f t="shared" si="48"/>
        <v/>
      </c>
    </row>
    <row r="3088" spans="2:9" x14ac:dyDescent="0.25">
      <c r="B3088" s="59"/>
      <c r="C3088" s="60"/>
      <c r="D3088" s="60"/>
      <c r="F3088" s="60"/>
      <c r="G3088" s="60"/>
      <c r="H3088" s="62"/>
      <c r="I3088" s="62" t="str">
        <f t="shared" si="48"/>
        <v/>
      </c>
    </row>
    <row r="3089" spans="2:9" x14ac:dyDescent="0.25">
      <c r="B3089" s="59"/>
      <c r="C3089" s="60"/>
      <c r="D3089" s="60"/>
      <c r="F3089" s="60"/>
      <c r="G3089" s="60"/>
      <c r="H3089" s="62"/>
      <c r="I3089" s="62" t="str">
        <f t="shared" si="48"/>
        <v/>
      </c>
    </row>
    <row r="3090" spans="2:9" x14ac:dyDescent="0.25">
      <c r="B3090" s="59"/>
      <c r="C3090" s="60"/>
      <c r="D3090" s="60"/>
      <c r="F3090" s="60"/>
      <c r="G3090" s="60"/>
      <c r="H3090" s="62"/>
      <c r="I3090" s="62" t="str">
        <f t="shared" si="48"/>
        <v/>
      </c>
    </row>
    <row r="3091" spans="2:9" x14ac:dyDescent="0.25">
      <c r="B3091" s="59"/>
      <c r="C3091" s="60"/>
      <c r="D3091" s="60"/>
      <c r="F3091" s="60"/>
      <c r="G3091" s="60"/>
      <c r="H3091" s="62"/>
      <c r="I3091" s="62" t="str">
        <f t="shared" si="48"/>
        <v/>
      </c>
    </row>
    <row r="3092" spans="2:9" x14ac:dyDescent="0.25">
      <c r="B3092" s="59"/>
      <c r="C3092" s="60"/>
      <c r="D3092" s="60"/>
      <c r="F3092" s="60"/>
      <c r="G3092" s="60"/>
      <c r="H3092" s="62"/>
      <c r="I3092" s="62" t="str">
        <f t="shared" si="48"/>
        <v/>
      </c>
    </row>
    <row r="3093" spans="2:9" x14ac:dyDescent="0.25">
      <c r="B3093" s="59"/>
      <c r="C3093" s="60"/>
      <c r="D3093" s="60"/>
      <c r="F3093" s="60"/>
      <c r="G3093" s="60"/>
      <c r="H3093" s="62"/>
      <c r="I3093" s="62" t="str">
        <f t="shared" si="48"/>
        <v/>
      </c>
    </row>
    <row r="3094" spans="2:9" x14ac:dyDescent="0.25">
      <c r="B3094" s="59"/>
      <c r="C3094" s="60"/>
      <c r="D3094" s="60"/>
      <c r="F3094" s="60"/>
      <c r="G3094" s="60"/>
      <c r="H3094" s="62"/>
      <c r="I3094" s="62" t="str">
        <f t="shared" si="48"/>
        <v/>
      </c>
    </row>
    <row r="3095" spans="2:9" x14ac:dyDescent="0.25">
      <c r="B3095" s="59"/>
      <c r="C3095" s="60"/>
      <c r="D3095" s="60"/>
      <c r="F3095" s="60"/>
      <c r="G3095" s="60"/>
      <c r="H3095" s="62"/>
      <c r="I3095" s="62" t="str">
        <f t="shared" si="48"/>
        <v/>
      </c>
    </row>
    <row r="3096" spans="2:9" x14ac:dyDescent="0.25">
      <c r="B3096" s="59"/>
      <c r="C3096" s="60"/>
      <c r="D3096" s="60"/>
      <c r="F3096" s="60"/>
      <c r="G3096" s="60"/>
      <c r="H3096" s="62"/>
      <c r="I3096" s="62" t="str">
        <f t="shared" si="48"/>
        <v/>
      </c>
    </row>
    <row r="3097" spans="2:9" x14ac:dyDescent="0.25">
      <c r="B3097" s="59"/>
      <c r="C3097" s="60"/>
      <c r="D3097" s="60"/>
      <c r="F3097" s="60"/>
      <c r="G3097" s="60"/>
      <c r="H3097" s="62"/>
      <c r="I3097" s="62" t="str">
        <f t="shared" si="48"/>
        <v/>
      </c>
    </row>
    <row r="3098" spans="2:9" x14ac:dyDescent="0.25">
      <c r="B3098" s="59"/>
      <c r="C3098" s="60"/>
      <c r="D3098" s="60"/>
      <c r="F3098" s="60"/>
      <c r="G3098" s="60"/>
      <c r="H3098" s="62"/>
      <c r="I3098" s="62" t="str">
        <f t="shared" si="48"/>
        <v/>
      </c>
    </row>
    <row r="3099" spans="2:9" x14ac:dyDescent="0.25">
      <c r="B3099" s="59"/>
      <c r="C3099" s="60"/>
      <c r="D3099" s="60"/>
      <c r="F3099" s="60"/>
      <c r="G3099" s="60"/>
      <c r="H3099" s="62"/>
      <c r="I3099" s="62" t="str">
        <f t="shared" si="48"/>
        <v/>
      </c>
    </row>
    <row r="3100" spans="2:9" x14ac:dyDescent="0.25">
      <c r="B3100" s="59"/>
      <c r="C3100" s="60"/>
      <c r="D3100" s="60"/>
      <c r="F3100" s="60"/>
      <c r="G3100" s="60"/>
      <c r="H3100" s="62"/>
      <c r="I3100" s="62" t="str">
        <f t="shared" si="48"/>
        <v/>
      </c>
    </row>
    <row r="3101" spans="2:9" x14ac:dyDescent="0.25">
      <c r="B3101" s="59"/>
      <c r="C3101" s="60"/>
      <c r="D3101" s="60"/>
      <c r="F3101" s="60"/>
      <c r="G3101" s="60"/>
      <c r="H3101" s="62"/>
      <c r="I3101" s="62" t="str">
        <f t="shared" si="48"/>
        <v/>
      </c>
    </row>
    <row r="3102" spans="2:9" x14ac:dyDescent="0.25">
      <c r="B3102" s="59"/>
      <c r="C3102" s="60"/>
      <c r="D3102" s="60"/>
      <c r="F3102" s="60"/>
      <c r="G3102" s="60"/>
      <c r="H3102" s="62"/>
      <c r="I3102" s="62" t="str">
        <f t="shared" si="48"/>
        <v/>
      </c>
    </row>
    <row r="3103" spans="2:9" x14ac:dyDescent="0.25">
      <c r="B3103" s="59"/>
      <c r="C3103" s="60"/>
      <c r="D3103" s="60"/>
      <c r="F3103" s="60"/>
      <c r="G3103" s="60"/>
      <c r="H3103" s="62"/>
      <c r="I3103" s="62" t="str">
        <f t="shared" si="48"/>
        <v/>
      </c>
    </row>
    <row r="3104" spans="2:9" x14ac:dyDescent="0.25">
      <c r="B3104" s="59"/>
      <c r="C3104" s="60"/>
      <c r="D3104" s="60"/>
      <c r="F3104" s="60"/>
      <c r="G3104" s="60"/>
      <c r="H3104" s="62"/>
      <c r="I3104" s="62" t="str">
        <f t="shared" si="48"/>
        <v/>
      </c>
    </row>
    <row r="3105" spans="2:9" x14ac:dyDescent="0.25">
      <c r="B3105" s="59"/>
      <c r="C3105" s="60"/>
      <c r="D3105" s="60"/>
      <c r="F3105" s="60"/>
      <c r="G3105" s="60"/>
      <c r="H3105" s="62"/>
      <c r="I3105" s="62" t="str">
        <f t="shared" si="48"/>
        <v/>
      </c>
    </row>
    <row r="3106" spans="2:9" x14ac:dyDescent="0.25">
      <c r="B3106" s="59"/>
      <c r="C3106" s="60"/>
      <c r="D3106" s="60"/>
      <c r="F3106" s="60"/>
      <c r="G3106" s="60"/>
      <c r="H3106" s="62"/>
      <c r="I3106" s="62" t="str">
        <f t="shared" si="48"/>
        <v/>
      </c>
    </row>
    <row r="3107" spans="2:9" x14ac:dyDescent="0.25">
      <c r="B3107" s="59"/>
      <c r="C3107" s="60"/>
      <c r="D3107" s="60"/>
      <c r="F3107" s="60"/>
      <c r="G3107" s="60"/>
      <c r="H3107" s="62"/>
      <c r="I3107" s="62" t="str">
        <f t="shared" si="48"/>
        <v/>
      </c>
    </row>
    <row r="3108" spans="2:9" x14ac:dyDescent="0.25">
      <c r="B3108" s="59"/>
      <c r="C3108" s="60"/>
      <c r="D3108" s="60"/>
      <c r="F3108" s="60"/>
      <c r="G3108" s="60"/>
      <c r="H3108" s="62"/>
      <c r="I3108" s="62" t="str">
        <f t="shared" si="48"/>
        <v/>
      </c>
    </row>
    <row r="3109" spans="2:9" x14ac:dyDescent="0.25">
      <c r="B3109" s="59"/>
      <c r="C3109" s="60"/>
      <c r="D3109" s="60"/>
      <c r="F3109" s="60"/>
      <c r="G3109" s="60"/>
      <c r="H3109" s="62"/>
      <c r="I3109" s="62" t="str">
        <f t="shared" si="48"/>
        <v/>
      </c>
    </row>
    <row r="3110" spans="2:9" x14ac:dyDescent="0.25">
      <c r="B3110" s="59"/>
      <c r="C3110" s="60"/>
      <c r="D3110" s="60"/>
      <c r="F3110" s="60"/>
      <c r="G3110" s="60"/>
      <c r="H3110" s="62"/>
      <c r="I3110" s="62" t="str">
        <f t="shared" si="48"/>
        <v/>
      </c>
    </row>
    <row r="3111" spans="2:9" x14ac:dyDescent="0.25">
      <c r="B3111" s="59"/>
      <c r="C3111" s="60"/>
      <c r="D3111" s="60"/>
      <c r="F3111" s="60"/>
      <c r="G3111" s="60"/>
      <c r="H3111" s="62"/>
      <c r="I3111" s="62" t="str">
        <f t="shared" si="48"/>
        <v/>
      </c>
    </row>
    <row r="3112" spans="2:9" x14ac:dyDescent="0.25">
      <c r="B3112" s="59"/>
      <c r="C3112" s="60"/>
      <c r="D3112" s="60"/>
      <c r="F3112" s="60"/>
      <c r="G3112" s="60"/>
      <c r="H3112" s="62"/>
      <c r="I3112" s="62" t="str">
        <f t="shared" si="48"/>
        <v/>
      </c>
    </row>
    <row r="3113" spans="2:9" x14ac:dyDescent="0.25">
      <c r="B3113" s="59"/>
      <c r="C3113" s="60"/>
      <c r="D3113" s="60"/>
      <c r="F3113" s="60"/>
      <c r="G3113" s="60"/>
      <c r="H3113" s="62"/>
      <c r="I3113" s="62" t="str">
        <f t="shared" si="48"/>
        <v/>
      </c>
    </row>
    <row r="3114" spans="2:9" x14ac:dyDescent="0.25">
      <c r="B3114" s="59"/>
      <c r="C3114" s="60"/>
      <c r="D3114" s="60"/>
      <c r="F3114" s="60"/>
      <c r="G3114" s="60"/>
      <c r="H3114" s="62"/>
      <c r="I3114" s="62" t="str">
        <f t="shared" si="48"/>
        <v/>
      </c>
    </row>
    <row r="3115" spans="2:9" x14ac:dyDescent="0.25">
      <c r="B3115" s="59"/>
      <c r="C3115" s="60"/>
      <c r="D3115" s="60"/>
      <c r="F3115" s="60"/>
      <c r="G3115" s="60"/>
      <c r="H3115" s="62"/>
      <c r="I3115" s="62" t="str">
        <f t="shared" si="48"/>
        <v/>
      </c>
    </row>
    <row r="3116" spans="2:9" x14ac:dyDescent="0.25">
      <c r="B3116" s="59"/>
      <c r="C3116" s="60"/>
      <c r="D3116" s="60"/>
      <c r="F3116" s="60"/>
      <c r="G3116" s="60"/>
      <c r="H3116" s="62"/>
      <c r="I3116" s="62" t="str">
        <f t="shared" si="48"/>
        <v/>
      </c>
    </row>
    <row r="3117" spans="2:9" x14ac:dyDescent="0.25">
      <c r="B3117" s="59"/>
      <c r="C3117" s="60"/>
      <c r="D3117" s="60"/>
      <c r="F3117" s="60"/>
      <c r="G3117" s="60"/>
      <c r="H3117" s="62"/>
      <c r="I3117" s="62" t="str">
        <f t="shared" si="48"/>
        <v/>
      </c>
    </row>
    <row r="3118" spans="2:9" x14ac:dyDescent="0.25">
      <c r="B3118" s="59"/>
      <c r="C3118" s="60"/>
      <c r="D3118" s="60"/>
      <c r="F3118" s="60"/>
      <c r="G3118" s="60"/>
      <c r="H3118" s="62"/>
      <c r="I3118" s="62" t="str">
        <f t="shared" si="48"/>
        <v/>
      </c>
    </row>
    <row r="3119" spans="2:9" x14ac:dyDescent="0.25">
      <c r="B3119" s="59"/>
      <c r="C3119" s="60"/>
      <c r="D3119" s="60"/>
      <c r="F3119" s="60"/>
      <c r="G3119" s="60"/>
      <c r="H3119" s="62"/>
      <c r="I3119" s="62" t="str">
        <f t="shared" si="48"/>
        <v/>
      </c>
    </row>
    <row r="3120" spans="2:9" x14ac:dyDescent="0.25">
      <c r="B3120" s="59"/>
      <c r="C3120" s="60"/>
      <c r="D3120" s="60"/>
      <c r="F3120" s="60"/>
      <c r="G3120" s="60"/>
      <c r="H3120" s="62"/>
      <c r="I3120" s="62" t="str">
        <f t="shared" si="48"/>
        <v/>
      </c>
    </row>
    <row r="3121" spans="2:9" x14ac:dyDescent="0.25">
      <c r="B3121" s="59"/>
      <c r="C3121" s="60"/>
      <c r="D3121" s="60"/>
      <c r="F3121" s="60"/>
      <c r="G3121" s="60"/>
      <c r="H3121" s="62"/>
      <c r="I3121" s="62" t="str">
        <f t="shared" si="48"/>
        <v/>
      </c>
    </row>
    <row r="3122" spans="2:9" x14ac:dyDescent="0.25">
      <c r="B3122" s="59"/>
      <c r="C3122" s="60"/>
      <c r="D3122" s="60"/>
      <c r="F3122" s="60"/>
      <c r="G3122" s="60"/>
      <c r="H3122" s="62"/>
      <c r="I3122" s="62" t="str">
        <f t="shared" si="48"/>
        <v/>
      </c>
    </row>
    <row r="3123" spans="2:9" x14ac:dyDescent="0.25">
      <c r="B3123" s="59"/>
      <c r="C3123" s="60"/>
      <c r="D3123" s="60"/>
      <c r="F3123" s="60"/>
      <c r="G3123" s="60"/>
      <c r="H3123" s="62"/>
      <c r="I3123" s="62" t="str">
        <f t="shared" si="48"/>
        <v/>
      </c>
    </row>
    <row r="3124" spans="2:9" x14ac:dyDescent="0.25">
      <c r="B3124" s="59"/>
      <c r="C3124" s="60"/>
      <c r="D3124" s="60"/>
      <c r="F3124" s="60"/>
      <c r="G3124" s="60"/>
      <c r="H3124" s="62"/>
      <c r="I3124" s="62" t="str">
        <f t="shared" si="48"/>
        <v/>
      </c>
    </row>
    <row r="3125" spans="2:9" x14ac:dyDescent="0.25">
      <c r="B3125" s="59"/>
      <c r="C3125" s="60"/>
      <c r="D3125" s="60"/>
      <c r="F3125" s="60"/>
      <c r="G3125" s="60"/>
      <c r="H3125" s="62"/>
      <c r="I3125" s="62" t="str">
        <f t="shared" si="48"/>
        <v/>
      </c>
    </row>
    <row r="3126" spans="2:9" x14ac:dyDescent="0.25">
      <c r="B3126" s="59"/>
      <c r="C3126" s="60"/>
      <c r="D3126" s="60"/>
      <c r="F3126" s="60"/>
      <c r="G3126" s="60"/>
      <c r="H3126" s="62"/>
      <c r="I3126" s="62" t="str">
        <f t="shared" si="48"/>
        <v/>
      </c>
    </row>
    <row r="3127" spans="2:9" x14ac:dyDescent="0.25">
      <c r="B3127" s="59"/>
      <c r="C3127" s="60"/>
      <c r="D3127" s="60"/>
      <c r="F3127" s="60"/>
      <c r="G3127" s="60"/>
      <c r="H3127" s="62"/>
      <c r="I3127" s="62" t="str">
        <f t="shared" si="48"/>
        <v/>
      </c>
    </row>
    <row r="3128" spans="2:9" x14ac:dyDescent="0.25">
      <c r="B3128" s="59"/>
      <c r="C3128" s="60"/>
      <c r="D3128" s="60"/>
      <c r="F3128" s="60"/>
      <c r="G3128" s="60"/>
      <c r="H3128" s="62"/>
      <c r="I3128" s="62" t="str">
        <f t="shared" si="48"/>
        <v/>
      </c>
    </row>
    <row r="3129" spans="2:9" x14ac:dyDescent="0.25">
      <c r="B3129" s="59"/>
      <c r="C3129" s="60"/>
      <c r="D3129" s="60"/>
      <c r="F3129" s="60"/>
      <c r="G3129" s="60"/>
      <c r="H3129" s="62"/>
      <c r="I3129" s="62" t="str">
        <f t="shared" si="48"/>
        <v/>
      </c>
    </row>
    <row r="3130" spans="2:9" x14ac:dyDescent="0.25">
      <c r="B3130" s="59"/>
      <c r="C3130" s="60"/>
      <c r="D3130" s="60"/>
      <c r="F3130" s="60"/>
      <c r="G3130" s="60"/>
      <c r="H3130" s="62"/>
      <c r="I3130" s="62" t="str">
        <f t="shared" si="48"/>
        <v/>
      </c>
    </row>
    <row r="3131" spans="2:9" x14ac:dyDescent="0.25">
      <c r="B3131" s="59"/>
      <c r="C3131" s="60"/>
      <c r="D3131" s="60"/>
      <c r="F3131" s="60"/>
      <c r="G3131" s="60"/>
      <c r="H3131" s="62"/>
      <c r="I3131" s="62" t="str">
        <f t="shared" si="48"/>
        <v/>
      </c>
    </row>
    <row r="3132" spans="2:9" x14ac:dyDescent="0.25">
      <c r="B3132" s="59"/>
      <c r="C3132" s="60"/>
      <c r="D3132" s="60"/>
      <c r="F3132" s="60"/>
      <c r="G3132" s="60"/>
      <c r="H3132" s="62"/>
      <c r="I3132" s="62" t="str">
        <f t="shared" si="48"/>
        <v/>
      </c>
    </row>
    <row r="3133" spans="2:9" x14ac:dyDescent="0.25">
      <c r="B3133" s="59"/>
      <c r="C3133" s="60"/>
      <c r="D3133" s="60"/>
      <c r="F3133" s="60"/>
      <c r="G3133" s="60"/>
      <c r="H3133" s="62"/>
      <c r="I3133" s="62" t="str">
        <f t="shared" si="48"/>
        <v/>
      </c>
    </row>
    <row r="3134" spans="2:9" x14ac:dyDescent="0.25">
      <c r="B3134" s="59"/>
      <c r="C3134" s="60"/>
      <c r="D3134" s="60"/>
      <c r="F3134" s="60"/>
      <c r="G3134" s="60"/>
      <c r="H3134" s="62"/>
      <c r="I3134" s="62" t="str">
        <f t="shared" si="48"/>
        <v/>
      </c>
    </row>
    <row r="3135" spans="2:9" x14ac:dyDescent="0.25">
      <c r="B3135" s="59"/>
      <c r="C3135" s="60"/>
      <c r="D3135" s="60"/>
      <c r="F3135" s="60"/>
      <c r="G3135" s="60"/>
      <c r="H3135" s="62"/>
      <c r="I3135" s="62" t="str">
        <f t="shared" si="48"/>
        <v/>
      </c>
    </row>
    <row r="3136" spans="2:9" x14ac:dyDescent="0.25">
      <c r="B3136" s="59"/>
      <c r="C3136" s="60"/>
      <c r="D3136" s="60"/>
      <c r="F3136" s="60"/>
      <c r="G3136" s="60"/>
      <c r="H3136" s="62"/>
      <c r="I3136" s="62" t="str">
        <f t="shared" si="48"/>
        <v/>
      </c>
    </row>
    <row r="3137" spans="2:9" x14ac:dyDescent="0.25">
      <c r="B3137" s="59"/>
      <c r="C3137" s="60"/>
      <c r="D3137" s="60"/>
      <c r="F3137" s="60"/>
      <c r="G3137" s="60"/>
      <c r="H3137" s="62"/>
      <c r="I3137" s="62" t="str">
        <f t="shared" si="48"/>
        <v/>
      </c>
    </row>
    <row r="3138" spans="2:9" x14ac:dyDescent="0.25">
      <c r="B3138" s="59"/>
      <c r="C3138" s="60"/>
      <c r="D3138" s="60"/>
      <c r="F3138" s="60"/>
      <c r="G3138" s="60"/>
      <c r="H3138" s="62"/>
      <c r="I3138" s="62" t="str">
        <f t="shared" si="48"/>
        <v/>
      </c>
    </row>
    <row r="3139" spans="2:9" x14ac:dyDescent="0.25">
      <c r="B3139" s="59"/>
      <c r="C3139" s="60"/>
      <c r="D3139" s="60"/>
      <c r="F3139" s="60"/>
      <c r="G3139" s="60"/>
      <c r="H3139" s="62"/>
      <c r="I3139" s="62" t="str">
        <f t="shared" si="48"/>
        <v/>
      </c>
    </row>
    <row r="3140" spans="2:9" x14ac:dyDescent="0.25">
      <c r="B3140" s="59"/>
      <c r="C3140" s="60"/>
      <c r="D3140" s="60"/>
      <c r="F3140" s="60"/>
      <c r="G3140" s="60"/>
      <c r="H3140" s="62"/>
      <c r="I3140" s="62" t="str">
        <f t="shared" si="48"/>
        <v/>
      </c>
    </row>
    <row r="3141" spans="2:9" x14ac:dyDescent="0.25">
      <c r="B3141" s="59"/>
      <c r="C3141" s="60"/>
      <c r="D3141" s="60"/>
      <c r="F3141" s="60"/>
      <c r="G3141" s="60"/>
      <c r="H3141" s="62"/>
      <c r="I3141" s="62" t="str">
        <f t="shared" ref="I3141:I3204" si="49">IF(H3141&lt;&gt;"",H3141-H3140,"")</f>
        <v/>
      </c>
    </row>
    <row r="3142" spans="2:9" x14ac:dyDescent="0.25">
      <c r="B3142" s="59"/>
      <c r="C3142" s="60"/>
      <c r="D3142" s="60"/>
      <c r="F3142" s="60"/>
      <c r="G3142" s="60"/>
      <c r="H3142" s="62"/>
      <c r="I3142" s="62" t="str">
        <f t="shared" si="49"/>
        <v/>
      </c>
    </row>
    <row r="3143" spans="2:9" x14ac:dyDescent="0.25">
      <c r="B3143" s="59"/>
      <c r="C3143" s="60"/>
      <c r="D3143" s="60"/>
      <c r="F3143" s="60"/>
      <c r="G3143" s="60"/>
      <c r="H3143" s="62"/>
      <c r="I3143" s="62" t="str">
        <f t="shared" si="49"/>
        <v/>
      </c>
    </row>
    <row r="3144" spans="2:9" x14ac:dyDescent="0.25">
      <c r="B3144" s="59"/>
      <c r="C3144" s="60"/>
      <c r="D3144" s="60"/>
      <c r="F3144" s="60"/>
      <c r="G3144" s="60"/>
      <c r="H3144" s="62"/>
      <c r="I3144" s="62" t="str">
        <f t="shared" si="49"/>
        <v/>
      </c>
    </row>
    <row r="3145" spans="2:9" x14ac:dyDescent="0.25">
      <c r="B3145" s="59"/>
      <c r="C3145" s="60"/>
      <c r="D3145" s="60"/>
      <c r="F3145" s="60"/>
      <c r="G3145" s="60"/>
      <c r="H3145" s="62"/>
      <c r="I3145" s="62" t="str">
        <f t="shared" si="49"/>
        <v/>
      </c>
    </row>
    <row r="3146" spans="2:9" x14ac:dyDescent="0.25">
      <c r="B3146" s="59"/>
      <c r="C3146" s="60"/>
      <c r="D3146" s="60"/>
      <c r="F3146" s="60"/>
      <c r="G3146" s="60"/>
      <c r="H3146" s="62"/>
      <c r="I3146" s="62" t="str">
        <f t="shared" si="49"/>
        <v/>
      </c>
    </row>
    <row r="3147" spans="2:9" x14ac:dyDescent="0.25">
      <c r="B3147" s="59"/>
      <c r="C3147" s="60"/>
      <c r="D3147" s="60"/>
      <c r="F3147" s="60"/>
      <c r="G3147" s="60"/>
      <c r="H3147" s="62"/>
      <c r="I3147" s="62" t="str">
        <f t="shared" si="49"/>
        <v/>
      </c>
    </row>
    <row r="3148" spans="2:9" x14ac:dyDescent="0.25">
      <c r="B3148" s="59"/>
      <c r="C3148" s="60"/>
      <c r="D3148" s="60"/>
      <c r="F3148" s="60"/>
      <c r="G3148" s="60"/>
      <c r="H3148" s="62"/>
      <c r="I3148" s="62" t="str">
        <f t="shared" si="49"/>
        <v/>
      </c>
    </row>
    <row r="3149" spans="2:9" x14ac:dyDescent="0.25">
      <c r="B3149" s="59"/>
      <c r="C3149" s="60"/>
      <c r="D3149" s="60"/>
      <c r="F3149" s="60"/>
      <c r="G3149" s="60"/>
      <c r="H3149" s="62"/>
      <c r="I3149" s="62" t="str">
        <f t="shared" si="49"/>
        <v/>
      </c>
    </row>
    <row r="3150" spans="2:9" x14ac:dyDescent="0.25">
      <c r="B3150" s="59"/>
      <c r="C3150" s="60"/>
      <c r="D3150" s="60"/>
      <c r="F3150" s="60"/>
      <c r="G3150" s="60"/>
      <c r="H3150" s="62"/>
      <c r="I3150" s="62" t="str">
        <f t="shared" si="49"/>
        <v/>
      </c>
    </row>
    <row r="3151" spans="2:9" x14ac:dyDescent="0.25">
      <c r="B3151" s="59"/>
      <c r="C3151" s="60"/>
      <c r="D3151" s="60"/>
      <c r="F3151" s="60"/>
      <c r="G3151" s="60"/>
      <c r="H3151" s="62"/>
      <c r="I3151" s="62" t="str">
        <f t="shared" si="49"/>
        <v/>
      </c>
    </row>
    <row r="3152" spans="2:9" x14ac:dyDescent="0.25">
      <c r="B3152" s="59"/>
      <c r="C3152" s="60"/>
      <c r="D3152" s="60"/>
      <c r="F3152" s="60"/>
      <c r="G3152" s="60"/>
      <c r="H3152" s="62"/>
      <c r="I3152" s="62" t="str">
        <f t="shared" si="49"/>
        <v/>
      </c>
    </row>
    <row r="3153" spans="2:9" x14ac:dyDescent="0.25">
      <c r="B3153" s="59"/>
      <c r="C3153" s="60"/>
      <c r="D3153" s="60"/>
      <c r="F3153" s="60"/>
      <c r="G3153" s="60"/>
      <c r="H3153" s="62"/>
      <c r="I3153" s="62" t="str">
        <f t="shared" si="49"/>
        <v/>
      </c>
    </row>
    <row r="3154" spans="2:9" x14ac:dyDescent="0.25">
      <c r="B3154" s="59"/>
      <c r="C3154" s="60"/>
      <c r="D3154" s="60"/>
      <c r="F3154" s="60"/>
      <c r="G3154" s="60"/>
      <c r="H3154" s="62"/>
      <c r="I3154" s="62" t="str">
        <f t="shared" si="49"/>
        <v/>
      </c>
    </row>
    <row r="3155" spans="2:9" x14ac:dyDescent="0.25">
      <c r="B3155" s="59"/>
      <c r="C3155" s="60"/>
      <c r="D3155" s="60"/>
      <c r="F3155" s="60"/>
      <c r="G3155" s="60"/>
      <c r="H3155" s="62"/>
      <c r="I3155" s="62" t="str">
        <f t="shared" si="49"/>
        <v/>
      </c>
    </row>
    <row r="3156" spans="2:9" x14ac:dyDescent="0.25">
      <c r="B3156" s="59"/>
      <c r="C3156" s="60"/>
      <c r="D3156" s="60"/>
      <c r="F3156" s="60"/>
      <c r="G3156" s="60"/>
      <c r="H3156" s="62"/>
      <c r="I3156" s="62" t="str">
        <f t="shared" si="49"/>
        <v/>
      </c>
    </row>
    <row r="3157" spans="2:9" x14ac:dyDescent="0.25">
      <c r="B3157" s="59"/>
      <c r="C3157" s="60"/>
      <c r="D3157" s="60"/>
      <c r="F3157" s="60"/>
      <c r="G3157" s="60"/>
      <c r="H3157" s="62"/>
      <c r="I3157" s="62" t="str">
        <f t="shared" si="49"/>
        <v/>
      </c>
    </row>
    <row r="3158" spans="2:9" x14ac:dyDescent="0.25">
      <c r="B3158" s="59"/>
      <c r="C3158" s="60"/>
      <c r="D3158" s="60"/>
      <c r="F3158" s="60"/>
      <c r="G3158" s="60"/>
      <c r="H3158" s="62"/>
      <c r="I3158" s="62" t="str">
        <f t="shared" si="49"/>
        <v/>
      </c>
    </row>
    <row r="3159" spans="2:9" x14ac:dyDescent="0.25">
      <c r="B3159" s="59"/>
      <c r="C3159" s="60"/>
      <c r="D3159" s="60"/>
      <c r="F3159" s="60"/>
      <c r="G3159" s="60"/>
      <c r="H3159" s="62"/>
      <c r="I3159" s="62" t="str">
        <f t="shared" si="49"/>
        <v/>
      </c>
    </row>
    <row r="3160" spans="2:9" x14ac:dyDescent="0.25">
      <c r="B3160" s="59"/>
      <c r="C3160" s="60"/>
      <c r="D3160" s="60"/>
      <c r="F3160" s="60"/>
      <c r="G3160" s="60"/>
      <c r="H3160" s="62"/>
      <c r="I3160" s="62" t="str">
        <f t="shared" si="49"/>
        <v/>
      </c>
    </row>
    <row r="3161" spans="2:9" x14ac:dyDescent="0.25">
      <c r="B3161" s="59"/>
      <c r="C3161" s="60"/>
      <c r="D3161" s="60"/>
      <c r="F3161" s="60"/>
      <c r="G3161" s="60"/>
      <c r="H3161" s="62"/>
      <c r="I3161" s="62" t="str">
        <f t="shared" si="49"/>
        <v/>
      </c>
    </row>
    <row r="3162" spans="2:9" x14ac:dyDescent="0.25">
      <c r="B3162" s="59"/>
      <c r="C3162" s="60"/>
      <c r="D3162" s="60"/>
      <c r="F3162" s="60"/>
      <c r="G3162" s="60"/>
      <c r="H3162" s="62"/>
      <c r="I3162" s="62" t="str">
        <f t="shared" si="49"/>
        <v/>
      </c>
    </row>
    <row r="3163" spans="2:9" x14ac:dyDescent="0.25">
      <c r="B3163" s="59"/>
      <c r="C3163" s="60"/>
      <c r="D3163" s="60"/>
      <c r="F3163" s="60"/>
      <c r="G3163" s="60"/>
      <c r="H3163" s="62"/>
      <c r="I3163" s="62" t="str">
        <f t="shared" si="49"/>
        <v/>
      </c>
    </row>
    <row r="3164" spans="2:9" x14ac:dyDescent="0.25">
      <c r="B3164" s="59"/>
      <c r="C3164" s="60"/>
      <c r="D3164" s="60"/>
      <c r="F3164" s="60"/>
      <c r="G3164" s="60"/>
      <c r="H3164" s="62"/>
      <c r="I3164" s="62" t="str">
        <f t="shared" si="49"/>
        <v/>
      </c>
    </row>
    <row r="3165" spans="2:9" x14ac:dyDescent="0.25">
      <c r="B3165" s="59"/>
      <c r="C3165" s="60"/>
      <c r="D3165" s="60"/>
      <c r="F3165" s="60"/>
      <c r="G3165" s="60"/>
      <c r="H3165" s="62"/>
      <c r="I3165" s="62" t="str">
        <f t="shared" si="49"/>
        <v/>
      </c>
    </row>
    <row r="3166" spans="2:9" x14ac:dyDescent="0.25">
      <c r="B3166" s="59"/>
      <c r="C3166" s="60"/>
      <c r="D3166" s="60"/>
      <c r="F3166" s="60"/>
      <c r="G3166" s="60"/>
      <c r="H3166" s="62"/>
      <c r="I3166" s="62" t="str">
        <f t="shared" si="49"/>
        <v/>
      </c>
    </row>
    <row r="3167" spans="2:9" x14ac:dyDescent="0.25">
      <c r="B3167" s="59"/>
      <c r="C3167" s="60"/>
      <c r="D3167" s="60"/>
      <c r="F3167" s="60"/>
      <c r="G3167" s="60"/>
      <c r="H3167" s="62"/>
      <c r="I3167" s="62" t="str">
        <f t="shared" si="49"/>
        <v/>
      </c>
    </row>
    <row r="3168" spans="2:9" x14ac:dyDescent="0.25">
      <c r="B3168" s="59"/>
      <c r="C3168" s="60"/>
      <c r="D3168" s="60"/>
      <c r="F3168" s="60"/>
      <c r="G3168" s="60"/>
      <c r="H3168" s="62"/>
      <c r="I3168" s="62" t="str">
        <f t="shared" si="49"/>
        <v/>
      </c>
    </row>
    <row r="3169" spans="2:9" x14ac:dyDescent="0.25">
      <c r="B3169" s="59"/>
      <c r="C3169" s="60"/>
      <c r="D3169" s="60"/>
      <c r="F3169" s="60"/>
      <c r="G3169" s="60"/>
      <c r="H3169" s="62"/>
      <c r="I3169" s="62" t="str">
        <f t="shared" si="49"/>
        <v/>
      </c>
    </row>
    <row r="3170" spans="2:9" x14ac:dyDescent="0.25">
      <c r="B3170" s="59"/>
      <c r="C3170" s="60"/>
      <c r="D3170" s="60"/>
      <c r="F3170" s="60"/>
      <c r="G3170" s="60"/>
      <c r="H3170" s="62"/>
      <c r="I3170" s="62" t="str">
        <f t="shared" si="49"/>
        <v/>
      </c>
    </row>
    <row r="3171" spans="2:9" x14ac:dyDescent="0.25">
      <c r="B3171" s="59"/>
      <c r="C3171" s="60"/>
      <c r="D3171" s="60"/>
      <c r="F3171" s="60"/>
      <c r="G3171" s="60"/>
      <c r="H3171" s="62"/>
      <c r="I3171" s="62" t="str">
        <f t="shared" si="49"/>
        <v/>
      </c>
    </row>
    <row r="3172" spans="2:9" x14ac:dyDescent="0.25">
      <c r="B3172" s="59"/>
      <c r="C3172" s="60"/>
      <c r="D3172" s="60"/>
      <c r="F3172" s="60"/>
      <c r="G3172" s="60"/>
      <c r="H3172" s="62"/>
      <c r="I3172" s="62" t="str">
        <f t="shared" si="49"/>
        <v/>
      </c>
    </row>
    <row r="3173" spans="2:9" x14ac:dyDescent="0.25">
      <c r="B3173" s="59"/>
      <c r="C3173" s="60"/>
      <c r="D3173" s="60"/>
      <c r="F3173" s="60"/>
      <c r="G3173" s="60"/>
      <c r="H3173" s="62"/>
      <c r="I3173" s="62" t="str">
        <f t="shared" si="49"/>
        <v/>
      </c>
    </row>
    <row r="3174" spans="2:9" x14ac:dyDescent="0.25">
      <c r="B3174" s="59"/>
      <c r="C3174" s="60"/>
      <c r="D3174" s="60"/>
      <c r="F3174" s="60"/>
      <c r="G3174" s="60"/>
      <c r="H3174" s="62"/>
      <c r="I3174" s="62" t="str">
        <f t="shared" si="49"/>
        <v/>
      </c>
    </row>
    <row r="3175" spans="2:9" x14ac:dyDescent="0.25">
      <c r="B3175" s="59"/>
      <c r="C3175" s="60"/>
      <c r="D3175" s="60"/>
      <c r="F3175" s="60"/>
      <c r="G3175" s="60"/>
      <c r="H3175" s="62"/>
      <c r="I3175" s="62" t="str">
        <f t="shared" si="49"/>
        <v/>
      </c>
    </row>
    <row r="3176" spans="2:9" x14ac:dyDescent="0.25">
      <c r="B3176" s="59"/>
      <c r="C3176" s="60"/>
      <c r="D3176" s="60"/>
      <c r="F3176" s="60"/>
      <c r="G3176" s="60"/>
      <c r="H3176" s="62"/>
      <c r="I3176" s="62" t="str">
        <f t="shared" si="49"/>
        <v/>
      </c>
    </row>
    <row r="3177" spans="2:9" x14ac:dyDescent="0.25">
      <c r="B3177" s="59"/>
      <c r="C3177" s="60"/>
      <c r="D3177" s="60"/>
      <c r="F3177" s="60"/>
      <c r="G3177" s="60"/>
      <c r="H3177" s="62"/>
      <c r="I3177" s="62" t="str">
        <f t="shared" si="49"/>
        <v/>
      </c>
    </row>
    <row r="3178" spans="2:9" x14ac:dyDescent="0.25">
      <c r="B3178" s="59"/>
      <c r="C3178" s="60"/>
      <c r="D3178" s="60"/>
      <c r="F3178" s="60"/>
      <c r="G3178" s="60"/>
      <c r="H3178" s="62"/>
      <c r="I3178" s="62" t="str">
        <f t="shared" si="49"/>
        <v/>
      </c>
    </row>
    <row r="3179" spans="2:9" x14ac:dyDescent="0.25">
      <c r="B3179" s="59"/>
      <c r="C3179" s="60"/>
      <c r="D3179" s="60"/>
      <c r="F3179" s="60"/>
      <c r="G3179" s="60"/>
      <c r="H3179" s="62"/>
      <c r="I3179" s="62" t="str">
        <f t="shared" si="49"/>
        <v/>
      </c>
    </row>
    <row r="3180" spans="2:9" x14ac:dyDescent="0.25">
      <c r="B3180" s="59"/>
      <c r="C3180" s="60"/>
      <c r="D3180" s="60"/>
      <c r="F3180" s="60"/>
      <c r="G3180" s="60"/>
      <c r="H3180" s="62"/>
      <c r="I3180" s="62" t="str">
        <f t="shared" si="49"/>
        <v/>
      </c>
    </row>
    <row r="3181" spans="2:9" x14ac:dyDescent="0.25">
      <c r="B3181" s="59"/>
      <c r="C3181" s="60"/>
      <c r="D3181" s="60"/>
      <c r="F3181" s="60"/>
      <c r="G3181" s="60"/>
      <c r="H3181" s="62"/>
      <c r="I3181" s="62" t="str">
        <f t="shared" si="49"/>
        <v/>
      </c>
    </row>
    <row r="3182" spans="2:9" x14ac:dyDescent="0.25">
      <c r="B3182" s="59"/>
      <c r="C3182" s="60"/>
      <c r="D3182" s="60"/>
      <c r="F3182" s="60"/>
      <c r="G3182" s="60"/>
      <c r="H3182" s="62"/>
      <c r="I3182" s="62" t="str">
        <f t="shared" si="49"/>
        <v/>
      </c>
    </row>
    <row r="3183" spans="2:9" x14ac:dyDescent="0.25">
      <c r="B3183" s="59"/>
      <c r="C3183" s="60"/>
      <c r="D3183" s="60"/>
      <c r="F3183" s="60"/>
      <c r="G3183" s="60"/>
      <c r="H3183" s="62"/>
      <c r="I3183" s="62" t="str">
        <f t="shared" si="49"/>
        <v/>
      </c>
    </row>
    <row r="3184" spans="2:9" x14ac:dyDescent="0.25">
      <c r="B3184" s="59"/>
      <c r="C3184" s="60"/>
      <c r="D3184" s="60"/>
      <c r="F3184" s="60"/>
      <c r="G3184" s="60"/>
      <c r="H3184" s="62"/>
      <c r="I3184" s="62" t="str">
        <f t="shared" si="49"/>
        <v/>
      </c>
    </row>
    <row r="3185" spans="2:9" x14ac:dyDescent="0.25">
      <c r="B3185" s="59"/>
      <c r="C3185" s="60"/>
      <c r="D3185" s="60"/>
      <c r="F3185" s="60"/>
      <c r="G3185" s="60"/>
      <c r="H3185" s="62"/>
      <c r="I3185" s="62" t="str">
        <f t="shared" si="49"/>
        <v/>
      </c>
    </row>
    <row r="3186" spans="2:9" x14ac:dyDescent="0.25">
      <c r="B3186" s="59"/>
      <c r="C3186" s="60"/>
      <c r="D3186" s="60"/>
      <c r="F3186" s="60"/>
      <c r="G3186" s="60"/>
      <c r="H3186" s="62"/>
      <c r="I3186" s="62" t="str">
        <f t="shared" si="49"/>
        <v/>
      </c>
    </row>
    <row r="3187" spans="2:9" x14ac:dyDescent="0.25">
      <c r="B3187" s="59"/>
      <c r="C3187" s="60"/>
      <c r="D3187" s="60"/>
      <c r="F3187" s="60"/>
      <c r="G3187" s="60"/>
      <c r="H3187" s="62"/>
      <c r="I3187" s="62" t="str">
        <f t="shared" si="49"/>
        <v/>
      </c>
    </row>
    <row r="3188" spans="2:9" x14ac:dyDescent="0.25">
      <c r="B3188" s="59"/>
      <c r="C3188" s="60"/>
      <c r="D3188" s="60"/>
      <c r="F3188" s="60"/>
      <c r="G3188" s="60"/>
      <c r="H3188" s="62"/>
      <c r="I3188" s="62" t="str">
        <f t="shared" si="49"/>
        <v/>
      </c>
    </row>
    <row r="3189" spans="2:9" x14ac:dyDescent="0.25">
      <c r="B3189" s="59"/>
      <c r="C3189" s="60"/>
      <c r="D3189" s="60"/>
      <c r="F3189" s="60"/>
      <c r="G3189" s="60"/>
      <c r="H3189" s="62"/>
      <c r="I3189" s="62" t="str">
        <f t="shared" si="49"/>
        <v/>
      </c>
    </row>
    <row r="3190" spans="2:9" x14ac:dyDescent="0.25">
      <c r="B3190" s="59"/>
      <c r="C3190" s="60"/>
      <c r="D3190" s="60"/>
      <c r="F3190" s="60"/>
      <c r="G3190" s="60"/>
      <c r="H3190" s="62"/>
      <c r="I3190" s="62" t="str">
        <f t="shared" si="49"/>
        <v/>
      </c>
    </row>
    <row r="3191" spans="2:9" x14ac:dyDescent="0.25">
      <c r="B3191" s="59"/>
      <c r="C3191" s="60"/>
      <c r="D3191" s="60"/>
      <c r="F3191" s="60"/>
      <c r="G3191" s="60"/>
      <c r="H3191" s="62"/>
      <c r="I3191" s="62" t="str">
        <f t="shared" si="49"/>
        <v/>
      </c>
    </row>
    <row r="3192" spans="2:9" x14ac:dyDescent="0.25">
      <c r="B3192" s="59"/>
      <c r="C3192" s="60"/>
      <c r="D3192" s="60"/>
      <c r="F3192" s="60"/>
      <c r="G3192" s="60"/>
      <c r="H3192" s="62"/>
      <c r="I3192" s="62" t="str">
        <f t="shared" si="49"/>
        <v/>
      </c>
    </row>
    <row r="3193" spans="2:9" x14ac:dyDescent="0.25">
      <c r="B3193" s="59"/>
      <c r="C3193" s="60"/>
      <c r="D3193" s="60"/>
      <c r="F3193" s="60"/>
      <c r="G3193" s="60"/>
      <c r="H3193" s="62"/>
      <c r="I3193" s="62" t="str">
        <f t="shared" si="49"/>
        <v/>
      </c>
    </row>
    <row r="3194" spans="2:9" x14ac:dyDescent="0.25">
      <c r="B3194" s="59"/>
      <c r="C3194" s="60"/>
      <c r="D3194" s="60"/>
      <c r="F3194" s="60"/>
      <c r="G3194" s="60"/>
      <c r="H3194" s="62"/>
      <c r="I3194" s="62" t="str">
        <f t="shared" si="49"/>
        <v/>
      </c>
    </row>
    <row r="3195" spans="2:9" x14ac:dyDescent="0.25">
      <c r="B3195" s="59"/>
      <c r="C3195" s="60"/>
      <c r="D3195" s="60"/>
      <c r="F3195" s="60"/>
      <c r="G3195" s="60"/>
      <c r="H3195" s="62"/>
      <c r="I3195" s="62" t="str">
        <f t="shared" si="49"/>
        <v/>
      </c>
    </row>
    <row r="3196" spans="2:9" x14ac:dyDescent="0.25">
      <c r="B3196" s="59"/>
      <c r="C3196" s="60"/>
      <c r="D3196" s="60"/>
      <c r="F3196" s="60"/>
      <c r="G3196" s="60"/>
      <c r="H3196" s="62"/>
      <c r="I3196" s="62" t="str">
        <f t="shared" si="49"/>
        <v/>
      </c>
    </row>
    <row r="3197" spans="2:9" x14ac:dyDescent="0.25">
      <c r="B3197" s="59"/>
      <c r="C3197" s="60"/>
      <c r="D3197" s="60"/>
      <c r="F3197" s="60"/>
      <c r="G3197" s="60"/>
      <c r="H3197" s="62"/>
      <c r="I3197" s="62" t="str">
        <f t="shared" si="49"/>
        <v/>
      </c>
    </row>
    <row r="3198" spans="2:9" x14ac:dyDescent="0.25">
      <c r="B3198" s="59"/>
      <c r="C3198" s="60"/>
      <c r="D3198" s="60"/>
      <c r="F3198" s="60"/>
      <c r="G3198" s="60"/>
      <c r="H3198" s="62"/>
      <c r="I3198" s="62" t="str">
        <f t="shared" si="49"/>
        <v/>
      </c>
    </row>
    <row r="3199" spans="2:9" x14ac:dyDescent="0.25">
      <c r="B3199" s="59"/>
      <c r="C3199" s="60"/>
      <c r="D3199" s="60"/>
      <c r="F3199" s="60"/>
      <c r="G3199" s="60"/>
      <c r="H3199" s="62"/>
      <c r="I3199" s="62" t="str">
        <f t="shared" si="49"/>
        <v/>
      </c>
    </row>
    <row r="3200" spans="2:9" x14ac:dyDescent="0.25">
      <c r="B3200" s="59"/>
      <c r="C3200" s="60"/>
      <c r="D3200" s="60"/>
      <c r="F3200" s="60"/>
      <c r="G3200" s="60"/>
      <c r="H3200" s="62"/>
      <c r="I3200" s="62" t="str">
        <f t="shared" si="49"/>
        <v/>
      </c>
    </row>
    <row r="3201" spans="2:9" x14ac:dyDescent="0.25">
      <c r="B3201" s="59"/>
      <c r="C3201" s="60"/>
      <c r="D3201" s="60"/>
      <c r="F3201" s="60"/>
      <c r="G3201" s="60"/>
      <c r="H3201" s="62"/>
      <c r="I3201" s="62" t="str">
        <f t="shared" si="49"/>
        <v/>
      </c>
    </row>
    <row r="3202" spans="2:9" x14ac:dyDescent="0.25">
      <c r="B3202" s="59"/>
      <c r="C3202" s="60"/>
      <c r="D3202" s="60"/>
      <c r="F3202" s="60"/>
      <c r="G3202" s="60"/>
      <c r="H3202" s="62"/>
      <c r="I3202" s="62" t="str">
        <f t="shared" si="49"/>
        <v/>
      </c>
    </row>
    <row r="3203" spans="2:9" x14ac:dyDescent="0.25">
      <c r="B3203" s="59"/>
      <c r="C3203" s="60"/>
      <c r="D3203" s="60"/>
      <c r="F3203" s="60"/>
      <c r="G3203" s="60"/>
      <c r="H3203" s="62"/>
      <c r="I3203" s="62" t="str">
        <f t="shared" si="49"/>
        <v/>
      </c>
    </row>
    <row r="3204" spans="2:9" x14ac:dyDescent="0.25">
      <c r="B3204" s="59"/>
      <c r="C3204" s="60"/>
      <c r="D3204" s="60"/>
      <c r="F3204" s="60"/>
      <c r="G3204" s="60"/>
      <c r="H3204" s="62"/>
      <c r="I3204" s="62" t="str">
        <f t="shared" si="49"/>
        <v/>
      </c>
    </row>
    <row r="3205" spans="2:9" x14ac:dyDescent="0.25">
      <c r="B3205" s="59"/>
      <c r="C3205" s="60"/>
      <c r="D3205" s="60"/>
      <c r="F3205" s="60"/>
      <c r="G3205" s="60"/>
      <c r="H3205" s="62"/>
      <c r="I3205" s="62" t="str">
        <f t="shared" ref="I3205:I3268" si="50">IF(H3205&lt;&gt;"",H3205-H3204,"")</f>
        <v/>
      </c>
    </row>
    <row r="3206" spans="2:9" x14ac:dyDescent="0.25">
      <c r="B3206" s="59"/>
      <c r="C3206" s="60"/>
      <c r="D3206" s="60"/>
      <c r="F3206" s="60"/>
      <c r="G3206" s="60"/>
      <c r="H3206" s="62"/>
      <c r="I3206" s="62" t="str">
        <f t="shared" si="50"/>
        <v/>
      </c>
    </row>
    <row r="3207" spans="2:9" x14ac:dyDescent="0.25">
      <c r="B3207" s="59"/>
      <c r="C3207" s="60"/>
      <c r="D3207" s="60"/>
      <c r="F3207" s="60"/>
      <c r="G3207" s="60"/>
      <c r="H3207" s="62"/>
      <c r="I3207" s="62" t="str">
        <f t="shared" si="50"/>
        <v/>
      </c>
    </row>
    <row r="3208" spans="2:9" x14ac:dyDescent="0.25">
      <c r="B3208" s="59"/>
      <c r="C3208" s="60"/>
      <c r="D3208" s="60"/>
      <c r="F3208" s="60"/>
      <c r="G3208" s="60"/>
      <c r="H3208" s="62"/>
      <c r="I3208" s="62" t="str">
        <f t="shared" si="50"/>
        <v/>
      </c>
    </row>
    <row r="3209" spans="2:9" x14ac:dyDescent="0.25">
      <c r="B3209" s="59"/>
      <c r="C3209" s="60"/>
      <c r="D3209" s="60"/>
      <c r="F3209" s="60"/>
      <c r="G3209" s="60"/>
      <c r="H3209" s="62"/>
      <c r="I3209" s="62" t="str">
        <f t="shared" si="50"/>
        <v/>
      </c>
    </row>
    <row r="3210" spans="2:9" x14ac:dyDescent="0.25">
      <c r="B3210" s="59"/>
      <c r="C3210" s="60"/>
      <c r="D3210" s="60"/>
      <c r="F3210" s="60"/>
      <c r="G3210" s="60"/>
      <c r="H3210" s="62"/>
      <c r="I3210" s="62" t="str">
        <f t="shared" si="50"/>
        <v/>
      </c>
    </row>
    <row r="3211" spans="2:9" x14ac:dyDescent="0.25">
      <c r="B3211" s="59"/>
      <c r="C3211" s="60"/>
      <c r="D3211" s="60"/>
      <c r="F3211" s="60"/>
      <c r="G3211" s="60"/>
      <c r="H3211" s="62"/>
      <c r="I3211" s="62" t="str">
        <f t="shared" si="50"/>
        <v/>
      </c>
    </row>
    <row r="3212" spans="2:9" x14ac:dyDescent="0.25">
      <c r="B3212" s="59"/>
      <c r="C3212" s="60"/>
      <c r="D3212" s="60"/>
      <c r="F3212" s="60"/>
      <c r="G3212" s="60"/>
      <c r="H3212" s="62"/>
      <c r="I3212" s="62" t="str">
        <f t="shared" si="50"/>
        <v/>
      </c>
    </row>
    <row r="3213" spans="2:9" x14ac:dyDescent="0.25">
      <c r="B3213" s="59"/>
      <c r="C3213" s="60"/>
      <c r="D3213" s="60"/>
      <c r="F3213" s="60"/>
      <c r="G3213" s="60"/>
      <c r="H3213" s="62"/>
      <c r="I3213" s="62" t="str">
        <f t="shared" si="50"/>
        <v/>
      </c>
    </row>
    <row r="3214" spans="2:9" x14ac:dyDescent="0.25">
      <c r="B3214" s="59"/>
      <c r="C3214" s="60"/>
      <c r="D3214" s="60"/>
      <c r="F3214" s="60"/>
      <c r="G3214" s="60"/>
      <c r="H3214" s="62"/>
      <c r="I3214" s="62" t="str">
        <f t="shared" si="50"/>
        <v/>
      </c>
    </row>
    <row r="3215" spans="2:9" x14ac:dyDescent="0.25">
      <c r="B3215" s="59"/>
      <c r="C3215" s="60"/>
      <c r="D3215" s="60"/>
      <c r="F3215" s="60"/>
      <c r="G3215" s="60"/>
      <c r="H3215" s="62"/>
      <c r="I3215" s="62" t="str">
        <f t="shared" si="50"/>
        <v/>
      </c>
    </row>
    <row r="3216" spans="2:9" x14ac:dyDescent="0.25">
      <c r="B3216" s="59"/>
      <c r="C3216" s="60"/>
      <c r="D3216" s="60"/>
      <c r="F3216" s="60"/>
      <c r="G3216" s="60"/>
      <c r="H3216" s="62"/>
      <c r="I3216" s="62" t="str">
        <f t="shared" si="50"/>
        <v/>
      </c>
    </row>
    <row r="3217" spans="2:9" x14ac:dyDescent="0.25">
      <c r="B3217" s="59"/>
      <c r="C3217" s="60"/>
      <c r="D3217" s="60"/>
      <c r="F3217" s="60"/>
      <c r="G3217" s="60"/>
      <c r="H3217" s="62"/>
      <c r="I3217" s="62" t="str">
        <f t="shared" si="50"/>
        <v/>
      </c>
    </row>
    <row r="3218" spans="2:9" x14ac:dyDescent="0.25">
      <c r="B3218" s="59"/>
      <c r="C3218" s="60"/>
      <c r="D3218" s="60"/>
      <c r="F3218" s="60"/>
      <c r="G3218" s="60"/>
      <c r="H3218" s="62"/>
      <c r="I3218" s="62" t="str">
        <f t="shared" si="50"/>
        <v/>
      </c>
    </row>
    <row r="3219" spans="2:9" x14ac:dyDescent="0.25">
      <c r="B3219" s="59"/>
      <c r="C3219" s="60"/>
      <c r="D3219" s="60"/>
      <c r="F3219" s="60"/>
      <c r="G3219" s="60"/>
      <c r="H3219" s="62"/>
      <c r="I3219" s="62" t="str">
        <f t="shared" si="50"/>
        <v/>
      </c>
    </row>
    <row r="3220" spans="2:9" x14ac:dyDescent="0.25">
      <c r="B3220" s="59"/>
      <c r="C3220" s="60"/>
      <c r="D3220" s="60"/>
      <c r="F3220" s="60"/>
      <c r="G3220" s="60"/>
      <c r="H3220" s="62"/>
      <c r="I3220" s="62" t="str">
        <f t="shared" si="50"/>
        <v/>
      </c>
    </row>
    <row r="3221" spans="2:9" x14ac:dyDescent="0.25">
      <c r="B3221" s="59"/>
      <c r="C3221" s="60"/>
      <c r="D3221" s="60"/>
      <c r="F3221" s="60"/>
      <c r="G3221" s="60"/>
      <c r="H3221" s="62"/>
      <c r="I3221" s="62" t="str">
        <f t="shared" si="50"/>
        <v/>
      </c>
    </row>
    <row r="3222" spans="2:9" x14ac:dyDescent="0.25">
      <c r="B3222" s="59"/>
      <c r="C3222" s="60"/>
      <c r="D3222" s="60"/>
      <c r="F3222" s="60"/>
      <c r="G3222" s="60"/>
      <c r="H3222" s="62"/>
      <c r="I3222" s="62" t="str">
        <f t="shared" si="50"/>
        <v/>
      </c>
    </row>
    <row r="3223" spans="2:9" x14ac:dyDescent="0.25">
      <c r="B3223" s="59"/>
      <c r="C3223" s="60"/>
      <c r="D3223" s="60"/>
      <c r="F3223" s="60"/>
      <c r="G3223" s="60"/>
      <c r="H3223" s="62"/>
      <c r="I3223" s="62" t="str">
        <f t="shared" si="50"/>
        <v/>
      </c>
    </row>
    <row r="3224" spans="2:9" x14ac:dyDescent="0.25">
      <c r="B3224" s="59"/>
      <c r="C3224" s="60"/>
      <c r="D3224" s="60"/>
      <c r="F3224" s="60"/>
      <c r="G3224" s="60"/>
      <c r="H3224" s="62"/>
      <c r="I3224" s="62" t="str">
        <f t="shared" si="50"/>
        <v/>
      </c>
    </row>
    <row r="3225" spans="2:9" x14ac:dyDescent="0.25">
      <c r="B3225" s="59"/>
      <c r="C3225" s="60"/>
      <c r="D3225" s="60"/>
      <c r="F3225" s="60"/>
      <c r="G3225" s="60"/>
      <c r="H3225" s="62"/>
      <c r="I3225" s="62" t="str">
        <f t="shared" si="50"/>
        <v/>
      </c>
    </row>
    <row r="3226" spans="2:9" x14ac:dyDescent="0.25">
      <c r="B3226" s="59"/>
      <c r="C3226" s="60"/>
      <c r="D3226" s="60"/>
      <c r="F3226" s="60"/>
      <c r="G3226" s="60"/>
      <c r="H3226" s="62"/>
      <c r="I3226" s="62" t="str">
        <f t="shared" si="50"/>
        <v/>
      </c>
    </row>
    <row r="3227" spans="2:9" x14ac:dyDescent="0.25">
      <c r="B3227" s="59"/>
      <c r="C3227" s="60"/>
      <c r="D3227" s="60"/>
      <c r="F3227" s="60"/>
      <c r="G3227" s="60"/>
      <c r="H3227" s="62"/>
      <c r="I3227" s="62" t="str">
        <f t="shared" si="50"/>
        <v/>
      </c>
    </row>
    <row r="3228" spans="2:9" x14ac:dyDescent="0.25">
      <c r="B3228" s="59"/>
      <c r="C3228" s="60"/>
      <c r="D3228" s="60"/>
      <c r="F3228" s="60"/>
      <c r="G3228" s="60"/>
      <c r="H3228" s="62"/>
      <c r="I3228" s="62" t="str">
        <f t="shared" si="50"/>
        <v/>
      </c>
    </row>
    <row r="3229" spans="2:9" x14ac:dyDescent="0.25">
      <c r="B3229" s="59"/>
      <c r="C3229" s="60"/>
      <c r="D3229" s="60"/>
      <c r="F3229" s="60"/>
      <c r="G3229" s="60"/>
      <c r="H3229" s="62"/>
      <c r="I3229" s="62" t="str">
        <f t="shared" si="50"/>
        <v/>
      </c>
    </row>
    <row r="3230" spans="2:9" x14ac:dyDescent="0.25">
      <c r="B3230" s="59"/>
      <c r="C3230" s="60"/>
      <c r="D3230" s="60"/>
      <c r="F3230" s="60"/>
      <c r="G3230" s="60"/>
      <c r="H3230" s="62"/>
      <c r="I3230" s="62" t="str">
        <f t="shared" si="50"/>
        <v/>
      </c>
    </row>
    <row r="3231" spans="2:9" x14ac:dyDescent="0.25">
      <c r="B3231" s="59"/>
      <c r="C3231" s="60"/>
      <c r="D3231" s="60"/>
      <c r="F3231" s="60"/>
      <c r="G3231" s="60"/>
      <c r="H3231" s="62"/>
      <c r="I3231" s="62" t="str">
        <f t="shared" si="50"/>
        <v/>
      </c>
    </row>
    <row r="3232" spans="2:9" x14ac:dyDescent="0.25">
      <c r="B3232" s="59"/>
      <c r="C3232" s="60"/>
      <c r="D3232" s="60"/>
      <c r="F3232" s="60"/>
      <c r="G3232" s="60"/>
      <c r="H3232" s="62"/>
      <c r="I3232" s="62" t="str">
        <f t="shared" si="50"/>
        <v/>
      </c>
    </row>
    <row r="3233" spans="2:9" x14ac:dyDescent="0.25">
      <c r="B3233" s="59"/>
      <c r="C3233" s="60"/>
      <c r="D3233" s="60"/>
      <c r="F3233" s="60"/>
      <c r="G3233" s="60"/>
      <c r="H3233" s="62"/>
      <c r="I3233" s="62" t="str">
        <f t="shared" si="50"/>
        <v/>
      </c>
    </row>
    <row r="3234" spans="2:9" x14ac:dyDescent="0.25">
      <c r="B3234" s="59"/>
      <c r="C3234" s="60"/>
      <c r="D3234" s="60"/>
      <c r="F3234" s="60"/>
      <c r="G3234" s="60"/>
      <c r="H3234" s="62"/>
      <c r="I3234" s="62" t="str">
        <f t="shared" si="50"/>
        <v/>
      </c>
    </row>
    <row r="3235" spans="2:9" x14ac:dyDescent="0.25">
      <c r="B3235" s="59"/>
      <c r="C3235" s="60"/>
      <c r="D3235" s="60"/>
      <c r="F3235" s="60"/>
      <c r="G3235" s="60"/>
      <c r="H3235" s="62"/>
      <c r="I3235" s="62" t="str">
        <f t="shared" si="50"/>
        <v/>
      </c>
    </row>
    <row r="3236" spans="2:9" x14ac:dyDescent="0.25">
      <c r="B3236" s="59"/>
      <c r="C3236" s="60"/>
      <c r="D3236" s="60"/>
      <c r="F3236" s="60"/>
      <c r="G3236" s="60"/>
      <c r="H3236" s="62"/>
      <c r="I3236" s="62" t="str">
        <f t="shared" si="50"/>
        <v/>
      </c>
    </row>
    <row r="3237" spans="2:9" x14ac:dyDescent="0.25">
      <c r="B3237" s="59"/>
      <c r="C3237" s="60"/>
      <c r="D3237" s="60"/>
      <c r="F3237" s="60"/>
      <c r="G3237" s="60"/>
      <c r="H3237" s="62"/>
      <c r="I3237" s="62" t="str">
        <f t="shared" si="50"/>
        <v/>
      </c>
    </row>
    <row r="3238" spans="2:9" x14ac:dyDescent="0.25">
      <c r="B3238" s="59"/>
      <c r="C3238" s="60"/>
      <c r="D3238" s="60"/>
      <c r="F3238" s="60"/>
      <c r="G3238" s="60"/>
      <c r="H3238" s="62"/>
      <c r="I3238" s="62" t="str">
        <f t="shared" si="50"/>
        <v/>
      </c>
    </row>
    <row r="3239" spans="2:9" x14ac:dyDescent="0.25">
      <c r="B3239" s="59"/>
      <c r="C3239" s="60"/>
      <c r="D3239" s="60"/>
      <c r="F3239" s="60"/>
      <c r="G3239" s="60"/>
      <c r="H3239" s="62"/>
      <c r="I3239" s="62" t="str">
        <f t="shared" si="50"/>
        <v/>
      </c>
    </row>
    <row r="3240" spans="2:9" x14ac:dyDescent="0.25">
      <c r="B3240" s="59"/>
      <c r="C3240" s="60"/>
      <c r="D3240" s="60"/>
      <c r="F3240" s="60"/>
      <c r="G3240" s="60"/>
      <c r="H3240" s="62"/>
      <c r="I3240" s="62" t="str">
        <f t="shared" si="50"/>
        <v/>
      </c>
    </row>
    <row r="3241" spans="2:9" x14ac:dyDescent="0.25">
      <c r="B3241" s="59"/>
      <c r="C3241" s="60"/>
      <c r="D3241" s="60"/>
      <c r="F3241" s="60"/>
      <c r="G3241" s="60"/>
      <c r="H3241" s="62"/>
      <c r="I3241" s="62" t="str">
        <f t="shared" si="50"/>
        <v/>
      </c>
    </row>
    <row r="3242" spans="2:9" x14ac:dyDescent="0.25">
      <c r="B3242" s="59"/>
      <c r="C3242" s="60"/>
      <c r="D3242" s="60"/>
      <c r="F3242" s="60"/>
      <c r="G3242" s="60"/>
      <c r="H3242" s="62"/>
      <c r="I3242" s="62" t="str">
        <f t="shared" si="50"/>
        <v/>
      </c>
    </row>
    <row r="3243" spans="2:9" x14ac:dyDescent="0.25">
      <c r="B3243" s="59"/>
      <c r="C3243" s="60"/>
      <c r="D3243" s="60"/>
      <c r="F3243" s="60"/>
      <c r="G3243" s="60"/>
      <c r="H3243" s="62"/>
      <c r="I3243" s="62" t="str">
        <f t="shared" si="50"/>
        <v/>
      </c>
    </row>
    <row r="3244" spans="2:9" x14ac:dyDescent="0.25">
      <c r="B3244" s="59"/>
      <c r="C3244" s="60"/>
      <c r="D3244" s="60"/>
      <c r="F3244" s="60"/>
      <c r="G3244" s="60"/>
      <c r="H3244" s="62"/>
      <c r="I3244" s="62" t="str">
        <f t="shared" si="50"/>
        <v/>
      </c>
    </row>
    <row r="3245" spans="2:9" x14ac:dyDescent="0.25">
      <c r="B3245" s="59"/>
      <c r="C3245" s="60"/>
      <c r="D3245" s="60"/>
      <c r="F3245" s="60"/>
      <c r="G3245" s="60"/>
      <c r="H3245" s="62"/>
      <c r="I3245" s="62" t="str">
        <f t="shared" si="50"/>
        <v/>
      </c>
    </row>
    <row r="3246" spans="2:9" x14ac:dyDescent="0.25">
      <c r="B3246" s="59"/>
      <c r="C3246" s="60"/>
      <c r="D3246" s="60"/>
      <c r="F3246" s="60"/>
      <c r="G3246" s="60"/>
      <c r="H3246" s="62"/>
      <c r="I3246" s="62" t="str">
        <f t="shared" si="50"/>
        <v/>
      </c>
    </row>
    <row r="3247" spans="2:9" x14ac:dyDescent="0.25">
      <c r="B3247" s="59"/>
      <c r="C3247" s="60"/>
      <c r="D3247" s="60"/>
      <c r="F3247" s="60"/>
      <c r="G3247" s="60"/>
      <c r="H3247" s="62"/>
      <c r="I3247" s="62" t="str">
        <f t="shared" si="50"/>
        <v/>
      </c>
    </row>
    <row r="3248" spans="2:9" x14ac:dyDescent="0.25">
      <c r="B3248" s="59"/>
      <c r="C3248" s="60"/>
      <c r="D3248" s="60"/>
      <c r="F3248" s="60"/>
      <c r="G3248" s="60"/>
      <c r="H3248" s="62"/>
      <c r="I3248" s="62" t="str">
        <f t="shared" si="50"/>
        <v/>
      </c>
    </row>
    <row r="3249" spans="2:9" x14ac:dyDescent="0.25">
      <c r="B3249" s="59"/>
      <c r="C3249" s="60"/>
      <c r="D3249" s="60"/>
      <c r="F3249" s="60"/>
      <c r="G3249" s="60"/>
      <c r="H3249" s="62"/>
      <c r="I3249" s="62" t="str">
        <f t="shared" si="50"/>
        <v/>
      </c>
    </row>
    <row r="3250" spans="2:9" x14ac:dyDescent="0.25">
      <c r="B3250" s="59"/>
      <c r="C3250" s="60"/>
      <c r="D3250" s="60"/>
      <c r="F3250" s="60"/>
      <c r="G3250" s="60"/>
      <c r="H3250" s="62"/>
      <c r="I3250" s="62" t="str">
        <f t="shared" si="50"/>
        <v/>
      </c>
    </row>
    <row r="3251" spans="2:9" x14ac:dyDescent="0.25">
      <c r="B3251" s="59"/>
      <c r="C3251" s="60"/>
      <c r="D3251" s="60"/>
      <c r="F3251" s="60"/>
      <c r="G3251" s="60"/>
      <c r="H3251" s="62"/>
      <c r="I3251" s="62" t="str">
        <f t="shared" si="50"/>
        <v/>
      </c>
    </row>
    <row r="3252" spans="2:9" x14ac:dyDescent="0.25">
      <c r="B3252" s="59"/>
      <c r="C3252" s="60"/>
      <c r="D3252" s="60"/>
      <c r="F3252" s="60"/>
      <c r="G3252" s="60"/>
      <c r="H3252" s="62"/>
      <c r="I3252" s="62" t="str">
        <f t="shared" si="50"/>
        <v/>
      </c>
    </row>
    <row r="3253" spans="2:9" x14ac:dyDescent="0.25">
      <c r="B3253" s="59"/>
      <c r="C3253" s="60"/>
      <c r="D3253" s="60"/>
      <c r="F3253" s="60"/>
      <c r="G3253" s="60"/>
      <c r="H3253" s="62"/>
      <c r="I3253" s="62" t="str">
        <f t="shared" si="50"/>
        <v/>
      </c>
    </row>
    <row r="3254" spans="2:9" x14ac:dyDescent="0.25">
      <c r="B3254" s="59"/>
      <c r="C3254" s="60"/>
      <c r="D3254" s="60"/>
      <c r="F3254" s="60"/>
      <c r="G3254" s="60"/>
      <c r="H3254" s="62"/>
      <c r="I3254" s="62" t="str">
        <f t="shared" si="50"/>
        <v/>
      </c>
    </row>
    <row r="3255" spans="2:9" x14ac:dyDescent="0.25">
      <c r="B3255" s="59"/>
      <c r="C3255" s="60"/>
      <c r="D3255" s="60"/>
      <c r="F3255" s="60"/>
      <c r="G3255" s="60"/>
      <c r="H3255" s="62"/>
      <c r="I3255" s="62" t="str">
        <f t="shared" si="50"/>
        <v/>
      </c>
    </row>
    <row r="3256" spans="2:9" x14ac:dyDescent="0.25">
      <c r="B3256" s="59"/>
      <c r="C3256" s="60"/>
      <c r="D3256" s="60"/>
      <c r="F3256" s="60"/>
      <c r="G3256" s="60"/>
      <c r="H3256" s="62"/>
      <c r="I3256" s="62" t="str">
        <f t="shared" si="50"/>
        <v/>
      </c>
    </row>
    <row r="3257" spans="2:9" x14ac:dyDescent="0.25">
      <c r="B3257" s="59"/>
      <c r="C3257" s="60"/>
      <c r="D3257" s="60"/>
      <c r="F3257" s="60"/>
      <c r="G3257" s="60"/>
      <c r="H3257" s="62"/>
      <c r="I3257" s="62" t="str">
        <f t="shared" si="50"/>
        <v/>
      </c>
    </row>
    <row r="3258" spans="2:9" x14ac:dyDescent="0.25">
      <c r="B3258" s="59"/>
      <c r="C3258" s="60"/>
      <c r="D3258" s="60"/>
      <c r="F3258" s="60"/>
      <c r="G3258" s="60"/>
      <c r="H3258" s="62"/>
      <c r="I3258" s="62" t="str">
        <f t="shared" si="50"/>
        <v/>
      </c>
    </row>
    <row r="3259" spans="2:9" x14ac:dyDescent="0.25">
      <c r="B3259" s="59"/>
      <c r="C3259" s="60"/>
      <c r="D3259" s="60"/>
      <c r="F3259" s="60"/>
      <c r="G3259" s="60"/>
      <c r="H3259" s="62"/>
      <c r="I3259" s="62" t="str">
        <f t="shared" si="50"/>
        <v/>
      </c>
    </row>
    <row r="3260" spans="2:9" x14ac:dyDescent="0.25">
      <c r="B3260" s="59"/>
      <c r="C3260" s="60"/>
      <c r="D3260" s="60"/>
      <c r="F3260" s="60"/>
      <c r="G3260" s="60"/>
      <c r="H3260" s="62"/>
      <c r="I3260" s="62" t="str">
        <f t="shared" si="50"/>
        <v/>
      </c>
    </row>
    <row r="3261" spans="2:9" x14ac:dyDescent="0.25">
      <c r="B3261" s="59"/>
      <c r="C3261" s="60"/>
      <c r="D3261" s="60"/>
      <c r="F3261" s="60"/>
      <c r="G3261" s="60"/>
      <c r="H3261" s="62"/>
      <c r="I3261" s="62" t="str">
        <f t="shared" si="50"/>
        <v/>
      </c>
    </row>
    <row r="3262" spans="2:9" x14ac:dyDescent="0.25">
      <c r="B3262" s="59"/>
      <c r="C3262" s="60"/>
      <c r="D3262" s="60"/>
      <c r="F3262" s="60"/>
      <c r="G3262" s="60"/>
      <c r="H3262" s="62"/>
      <c r="I3262" s="62" t="str">
        <f t="shared" si="50"/>
        <v/>
      </c>
    </row>
    <row r="3263" spans="2:9" x14ac:dyDescent="0.25">
      <c r="B3263" s="59"/>
      <c r="C3263" s="60"/>
      <c r="D3263" s="60"/>
      <c r="F3263" s="60"/>
      <c r="G3263" s="60"/>
      <c r="H3263" s="62"/>
      <c r="I3263" s="62" t="str">
        <f t="shared" si="50"/>
        <v/>
      </c>
    </row>
    <row r="3264" spans="2:9" x14ac:dyDescent="0.25">
      <c r="B3264" s="59"/>
      <c r="C3264" s="60"/>
      <c r="D3264" s="60"/>
      <c r="F3264" s="60"/>
      <c r="G3264" s="60"/>
      <c r="H3264" s="62"/>
      <c r="I3264" s="62" t="str">
        <f t="shared" si="50"/>
        <v/>
      </c>
    </row>
    <row r="3265" spans="2:9" x14ac:dyDescent="0.25">
      <c r="B3265" s="59"/>
      <c r="C3265" s="60"/>
      <c r="D3265" s="60"/>
      <c r="F3265" s="60"/>
      <c r="G3265" s="60"/>
      <c r="H3265" s="62"/>
      <c r="I3265" s="62" t="str">
        <f t="shared" si="50"/>
        <v/>
      </c>
    </row>
    <row r="3266" spans="2:9" x14ac:dyDescent="0.25">
      <c r="B3266" s="59"/>
      <c r="C3266" s="60"/>
      <c r="D3266" s="60"/>
      <c r="F3266" s="60"/>
      <c r="G3266" s="60"/>
      <c r="H3266" s="62"/>
      <c r="I3266" s="62" t="str">
        <f t="shared" si="50"/>
        <v/>
      </c>
    </row>
    <row r="3267" spans="2:9" x14ac:dyDescent="0.25">
      <c r="B3267" s="59"/>
      <c r="C3267" s="60"/>
      <c r="D3267" s="60"/>
      <c r="F3267" s="60"/>
      <c r="G3267" s="60"/>
      <c r="H3267" s="62"/>
      <c r="I3267" s="62" t="str">
        <f t="shared" si="50"/>
        <v/>
      </c>
    </row>
    <row r="3268" spans="2:9" x14ac:dyDescent="0.25">
      <c r="B3268" s="59"/>
      <c r="C3268" s="60"/>
      <c r="D3268" s="60"/>
      <c r="F3268" s="60"/>
      <c r="G3268" s="60"/>
      <c r="H3268" s="62"/>
      <c r="I3268" s="62" t="str">
        <f t="shared" si="50"/>
        <v/>
      </c>
    </row>
    <row r="3269" spans="2:9" x14ac:dyDescent="0.25">
      <c r="B3269" s="59"/>
      <c r="C3269" s="60"/>
      <c r="D3269" s="60"/>
      <c r="F3269" s="60"/>
      <c r="G3269" s="60"/>
      <c r="H3269" s="62"/>
      <c r="I3269" s="62" t="str">
        <f t="shared" ref="I3269:I3332" si="51">IF(H3269&lt;&gt;"",H3269-H3268,"")</f>
        <v/>
      </c>
    </row>
    <row r="3270" spans="2:9" x14ac:dyDescent="0.25">
      <c r="B3270" s="59"/>
      <c r="C3270" s="60"/>
      <c r="D3270" s="60"/>
      <c r="F3270" s="60"/>
      <c r="G3270" s="60"/>
      <c r="H3270" s="62"/>
      <c r="I3270" s="62" t="str">
        <f t="shared" si="51"/>
        <v/>
      </c>
    </row>
    <row r="3271" spans="2:9" x14ac:dyDescent="0.25">
      <c r="B3271" s="59"/>
      <c r="C3271" s="60"/>
      <c r="D3271" s="60"/>
      <c r="F3271" s="60"/>
      <c r="G3271" s="60"/>
      <c r="H3271" s="62"/>
      <c r="I3271" s="62" t="str">
        <f t="shared" si="51"/>
        <v/>
      </c>
    </row>
    <row r="3272" spans="2:9" x14ac:dyDescent="0.25">
      <c r="B3272" s="59"/>
      <c r="C3272" s="60"/>
      <c r="D3272" s="60"/>
      <c r="F3272" s="60"/>
      <c r="G3272" s="60"/>
      <c r="H3272" s="62"/>
      <c r="I3272" s="62" t="str">
        <f t="shared" si="51"/>
        <v/>
      </c>
    </row>
    <row r="3273" spans="2:9" x14ac:dyDescent="0.25">
      <c r="B3273" s="59"/>
      <c r="C3273" s="60"/>
      <c r="D3273" s="60"/>
      <c r="F3273" s="60"/>
      <c r="G3273" s="60"/>
      <c r="H3273" s="62"/>
      <c r="I3273" s="62" t="str">
        <f t="shared" si="51"/>
        <v/>
      </c>
    </row>
    <row r="3274" spans="2:9" x14ac:dyDescent="0.25">
      <c r="B3274" s="59"/>
      <c r="C3274" s="60"/>
      <c r="D3274" s="60"/>
      <c r="F3274" s="60"/>
      <c r="G3274" s="60"/>
      <c r="H3274" s="62"/>
      <c r="I3274" s="62" t="str">
        <f t="shared" si="51"/>
        <v/>
      </c>
    </row>
    <row r="3275" spans="2:9" x14ac:dyDescent="0.25">
      <c r="B3275" s="59"/>
      <c r="C3275" s="60"/>
      <c r="D3275" s="60"/>
      <c r="F3275" s="60"/>
      <c r="G3275" s="60"/>
      <c r="H3275" s="62"/>
      <c r="I3275" s="62" t="str">
        <f t="shared" si="51"/>
        <v/>
      </c>
    </row>
    <row r="3276" spans="2:9" x14ac:dyDescent="0.25">
      <c r="B3276" s="59"/>
      <c r="C3276" s="60"/>
      <c r="D3276" s="60"/>
      <c r="F3276" s="60"/>
      <c r="G3276" s="60"/>
      <c r="H3276" s="62"/>
      <c r="I3276" s="62" t="str">
        <f t="shared" si="51"/>
        <v/>
      </c>
    </row>
    <row r="3277" spans="2:9" x14ac:dyDescent="0.25">
      <c r="B3277" s="59"/>
      <c r="C3277" s="60"/>
      <c r="D3277" s="60"/>
      <c r="F3277" s="60"/>
      <c r="G3277" s="60"/>
      <c r="H3277" s="62"/>
      <c r="I3277" s="62" t="str">
        <f t="shared" si="51"/>
        <v/>
      </c>
    </row>
    <row r="3278" spans="2:9" x14ac:dyDescent="0.25">
      <c r="B3278" s="59"/>
      <c r="C3278" s="60"/>
      <c r="D3278" s="60"/>
      <c r="F3278" s="60"/>
      <c r="G3278" s="60"/>
      <c r="H3278" s="62"/>
      <c r="I3278" s="62" t="str">
        <f t="shared" si="51"/>
        <v/>
      </c>
    </row>
    <row r="3279" spans="2:9" x14ac:dyDescent="0.25">
      <c r="B3279" s="59"/>
      <c r="C3279" s="60"/>
      <c r="D3279" s="60"/>
      <c r="F3279" s="60"/>
      <c r="G3279" s="60"/>
      <c r="H3279" s="62"/>
      <c r="I3279" s="62" t="str">
        <f t="shared" si="51"/>
        <v/>
      </c>
    </row>
    <row r="3280" spans="2:9" x14ac:dyDescent="0.25">
      <c r="B3280" s="59"/>
      <c r="C3280" s="60"/>
      <c r="D3280" s="60"/>
      <c r="F3280" s="60"/>
      <c r="G3280" s="60"/>
      <c r="H3280" s="62"/>
      <c r="I3280" s="62" t="str">
        <f t="shared" si="51"/>
        <v/>
      </c>
    </row>
    <row r="3281" spans="2:9" x14ac:dyDescent="0.25">
      <c r="B3281" s="59"/>
      <c r="C3281" s="60"/>
      <c r="D3281" s="60"/>
      <c r="F3281" s="60"/>
      <c r="G3281" s="60"/>
      <c r="H3281" s="62"/>
      <c r="I3281" s="62" t="str">
        <f t="shared" si="51"/>
        <v/>
      </c>
    </row>
    <row r="3282" spans="2:9" x14ac:dyDescent="0.25">
      <c r="B3282" s="59"/>
      <c r="C3282" s="60"/>
      <c r="D3282" s="60"/>
      <c r="F3282" s="60"/>
      <c r="G3282" s="60"/>
      <c r="H3282" s="62"/>
      <c r="I3282" s="62" t="str">
        <f t="shared" si="51"/>
        <v/>
      </c>
    </row>
    <row r="3283" spans="2:9" x14ac:dyDescent="0.25">
      <c r="B3283" s="59"/>
      <c r="C3283" s="60"/>
      <c r="D3283" s="60"/>
      <c r="F3283" s="60"/>
      <c r="G3283" s="60"/>
      <c r="H3283" s="62"/>
      <c r="I3283" s="62" t="str">
        <f t="shared" si="51"/>
        <v/>
      </c>
    </row>
    <row r="3284" spans="2:9" x14ac:dyDescent="0.25">
      <c r="B3284" s="59"/>
      <c r="C3284" s="60"/>
      <c r="D3284" s="60"/>
      <c r="F3284" s="60"/>
      <c r="G3284" s="60"/>
      <c r="H3284" s="62"/>
      <c r="I3284" s="62" t="str">
        <f t="shared" si="51"/>
        <v/>
      </c>
    </row>
    <row r="3285" spans="2:9" x14ac:dyDescent="0.25">
      <c r="B3285" s="59"/>
      <c r="C3285" s="60"/>
      <c r="D3285" s="60"/>
      <c r="F3285" s="60"/>
      <c r="G3285" s="60"/>
      <c r="H3285" s="62"/>
      <c r="I3285" s="62" t="str">
        <f t="shared" si="51"/>
        <v/>
      </c>
    </row>
    <row r="3286" spans="2:9" x14ac:dyDescent="0.25">
      <c r="B3286" s="59"/>
      <c r="C3286" s="60"/>
      <c r="D3286" s="60"/>
      <c r="F3286" s="60"/>
      <c r="G3286" s="60"/>
      <c r="H3286" s="62"/>
      <c r="I3286" s="62" t="str">
        <f t="shared" si="51"/>
        <v/>
      </c>
    </row>
    <row r="3287" spans="2:9" x14ac:dyDescent="0.25">
      <c r="B3287" s="59"/>
      <c r="C3287" s="60"/>
      <c r="D3287" s="60"/>
      <c r="F3287" s="60"/>
      <c r="G3287" s="60"/>
      <c r="H3287" s="62"/>
      <c r="I3287" s="62" t="str">
        <f t="shared" si="51"/>
        <v/>
      </c>
    </row>
    <row r="3288" spans="2:9" x14ac:dyDescent="0.25">
      <c r="B3288" s="59"/>
      <c r="C3288" s="60"/>
      <c r="D3288" s="60"/>
      <c r="F3288" s="60"/>
      <c r="G3288" s="60"/>
      <c r="H3288" s="62"/>
      <c r="I3288" s="62" t="str">
        <f t="shared" si="51"/>
        <v/>
      </c>
    </row>
    <row r="3289" spans="2:9" x14ac:dyDescent="0.25">
      <c r="B3289" s="59"/>
      <c r="C3289" s="60"/>
      <c r="D3289" s="60"/>
      <c r="F3289" s="60"/>
      <c r="G3289" s="60"/>
      <c r="H3289" s="62"/>
      <c r="I3289" s="62" t="str">
        <f t="shared" si="51"/>
        <v/>
      </c>
    </row>
    <row r="3290" spans="2:9" x14ac:dyDescent="0.25">
      <c r="B3290" s="59"/>
      <c r="C3290" s="60"/>
      <c r="D3290" s="60"/>
      <c r="F3290" s="60"/>
      <c r="G3290" s="60"/>
      <c r="H3290" s="62"/>
      <c r="I3290" s="62" t="str">
        <f t="shared" si="51"/>
        <v/>
      </c>
    </row>
    <row r="3291" spans="2:9" x14ac:dyDescent="0.25">
      <c r="B3291" s="59"/>
      <c r="C3291" s="60"/>
      <c r="D3291" s="60"/>
      <c r="F3291" s="60"/>
      <c r="G3291" s="60"/>
      <c r="H3291" s="62"/>
      <c r="I3291" s="62" t="str">
        <f t="shared" si="51"/>
        <v/>
      </c>
    </row>
    <row r="3292" spans="2:9" x14ac:dyDescent="0.25">
      <c r="B3292" s="59"/>
      <c r="C3292" s="60"/>
      <c r="D3292" s="60"/>
      <c r="F3292" s="60"/>
      <c r="G3292" s="60"/>
      <c r="H3292" s="62"/>
      <c r="I3292" s="62" t="str">
        <f t="shared" si="51"/>
        <v/>
      </c>
    </row>
    <row r="3293" spans="2:9" x14ac:dyDescent="0.25">
      <c r="B3293" s="59"/>
      <c r="C3293" s="60"/>
      <c r="D3293" s="60"/>
      <c r="F3293" s="60"/>
      <c r="G3293" s="60"/>
      <c r="H3293" s="62"/>
      <c r="I3293" s="62" t="str">
        <f t="shared" si="51"/>
        <v/>
      </c>
    </row>
    <row r="3294" spans="2:9" x14ac:dyDescent="0.25">
      <c r="B3294" s="59"/>
      <c r="C3294" s="60"/>
      <c r="D3294" s="60"/>
      <c r="F3294" s="60"/>
      <c r="G3294" s="60"/>
      <c r="H3294" s="62"/>
      <c r="I3294" s="62" t="str">
        <f t="shared" si="51"/>
        <v/>
      </c>
    </row>
    <row r="3295" spans="2:9" x14ac:dyDescent="0.25">
      <c r="B3295" s="59"/>
      <c r="C3295" s="60"/>
      <c r="D3295" s="60"/>
      <c r="F3295" s="60"/>
      <c r="G3295" s="60"/>
      <c r="H3295" s="62"/>
      <c r="I3295" s="62" t="str">
        <f t="shared" si="51"/>
        <v/>
      </c>
    </row>
    <row r="3296" spans="2:9" x14ac:dyDescent="0.25">
      <c r="B3296" s="59"/>
      <c r="C3296" s="60"/>
      <c r="D3296" s="60"/>
      <c r="F3296" s="60"/>
      <c r="G3296" s="60"/>
      <c r="H3296" s="62"/>
      <c r="I3296" s="62" t="str">
        <f t="shared" si="51"/>
        <v/>
      </c>
    </row>
    <row r="3297" spans="2:9" x14ac:dyDescent="0.25">
      <c r="B3297" s="59"/>
      <c r="C3297" s="60"/>
      <c r="D3297" s="60"/>
      <c r="F3297" s="60"/>
      <c r="G3297" s="60"/>
      <c r="H3297" s="62"/>
      <c r="I3297" s="62" t="str">
        <f t="shared" si="51"/>
        <v/>
      </c>
    </row>
    <row r="3298" spans="2:9" x14ac:dyDescent="0.25">
      <c r="B3298" s="59"/>
      <c r="C3298" s="60"/>
      <c r="D3298" s="60"/>
      <c r="F3298" s="60"/>
      <c r="G3298" s="60"/>
      <c r="H3298" s="62"/>
      <c r="I3298" s="62" t="str">
        <f t="shared" si="51"/>
        <v/>
      </c>
    </row>
    <row r="3299" spans="2:9" x14ac:dyDescent="0.25">
      <c r="B3299" s="59"/>
      <c r="C3299" s="60"/>
      <c r="D3299" s="60"/>
      <c r="F3299" s="60"/>
      <c r="G3299" s="60"/>
      <c r="H3299" s="62"/>
      <c r="I3299" s="62" t="str">
        <f t="shared" si="51"/>
        <v/>
      </c>
    </row>
    <row r="3300" spans="2:9" x14ac:dyDescent="0.25">
      <c r="B3300" s="59"/>
      <c r="C3300" s="60"/>
      <c r="D3300" s="60"/>
      <c r="F3300" s="60"/>
      <c r="G3300" s="60"/>
      <c r="H3300" s="62"/>
      <c r="I3300" s="62" t="str">
        <f t="shared" si="51"/>
        <v/>
      </c>
    </row>
    <row r="3301" spans="2:9" x14ac:dyDescent="0.25">
      <c r="B3301" s="59"/>
      <c r="C3301" s="60"/>
      <c r="D3301" s="60"/>
      <c r="F3301" s="60"/>
      <c r="G3301" s="60"/>
      <c r="H3301" s="62"/>
      <c r="I3301" s="62" t="str">
        <f t="shared" si="51"/>
        <v/>
      </c>
    </row>
    <row r="3302" spans="2:9" x14ac:dyDescent="0.25">
      <c r="B3302" s="59"/>
      <c r="C3302" s="60"/>
      <c r="D3302" s="60"/>
      <c r="F3302" s="60"/>
      <c r="G3302" s="60"/>
      <c r="H3302" s="62"/>
      <c r="I3302" s="62" t="str">
        <f t="shared" si="51"/>
        <v/>
      </c>
    </row>
    <row r="3303" spans="2:9" x14ac:dyDescent="0.25">
      <c r="B3303" s="59"/>
      <c r="C3303" s="60"/>
      <c r="D3303" s="60"/>
      <c r="F3303" s="60"/>
      <c r="G3303" s="60"/>
      <c r="H3303" s="62"/>
      <c r="I3303" s="62" t="str">
        <f t="shared" si="51"/>
        <v/>
      </c>
    </row>
    <row r="3304" spans="2:9" x14ac:dyDescent="0.25">
      <c r="B3304" s="59"/>
      <c r="C3304" s="60"/>
      <c r="D3304" s="60"/>
      <c r="F3304" s="60"/>
      <c r="G3304" s="60"/>
      <c r="H3304" s="62"/>
      <c r="I3304" s="62" t="str">
        <f t="shared" si="51"/>
        <v/>
      </c>
    </row>
    <row r="3305" spans="2:9" x14ac:dyDescent="0.25">
      <c r="B3305" s="59"/>
      <c r="C3305" s="60"/>
      <c r="D3305" s="60"/>
      <c r="F3305" s="60"/>
      <c r="G3305" s="60"/>
      <c r="H3305" s="62"/>
      <c r="I3305" s="62" t="str">
        <f t="shared" si="51"/>
        <v/>
      </c>
    </row>
    <row r="3306" spans="2:9" x14ac:dyDescent="0.25">
      <c r="B3306" s="59"/>
      <c r="C3306" s="60"/>
      <c r="D3306" s="60"/>
      <c r="F3306" s="60"/>
      <c r="G3306" s="60"/>
      <c r="H3306" s="62"/>
      <c r="I3306" s="62" t="str">
        <f t="shared" si="51"/>
        <v/>
      </c>
    </row>
    <row r="3307" spans="2:9" x14ac:dyDescent="0.25">
      <c r="B3307" s="59"/>
      <c r="C3307" s="60"/>
      <c r="D3307" s="60"/>
      <c r="F3307" s="60"/>
      <c r="G3307" s="60"/>
      <c r="H3307" s="62"/>
      <c r="I3307" s="62" t="str">
        <f t="shared" si="51"/>
        <v/>
      </c>
    </row>
    <row r="3308" spans="2:9" x14ac:dyDescent="0.25">
      <c r="B3308" s="59"/>
      <c r="C3308" s="60"/>
      <c r="D3308" s="60"/>
      <c r="F3308" s="60"/>
      <c r="G3308" s="60"/>
      <c r="H3308" s="62"/>
      <c r="I3308" s="62" t="str">
        <f t="shared" si="51"/>
        <v/>
      </c>
    </row>
    <row r="3309" spans="2:9" x14ac:dyDescent="0.25">
      <c r="B3309" s="59"/>
      <c r="C3309" s="60"/>
      <c r="D3309" s="60"/>
      <c r="F3309" s="60"/>
      <c r="G3309" s="60"/>
      <c r="H3309" s="62"/>
      <c r="I3309" s="62" t="str">
        <f t="shared" si="51"/>
        <v/>
      </c>
    </row>
    <row r="3310" spans="2:9" x14ac:dyDescent="0.25">
      <c r="B3310" s="59"/>
      <c r="C3310" s="60"/>
      <c r="D3310" s="60"/>
      <c r="F3310" s="60"/>
      <c r="G3310" s="60"/>
      <c r="H3310" s="62"/>
      <c r="I3310" s="62" t="str">
        <f t="shared" si="51"/>
        <v/>
      </c>
    </row>
    <row r="3311" spans="2:9" x14ac:dyDescent="0.25">
      <c r="B3311" s="59"/>
      <c r="C3311" s="60"/>
      <c r="D3311" s="60"/>
      <c r="F3311" s="60"/>
      <c r="G3311" s="60"/>
      <c r="H3311" s="62"/>
      <c r="I3311" s="62" t="str">
        <f t="shared" si="51"/>
        <v/>
      </c>
    </row>
    <row r="3312" spans="2:9" x14ac:dyDescent="0.25">
      <c r="B3312" s="59"/>
      <c r="C3312" s="60"/>
      <c r="D3312" s="60"/>
      <c r="F3312" s="60"/>
      <c r="G3312" s="60"/>
      <c r="H3312" s="62"/>
      <c r="I3312" s="62" t="str">
        <f t="shared" si="51"/>
        <v/>
      </c>
    </row>
    <row r="3313" spans="2:9" x14ac:dyDescent="0.25">
      <c r="B3313" s="59"/>
      <c r="C3313" s="60"/>
      <c r="D3313" s="60"/>
      <c r="F3313" s="60"/>
      <c r="G3313" s="60"/>
      <c r="H3313" s="62"/>
      <c r="I3313" s="62" t="str">
        <f t="shared" si="51"/>
        <v/>
      </c>
    </row>
    <row r="3314" spans="2:9" x14ac:dyDescent="0.25">
      <c r="B3314" s="59"/>
      <c r="C3314" s="60"/>
      <c r="D3314" s="60"/>
      <c r="F3314" s="60"/>
      <c r="G3314" s="60"/>
      <c r="H3314" s="62"/>
      <c r="I3314" s="62" t="str">
        <f t="shared" si="51"/>
        <v/>
      </c>
    </row>
    <row r="3315" spans="2:9" x14ac:dyDescent="0.25">
      <c r="B3315" s="59"/>
      <c r="C3315" s="60"/>
      <c r="D3315" s="60"/>
      <c r="F3315" s="60"/>
      <c r="G3315" s="60"/>
      <c r="H3315" s="62"/>
      <c r="I3315" s="62" t="str">
        <f t="shared" si="51"/>
        <v/>
      </c>
    </row>
    <row r="3316" spans="2:9" x14ac:dyDescent="0.25">
      <c r="B3316" s="59"/>
      <c r="C3316" s="60"/>
      <c r="D3316" s="60"/>
      <c r="F3316" s="60"/>
      <c r="G3316" s="60"/>
      <c r="H3316" s="62"/>
      <c r="I3316" s="62" t="str">
        <f t="shared" si="51"/>
        <v/>
      </c>
    </row>
    <row r="3317" spans="2:9" x14ac:dyDescent="0.25">
      <c r="B3317" s="59"/>
      <c r="C3317" s="60"/>
      <c r="D3317" s="60"/>
      <c r="F3317" s="60"/>
      <c r="G3317" s="60"/>
      <c r="H3317" s="62"/>
      <c r="I3317" s="62" t="str">
        <f t="shared" si="51"/>
        <v/>
      </c>
    </row>
    <row r="3318" spans="2:9" x14ac:dyDescent="0.25">
      <c r="B3318" s="59"/>
      <c r="C3318" s="60"/>
      <c r="D3318" s="60"/>
      <c r="F3318" s="60"/>
      <c r="G3318" s="60"/>
      <c r="H3318" s="62"/>
      <c r="I3318" s="62" t="str">
        <f t="shared" si="51"/>
        <v/>
      </c>
    </row>
    <row r="3319" spans="2:9" x14ac:dyDescent="0.25">
      <c r="B3319" s="59"/>
      <c r="C3319" s="60"/>
      <c r="D3319" s="60"/>
      <c r="F3319" s="60"/>
      <c r="G3319" s="60"/>
      <c r="H3319" s="62"/>
      <c r="I3319" s="62" t="str">
        <f t="shared" si="51"/>
        <v/>
      </c>
    </row>
    <row r="3320" spans="2:9" x14ac:dyDescent="0.25">
      <c r="B3320" s="59"/>
      <c r="C3320" s="60"/>
      <c r="D3320" s="60"/>
      <c r="F3320" s="60"/>
      <c r="G3320" s="60"/>
      <c r="H3320" s="62"/>
      <c r="I3320" s="62" t="str">
        <f t="shared" si="51"/>
        <v/>
      </c>
    </row>
    <row r="3321" spans="2:9" x14ac:dyDescent="0.25">
      <c r="B3321" s="59"/>
      <c r="C3321" s="60"/>
      <c r="D3321" s="60"/>
      <c r="F3321" s="60"/>
      <c r="G3321" s="60"/>
      <c r="H3321" s="62"/>
      <c r="I3321" s="62" t="str">
        <f t="shared" si="51"/>
        <v/>
      </c>
    </row>
    <row r="3322" spans="2:9" x14ac:dyDescent="0.25">
      <c r="B3322" s="59"/>
      <c r="C3322" s="60"/>
      <c r="D3322" s="60"/>
      <c r="F3322" s="60"/>
      <c r="G3322" s="60"/>
      <c r="H3322" s="62"/>
      <c r="I3322" s="62" t="str">
        <f t="shared" si="51"/>
        <v/>
      </c>
    </row>
    <row r="3323" spans="2:9" x14ac:dyDescent="0.25">
      <c r="B3323" s="59"/>
      <c r="C3323" s="60"/>
      <c r="D3323" s="60"/>
      <c r="F3323" s="60"/>
      <c r="G3323" s="60"/>
      <c r="H3323" s="62"/>
      <c r="I3323" s="62" t="str">
        <f t="shared" si="51"/>
        <v/>
      </c>
    </row>
    <row r="3324" spans="2:9" x14ac:dyDescent="0.25">
      <c r="B3324" s="59"/>
      <c r="C3324" s="60"/>
      <c r="D3324" s="60"/>
      <c r="F3324" s="60"/>
      <c r="G3324" s="60"/>
      <c r="H3324" s="62"/>
      <c r="I3324" s="62" t="str">
        <f t="shared" si="51"/>
        <v/>
      </c>
    </row>
    <row r="3325" spans="2:9" x14ac:dyDescent="0.25">
      <c r="B3325" s="59"/>
      <c r="C3325" s="60"/>
      <c r="D3325" s="60"/>
      <c r="F3325" s="60"/>
      <c r="G3325" s="60"/>
      <c r="H3325" s="62"/>
      <c r="I3325" s="62" t="str">
        <f t="shared" si="51"/>
        <v/>
      </c>
    </row>
    <row r="3326" spans="2:9" x14ac:dyDescent="0.25">
      <c r="B3326" s="59"/>
      <c r="C3326" s="60"/>
      <c r="D3326" s="60"/>
      <c r="F3326" s="60"/>
      <c r="G3326" s="60"/>
      <c r="H3326" s="62"/>
      <c r="I3326" s="62" t="str">
        <f t="shared" si="51"/>
        <v/>
      </c>
    </row>
    <row r="3327" spans="2:9" x14ac:dyDescent="0.25">
      <c r="B3327" s="59"/>
      <c r="C3327" s="60"/>
      <c r="D3327" s="60"/>
      <c r="F3327" s="60"/>
      <c r="G3327" s="60"/>
      <c r="H3327" s="62"/>
      <c r="I3327" s="62" t="str">
        <f t="shared" si="51"/>
        <v/>
      </c>
    </row>
    <row r="3328" spans="2:9" x14ac:dyDescent="0.25">
      <c r="B3328" s="59"/>
      <c r="C3328" s="60"/>
      <c r="D3328" s="60"/>
      <c r="F3328" s="60"/>
      <c r="G3328" s="60"/>
      <c r="H3328" s="62"/>
      <c r="I3328" s="62" t="str">
        <f t="shared" si="51"/>
        <v/>
      </c>
    </row>
    <row r="3329" spans="2:9" x14ac:dyDescent="0.25">
      <c r="B3329" s="59"/>
      <c r="C3329" s="60"/>
      <c r="D3329" s="60"/>
      <c r="F3329" s="60"/>
      <c r="G3329" s="60"/>
      <c r="H3329" s="62"/>
      <c r="I3329" s="62" t="str">
        <f t="shared" si="51"/>
        <v/>
      </c>
    </row>
    <row r="3330" spans="2:9" x14ac:dyDescent="0.25">
      <c r="B3330" s="59"/>
      <c r="C3330" s="60"/>
      <c r="D3330" s="60"/>
      <c r="F3330" s="60"/>
      <c r="G3330" s="60"/>
      <c r="H3330" s="62"/>
      <c r="I3330" s="62" t="str">
        <f t="shared" si="51"/>
        <v/>
      </c>
    </row>
    <row r="3331" spans="2:9" x14ac:dyDescent="0.25">
      <c r="B3331" s="59"/>
      <c r="C3331" s="60"/>
      <c r="D3331" s="60"/>
      <c r="F3331" s="60"/>
      <c r="G3331" s="60"/>
      <c r="H3331" s="62"/>
      <c r="I3331" s="62" t="str">
        <f t="shared" si="51"/>
        <v/>
      </c>
    </row>
    <row r="3332" spans="2:9" x14ac:dyDescent="0.25">
      <c r="B3332" s="59"/>
      <c r="C3332" s="60"/>
      <c r="D3332" s="60"/>
      <c r="F3332" s="60"/>
      <c r="G3332" s="60"/>
      <c r="H3332" s="62"/>
      <c r="I3332" s="62" t="str">
        <f t="shared" si="51"/>
        <v/>
      </c>
    </row>
    <row r="3333" spans="2:9" x14ac:dyDescent="0.25">
      <c r="B3333" s="59"/>
      <c r="C3333" s="60"/>
      <c r="D3333" s="60"/>
      <c r="F3333" s="60"/>
      <c r="G3333" s="60"/>
      <c r="H3333" s="62"/>
      <c r="I3333" s="62" t="str">
        <f t="shared" ref="I3333:I3396" si="52">IF(H3333&lt;&gt;"",H3333-H3332,"")</f>
        <v/>
      </c>
    </row>
    <row r="3334" spans="2:9" x14ac:dyDescent="0.25">
      <c r="B3334" s="59"/>
      <c r="C3334" s="60"/>
      <c r="D3334" s="60"/>
      <c r="F3334" s="60"/>
      <c r="G3334" s="60"/>
      <c r="H3334" s="62"/>
      <c r="I3334" s="62" t="str">
        <f t="shared" si="52"/>
        <v/>
      </c>
    </row>
    <row r="3335" spans="2:9" x14ac:dyDescent="0.25">
      <c r="B3335" s="59"/>
      <c r="C3335" s="60"/>
      <c r="D3335" s="60"/>
      <c r="F3335" s="60"/>
      <c r="G3335" s="60"/>
      <c r="H3335" s="62"/>
      <c r="I3335" s="62" t="str">
        <f t="shared" si="52"/>
        <v/>
      </c>
    </row>
    <row r="3336" spans="2:9" x14ac:dyDescent="0.25">
      <c r="B3336" s="59"/>
      <c r="C3336" s="60"/>
      <c r="D3336" s="60"/>
      <c r="F3336" s="60"/>
      <c r="G3336" s="60"/>
      <c r="H3336" s="62"/>
      <c r="I3336" s="62" t="str">
        <f t="shared" si="52"/>
        <v/>
      </c>
    </row>
    <row r="3337" spans="2:9" x14ac:dyDescent="0.25">
      <c r="B3337" s="59"/>
      <c r="C3337" s="60"/>
      <c r="D3337" s="60"/>
      <c r="F3337" s="60"/>
      <c r="G3337" s="60"/>
      <c r="H3337" s="62"/>
      <c r="I3337" s="62" t="str">
        <f t="shared" si="52"/>
        <v/>
      </c>
    </row>
    <row r="3338" spans="2:9" x14ac:dyDescent="0.25">
      <c r="B3338" s="59"/>
      <c r="C3338" s="60"/>
      <c r="D3338" s="60"/>
      <c r="F3338" s="60"/>
      <c r="G3338" s="60"/>
      <c r="H3338" s="62"/>
      <c r="I3338" s="62" t="str">
        <f t="shared" si="52"/>
        <v/>
      </c>
    </row>
    <row r="3339" spans="2:9" x14ac:dyDescent="0.25">
      <c r="B3339" s="59"/>
      <c r="C3339" s="60"/>
      <c r="D3339" s="60"/>
      <c r="F3339" s="60"/>
      <c r="G3339" s="60"/>
      <c r="H3339" s="62"/>
      <c r="I3339" s="62" t="str">
        <f t="shared" si="52"/>
        <v/>
      </c>
    </row>
    <row r="3340" spans="2:9" x14ac:dyDescent="0.25">
      <c r="B3340" s="59"/>
      <c r="C3340" s="60"/>
      <c r="D3340" s="60"/>
      <c r="F3340" s="60"/>
      <c r="G3340" s="60"/>
      <c r="H3340" s="62"/>
      <c r="I3340" s="62" t="str">
        <f t="shared" si="52"/>
        <v/>
      </c>
    </row>
    <row r="3341" spans="2:9" x14ac:dyDescent="0.25">
      <c r="B3341" s="59"/>
      <c r="C3341" s="60"/>
      <c r="D3341" s="60"/>
      <c r="F3341" s="60"/>
      <c r="G3341" s="60"/>
      <c r="H3341" s="62"/>
      <c r="I3341" s="62" t="str">
        <f t="shared" si="52"/>
        <v/>
      </c>
    </row>
    <row r="3342" spans="2:9" x14ac:dyDescent="0.25">
      <c r="B3342" s="59"/>
      <c r="C3342" s="60"/>
      <c r="D3342" s="60"/>
      <c r="F3342" s="60"/>
      <c r="G3342" s="60"/>
      <c r="H3342" s="62"/>
      <c r="I3342" s="62" t="str">
        <f t="shared" si="52"/>
        <v/>
      </c>
    </row>
    <row r="3343" spans="2:9" x14ac:dyDescent="0.25">
      <c r="B3343" s="59"/>
      <c r="C3343" s="60"/>
      <c r="D3343" s="60"/>
      <c r="F3343" s="60"/>
      <c r="G3343" s="60"/>
      <c r="H3343" s="62"/>
      <c r="I3343" s="62" t="str">
        <f t="shared" si="52"/>
        <v/>
      </c>
    </row>
    <row r="3344" spans="2:9" x14ac:dyDescent="0.25">
      <c r="B3344" s="59"/>
      <c r="C3344" s="60"/>
      <c r="D3344" s="60"/>
      <c r="F3344" s="60"/>
      <c r="G3344" s="60"/>
      <c r="H3344" s="62"/>
      <c r="I3344" s="62" t="str">
        <f t="shared" si="52"/>
        <v/>
      </c>
    </row>
    <row r="3345" spans="2:9" x14ac:dyDescent="0.25">
      <c r="B3345" s="59"/>
      <c r="C3345" s="60"/>
      <c r="D3345" s="60"/>
      <c r="F3345" s="60"/>
      <c r="G3345" s="60"/>
      <c r="H3345" s="62"/>
      <c r="I3345" s="62" t="str">
        <f t="shared" si="52"/>
        <v/>
      </c>
    </row>
    <row r="3346" spans="2:9" x14ac:dyDescent="0.25">
      <c r="B3346" s="59"/>
      <c r="C3346" s="60"/>
      <c r="D3346" s="60"/>
      <c r="F3346" s="60"/>
      <c r="G3346" s="60"/>
      <c r="H3346" s="62"/>
      <c r="I3346" s="62" t="str">
        <f t="shared" si="52"/>
        <v/>
      </c>
    </row>
    <row r="3347" spans="2:9" x14ac:dyDescent="0.25">
      <c r="B3347" s="59"/>
      <c r="C3347" s="60"/>
      <c r="D3347" s="60"/>
      <c r="F3347" s="60"/>
      <c r="G3347" s="60"/>
      <c r="H3347" s="62"/>
      <c r="I3347" s="62" t="str">
        <f t="shared" si="52"/>
        <v/>
      </c>
    </row>
    <row r="3348" spans="2:9" x14ac:dyDescent="0.25">
      <c r="B3348" s="59"/>
      <c r="C3348" s="60"/>
      <c r="D3348" s="60"/>
      <c r="F3348" s="60"/>
      <c r="G3348" s="60"/>
      <c r="H3348" s="62"/>
      <c r="I3348" s="62" t="str">
        <f t="shared" si="52"/>
        <v/>
      </c>
    </row>
    <row r="3349" spans="2:9" x14ac:dyDescent="0.25">
      <c r="B3349" s="59"/>
      <c r="C3349" s="60"/>
      <c r="D3349" s="60"/>
      <c r="F3349" s="60"/>
      <c r="G3349" s="60"/>
      <c r="H3349" s="62"/>
      <c r="I3349" s="62" t="str">
        <f t="shared" si="52"/>
        <v/>
      </c>
    </row>
    <row r="3350" spans="2:9" x14ac:dyDescent="0.25">
      <c r="B3350" s="59"/>
      <c r="C3350" s="60"/>
      <c r="D3350" s="60"/>
      <c r="F3350" s="60"/>
      <c r="G3350" s="60"/>
      <c r="H3350" s="62"/>
      <c r="I3350" s="62" t="str">
        <f t="shared" si="52"/>
        <v/>
      </c>
    </row>
    <row r="3351" spans="2:9" x14ac:dyDescent="0.25">
      <c r="B3351" s="59"/>
      <c r="C3351" s="60"/>
      <c r="D3351" s="60"/>
      <c r="F3351" s="60"/>
      <c r="G3351" s="60"/>
      <c r="H3351" s="62"/>
      <c r="I3351" s="62" t="str">
        <f t="shared" si="52"/>
        <v/>
      </c>
    </row>
    <row r="3352" spans="2:9" x14ac:dyDescent="0.25">
      <c r="B3352" s="59"/>
      <c r="C3352" s="60"/>
      <c r="D3352" s="60"/>
      <c r="F3352" s="60"/>
      <c r="G3352" s="60"/>
      <c r="H3352" s="62"/>
      <c r="I3352" s="62" t="str">
        <f t="shared" si="52"/>
        <v/>
      </c>
    </row>
    <row r="3353" spans="2:9" x14ac:dyDescent="0.25">
      <c r="B3353" s="59"/>
      <c r="C3353" s="60"/>
      <c r="D3353" s="60"/>
      <c r="F3353" s="60"/>
      <c r="G3353" s="60"/>
      <c r="H3353" s="62"/>
      <c r="I3353" s="62" t="str">
        <f t="shared" si="52"/>
        <v/>
      </c>
    </row>
    <row r="3354" spans="2:9" x14ac:dyDescent="0.25">
      <c r="B3354" s="59"/>
      <c r="C3354" s="60"/>
      <c r="D3354" s="60"/>
      <c r="F3354" s="60"/>
      <c r="G3354" s="60"/>
      <c r="H3354" s="62"/>
      <c r="I3354" s="62" t="str">
        <f t="shared" si="52"/>
        <v/>
      </c>
    </row>
    <row r="3355" spans="2:9" x14ac:dyDescent="0.25">
      <c r="B3355" s="59"/>
      <c r="C3355" s="60"/>
      <c r="D3355" s="60"/>
      <c r="F3355" s="60"/>
      <c r="G3355" s="60"/>
      <c r="H3355" s="62"/>
      <c r="I3355" s="62" t="str">
        <f t="shared" si="52"/>
        <v/>
      </c>
    </row>
    <row r="3356" spans="2:9" x14ac:dyDescent="0.25">
      <c r="B3356" s="59"/>
      <c r="C3356" s="60"/>
      <c r="D3356" s="60"/>
      <c r="F3356" s="60"/>
      <c r="G3356" s="60"/>
      <c r="H3356" s="62"/>
      <c r="I3356" s="62" t="str">
        <f t="shared" si="52"/>
        <v/>
      </c>
    </row>
    <row r="3357" spans="2:9" x14ac:dyDescent="0.25">
      <c r="B3357" s="59"/>
      <c r="C3357" s="60"/>
      <c r="D3357" s="60"/>
      <c r="F3357" s="60"/>
      <c r="G3357" s="60"/>
      <c r="H3357" s="62"/>
      <c r="I3357" s="62" t="str">
        <f t="shared" si="52"/>
        <v/>
      </c>
    </row>
    <row r="3358" spans="2:9" x14ac:dyDescent="0.25">
      <c r="B3358" s="59"/>
      <c r="C3358" s="60"/>
      <c r="D3358" s="60"/>
      <c r="F3358" s="60"/>
      <c r="G3358" s="60"/>
      <c r="H3358" s="62"/>
      <c r="I3358" s="62" t="str">
        <f t="shared" si="52"/>
        <v/>
      </c>
    </row>
    <row r="3359" spans="2:9" x14ac:dyDescent="0.25">
      <c r="B3359" s="59"/>
      <c r="C3359" s="60"/>
      <c r="D3359" s="60"/>
      <c r="F3359" s="60"/>
      <c r="G3359" s="60"/>
      <c r="H3359" s="62"/>
      <c r="I3359" s="62" t="str">
        <f t="shared" si="52"/>
        <v/>
      </c>
    </row>
    <row r="3360" spans="2:9" x14ac:dyDescent="0.25">
      <c r="B3360" s="59"/>
      <c r="C3360" s="60"/>
      <c r="D3360" s="60"/>
      <c r="F3360" s="60"/>
      <c r="G3360" s="60"/>
      <c r="H3360" s="62"/>
      <c r="I3360" s="62" t="str">
        <f t="shared" si="52"/>
        <v/>
      </c>
    </row>
    <row r="3361" spans="2:9" x14ac:dyDescent="0.25">
      <c r="B3361" s="59"/>
      <c r="C3361" s="60"/>
      <c r="D3361" s="60"/>
      <c r="F3361" s="60"/>
      <c r="G3361" s="60"/>
      <c r="H3361" s="62"/>
      <c r="I3361" s="62" t="str">
        <f t="shared" si="52"/>
        <v/>
      </c>
    </row>
    <row r="3362" spans="2:9" x14ac:dyDescent="0.25">
      <c r="B3362" s="59"/>
      <c r="C3362" s="60"/>
      <c r="D3362" s="60"/>
      <c r="F3362" s="60"/>
      <c r="G3362" s="60"/>
      <c r="H3362" s="62"/>
      <c r="I3362" s="62" t="str">
        <f t="shared" si="52"/>
        <v/>
      </c>
    </row>
    <row r="3363" spans="2:9" x14ac:dyDescent="0.25">
      <c r="B3363" s="59"/>
      <c r="C3363" s="60"/>
      <c r="D3363" s="60"/>
      <c r="F3363" s="60"/>
      <c r="G3363" s="60"/>
      <c r="H3363" s="62"/>
      <c r="I3363" s="62" t="str">
        <f t="shared" si="52"/>
        <v/>
      </c>
    </row>
    <row r="3364" spans="2:9" x14ac:dyDescent="0.25">
      <c r="B3364" s="59"/>
      <c r="C3364" s="60"/>
      <c r="D3364" s="60"/>
      <c r="F3364" s="60"/>
      <c r="G3364" s="60"/>
      <c r="H3364" s="62"/>
      <c r="I3364" s="62" t="str">
        <f t="shared" si="52"/>
        <v/>
      </c>
    </row>
    <row r="3365" spans="2:9" x14ac:dyDescent="0.25">
      <c r="B3365" s="59"/>
      <c r="C3365" s="60"/>
      <c r="D3365" s="60"/>
      <c r="F3365" s="60"/>
      <c r="G3365" s="60"/>
      <c r="H3365" s="62"/>
      <c r="I3365" s="62" t="str">
        <f t="shared" si="52"/>
        <v/>
      </c>
    </row>
    <row r="3366" spans="2:9" x14ac:dyDescent="0.25">
      <c r="B3366" s="59"/>
      <c r="C3366" s="60"/>
      <c r="D3366" s="60"/>
      <c r="F3366" s="60"/>
      <c r="G3366" s="60"/>
      <c r="H3366" s="62"/>
      <c r="I3366" s="62" t="str">
        <f t="shared" si="52"/>
        <v/>
      </c>
    </row>
    <row r="3367" spans="2:9" x14ac:dyDescent="0.25">
      <c r="B3367" s="59"/>
      <c r="C3367" s="60"/>
      <c r="D3367" s="60"/>
      <c r="F3367" s="60"/>
      <c r="G3367" s="60"/>
      <c r="H3367" s="62"/>
      <c r="I3367" s="62" t="str">
        <f t="shared" si="52"/>
        <v/>
      </c>
    </row>
    <row r="3368" spans="2:9" x14ac:dyDescent="0.25">
      <c r="B3368" s="59"/>
      <c r="C3368" s="60"/>
      <c r="D3368" s="60"/>
      <c r="F3368" s="60"/>
      <c r="G3368" s="60"/>
      <c r="H3368" s="62"/>
      <c r="I3368" s="62" t="str">
        <f t="shared" si="52"/>
        <v/>
      </c>
    </row>
    <row r="3369" spans="2:9" x14ac:dyDescent="0.25">
      <c r="B3369" s="59"/>
      <c r="C3369" s="60"/>
      <c r="D3369" s="60"/>
      <c r="F3369" s="60"/>
      <c r="G3369" s="60"/>
      <c r="H3369" s="62"/>
      <c r="I3369" s="62" t="str">
        <f t="shared" si="52"/>
        <v/>
      </c>
    </row>
    <row r="3370" spans="2:9" x14ac:dyDescent="0.25">
      <c r="B3370" s="59"/>
      <c r="C3370" s="60"/>
      <c r="D3370" s="60"/>
      <c r="F3370" s="60"/>
      <c r="G3370" s="60"/>
      <c r="H3370" s="62"/>
      <c r="I3370" s="62" t="str">
        <f t="shared" si="52"/>
        <v/>
      </c>
    </row>
    <row r="3371" spans="2:9" x14ac:dyDescent="0.25">
      <c r="B3371" s="59"/>
      <c r="C3371" s="60"/>
      <c r="D3371" s="60"/>
      <c r="F3371" s="60"/>
      <c r="G3371" s="60"/>
      <c r="H3371" s="62"/>
      <c r="I3371" s="62" t="str">
        <f t="shared" si="52"/>
        <v/>
      </c>
    </row>
    <row r="3372" spans="2:9" x14ac:dyDescent="0.25">
      <c r="B3372" s="59"/>
      <c r="C3372" s="60"/>
      <c r="D3372" s="60"/>
      <c r="F3372" s="60"/>
      <c r="G3372" s="60"/>
      <c r="H3372" s="62"/>
      <c r="I3372" s="62" t="str">
        <f t="shared" si="52"/>
        <v/>
      </c>
    </row>
    <row r="3373" spans="2:9" x14ac:dyDescent="0.25">
      <c r="B3373" s="59"/>
      <c r="C3373" s="60"/>
      <c r="D3373" s="60"/>
      <c r="F3373" s="60"/>
      <c r="G3373" s="60"/>
      <c r="H3373" s="62"/>
      <c r="I3373" s="62" t="str">
        <f t="shared" si="52"/>
        <v/>
      </c>
    </row>
    <row r="3374" spans="2:9" x14ac:dyDescent="0.25">
      <c r="B3374" s="59"/>
      <c r="C3374" s="60"/>
      <c r="D3374" s="60"/>
      <c r="F3374" s="60"/>
      <c r="G3374" s="60"/>
      <c r="H3374" s="62"/>
      <c r="I3374" s="62" t="str">
        <f t="shared" si="52"/>
        <v/>
      </c>
    </row>
    <row r="3375" spans="2:9" x14ac:dyDescent="0.25">
      <c r="B3375" s="59"/>
      <c r="C3375" s="60"/>
      <c r="D3375" s="60"/>
      <c r="F3375" s="60"/>
      <c r="G3375" s="60"/>
      <c r="H3375" s="62"/>
      <c r="I3375" s="62" t="str">
        <f t="shared" si="52"/>
        <v/>
      </c>
    </row>
    <row r="3376" spans="2:9" x14ac:dyDescent="0.25">
      <c r="B3376" s="59"/>
      <c r="C3376" s="60"/>
      <c r="D3376" s="60"/>
      <c r="F3376" s="60"/>
      <c r="G3376" s="60"/>
      <c r="H3376" s="62"/>
      <c r="I3376" s="62" t="str">
        <f t="shared" si="52"/>
        <v/>
      </c>
    </row>
    <row r="3377" spans="2:9" x14ac:dyDescent="0.25">
      <c r="B3377" s="59"/>
      <c r="C3377" s="60"/>
      <c r="D3377" s="60"/>
      <c r="F3377" s="60"/>
      <c r="G3377" s="60"/>
      <c r="H3377" s="62"/>
      <c r="I3377" s="62" t="str">
        <f t="shared" si="52"/>
        <v/>
      </c>
    </row>
    <row r="3378" spans="2:9" x14ac:dyDescent="0.25">
      <c r="B3378" s="59"/>
      <c r="C3378" s="60"/>
      <c r="D3378" s="60"/>
      <c r="F3378" s="60"/>
      <c r="G3378" s="60"/>
      <c r="H3378" s="62"/>
      <c r="I3378" s="62" t="str">
        <f t="shared" si="52"/>
        <v/>
      </c>
    </row>
    <row r="3379" spans="2:9" x14ac:dyDescent="0.25">
      <c r="B3379" s="59"/>
      <c r="C3379" s="60"/>
      <c r="D3379" s="60"/>
      <c r="F3379" s="60"/>
      <c r="G3379" s="60"/>
      <c r="H3379" s="62"/>
      <c r="I3379" s="62" t="str">
        <f t="shared" si="52"/>
        <v/>
      </c>
    </row>
    <row r="3380" spans="2:9" x14ac:dyDescent="0.25">
      <c r="B3380" s="59"/>
      <c r="C3380" s="60"/>
      <c r="D3380" s="60"/>
      <c r="F3380" s="60"/>
      <c r="G3380" s="60"/>
      <c r="H3380" s="62"/>
      <c r="I3380" s="62" t="str">
        <f t="shared" si="52"/>
        <v/>
      </c>
    </row>
    <row r="3381" spans="2:9" x14ac:dyDescent="0.25">
      <c r="B3381" s="59"/>
      <c r="C3381" s="60"/>
      <c r="D3381" s="60"/>
      <c r="F3381" s="60"/>
      <c r="G3381" s="60"/>
      <c r="H3381" s="62"/>
      <c r="I3381" s="62" t="str">
        <f t="shared" si="52"/>
        <v/>
      </c>
    </row>
    <row r="3382" spans="2:9" x14ac:dyDescent="0.25">
      <c r="B3382" s="59"/>
      <c r="C3382" s="60"/>
      <c r="D3382" s="60"/>
      <c r="F3382" s="60"/>
      <c r="G3382" s="60"/>
      <c r="H3382" s="62"/>
      <c r="I3382" s="62" t="str">
        <f t="shared" si="52"/>
        <v/>
      </c>
    </row>
    <row r="3383" spans="2:9" x14ac:dyDescent="0.25">
      <c r="B3383" s="59"/>
      <c r="C3383" s="60"/>
      <c r="D3383" s="60"/>
      <c r="F3383" s="60"/>
      <c r="G3383" s="60"/>
      <c r="H3383" s="62"/>
      <c r="I3383" s="62" t="str">
        <f t="shared" si="52"/>
        <v/>
      </c>
    </row>
    <row r="3384" spans="2:9" x14ac:dyDescent="0.25">
      <c r="B3384" s="59"/>
      <c r="C3384" s="60"/>
      <c r="D3384" s="60"/>
      <c r="F3384" s="60"/>
      <c r="G3384" s="60"/>
      <c r="H3384" s="62"/>
      <c r="I3384" s="62" t="str">
        <f t="shared" si="52"/>
        <v/>
      </c>
    </row>
    <row r="3385" spans="2:9" x14ac:dyDescent="0.25">
      <c r="B3385" s="59"/>
      <c r="C3385" s="60"/>
      <c r="D3385" s="60"/>
      <c r="F3385" s="60"/>
      <c r="G3385" s="60"/>
      <c r="H3385" s="62"/>
      <c r="I3385" s="62" t="str">
        <f t="shared" si="52"/>
        <v/>
      </c>
    </row>
    <row r="3386" spans="2:9" x14ac:dyDescent="0.25">
      <c r="B3386" s="59"/>
      <c r="C3386" s="60"/>
      <c r="D3386" s="60"/>
      <c r="F3386" s="60"/>
      <c r="G3386" s="60"/>
      <c r="H3386" s="62"/>
      <c r="I3386" s="62" t="str">
        <f t="shared" si="52"/>
        <v/>
      </c>
    </row>
    <row r="3387" spans="2:9" x14ac:dyDescent="0.25">
      <c r="B3387" s="59"/>
      <c r="C3387" s="60"/>
      <c r="D3387" s="60"/>
      <c r="F3387" s="60"/>
      <c r="G3387" s="60"/>
      <c r="H3387" s="62"/>
      <c r="I3387" s="62" t="str">
        <f t="shared" si="52"/>
        <v/>
      </c>
    </row>
    <row r="3388" spans="2:9" x14ac:dyDescent="0.25">
      <c r="B3388" s="59"/>
      <c r="C3388" s="60"/>
      <c r="D3388" s="60"/>
      <c r="F3388" s="60"/>
      <c r="G3388" s="60"/>
      <c r="H3388" s="62"/>
      <c r="I3388" s="62" t="str">
        <f t="shared" si="52"/>
        <v/>
      </c>
    </row>
    <row r="3389" spans="2:9" x14ac:dyDescent="0.25">
      <c r="B3389" s="59"/>
      <c r="C3389" s="60"/>
      <c r="D3389" s="60"/>
      <c r="F3389" s="60"/>
      <c r="G3389" s="60"/>
      <c r="H3389" s="62"/>
      <c r="I3389" s="62" t="str">
        <f t="shared" si="52"/>
        <v/>
      </c>
    </row>
    <row r="3390" spans="2:9" x14ac:dyDescent="0.25">
      <c r="B3390" s="59"/>
      <c r="C3390" s="60"/>
      <c r="D3390" s="60"/>
      <c r="F3390" s="60"/>
      <c r="G3390" s="60"/>
      <c r="H3390" s="62"/>
      <c r="I3390" s="62" t="str">
        <f t="shared" si="52"/>
        <v/>
      </c>
    </row>
    <row r="3391" spans="2:9" x14ac:dyDescent="0.25">
      <c r="B3391" s="59"/>
      <c r="C3391" s="60"/>
      <c r="D3391" s="60"/>
      <c r="F3391" s="60"/>
      <c r="G3391" s="60"/>
      <c r="H3391" s="62"/>
      <c r="I3391" s="62" t="str">
        <f t="shared" si="52"/>
        <v/>
      </c>
    </row>
    <row r="3392" spans="2:9" x14ac:dyDescent="0.25">
      <c r="B3392" s="59"/>
      <c r="C3392" s="60"/>
      <c r="D3392" s="60"/>
      <c r="F3392" s="60"/>
      <c r="G3392" s="60"/>
      <c r="H3392" s="62"/>
      <c r="I3392" s="62" t="str">
        <f t="shared" si="52"/>
        <v/>
      </c>
    </row>
    <row r="3393" spans="2:9" x14ac:dyDescent="0.25">
      <c r="B3393" s="59"/>
      <c r="C3393" s="60"/>
      <c r="D3393" s="60"/>
      <c r="F3393" s="60"/>
      <c r="G3393" s="60"/>
      <c r="H3393" s="62"/>
      <c r="I3393" s="62" t="str">
        <f t="shared" si="52"/>
        <v/>
      </c>
    </row>
    <row r="3394" spans="2:9" x14ac:dyDescent="0.25">
      <c r="B3394" s="59"/>
      <c r="C3394" s="60"/>
      <c r="D3394" s="60"/>
      <c r="F3394" s="60"/>
      <c r="G3394" s="60"/>
      <c r="H3394" s="62"/>
      <c r="I3394" s="62" t="str">
        <f t="shared" si="52"/>
        <v/>
      </c>
    </row>
    <row r="3395" spans="2:9" x14ac:dyDescent="0.25">
      <c r="B3395" s="59"/>
      <c r="C3395" s="60"/>
      <c r="D3395" s="60"/>
      <c r="F3395" s="60"/>
      <c r="G3395" s="60"/>
      <c r="H3395" s="62"/>
      <c r="I3395" s="62" t="str">
        <f t="shared" si="52"/>
        <v/>
      </c>
    </row>
    <row r="3396" spans="2:9" x14ac:dyDescent="0.25">
      <c r="B3396" s="59"/>
      <c r="C3396" s="60"/>
      <c r="D3396" s="60"/>
      <c r="F3396" s="60"/>
      <c r="G3396" s="60"/>
      <c r="H3396" s="62"/>
      <c r="I3396" s="62" t="str">
        <f t="shared" si="52"/>
        <v/>
      </c>
    </row>
    <row r="3397" spans="2:9" x14ac:dyDescent="0.25">
      <c r="B3397" s="59"/>
      <c r="C3397" s="60"/>
      <c r="D3397" s="60"/>
      <c r="F3397" s="60"/>
      <c r="G3397" s="60"/>
      <c r="H3397" s="62"/>
      <c r="I3397" s="62" t="str">
        <f t="shared" ref="I3397:I3460" si="53">IF(H3397&lt;&gt;"",H3397-H3396,"")</f>
        <v/>
      </c>
    </row>
    <row r="3398" spans="2:9" x14ac:dyDescent="0.25">
      <c r="B3398" s="59"/>
      <c r="C3398" s="60"/>
      <c r="D3398" s="60"/>
      <c r="F3398" s="60"/>
      <c r="G3398" s="60"/>
      <c r="H3398" s="62"/>
      <c r="I3398" s="62" t="str">
        <f t="shared" si="53"/>
        <v/>
      </c>
    </row>
    <row r="3399" spans="2:9" x14ac:dyDescent="0.25">
      <c r="B3399" s="59"/>
      <c r="C3399" s="60"/>
      <c r="D3399" s="60"/>
      <c r="F3399" s="60"/>
      <c r="G3399" s="60"/>
      <c r="H3399" s="62"/>
      <c r="I3399" s="62" t="str">
        <f t="shared" si="53"/>
        <v/>
      </c>
    </row>
    <row r="3400" spans="2:9" x14ac:dyDescent="0.25">
      <c r="B3400" s="59"/>
      <c r="C3400" s="60"/>
      <c r="D3400" s="60"/>
      <c r="F3400" s="60"/>
      <c r="G3400" s="60"/>
      <c r="H3400" s="62"/>
      <c r="I3400" s="62" t="str">
        <f t="shared" si="53"/>
        <v/>
      </c>
    </row>
    <row r="3401" spans="2:9" x14ac:dyDescent="0.25">
      <c r="B3401" s="59"/>
      <c r="C3401" s="60"/>
      <c r="D3401" s="60"/>
      <c r="F3401" s="60"/>
      <c r="G3401" s="60"/>
      <c r="H3401" s="62"/>
      <c r="I3401" s="62" t="str">
        <f t="shared" si="53"/>
        <v/>
      </c>
    </row>
    <row r="3402" spans="2:9" x14ac:dyDescent="0.25">
      <c r="B3402" s="59"/>
      <c r="C3402" s="60"/>
      <c r="D3402" s="60"/>
      <c r="F3402" s="60"/>
      <c r="G3402" s="60"/>
      <c r="H3402" s="62"/>
      <c r="I3402" s="62" t="str">
        <f t="shared" si="53"/>
        <v/>
      </c>
    </row>
    <row r="3403" spans="2:9" x14ac:dyDescent="0.25">
      <c r="B3403" s="59"/>
      <c r="C3403" s="60"/>
      <c r="D3403" s="60"/>
      <c r="F3403" s="60"/>
      <c r="G3403" s="60"/>
      <c r="H3403" s="62"/>
      <c r="I3403" s="62" t="str">
        <f t="shared" si="53"/>
        <v/>
      </c>
    </row>
    <row r="3404" spans="2:9" x14ac:dyDescent="0.25">
      <c r="B3404" s="59"/>
      <c r="C3404" s="60"/>
      <c r="D3404" s="60"/>
      <c r="F3404" s="60"/>
      <c r="G3404" s="60"/>
      <c r="H3404" s="62"/>
      <c r="I3404" s="62" t="str">
        <f t="shared" si="53"/>
        <v/>
      </c>
    </row>
    <row r="3405" spans="2:9" x14ac:dyDescent="0.25">
      <c r="B3405" s="59"/>
      <c r="C3405" s="60"/>
      <c r="D3405" s="60"/>
      <c r="F3405" s="60"/>
      <c r="G3405" s="60"/>
      <c r="H3405" s="62"/>
      <c r="I3405" s="62" t="str">
        <f t="shared" si="53"/>
        <v/>
      </c>
    </row>
    <row r="3406" spans="2:9" x14ac:dyDescent="0.25">
      <c r="B3406" s="59"/>
      <c r="C3406" s="60"/>
      <c r="D3406" s="60"/>
      <c r="F3406" s="60"/>
      <c r="G3406" s="60"/>
      <c r="H3406" s="62"/>
      <c r="I3406" s="62" t="str">
        <f t="shared" si="53"/>
        <v/>
      </c>
    </row>
    <row r="3407" spans="2:9" x14ac:dyDescent="0.25">
      <c r="B3407" s="59"/>
      <c r="C3407" s="60"/>
      <c r="D3407" s="60"/>
      <c r="F3407" s="60"/>
      <c r="G3407" s="60"/>
      <c r="H3407" s="62"/>
      <c r="I3407" s="62" t="str">
        <f t="shared" si="53"/>
        <v/>
      </c>
    </row>
    <row r="3408" spans="2:9" x14ac:dyDescent="0.25">
      <c r="B3408" s="59"/>
      <c r="C3408" s="60"/>
      <c r="D3408" s="60"/>
      <c r="F3408" s="60"/>
      <c r="G3408" s="60"/>
      <c r="H3408" s="62"/>
      <c r="I3408" s="62" t="str">
        <f t="shared" si="53"/>
        <v/>
      </c>
    </row>
    <row r="3409" spans="2:9" x14ac:dyDescent="0.25">
      <c r="B3409" s="59"/>
      <c r="C3409" s="60"/>
      <c r="D3409" s="60"/>
      <c r="F3409" s="60"/>
      <c r="G3409" s="60"/>
      <c r="H3409" s="62"/>
      <c r="I3409" s="62" t="str">
        <f t="shared" si="53"/>
        <v/>
      </c>
    </row>
    <row r="3410" spans="2:9" x14ac:dyDescent="0.25">
      <c r="B3410" s="59"/>
      <c r="C3410" s="60"/>
      <c r="D3410" s="60"/>
      <c r="F3410" s="60"/>
      <c r="G3410" s="60"/>
      <c r="H3410" s="62"/>
      <c r="I3410" s="62" t="str">
        <f t="shared" si="53"/>
        <v/>
      </c>
    </row>
    <row r="3411" spans="2:9" x14ac:dyDescent="0.25">
      <c r="B3411" s="59"/>
      <c r="C3411" s="60"/>
      <c r="D3411" s="60"/>
      <c r="F3411" s="60"/>
      <c r="G3411" s="60"/>
      <c r="H3411" s="62"/>
      <c r="I3411" s="62" t="str">
        <f t="shared" si="53"/>
        <v/>
      </c>
    </row>
    <row r="3412" spans="2:9" x14ac:dyDescent="0.25">
      <c r="B3412" s="59"/>
      <c r="C3412" s="60"/>
      <c r="D3412" s="60"/>
      <c r="F3412" s="60"/>
      <c r="G3412" s="60"/>
      <c r="H3412" s="62"/>
      <c r="I3412" s="62" t="str">
        <f t="shared" si="53"/>
        <v/>
      </c>
    </row>
    <row r="3413" spans="2:9" x14ac:dyDescent="0.25">
      <c r="B3413" s="59"/>
      <c r="C3413" s="60"/>
      <c r="D3413" s="60"/>
      <c r="F3413" s="60"/>
      <c r="G3413" s="60"/>
      <c r="H3413" s="62"/>
      <c r="I3413" s="62" t="str">
        <f t="shared" si="53"/>
        <v/>
      </c>
    </row>
    <row r="3414" spans="2:9" x14ac:dyDescent="0.25">
      <c r="B3414" s="59"/>
      <c r="C3414" s="60"/>
      <c r="D3414" s="60"/>
      <c r="F3414" s="60"/>
      <c r="G3414" s="60"/>
      <c r="H3414" s="62"/>
      <c r="I3414" s="62" t="str">
        <f t="shared" si="53"/>
        <v/>
      </c>
    </row>
    <row r="3415" spans="2:9" x14ac:dyDescent="0.25">
      <c r="B3415" s="59"/>
      <c r="C3415" s="60"/>
      <c r="D3415" s="60"/>
      <c r="F3415" s="60"/>
      <c r="G3415" s="60"/>
      <c r="H3415" s="62"/>
      <c r="I3415" s="62" t="str">
        <f t="shared" si="53"/>
        <v/>
      </c>
    </row>
    <row r="3416" spans="2:9" x14ac:dyDescent="0.25">
      <c r="B3416" s="59"/>
      <c r="C3416" s="60"/>
      <c r="D3416" s="60"/>
      <c r="F3416" s="60"/>
      <c r="G3416" s="60"/>
      <c r="H3416" s="62"/>
      <c r="I3416" s="62" t="str">
        <f t="shared" si="53"/>
        <v/>
      </c>
    </row>
    <row r="3417" spans="2:9" x14ac:dyDescent="0.25">
      <c r="B3417" s="59"/>
      <c r="C3417" s="60"/>
      <c r="D3417" s="60"/>
      <c r="F3417" s="60"/>
      <c r="G3417" s="60"/>
      <c r="H3417" s="62"/>
      <c r="I3417" s="62" t="str">
        <f t="shared" si="53"/>
        <v/>
      </c>
    </row>
    <row r="3418" spans="2:9" x14ac:dyDescent="0.25">
      <c r="B3418" s="59"/>
      <c r="C3418" s="60"/>
      <c r="D3418" s="60"/>
      <c r="F3418" s="60"/>
      <c r="G3418" s="60"/>
      <c r="H3418" s="62"/>
      <c r="I3418" s="62" t="str">
        <f t="shared" si="53"/>
        <v/>
      </c>
    </row>
    <row r="3419" spans="2:9" x14ac:dyDescent="0.25">
      <c r="B3419" s="59"/>
      <c r="C3419" s="60"/>
      <c r="D3419" s="60"/>
      <c r="F3419" s="60"/>
      <c r="G3419" s="60"/>
      <c r="H3419" s="62"/>
      <c r="I3419" s="62" t="str">
        <f t="shared" si="53"/>
        <v/>
      </c>
    </row>
    <row r="3420" spans="2:9" x14ac:dyDescent="0.25">
      <c r="B3420" s="59"/>
      <c r="C3420" s="60"/>
      <c r="D3420" s="60"/>
      <c r="F3420" s="60"/>
      <c r="G3420" s="60"/>
      <c r="H3420" s="62"/>
      <c r="I3420" s="62" t="str">
        <f t="shared" si="53"/>
        <v/>
      </c>
    </row>
    <row r="3421" spans="2:9" x14ac:dyDescent="0.25">
      <c r="B3421" s="59"/>
      <c r="C3421" s="60"/>
      <c r="D3421" s="60"/>
      <c r="F3421" s="60"/>
      <c r="G3421" s="60"/>
      <c r="H3421" s="62"/>
      <c r="I3421" s="62" t="str">
        <f t="shared" si="53"/>
        <v/>
      </c>
    </row>
    <row r="3422" spans="2:9" x14ac:dyDescent="0.25">
      <c r="B3422" s="59"/>
      <c r="C3422" s="60"/>
      <c r="D3422" s="60"/>
      <c r="F3422" s="60"/>
      <c r="G3422" s="60"/>
      <c r="H3422" s="62"/>
      <c r="I3422" s="62" t="str">
        <f t="shared" si="53"/>
        <v/>
      </c>
    </row>
    <row r="3423" spans="2:9" x14ac:dyDescent="0.25">
      <c r="B3423" s="59"/>
      <c r="C3423" s="60"/>
      <c r="D3423" s="60"/>
      <c r="F3423" s="60"/>
      <c r="G3423" s="60"/>
      <c r="H3423" s="62"/>
      <c r="I3423" s="62" t="str">
        <f t="shared" si="53"/>
        <v/>
      </c>
    </row>
    <row r="3424" spans="2:9" x14ac:dyDescent="0.25">
      <c r="B3424" s="59"/>
      <c r="C3424" s="60"/>
      <c r="D3424" s="60"/>
      <c r="F3424" s="60"/>
      <c r="G3424" s="60"/>
      <c r="H3424" s="62"/>
      <c r="I3424" s="62" t="str">
        <f t="shared" si="53"/>
        <v/>
      </c>
    </row>
    <row r="3425" spans="2:9" x14ac:dyDescent="0.25">
      <c r="B3425" s="59"/>
      <c r="C3425" s="60"/>
      <c r="D3425" s="60"/>
      <c r="F3425" s="60"/>
      <c r="G3425" s="60"/>
      <c r="H3425" s="62"/>
      <c r="I3425" s="62" t="str">
        <f t="shared" si="53"/>
        <v/>
      </c>
    </row>
    <row r="3426" spans="2:9" x14ac:dyDescent="0.25">
      <c r="B3426" s="59"/>
      <c r="C3426" s="60"/>
      <c r="D3426" s="60"/>
      <c r="F3426" s="60"/>
      <c r="G3426" s="60"/>
      <c r="H3426" s="62"/>
      <c r="I3426" s="62" t="str">
        <f t="shared" si="53"/>
        <v/>
      </c>
    </row>
    <row r="3427" spans="2:9" x14ac:dyDescent="0.25">
      <c r="B3427" s="59"/>
      <c r="C3427" s="60"/>
      <c r="D3427" s="60"/>
      <c r="F3427" s="60"/>
      <c r="G3427" s="60"/>
      <c r="H3427" s="62"/>
      <c r="I3427" s="62" t="str">
        <f t="shared" si="53"/>
        <v/>
      </c>
    </row>
    <row r="3428" spans="2:9" x14ac:dyDescent="0.25">
      <c r="B3428" s="59"/>
      <c r="C3428" s="60"/>
      <c r="D3428" s="60"/>
      <c r="F3428" s="60"/>
      <c r="G3428" s="60"/>
      <c r="H3428" s="62"/>
      <c r="I3428" s="62" t="str">
        <f t="shared" si="53"/>
        <v/>
      </c>
    </row>
    <row r="3429" spans="2:9" x14ac:dyDescent="0.25">
      <c r="B3429" s="59"/>
      <c r="C3429" s="60"/>
      <c r="D3429" s="60"/>
      <c r="F3429" s="60"/>
      <c r="G3429" s="60"/>
      <c r="H3429" s="62"/>
      <c r="I3429" s="62" t="str">
        <f t="shared" si="53"/>
        <v/>
      </c>
    </row>
    <row r="3430" spans="2:9" x14ac:dyDescent="0.25">
      <c r="B3430" s="59"/>
      <c r="C3430" s="60"/>
      <c r="D3430" s="60"/>
      <c r="F3430" s="60"/>
      <c r="G3430" s="60"/>
      <c r="H3430" s="62"/>
      <c r="I3430" s="62" t="str">
        <f t="shared" si="53"/>
        <v/>
      </c>
    </row>
    <row r="3431" spans="2:9" x14ac:dyDescent="0.25">
      <c r="B3431" s="59"/>
      <c r="C3431" s="60"/>
      <c r="D3431" s="60"/>
      <c r="F3431" s="60"/>
      <c r="G3431" s="60"/>
      <c r="H3431" s="62"/>
      <c r="I3431" s="62" t="str">
        <f t="shared" si="53"/>
        <v/>
      </c>
    </row>
    <row r="3432" spans="2:9" x14ac:dyDescent="0.25">
      <c r="B3432" s="59"/>
      <c r="C3432" s="60"/>
      <c r="D3432" s="60"/>
      <c r="F3432" s="60"/>
      <c r="G3432" s="60"/>
      <c r="H3432" s="62"/>
      <c r="I3432" s="62" t="str">
        <f t="shared" si="53"/>
        <v/>
      </c>
    </row>
    <row r="3433" spans="2:9" x14ac:dyDescent="0.25">
      <c r="B3433" s="59"/>
      <c r="C3433" s="60"/>
      <c r="D3433" s="60"/>
      <c r="F3433" s="60"/>
      <c r="G3433" s="60"/>
      <c r="H3433" s="62"/>
      <c r="I3433" s="62" t="str">
        <f t="shared" si="53"/>
        <v/>
      </c>
    </row>
    <row r="3434" spans="2:9" x14ac:dyDescent="0.25">
      <c r="B3434" s="59"/>
      <c r="C3434" s="60"/>
      <c r="D3434" s="60"/>
      <c r="F3434" s="60"/>
      <c r="G3434" s="60"/>
      <c r="H3434" s="62"/>
      <c r="I3434" s="62" t="str">
        <f t="shared" si="53"/>
        <v/>
      </c>
    </row>
    <row r="3435" spans="2:9" x14ac:dyDescent="0.25">
      <c r="B3435" s="59"/>
      <c r="C3435" s="60"/>
      <c r="D3435" s="60"/>
      <c r="F3435" s="60"/>
      <c r="G3435" s="60"/>
      <c r="H3435" s="62"/>
      <c r="I3435" s="62" t="str">
        <f t="shared" si="53"/>
        <v/>
      </c>
    </row>
    <row r="3436" spans="2:9" x14ac:dyDescent="0.25">
      <c r="B3436" s="59"/>
      <c r="C3436" s="60"/>
      <c r="D3436" s="60"/>
      <c r="F3436" s="60"/>
      <c r="G3436" s="60"/>
      <c r="H3436" s="62"/>
      <c r="I3436" s="62" t="str">
        <f t="shared" si="53"/>
        <v/>
      </c>
    </row>
    <row r="3437" spans="2:9" x14ac:dyDescent="0.25">
      <c r="B3437" s="59"/>
      <c r="C3437" s="60"/>
      <c r="D3437" s="60"/>
      <c r="F3437" s="60"/>
      <c r="G3437" s="60"/>
      <c r="H3437" s="62"/>
      <c r="I3437" s="62" t="str">
        <f t="shared" si="53"/>
        <v/>
      </c>
    </row>
    <row r="3438" spans="2:9" x14ac:dyDescent="0.25">
      <c r="B3438" s="59"/>
      <c r="C3438" s="60"/>
      <c r="D3438" s="60"/>
      <c r="F3438" s="60"/>
      <c r="G3438" s="60"/>
      <c r="H3438" s="62"/>
      <c r="I3438" s="62" t="str">
        <f t="shared" si="53"/>
        <v/>
      </c>
    </row>
    <row r="3439" spans="2:9" x14ac:dyDescent="0.25">
      <c r="B3439" s="59"/>
      <c r="C3439" s="60"/>
      <c r="D3439" s="60"/>
      <c r="F3439" s="60"/>
      <c r="G3439" s="60"/>
      <c r="H3439" s="62"/>
      <c r="I3439" s="62" t="str">
        <f t="shared" si="53"/>
        <v/>
      </c>
    </row>
    <row r="3440" spans="2:9" x14ac:dyDescent="0.25">
      <c r="B3440" s="59"/>
      <c r="C3440" s="60"/>
      <c r="D3440" s="60"/>
      <c r="F3440" s="60"/>
      <c r="G3440" s="60"/>
      <c r="H3440" s="62"/>
      <c r="I3440" s="62" t="str">
        <f t="shared" si="53"/>
        <v/>
      </c>
    </row>
    <row r="3441" spans="2:9" x14ac:dyDescent="0.25">
      <c r="B3441" s="59"/>
      <c r="C3441" s="60"/>
      <c r="D3441" s="60"/>
      <c r="F3441" s="60"/>
      <c r="G3441" s="60"/>
      <c r="H3441" s="62"/>
      <c r="I3441" s="62" t="str">
        <f t="shared" si="53"/>
        <v/>
      </c>
    </row>
    <row r="3442" spans="2:9" x14ac:dyDescent="0.25">
      <c r="B3442" s="59"/>
      <c r="C3442" s="60"/>
      <c r="D3442" s="60"/>
      <c r="F3442" s="60"/>
      <c r="G3442" s="60"/>
      <c r="H3442" s="62"/>
      <c r="I3442" s="62" t="str">
        <f t="shared" si="53"/>
        <v/>
      </c>
    </row>
    <row r="3443" spans="2:9" x14ac:dyDescent="0.25">
      <c r="B3443" s="59"/>
      <c r="C3443" s="60"/>
      <c r="D3443" s="60"/>
      <c r="F3443" s="60"/>
      <c r="G3443" s="60"/>
      <c r="H3443" s="62"/>
      <c r="I3443" s="62" t="str">
        <f t="shared" si="53"/>
        <v/>
      </c>
    </row>
    <row r="3444" spans="2:9" x14ac:dyDescent="0.25">
      <c r="B3444" s="59"/>
      <c r="C3444" s="60"/>
      <c r="D3444" s="60"/>
      <c r="F3444" s="60"/>
      <c r="G3444" s="60"/>
      <c r="H3444" s="62"/>
      <c r="I3444" s="62" t="str">
        <f t="shared" si="53"/>
        <v/>
      </c>
    </row>
    <row r="3445" spans="2:9" x14ac:dyDescent="0.25">
      <c r="B3445" s="59"/>
      <c r="C3445" s="60"/>
      <c r="D3445" s="60"/>
      <c r="F3445" s="60"/>
      <c r="G3445" s="60"/>
      <c r="H3445" s="62"/>
      <c r="I3445" s="62" t="str">
        <f t="shared" si="53"/>
        <v/>
      </c>
    </row>
    <row r="3446" spans="2:9" x14ac:dyDescent="0.25">
      <c r="B3446" s="59"/>
      <c r="C3446" s="60"/>
      <c r="D3446" s="60"/>
      <c r="F3446" s="60"/>
      <c r="G3446" s="60"/>
      <c r="H3446" s="62"/>
      <c r="I3446" s="62" t="str">
        <f t="shared" si="53"/>
        <v/>
      </c>
    </row>
    <row r="3447" spans="2:9" x14ac:dyDescent="0.25">
      <c r="B3447" s="59"/>
      <c r="C3447" s="60"/>
      <c r="D3447" s="60"/>
      <c r="F3447" s="60"/>
      <c r="G3447" s="60"/>
      <c r="H3447" s="62"/>
      <c r="I3447" s="62" t="str">
        <f t="shared" si="53"/>
        <v/>
      </c>
    </row>
    <row r="3448" spans="2:9" x14ac:dyDescent="0.25">
      <c r="B3448" s="59"/>
      <c r="C3448" s="60"/>
      <c r="D3448" s="60"/>
      <c r="F3448" s="60"/>
      <c r="G3448" s="60"/>
      <c r="H3448" s="62"/>
      <c r="I3448" s="62" t="str">
        <f t="shared" si="53"/>
        <v/>
      </c>
    </row>
    <row r="3449" spans="2:9" x14ac:dyDescent="0.25">
      <c r="B3449" s="59"/>
      <c r="C3449" s="60"/>
      <c r="D3449" s="60"/>
      <c r="F3449" s="60"/>
      <c r="G3449" s="60"/>
      <c r="H3449" s="62"/>
      <c r="I3449" s="62" t="str">
        <f t="shared" si="53"/>
        <v/>
      </c>
    </row>
    <row r="3450" spans="2:9" x14ac:dyDescent="0.25">
      <c r="B3450" s="59"/>
      <c r="C3450" s="60"/>
      <c r="D3450" s="60"/>
      <c r="F3450" s="60"/>
      <c r="G3450" s="60"/>
      <c r="H3450" s="62"/>
      <c r="I3450" s="62" t="str">
        <f t="shared" si="53"/>
        <v/>
      </c>
    </row>
    <row r="3451" spans="2:9" x14ac:dyDescent="0.25">
      <c r="B3451" s="59"/>
      <c r="C3451" s="60"/>
      <c r="D3451" s="60"/>
      <c r="F3451" s="60"/>
      <c r="G3451" s="60"/>
      <c r="H3451" s="62"/>
      <c r="I3451" s="62" t="str">
        <f t="shared" si="53"/>
        <v/>
      </c>
    </row>
    <row r="3452" spans="2:9" x14ac:dyDescent="0.25">
      <c r="B3452" s="59"/>
      <c r="C3452" s="60"/>
      <c r="D3452" s="60"/>
      <c r="F3452" s="60"/>
      <c r="G3452" s="60"/>
      <c r="H3452" s="62"/>
      <c r="I3452" s="62" t="str">
        <f t="shared" si="53"/>
        <v/>
      </c>
    </row>
    <row r="3453" spans="2:9" x14ac:dyDescent="0.25">
      <c r="B3453" s="59"/>
      <c r="C3453" s="60"/>
      <c r="D3453" s="60"/>
      <c r="F3453" s="60"/>
      <c r="G3453" s="60"/>
      <c r="H3453" s="62"/>
      <c r="I3453" s="62" t="str">
        <f t="shared" si="53"/>
        <v/>
      </c>
    </row>
    <row r="3454" spans="2:9" x14ac:dyDescent="0.25">
      <c r="B3454" s="59"/>
      <c r="C3454" s="60"/>
      <c r="D3454" s="60"/>
      <c r="F3454" s="60"/>
      <c r="G3454" s="60"/>
      <c r="H3454" s="62"/>
      <c r="I3454" s="62" t="str">
        <f t="shared" si="53"/>
        <v/>
      </c>
    </row>
    <row r="3455" spans="2:9" x14ac:dyDescent="0.25">
      <c r="B3455" s="59"/>
      <c r="C3455" s="60"/>
      <c r="D3455" s="60"/>
      <c r="F3455" s="60"/>
      <c r="G3455" s="60"/>
      <c r="H3455" s="62"/>
      <c r="I3455" s="62" t="str">
        <f t="shared" si="53"/>
        <v/>
      </c>
    </row>
    <row r="3456" spans="2:9" x14ac:dyDescent="0.25">
      <c r="B3456" s="59"/>
      <c r="C3456" s="60"/>
      <c r="D3456" s="60"/>
      <c r="F3456" s="60"/>
      <c r="G3456" s="60"/>
      <c r="H3456" s="62"/>
      <c r="I3456" s="62" t="str">
        <f t="shared" si="53"/>
        <v/>
      </c>
    </row>
    <row r="3457" spans="2:9" x14ac:dyDescent="0.25">
      <c r="B3457" s="59"/>
      <c r="C3457" s="60"/>
      <c r="D3457" s="60"/>
      <c r="F3457" s="60"/>
      <c r="G3457" s="60"/>
      <c r="H3457" s="62"/>
      <c r="I3457" s="62" t="str">
        <f t="shared" si="53"/>
        <v/>
      </c>
    </row>
    <row r="3458" spans="2:9" x14ac:dyDescent="0.25">
      <c r="B3458" s="59"/>
      <c r="C3458" s="60"/>
      <c r="D3458" s="60"/>
      <c r="F3458" s="60"/>
      <c r="G3458" s="60"/>
      <c r="H3458" s="62"/>
      <c r="I3458" s="62" t="str">
        <f t="shared" si="53"/>
        <v/>
      </c>
    </row>
    <row r="3459" spans="2:9" x14ac:dyDescent="0.25">
      <c r="B3459" s="59"/>
      <c r="C3459" s="60"/>
      <c r="D3459" s="60"/>
      <c r="F3459" s="60"/>
      <c r="G3459" s="60"/>
      <c r="H3459" s="62"/>
      <c r="I3459" s="62" t="str">
        <f t="shared" si="53"/>
        <v/>
      </c>
    </row>
    <row r="3460" spans="2:9" x14ac:dyDescent="0.25">
      <c r="B3460" s="59"/>
      <c r="C3460" s="60"/>
      <c r="D3460" s="60"/>
      <c r="F3460" s="60"/>
      <c r="G3460" s="60"/>
      <c r="H3460" s="62"/>
      <c r="I3460" s="62" t="str">
        <f t="shared" si="53"/>
        <v/>
      </c>
    </row>
    <row r="3461" spans="2:9" x14ac:dyDescent="0.25">
      <c r="B3461" s="59"/>
      <c r="C3461" s="60"/>
      <c r="D3461" s="60"/>
      <c r="F3461" s="60"/>
      <c r="G3461" s="60"/>
      <c r="H3461" s="62"/>
      <c r="I3461" s="62" t="str">
        <f t="shared" ref="I3461:I3524" si="54">IF(H3461&lt;&gt;"",H3461-H3460,"")</f>
        <v/>
      </c>
    </row>
    <row r="3462" spans="2:9" x14ac:dyDescent="0.25">
      <c r="B3462" s="59"/>
      <c r="C3462" s="60"/>
      <c r="D3462" s="60"/>
      <c r="F3462" s="60"/>
      <c r="G3462" s="60"/>
      <c r="H3462" s="62"/>
      <c r="I3462" s="62" t="str">
        <f t="shared" si="54"/>
        <v/>
      </c>
    </row>
    <row r="3463" spans="2:9" x14ac:dyDescent="0.25">
      <c r="B3463" s="59"/>
      <c r="C3463" s="60"/>
      <c r="D3463" s="60"/>
      <c r="F3463" s="60"/>
      <c r="G3463" s="60"/>
      <c r="H3463" s="62"/>
      <c r="I3463" s="62" t="str">
        <f t="shared" si="54"/>
        <v/>
      </c>
    </row>
    <row r="3464" spans="2:9" x14ac:dyDescent="0.25">
      <c r="B3464" s="59"/>
      <c r="C3464" s="60"/>
      <c r="D3464" s="60"/>
      <c r="F3464" s="60"/>
      <c r="G3464" s="60"/>
      <c r="H3464" s="62"/>
      <c r="I3464" s="62" t="str">
        <f t="shared" si="54"/>
        <v/>
      </c>
    </row>
    <row r="3465" spans="2:9" x14ac:dyDescent="0.25">
      <c r="B3465" s="59"/>
      <c r="C3465" s="60"/>
      <c r="D3465" s="60"/>
      <c r="F3465" s="60"/>
      <c r="G3465" s="60"/>
      <c r="H3465" s="62"/>
      <c r="I3465" s="62" t="str">
        <f t="shared" si="54"/>
        <v/>
      </c>
    </row>
    <row r="3466" spans="2:9" x14ac:dyDescent="0.25">
      <c r="B3466" s="59"/>
      <c r="C3466" s="60"/>
      <c r="D3466" s="60"/>
      <c r="F3466" s="60"/>
      <c r="G3466" s="60"/>
      <c r="H3466" s="62"/>
      <c r="I3466" s="62" t="str">
        <f t="shared" si="54"/>
        <v/>
      </c>
    </row>
    <row r="3467" spans="2:9" x14ac:dyDescent="0.25">
      <c r="B3467" s="59"/>
      <c r="C3467" s="60"/>
      <c r="D3467" s="60"/>
      <c r="F3467" s="60"/>
      <c r="G3467" s="60"/>
      <c r="H3467" s="62"/>
      <c r="I3467" s="62" t="str">
        <f t="shared" si="54"/>
        <v/>
      </c>
    </row>
    <row r="3468" spans="2:9" x14ac:dyDescent="0.25">
      <c r="B3468" s="59"/>
      <c r="C3468" s="60"/>
      <c r="D3468" s="60"/>
      <c r="F3468" s="60"/>
      <c r="G3468" s="60"/>
      <c r="H3468" s="62"/>
      <c r="I3468" s="62" t="str">
        <f t="shared" si="54"/>
        <v/>
      </c>
    </row>
    <row r="3469" spans="2:9" x14ac:dyDescent="0.25">
      <c r="B3469" s="59"/>
      <c r="C3469" s="60"/>
      <c r="D3469" s="60"/>
      <c r="F3469" s="60"/>
      <c r="G3469" s="60"/>
      <c r="H3469" s="62"/>
      <c r="I3469" s="62" t="str">
        <f t="shared" si="54"/>
        <v/>
      </c>
    </row>
    <row r="3470" spans="2:9" x14ac:dyDescent="0.25">
      <c r="B3470" s="59"/>
      <c r="C3470" s="60"/>
      <c r="D3470" s="60"/>
      <c r="F3470" s="60"/>
      <c r="G3470" s="60"/>
      <c r="H3470" s="62"/>
      <c r="I3470" s="62" t="str">
        <f t="shared" si="54"/>
        <v/>
      </c>
    </row>
    <row r="3471" spans="2:9" x14ac:dyDescent="0.25">
      <c r="B3471" s="59"/>
      <c r="C3471" s="60"/>
      <c r="D3471" s="60"/>
      <c r="F3471" s="60"/>
      <c r="G3471" s="60"/>
      <c r="H3471" s="62"/>
      <c r="I3471" s="62" t="str">
        <f t="shared" si="54"/>
        <v/>
      </c>
    </row>
    <row r="3472" spans="2:9" x14ac:dyDescent="0.25">
      <c r="B3472" s="59"/>
      <c r="C3472" s="60"/>
      <c r="D3472" s="60"/>
      <c r="F3472" s="60"/>
      <c r="G3472" s="60"/>
      <c r="H3472" s="62"/>
      <c r="I3472" s="62" t="str">
        <f t="shared" si="54"/>
        <v/>
      </c>
    </row>
    <row r="3473" spans="2:9" x14ac:dyDescent="0.25">
      <c r="B3473" s="59"/>
      <c r="C3473" s="60"/>
      <c r="D3473" s="60"/>
      <c r="F3473" s="60"/>
      <c r="G3473" s="60"/>
      <c r="H3473" s="62"/>
      <c r="I3473" s="62" t="str">
        <f t="shared" si="54"/>
        <v/>
      </c>
    </row>
    <row r="3474" spans="2:9" x14ac:dyDescent="0.25">
      <c r="B3474" s="59"/>
      <c r="C3474" s="60"/>
      <c r="D3474" s="60"/>
      <c r="F3474" s="60"/>
      <c r="G3474" s="60"/>
      <c r="H3474" s="62"/>
      <c r="I3474" s="62" t="str">
        <f t="shared" si="54"/>
        <v/>
      </c>
    </row>
    <row r="3475" spans="2:9" x14ac:dyDescent="0.25">
      <c r="B3475" s="59"/>
      <c r="C3475" s="60"/>
      <c r="D3475" s="60"/>
      <c r="F3475" s="60"/>
      <c r="G3475" s="60"/>
      <c r="H3475" s="62"/>
      <c r="I3475" s="62" t="str">
        <f t="shared" si="54"/>
        <v/>
      </c>
    </row>
    <row r="3476" spans="2:9" x14ac:dyDescent="0.25">
      <c r="B3476" s="59"/>
      <c r="C3476" s="60"/>
      <c r="D3476" s="60"/>
      <c r="F3476" s="60"/>
      <c r="G3476" s="60"/>
      <c r="H3476" s="62"/>
      <c r="I3476" s="62" t="str">
        <f t="shared" si="54"/>
        <v/>
      </c>
    </row>
    <row r="3477" spans="2:9" x14ac:dyDescent="0.25">
      <c r="B3477" s="59"/>
      <c r="C3477" s="60"/>
      <c r="D3477" s="60"/>
      <c r="F3477" s="60"/>
      <c r="G3477" s="60"/>
      <c r="H3477" s="62"/>
      <c r="I3477" s="62" t="str">
        <f t="shared" si="54"/>
        <v/>
      </c>
    </row>
    <row r="3478" spans="2:9" x14ac:dyDescent="0.25">
      <c r="B3478" s="59"/>
      <c r="C3478" s="60"/>
      <c r="D3478" s="60"/>
      <c r="F3478" s="60"/>
      <c r="G3478" s="60"/>
      <c r="H3478" s="62"/>
      <c r="I3478" s="62" t="str">
        <f t="shared" si="54"/>
        <v/>
      </c>
    </row>
    <row r="3479" spans="2:9" x14ac:dyDescent="0.25">
      <c r="B3479" s="59"/>
      <c r="C3479" s="60"/>
      <c r="D3479" s="60"/>
      <c r="F3479" s="60"/>
      <c r="G3479" s="60"/>
      <c r="H3479" s="62"/>
      <c r="I3479" s="62" t="str">
        <f t="shared" si="54"/>
        <v/>
      </c>
    </row>
    <row r="3480" spans="2:9" x14ac:dyDescent="0.25">
      <c r="B3480" s="59"/>
      <c r="C3480" s="60"/>
      <c r="D3480" s="60"/>
      <c r="F3480" s="60"/>
      <c r="G3480" s="60"/>
      <c r="H3480" s="62"/>
      <c r="I3480" s="62" t="str">
        <f t="shared" si="54"/>
        <v/>
      </c>
    </row>
    <row r="3481" spans="2:9" x14ac:dyDescent="0.25">
      <c r="B3481" s="59"/>
      <c r="C3481" s="60"/>
      <c r="D3481" s="60"/>
      <c r="F3481" s="60"/>
      <c r="G3481" s="60"/>
      <c r="H3481" s="62"/>
      <c r="I3481" s="62" t="str">
        <f t="shared" si="54"/>
        <v/>
      </c>
    </row>
    <row r="3482" spans="2:9" x14ac:dyDescent="0.25">
      <c r="B3482" s="59"/>
      <c r="C3482" s="60"/>
      <c r="D3482" s="60"/>
      <c r="F3482" s="60"/>
      <c r="G3482" s="60"/>
      <c r="H3482" s="62"/>
      <c r="I3482" s="62" t="str">
        <f t="shared" si="54"/>
        <v/>
      </c>
    </row>
    <row r="3483" spans="2:9" x14ac:dyDescent="0.25">
      <c r="B3483" s="59"/>
      <c r="C3483" s="60"/>
      <c r="D3483" s="60"/>
      <c r="F3483" s="60"/>
      <c r="G3483" s="60"/>
      <c r="H3483" s="62"/>
      <c r="I3483" s="62" t="str">
        <f t="shared" si="54"/>
        <v/>
      </c>
    </row>
    <row r="3484" spans="2:9" x14ac:dyDescent="0.25">
      <c r="B3484" s="59"/>
      <c r="C3484" s="60"/>
      <c r="D3484" s="60"/>
      <c r="F3484" s="60"/>
      <c r="G3484" s="60"/>
      <c r="H3484" s="62"/>
      <c r="I3484" s="62" t="str">
        <f t="shared" si="54"/>
        <v/>
      </c>
    </row>
    <row r="3485" spans="2:9" x14ac:dyDescent="0.25">
      <c r="B3485" s="59"/>
      <c r="C3485" s="60"/>
      <c r="D3485" s="60"/>
      <c r="F3485" s="60"/>
      <c r="G3485" s="60"/>
      <c r="H3485" s="62"/>
      <c r="I3485" s="62" t="str">
        <f t="shared" si="54"/>
        <v/>
      </c>
    </row>
    <row r="3486" spans="2:9" x14ac:dyDescent="0.25">
      <c r="B3486" s="59"/>
      <c r="C3486" s="60"/>
      <c r="D3486" s="60"/>
      <c r="F3486" s="60"/>
      <c r="G3486" s="60"/>
      <c r="H3486" s="62"/>
      <c r="I3486" s="62" t="str">
        <f t="shared" si="54"/>
        <v/>
      </c>
    </row>
    <row r="3487" spans="2:9" x14ac:dyDescent="0.25">
      <c r="B3487" s="59"/>
      <c r="C3487" s="60"/>
      <c r="D3487" s="60"/>
      <c r="F3487" s="60"/>
      <c r="G3487" s="60"/>
      <c r="H3487" s="62"/>
      <c r="I3487" s="62" t="str">
        <f t="shared" si="54"/>
        <v/>
      </c>
    </row>
    <row r="3488" spans="2:9" x14ac:dyDescent="0.25">
      <c r="B3488" s="59"/>
      <c r="C3488" s="60"/>
      <c r="D3488" s="60"/>
      <c r="F3488" s="60"/>
      <c r="G3488" s="60"/>
      <c r="H3488" s="62"/>
      <c r="I3488" s="62" t="str">
        <f t="shared" si="54"/>
        <v/>
      </c>
    </row>
    <row r="3489" spans="2:9" x14ac:dyDescent="0.25">
      <c r="B3489" s="59"/>
      <c r="C3489" s="60"/>
      <c r="D3489" s="60"/>
      <c r="F3489" s="60"/>
      <c r="G3489" s="60"/>
      <c r="H3489" s="62"/>
      <c r="I3489" s="62" t="str">
        <f t="shared" si="54"/>
        <v/>
      </c>
    </row>
    <row r="3490" spans="2:9" x14ac:dyDescent="0.25">
      <c r="B3490" s="59"/>
      <c r="C3490" s="60"/>
      <c r="D3490" s="60"/>
      <c r="F3490" s="60"/>
      <c r="G3490" s="60"/>
      <c r="H3490" s="62"/>
      <c r="I3490" s="62" t="str">
        <f t="shared" si="54"/>
        <v/>
      </c>
    </row>
    <row r="3491" spans="2:9" x14ac:dyDescent="0.25">
      <c r="B3491" s="59"/>
      <c r="C3491" s="60"/>
      <c r="D3491" s="60"/>
      <c r="F3491" s="60"/>
      <c r="G3491" s="60"/>
      <c r="H3491" s="62"/>
      <c r="I3491" s="62" t="str">
        <f t="shared" si="54"/>
        <v/>
      </c>
    </row>
    <row r="3492" spans="2:9" x14ac:dyDescent="0.25">
      <c r="B3492" s="59"/>
      <c r="C3492" s="60"/>
      <c r="D3492" s="60"/>
      <c r="F3492" s="60"/>
      <c r="G3492" s="60"/>
      <c r="H3492" s="62"/>
      <c r="I3492" s="62" t="str">
        <f t="shared" si="54"/>
        <v/>
      </c>
    </row>
    <row r="3493" spans="2:9" x14ac:dyDescent="0.25">
      <c r="B3493" s="59"/>
      <c r="C3493" s="60"/>
      <c r="D3493" s="60"/>
      <c r="F3493" s="60"/>
      <c r="G3493" s="60"/>
      <c r="H3493" s="62"/>
      <c r="I3493" s="62" t="str">
        <f t="shared" si="54"/>
        <v/>
      </c>
    </row>
    <row r="3494" spans="2:9" x14ac:dyDescent="0.25">
      <c r="B3494" s="59"/>
      <c r="C3494" s="60"/>
      <c r="D3494" s="60"/>
      <c r="F3494" s="60"/>
      <c r="G3494" s="60"/>
      <c r="H3494" s="62"/>
      <c r="I3494" s="62" t="str">
        <f t="shared" si="54"/>
        <v/>
      </c>
    </row>
    <row r="3495" spans="2:9" x14ac:dyDescent="0.25">
      <c r="B3495" s="59"/>
      <c r="C3495" s="60"/>
      <c r="D3495" s="60"/>
      <c r="F3495" s="60"/>
      <c r="G3495" s="60"/>
      <c r="H3495" s="62"/>
      <c r="I3495" s="62" t="str">
        <f t="shared" si="54"/>
        <v/>
      </c>
    </row>
    <row r="3496" spans="2:9" x14ac:dyDescent="0.25">
      <c r="B3496" s="59"/>
      <c r="C3496" s="60"/>
      <c r="D3496" s="60"/>
      <c r="F3496" s="60"/>
      <c r="G3496" s="60"/>
      <c r="H3496" s="62"/>
      <c r="I3496" s="62" t="str">
        <f t="shared" si="54"/>
        <v/>
      </c>
    </row>
    <row r="3497" spans="2:9" x14ac:dyDescent="0.25">
      <c r="B3497" s="59"/>
      <c r="C3497" s="60"/>
      <c r="D3497" s="60"/>
      <c r="F3497" s="60"/>
      <c r="G3497" s="60"/>
      <c r="H3497" s="62"/>
      <c r="I3497" s="62" t="str">
        <f t="shared" si="54"/>
        <v/>
      </c>
    </row>
    <row r="3498" spans="2:9" x14ac:dyDescent="0.25">
      <c r="B3498" s="59"/>
      <c r="C3498" s="60"/>
      <c r="D3498" s="60"/>
      <c r="F3498" s="60"/>
      <c r="G3498" s="60"/>
      <c r="H3498" s="62"/>
      <c r="I3498" s="62" t="str">
        <f t="shared" si="54"/>
        <v/>
      </c>
    </row>
    <row r="3499" spans="2:9" x14ac:dyDescent="0.25">
      <c r="B3499" s="59"/>
      <c r="C3499" s="60"/>
      <c r="D3499" s="60"/>
      <c r="F3499" s="60"/>
      <c r="G3499" s="60"/>
      <c r="H3499" s="62"/>
      <c r="I3499" s="62" t="str">
        <f t="shared" si="54"/>
        <v/>
      </c>
    </row>
    <row r="3500" spans="2:9" x14ac:dyDescent="0.25">
      <c r="B3500" s="59"/>
      <c r="C3500" s="60"/>
      <c r="D3500" s="60"/>
      <c r="F3500" s="60"/>
      <c r="G3500" s="60"/>
      <c r="H3500" s="62"/>
      <c r="I3500" s="62" t="str">
        <f t="shared" si="54"/>
        <v/>
      </c>
    </row>
    <row r="3501" spans="2:9" x14ac:dyDescent="0.25">
      <c r="B3501" s="59"/>
      <c r="C3501" s="60"/>
      <c r="D3501" s="60"/>
      <c r="F3501" s="60"/>
      <c r="G3501" s="60"/>
      <c r="H3501" s="62"/>
      <c r="I3501" s="62" t="str">
        <f t="shared" si="54"/>
        <v/>
      </c>
    </row>
    <row r="3502" spans="2:9" x14ac:dyDescent="0.25">
      <c r="B3502" s="59"/>
      <c r="C3502" s="60"/>
      <c r="D3502" s="60"/>
      <c r="F3502" s="60"/>
      <c r="G3502" s="60"/>
      <c r="H3502" s="62"/>
      <c r="I3502" s="62" t="str">
        <f t="shared" si="54"/>
        <v/>
      </c>
    </row>
    <row r="3503" spans="2:9" x14ac:dyDescent="0.25">
      <c r="B3503" s="59"/>
      <c r="C3503" s="60"/>
      <c r="D3503" s="60"/>
      <c r="F3503" s="60"/>
      <c r="G3503" s="60"/>
      <c r="H3503" s="62"/>
      <c r="I3503" s="62" t="str">
        <f t="shared" si="54"/>
        <v/>
      </c>
    </row>
    <row r="3504" spans="2:9" x14ac:dyDescent="0.25">
      <c r="B3504" s="59"/>
      <c r="C3504" s="60"/>
      <c r="D3504" s="60"/>
      <c r="F3504" s="60"/>
      <c r="G3504" s="60"/>
      <c r="H3504" s="62"/>
      <c r="I3504" s="62" t="str">
        <f t="shared" si="54"/>
        <v/>
      </c>
    </row>
    <row r="3505" spans="2:9" x14ac:dyDescent="0.25">
      <c r="B3505" s="59"/>
      <c r="C3505" s="60"/>
      <c r="D3505" s="60"/>
      <c r="F3505" s="60"/>
      <c r="G3505" s="60"/>
      <c r="H3505" s="62"/>
      <c r="I3505" s="62" t="str">
        <f t="shared" si="54"/>
        <v/>
      </c>
    </row>
    <row r="3506" spans="2:9" x14ac:dyDescent="0.25">
      <c r="B3506" s="59"/>
      <c r="C3506" s="60"/>
      <c r="D3506" s="60"/>
      <c r="F3506" s="60"/>
      <c r="G3506" s="60"/>
      <c r="H3506" s="62"/>
      <c r="I3506" s="62" t="str">
        <f t="shared" si="54"/>
        <v/>
      </c>
    </row>
    <row r="3507" spans="2:9" x14ac:dyDescent="0.25">
      <c r="B3507" s="59"/>
      <c r="C3507" s="60"/>
      <c r="D3507" s="60"/>
      <c r="F3507" s="60"/>
      <c r="G3507" s="60"/>
      <c r="H3507" s="62"/>
      <c r="I3507" s="62" t="str">
        <f t="shared" si="54"/>
        <v/>
      </c>
    </row>
    <row r="3508" spans="2:9" x14ac:dyDescent="0.25">
      <c r="B3508" s="59"/>
      <c r="C3508" s="60"/>
      <c r="D3508" s="60"/>
      <c r="F3508" s="60"/>
      <c r="G3508" s="60"/>
      <c r="H3508" s="62"/>
      <c r="I3508" s="62" t="str">
        <f t="shared" si="54"/>
        <v/>
      </c>
    </row>
    <row r="3509" spans="2:9" x14ac:dyDescent="0.25">
      <c r="B3509" s="59"/>
      <c r="C3509" s="60"/>
      <c r="D3509" s="60"/>
      <c r="F3509" s="60"/>
      <c r="G3509" s="60"/>
      <c r="H3509" s="62"/>
      <c r="I3509" s="62" t="str">
        <f t="shared" si="54"/>
        <v/>
      </c>
    </row>
    <row r="3510" spans="2:9" x14ac:dyDescent="0.25">
      <c r="B3510" s="59"/>
      <c r="C3510" s="60"/>
      <c r="D3510" s="60"/>
      <c r="F3510" s="60"/>
      <c r="G3510" s="60"/>
      <c r="H3510" s="62"/>
      <c r="I3510" s="62" t="str">
        <f t="shared" si="54"/>
        <v/>
      </c>
    </row>
    <row r="3511" spans="2:9" x14ac:dyDescent="0.25">
      <c r="B3511" s="59"/>
      <c r="C3511" s="60"/>
      <c r="D3511" s="60"/>
      <c r="F3511" s="60"/>
      <c r="G3511" s="60"/>
      <c r="H3511" s="62"/>
      <c r="I3511" s="62" t="str">
        <f t="shared" si="54"/>
        <v/>
      </c>
    </row>
    <row r="3512" spans="2:9" x14ac:dyDescent="0.25">
      <c r="B3512" s="59"/>
      <c r="C3512" s="60"/>
      <c r="D3512" s="60"/>
      <c r="F3512" s="60"/>
      <c r="G3512" s="60"/>
      <c r="H3512" s="62"/>
      <c r="I3512" s="62" t="str">
        <f t="shared" si="54"/>
        <v/>
      </c>
    </row>
    <row r="3513" spans="2:9" x14ac:dyDescent="0.25">
      <c r="B3513" s="59"/>
      <c r="C3513" s="60"/>
      <c r="D3513" s="60"/>
      <c r="F3513" s="60"/>
      <c r="G3513" s="60"/>
      <c r="H3513" s="62"/>
      <c r="I3513" s="62" t="str">
        <f t="shared" si="54"/>
        <v/>
      </c>
    </row>
    <row r="3514" spans="2:9" x14ac:dyDescent="0.25">
      <c r="B3514" s="59"/>
      <c r="C3514" s="60"/>
      <c r="D3514" s="60"/>
      <c r="F3514" s="60"/>
      <c r="G3514" s="60"/>
      <c r="H3514" s="62"/>
      <c r="I3514" s="62" t="str">
        <f t="shared" si="54"/>
        <v/>
      </c>
    </row>
    <row r="3515" spans="2:9" x14ac:dyDescent="0.25">
      <c r="B3515" s="59"/>
      <c r="C3515" s="60"/>
      <c r="D3515" s="60"/>
      <c r="F3515" s="60"/>
      <c r="G3515" s="60"/>
      <c r="H3515" s="62"/>
      <c r="I3515" s="62" t="str">
        <f t="shared" si="54"/>
        <v/>
      </c>
    </row>
    <row r="3516" spans="2:9" x14ac:dyDescent="0.25">
      <c r="B3516" s="59"/>
      <c r="C3516" s="60"/>
      <c r="D3516" s="60"/>
      <c r="F3516" s="60"/>
      <c r="G3516" s="60"/>
      <c r="H3516" s="62"/>
      <c r="I3516" s="62" t="str">
        <f t="shared" si="54"/>
        <v/>
      </c>
    </row>
    <row r="3517" spans="2:9" x14ac:dyDescent="0.25">
      <c r="B3517" s="59"/>
      <c r="C3517" s="60"/>
      <c r="D3517" s="60"/>
      <c r="F3517" s="60"/>
      <c r="G3517" s="60"/>
      <c r="H3517" s="62"/>
      <c r="I3517" s="62" t="str">
        <f t="shared" si="54"/>
        <v/>
      </c>
    </row>
    <row r="3518" spans="2:9" x14ac:dyDescent="0.25">
      <c r="B3518" s="59"/>
      <c r="C3518" s="60"/>
      <c r="D3518" s="60"/>
      <c r="F3518" s="60"/>
      <c r="G3518" s="60"/>
      <c r="H3518" s="62"/>
      <c r="I3518" s="62" t="str">
        <f t="shared" si="54"/>
        <v/>
      </c>
    </row>
    <row r="3519" spans="2:9" x14ac:dyDescent="0.25">
      <c r="B3519" s="59"/>
      <c r="C3519" s="60"/>
      <c r="D3519" s="60"/>
      <c r="F3519" s="60"/>
      <c r="G3519" s="60"/>
      <c r="H3519" s="62"/>
      <c r="I3519" s="62" t="str">
        <f t="shared" si="54"/>
        <v/>
      </c>
    </row>
    <row r="3520" spans="2:9" x14ac:dyDescent="0.25">
      <c r="B3520" s="59"/>
      <c r="C3520" s="60"/>
      <c r="D3520" s="60"/>
      <c r="F3520" s="60"/>
      <c r="G3520" s="60"/>
      <c r="H3520" s="62"/>
      <c r="I3520" s="62" t="str">
        <f t="shared" si="54"/>
        <v/>
      </c>
    </row>
    <row r="3521" spans="2:9" x14ac:dyDescent="0.25">
      <c r="B3521" s="59"/>
      <c r="C3521" s="60"/>
      <c r="D3521" s="60"/>
      <c r="F3521" s="60"/>
      <c r="G3521" s="60"/>
      <c r="H3521" s="62"/>
      <c r="I3521" s="62" t="str">
        <f t="shared" si="54"/>
        <v/>
      </c>
    </row>
    <row r="3522" spans="2:9" x14ac:dyDescent="0.25">
      <c r="B3522" s="59"/>
      <c r="C3522" s="60"/>
      <c r="D3522" s="60"/>
      <c r="F3522" s="60"/>
      <c r="G3522" s="60"/>
      <c r="H3522" s="62"/>
      <c r="I3522" s="62" t="str">
        <f t="shared" si="54"/>
        <v/>
      </c>
    </row>
    <row r="3523" spans="2:9" x14ac:dyDescent="0.25">
      <c r="B3523" s="59"/>
      <c r="C3523" s="60"/>
      <c r="D3523" s="60"/>
      <c r="F3523" s="60"/>
      <c r="G3523" s="60"/>
      <c r="H3523" s="62"/>
      <c r="I3523" s="62" t="str">
        <f t="shared" si="54"/>
        <v/>
      </c>
    </row>
    <row r="3524" spans="2:9" x14ac:dyDescent="0.25">
      <c r="B3524" s="59"/>
      <c r="C3524" s="60"/>
      <c r="D3524" s="60"/>
      <c r="F3524" s="60"/>
      <c r="G3524" s="60"/>
      <c r="H3524" s="62"/>
      <c r="I3524" s="62" t="str">
        <f t="shared" si="54"/>
        <v/>
      </c>
    </row>
    <row r="3525" spans="2:9" x14ac:dyDescent="0.25">
      <c r="B3525" s="59"/>
      <c r="C3525" s="60"/>
      <c r="D3525" s="60"/>
      <c r="F3525" s="60"/>
      <c r="G3525" s="60"/>
      <c r="H3525" s="62"/>
      <c r="I3525" s="62" t="str">
        <f t="shared" ref="I3525:I3588" si="55">IF(H3525&lt;&gt;"",H3525-H3524,"")</f>
        <v/>
      </c>
    </row>
    <row r="3526" spans="2:9" x14ac:dyDescent="0.25">
      <c r="B3526" s="59"/>
      <c r="C3526" s="60"/>
      <c r="D3526" s="60"/>
      <c r="F3526" s="60"/>
      <c r="G3526" s="60"/>
      <c r="H3526" s="62"/>
      <c r="I3526" s="62" t="str">
        <f t="shared" si="55"/>
        <v/>
      </c>
    </row>
    <row r="3527" spans="2:9" x14ac:dyDescent="0.25">
      <c r="B3527" s="59"/>
      <c r="C3527" s="60"/>
      <c r="D3527" s="60"/>
      <c r="F3527" s="60"/>
      <c r="G3527" s="60"/>
      <c r="H3527" s="62"/>
      <c r="I3527" s="62" t="str">
        <f t="shared" si="55"/>
        <v/>
      </c>
    </row>
    <row r="3528" spans="2:9" x14ac:dyDescent="0.25">
      <c r="B3528" s="59"/>
      <c r="C3528" s="60"/>
      <c r="D3528" s="60"/>
      <c r="F3528" s="60"/>
      <c r="G3528" s="60"/>
      <c r="H3528" s="62"/>
      <c r="I3528" s="62" t="str">
        <f t="shared" si="55"/>
        <v/>
      </c>
    </row>
    <row r="3529" spans="2:9" x14ac:dyDescent="0.25">
      <c r="B3529" s="59"/>
      <c r="C3529" s="60"/>
      <c r="D3529" s="60"/>
      <c r="F3529" s="60"/>
      <c r="G3529" s="60"/>
      <c r="H3529" s="62"/>
      <c r="I3529" s="62" t="str">
        <f t="shared" si="55"/>
        <v/>
      </c>
    </row>
    <row r="3530" spans="2:9" x14ac:dyDescent="0.25">
      <c r="B3530" s="59"/>
      <c r="C3530" s="60"/>
      <c r="D3530" s="60"/>
      <c r="F3530" s="60"/>
      <c r="G3530" s="60"/>
      <c r="H3530" s="62"/>
      <c r="I3530" s="62" t="str">
        <f t="shared" si="55"/>
        <v/>
      </c>
    </row>
    <row r="3531" spans="2:9" x14ac:dyDescent="0.25">
      <c r="B3531" s="59"/>
      <c r="C3531" s="60"/>
      <c r="D3531" s="60"/>
      <c r="F3531" s="60"/>
      <c r="G3531" s="60"/>
      <c r="H3531" s="62"/>
      <c r="I3531" s="62" t="str">
        <f t="shared" si="55"/>
        <v/>
      </c>
    </row>
    <row r="3532" spans="2:9" x14ac:dyDescent="0.25">
      <c r="B3532" s="59"/>
      <c r="C3532" s="60"/>
      <c r="D3532" s="60"/>
      <c r="F3532" s="60"/>
      <c r="G3532" s="60"/>
      <c r="H3532" s="62"/>
      <c r="I3532" s="62" t="str">
        <f t="shared" si="55"/>
        <v/>
      </c>
    </row>
    <row r="3533" spans="2:9" x14ac:dyDescent="0.25">
      <c r="B3533" s="59"/>
      <c r="C3533" s="60"/>
      <c r="D3533" s="60"/>
      <c r="F3533" s="60"/>
      <c r="G3533" s="60"/>
      <c r="H3533" s="62"/>
      <c r="I3533" s="62" t="str">
        <f t="shared" si="55"/>
        <v/>
      </c>
    </row>
    <row r="3534" spans="2:9" x14ac:dyDescent="0.25">
      <c r="B3534" s="59"/>
      <c r="C3534" s="60"/>
      <c r="D3534" s="60"/>
      <c r="F3534" s="60"/>
      <c r="G3534" s="60"/>
      <c r="H3534" s="62"/>
      <c r="I3534" s="62" t="str">
        <f t="shared" si="55"/>
        <v/>
      </c>
    </row>
    <row r="3535" spans="2:9" x14ac:dyDescent="0.25">
      <c r="B3535" s="59"/>
      <c r="C3535" s="60"/>
      <c r="D3535" s="60"/>
      <c r="F3535" s="60"/>
      <c r="G3535" s="60"/>
      <c r="H3535" s="62"/>
      <c r="I3535" s="62" t="str">
        <f t="shared" si="55"/>
        <v/>
      </c>
    </row>
    <row r="3536" spans="2:9" x14ac:dyDescent="0.25">
      <c r="B3536" s="59"/>
      <c r="C3536" s="60"/>
      <c r="D3536" s="60"/>
      <c r="F3536" s="60"/>
      <c r="G3536" s="60"/>
      <c r="H3536" s="62"/>
      <c r="I3536" s="62" t="str">
        <f t="shared" si="55"/>
        <v/>
      </c>
    </row>
    <row r="3537" spans="2:9" x14ac:dyDescent="0.25">
      <c r="B3537" s="59"/>
      <c r="C3537" s="60"/>
      <c r="D3537" s="60"/>
      <c r="F3537" s="60"/>
      <c r="G3537" s="60"/>
      <c r="H3537" s="62"/>
      <c r="I3537" s="62" t="str">
        <f t="shared" si="55"/>
        <v/>
      </c>
    </row>
    <row r="3538" spans="2:9" x14ac:dyDescent="0.25">
      <c r="B3538" s="59"/>
      <c r="C3538" s="60"/>
      <c r="D3538" s="60"/>
      <c r="F3538" s="60"/>
      <c r="G3538" s="60"/>
      <c r="H3538" s="62"/>
      <c r="I3538" s="62" t="str">
        <f t="shared" si="55"/>
        <v/>
      </c>
    </row>
    <row r="3539" spans="2:9" x14ac:dyDescent="0.25">
      <c r="B3539" s="59"/>
      <c r="C3539" s="60"/>
      <c r="D3539" s="60"/>
      <c r="F3539" s="60"/>
      <c r="G3539" s="60"/>
      <c r="H3539" s="62"/>
      <c r="I3539" s="62" t="str">
        <f t="shared" si="55"/>
        <v/>
      </c>
    </row>
    <row r="3540" spans="2:9" x14ac:dyDescent="0.25">
      <c r="B3540" s="59"/>
      <c r="C3540" s="60"/>
      <c r="D3540" s="60"/>
      <c r="F3540" s="60"/>
      <c r="G3540" s="60"/>
      <c r="H3540" s="62"/>
      <c r="I3540" s="62" t="str">
        <f t="shared" si="55"/>
        <v/>
      </c>
    </row>
    <row r="3541" spans="2:9" x14ac:dyDescent="0.25">
      <c r="B3541" s="59"/>
      <c r="C3541" s="60"/>
      <c r="D3541" s="60"/>
      <c r="F3541" s="60"/>
      <c r="G3541" s="60"/>
      <c r="H3541" s="62"/>
      <c r="I3541" s="62" t="str">
        <f t="shared" si="55"/>
        <v/>
      </c>
    </row>
    <row r="3542" spans="2:9" x14ac:dyDescent="0.25">
      <c r="B3542" s="59"/>
      <c r="C3542" s="60"/>
      <c r="D3542" s="60"/>
      <c r="F3542" s="60"/>
      <c r="G3542" s="60"/>
      <c r="H3542" s="62"/>
      <c r="I3542" s="62" t="str">
        <f t="shared" si="55"/>
        <v/>
      </c>
    </row>
    <row r="3543" spans="2:9" x14ac:dyDescent="0.25">
      <c r="B3543" s="59"/>
      <c r="C3543" s="60"/>
      <c r="D3543" s="60"/>
      <c r="F3543" s="60"/>
      <c r="G3543" s="60"/>
      <c r="H3543" s="62"/>
      <c r="I3543" s="62" t="str">
        <f t="shared" si="55"/>
        <v/>
      </c>
    </row>
    <row r="3544" spans="2:9" x14ac:dyDescent="0.25">
      <c r="B3544" s="59"/>
      <c r="C3544" s="60"/>
      <c r="D3544" s="60"/>
      <c r="F3544" s="60"/>
      <c r="G3544" s="60"/>
      <c r="H3544" s="62"/>
      <c r="I3544" s="62" t="str">
        <f t="shared" si="55"/>
        <v/>
      </c>
    </row>
    <row r="3545" spans="2:9" x14ac:dyDescent="0.25">
      <c r="B3545" s="59"/>
      <c r="C3545" s="60"/>
      <c r="D3545" s="60"/>
      <c r="F3545" s="60"/>
      <c r="G3545" s="60"/>
      <c r="H3545" s="62"/>
      <c r="I3545" s="62" t="str">
        <f t="shared" si="55"/>
        <v/>
      </c>
    </row>
    <row r="3546" spans="2:9" x14ac:dyDescent="0.25">
      <c r="B3546" s="59"/>
      <c r="C3546" s="60"/>
      <c r="D3546" s="60"/>
      <c r="F3546" s="60"/>
      <c r="G3546" s="60"/>
      <c r="H3546" s="62"/>
      <c r="I3546" s="62" t="str">
        <f t="shared" si="55"/>
        <v/>
      </c>
    </row>
    <row r="3547" spans="2:9" x14ac:dyDescent="0.25">
      <c r="B3547" s="59"/>
      <c r="C3547" s="60"/>
      <c r="D3547" s="60"/>
      <c r="F3547" s="60"/>
      <c r="G3547" s="60"/>
      <c r="H3547" s="62"/>
      <c r="I3547" s="62" t="str">
        <f t="shared" si="55"/>
        <v/>
      </c>
    </row>
    <row r="3548" spans="2:9" x14ac:dyDescent="0.25">
      <c r="B3548" s="59"/>
      <c r="C3548" s="60"/>
      <c r="D3548" s="60"/>
      <c r="F3548" s="60"/>
      <c r="G3548" s="60"/>
      <c r="H3548" s="62"/>
      <c r="I3548" s="62" t="str">
        <f t="shared" si="55"/>
        <v/>
      </c>
    </row>
    <row r="3549" spans="2:9" x14ac:dyDescent="0.25">
      <c r="B3549" s="59"/>
      <c r="C3549" s="60"/>
      <c r="D3549" s="60"/>
      <c r="F3549" s="60"/>
      <c r="G3549" s="60"/>
      <c r="H3549" s="62"/>
      <c r="I3549" s="62" t="str">
        <f t="shared" si="55"/>
        <v/>
      </c>
    </row>
    <row r="3550" spans="2:9" x14ac:dyDescent="0.25">
      <c r="B3550" s="59"/>
      <c r="C3550" s="60"/>
      <c r="D3550" s="60"/>
      <c r="F3550" s="60"/>
      <c r="G3550" s="60"/>
      <c r="H3550" s="62"/>
      <c r="I3550" s="62" t="str">
        <f t="shared" si="55"/>
        <v/>
      </c>
    </row>
    <row r="3551" spans="2:9" x14ac:dyDescent="0.25">
      <c r="B3551" s="59"/>
      <c r="C3551" s="60"/>
      <c r="D3551" s="60"/>
      <c r="F3551" s="60"/>
      <c r="G3551" s="60"/>
      <c r="H3551" s="62"/>
      <c r="I3551" s="62" t="str">
        <f t="shared" si="55"/>
        <v/>
      </c>
    </row>
    <row r="3552" spans="2:9" x14ac:dyDescent="0.25">
      <c r="B3552" s="59"/>
      <c r="C3552" s="60"/>
      <c r="D3552" s="60"/>
      <c r="F3552" s="60"/>
      <c r="G3552" s="60"/>
      <c r="H3552" s="62"/>
      <c r="I3552" s="62" t="str">
        <f t="shared" si="55"/>
        <v/>
      </c>
    </row>
    <row r="3553" spans="2:9" x14ac:dyDescent="0.25">
      <c r="B3553" s="59"/>
      <c r="C3553" s="60"/>
      <c r="D3553" s="60"/>
      <c r="F3553" s="60"/>
      <c r="G3553" s="60"/>
      <c r="H3553" s="62"/>
      <c r="I3553" s="62" t="str">
        <f t="shared" si="55"/>
        <v/>
      </c>
    </row>
    <row r="3554" spans="2:9" x14ac:dyDescent="0.25">
      <c r="B3554" s="59"/>
      <c r="C3554" s="60"/>
      <c r="D3554" s="60"/>
      <c r="F3554" s="60"/>
      <c r="G3554" s="60"/>
      <c r="H3554" s="62"/>
      <c r="I3554" s="62" t="str">
        <f t="shared" si="55"/>
        <v/>
      </c>
    </row>
    <row r="3555" spans="2:9" x14ac:dyDescent="0.25">
      <c r="B3555" s="59"/>
      <c r="C3555" s="60"/>
      <c r="D3555" s="60"/>
      <c r="F3555" s="60"/>
      <c r="G3555" s="60"/>
      <c r="H3555" s="62"/>
      <c r="I3555" s="62" t="str">
        <f t="shared" si="55"/>
        <v/>
      </c>
    </row>
    <row r="3556" spans="2:9" x14ac:dyDescent="0.25">
      <c r="B3556" s="59"/>
      <c r="C3556" s="60"/>
      <c r="D3556" s="60"/>
      <c r="F3556" s="60"/>
      <c r="G3556" s="60"/>
      <c r="H3556" s="62"/>
      <c r="I3556" s="62" t="str">
        <f t="shared" si="55"/>
        <v/>
      </c>
    </row>
    <row r="3557" spans="2:9" x14ac:dyDescent="0.25">
      <c r="B3557" s="59"/>
      <c r="C3557" s="60"/>
      <c r="D3557" s="60"/>
      <c r="F3557" s="60"/>
      <c r="G3557" s="60"/>
      <c r="H3557" s="62"/>
      <c r="I3557" s="62" t="str">
        <f t="shared" si="55"/>
        <v/>
      </c>
    </row>
    <row r="3558" spans="2:9" x14ac:dyDescent="0.25">
      <c r="B3558" s="59"/>
      <c r="C3558" s="60"/>
      <c r="D3558" s="60"/>
      <c r="F3558" s="60"/>
      <c r="G3558" s="60"/>
      <c r="H3558" s="62"/>
      <c r="I3558" s="62" t="str">
        <f t="shared" si="55"/>
        <v/>
      </c>
    </row>
    <row r="3559" spans="2:9" x14ac:dyDescent="0.25">
      <c r="B3559" s="59"/>
      <c r="C3559" s="60"/>
      <c r="D3559" s="60"/>
      <c r="F3559" s="60"/>
      <c r="G3559" s="60"/>
      <c r="H3559" s="62"/>
      <c r="I3559" s="62" t="str">
        <f t="shared" si="55"/>
        <v/>
      </c>
    </row>
    <row r="3560" spans="2:9" x14ac:dyDescent="0.25">
      <c r="B3560" s="59"/>
      <c r="C3560" s="60"/>
      <c r="D3560" s="60"/>
      <c r="F3560" s="60"/>
      <c r="G3560" s="60"/>
      <c r="H3560" s="62"/>
      <c r="I3560" s="62" t="str">
        <f t="shared" si="55"/>
        <v/>
      </c>
    </row>
    <row r="3561" spans="2:9" x14ac:dyDescent="0.25">
      <c r="B3561" s="59"/>
      <c r="C3561" s="60"/>
      <c r="D3561" s="60"/>
      <c r="F3561" s="60"/>
      <c r="G3561" s="60"/>
      <c r="H3561" s="62"/>
      <c r="I3561" s="62" t="str">
        <f t="shared" si="55"/>
        <v/>
      </c>
    </row>
    <row r="3562" spans="2:9" x14ac:dyDescent="0.25">
      <c r="B3562" s="59"/>
      <c r="C3562" s="60"/>
      <c r="D3562" s="60"/>
      <c r="F3562" s="60"/>
      <c r="G3562" s="60"/>
      <c r="H3562" s="62"/>
      <c r="I3562" s="62" t="str">
        <f t="shared" si="55"/>
        <v/>
      </c>
    </row>
    <row r="3563" spans="2:9" x14ac:dyDescent="0.25">
      <c r="B3563" s="59"/>
      <c r="C3563" s="60"/>
      <c r="D3563" s="60"/>
      <c r="F3563" s="60"/>
      <c r="G3563" s="60"/>
      <c r="H3563" s="62"/>
      <c r="I3563" s="62" t="str">
        <f t="shared" si="55"/>
        <v/>
      </c>
    </row>
    <row r="3564" spans="2:9" x14ac:dyDescent="0.25">
      <c r="B3564" s="59"/>
      <c r="C3564" s="60"/>
      <c r="D3564" s="60"/>
      <c r="F3564" s="60"/>
      <c r="G3564" s="60"/>
      <c r="H3564" s="62"/>
      <c r="I3564" s="62" t="str">
        <f t="shared" si="55"/>
        <v/>
      </c>
    </row>
    <row r="3565" spans="2:9" x14ac:dyDescent="0.25">
      <c r="B3565" s="59"/>
      <c r="C3565" s="60"/>
      <c r="D3565" s="60"/>
      <c r="F3565" s="60"/>
      <c r="G3565" s="60"/>
      <c r="H3565" s="62"/>
      <c r="I3565" s="62" t="str">
        <f t="shared" si="55"/>
        <v/>
      </c>
    </row>
    <row r="3566" spans="2:9" x14ac:dyDescent="0.25">
      <c r="B3566" s="59"/>
      <c r="C3566" s="60"/>
      <c r="D3566" s="60"/>
      <c r="F3566" s="60"/>
      <c r="G3566" s="60"/>
      <c r="H3566" s="62"/>
      <c r="I3566" s="62" t="str">
        <f t="shared" si="55"/>
        <v/>
      </c>
    </row>
    <row r="3567" spans="2:9" x14ac:dyDescent="0.25">
      <c r="B3567" s="59"/>
      <c r="C3567" s="60"/>
      <c r="D3567" s="60"/>
      <c r="F3567" s="60"/>
      <c r="G3567" s="60"/>
      <c r="H3567" s="62"/>
      <c r="I3567" s="62" t="str">
        <f t="shared" si="55"/>
        <v/>
      </c>
    </row>
    <row r="3568" spans="2:9" x14ac:dyDescent="0.25">
      <c r="B3568" s="59"/>
      <c r="C3568" s="60"/>
      <c r="D3568" s="60"/>
      <c r="F3568" s="60"/>
      <c r="G3568" s="60"/>
      <c r="H3568" s="62"/>
      <c r="I3568" s="62" t="str">
        <f t="shared" si="55"/>
        <v/>
      </c>
    </row>
    <row r="3569" spans="2:9" x14ac:dyDescent="0.25">
      <c r="B3569" s="59"/>
      <c r="C3569" s="60"/>
      <c r="D3569" s="60"/>
      <c r="F3569" s="60"/>
      <c r="G3569" s="60"/>
      <c r="H3569" s="62"/>
      <c r="I3569" s="62" t="str">
        <f t="shared" si="55"/>
        <v/>
      </c>
    </row>
    <row r="3570" spans="2:9" x14ac:dyDescent="0.25">
      <c r="B3570" s="59"/>
      <c r="C3570" s="60"/>
      <c r="D3570" s="60"/>
      <c r="F3570" s="60"/>
      <c r="G3570" s="60"/>
      <c r="H3570" s="62"/>
      <c r="I3570" s="62" t="str">
        <f t="shared" si="55"/>
        <v/>
      </c>
    </row>
    <row r="3571" spans="2:9" x14ac:dyDescent="0.25">
      <c r="B3571" s="59"/>
      <c r="C3571" s="60"/>
      <c r="D3571" s="60"/>
      <c r="F3571" s="60"/>
      <c r="G3571" s="60"/>
      <c r="H3571" s="62"/>
      <c r="I3571" s="62" t="str">
        <f t="shared" si="55"/>
        <v/>
      </c>
    </row>
    <row r="3572" spans="2:9" x14ac:dyDescent="0.25">
      <c r="B3572" s="59"/>
      <c r="C3572" s="60"/>
      <c r="D3572" s="60"/>
      <c r="F3572" s="60"/>
      <c r="G3572" s="60"/>
      <c r="H3572" s="62"/>
      <c r="I3572" s="62" t="str">
        <f t="shared" si="55"/>
        <v/>
      </c>
    </row>
    <row r="3573" spans="2:9" x14ac:dyDescent="0.25">
      <c r="B3573" s="59"/>
      <c r="C3573" s="60"/>
      <c r="D3573" s="60"/>
      <c r="F3573" s="60"/>
      <c r="G3573" s="60"/>
      <c r="H3573" s="62"/>
      <c r="I3573" s="62" t="str">
        <f t="shared" si="55"/>
        <v/>
      </c>
    </row>
    <row r="3574" spans="2:9" x14ac:dyDescent="0.25">
      <c r="B3574" s="59"/>
      <c r="C3574" s="60"/>
      <c r="D3574" s="60"/>
      <c r="F3574" s="60"/>
      <c r="G3574" s="60"/>
      <c r="H3574" s="62"/>
      <c r="I3574" s="62" t="str">
        <f t="shared" si="55"/>
        <v/>
      </c>
    </row>
    <row r="3575" spans="2:9" x14ac:dyDescent="0.25">
      <c r="B3575" s="59"/>
      <c r="C3575" s="60"/>
      <c r="D3575" s="60"/>
      <c r="F3575" s="60"/>
      <c r="G3575" s="60"/>
      <c r="H3575" s="62"/>
      <c r="I3575" s="62" t="str">
        <f t="shared" si="55"/>
        <v/>
      </c>
    </row>
    <row r="3576" spans="2:9" x14ac:dyDescent="0.25">
      <c r="B3576" s="59"/>
      <c r="C3576" s="60"/>
      <c r="D3576" s="60"/>
      <c r="F3576" s="60"/>
      <c r="G3576" s="60"/>
      <c r="H3576" s="62"/>
      <c r="I3576" s="62" t="str">
        <f t="shared" si="55"/>
        <v/>
      </c>
    </row>
    <row r="3577" spans="2:9" x14ac:dyDescent="0.25">
      <c r="B3577" s="59"/>
      <c r="C3577" s="60"/>
      <c r="D3577" s="60"/>
      <c r="F3577" s="60"/>
      <c r="G3577" s="60"/>
      <c r="H3577" s="62"/>
      <c r="I3577" s="62" t="str">
        <f t="shared" si="55"/>
        <v/>
      </c>
    </row>
    <row r="3578" spans="2:9" x14ac:dyDescent="0.25">
      <c r="B3578" s="59"/>
      <c r="C3578" s="60"/>
      <c r="D3578" s="60"/>
      <c r="F3578" s="60"/>
      <c r="G3578" s="60"/>
      <c r="H3578" s="62"/>
      <c r="I3578" s="62" t="str">
        <f t="shared" si="55"/>
        <v/>
      </c>
    </row>
    <row r="3579" spans="2:9" x14ac:dyDescent="0.25">
      <c r="B3579" s="59"/>
      <c r="C3579" s="60"/>
      <c r="D3579" s="60"/>
      <c r="F3579" s="60"/>
      <c r="G3579" s="60"/>
      <c r="H3579" s="62"/>
      <c r="I3579" s="62" t="str">
        <f t="shared" si="55"/>
        <v/>
      </c>
    </row>
    <row r="3580" spans="2:9" x14ac:dyDescent="0.25">
      <c r="B3580" s="59"/>
      <c r="C3580" s="60"/>
      <c r="D3580" s="60"/>
      <c r="F3580" s="60"/>
      <c r="G3580" s="60"/>
      <c r="H3580" s="62"/>
      <c r="I3580" s="62" t="str">
        <f t="shared" si="55"/>
        <v/>
      </c>
    </row>
    <row r="3581" spans="2:9" x14ac:dyDescent="0.25">
      <c r="B3581" s="59"/>
      <c r="C3581" s="60"/>
      <c r="D3581" s="60"/>
      <c r="F3581" s="60"/>
      <c r="G3581" s="60"/>
      <c r="H3581" s="62"/>
      <c r="I3581" s="62" t="str">
        <f t="shared" si="55"/>
        <v/>
      </c>
    </row>
    <row r="3582" spans="2:9" x14ac:dyDescent="0.25">
      <c r="B3582" s="59"/>
      <c r="C3582" s="60"/>
      <c r="D3582" s="60"/>
      <c r="F3582" s="60"/>
      <c r="G3582" s="60"/>
      <c r="H3582" s="62"/>
      <c r="I3582" s="62" t="str">
        <f t="shared" si="55"/>
        <v/>
      </c>
    </row>
    <row r="3583" spans="2:9" x14ac:dyDescent="0.25">
      <c r="B3583" s="59"/>
      <c r="C3583" s="60"/>
      <c r="D3583" s="60"/>
      <c r="F3583" s="60"/>
      <c r="G3583" s="60"/>
      <c r="H3583" s="62"/>
      <c r="I3583" s="62" t="str">
        <f t="shared" si="55"/>
        <v/>
      </c>
    </row>
    <row r="3584" spans="2:9" x14ac:dyDescent="0.25">
      <c r="B3584" s="59"/>
      <c r="C3584" s="60"/>
      <c r="D3584" s="60"/>
      <c r="F3584" s="60"/>
      <c r="G3584" s="60"/>
      <c r="H3584" s="62"/>
      <c r="I3584" s="62" t="str">
        <f t="shared" si="55"/>
        <v/>
      </c>
    </row>
    <row r="3585" spans="2:9" x14ac:dyDescent="0.25">
      <c r="B3585" s="59"/>
      <c r="C3585" s="60"/>
      <c r="D3585" s="60"/>
      <c r="F3585" s="60"/>
      <c r="G3585" s="60"/>
      <c r="H3585" s="62"/>
      <c r="I3585" s="62" t="str">
        <f t="shared" si="55"/>
        <v/>
      </c>
    </row>
    <row r="3586" spans="2:9" x14ac:dyDescent="0.25">
      <c r="B3586" s="59"/>
      <c r="C3586" s="60"/>
      <c r="D3586" s="60"/>
      <c r="F3586" s="60"/>
      <c r="G3586" s="60"/>
      <c r="H3586" s="62"/>
      <c r="I3586" s="62" t="str">
        <f t="shared" si="55"/>
        <v/>
      </c>
    </row>
    <row r="3587" spans="2:9" x14ac:dyDescent="0.25">
      <c r="B3587" s="59"/>
      <c r="C3587" s="60"/>
      <c r="D3587" s="60"/>
      <c r="F3587" s="60"/>
      <c r="G3587" s="60"/>
      <c r="H3587" s="62"/>
      <c r="I3587" s="62" t="str">
        <f t="shared" si="55"/>
        <v/>
      </c>
    </row>
    <row r="3588" spans="2:9" x14ac:dyDescent="0.25">
      <c r="B3588" s="59"/>
      <c r="C3588" s="60"/>
      <c r="D3588" s="60"/>
      <c r="F3588" s="60"/>
      <c r="G3588" s="60"/>
      <c r="H3588" s="62"/>
      <c r="I3588" s="62" t="str">
        <f t="shared" si="55"/>
        <v/>
      </c>
    </row>
    <row r="3589" spans="2:9" x14ac:dyDescent="0.25">
      <c r="B3589" s="59"/>
      <c r="C3589" s="60"/>
      <c r="D3589" s="60"/>
      <c r="F3589" s="60"/>
      <c r="G3589" s="60"/>
      <c r="H3589" s="62"/>
      <c r="I3589" s="62" t="str">
        <f t="shared" ref="I3589:I3652" si="56">IF(H3589&lt;&gt;"",H3589-H3588,"")</f>
        <v/>
      </c>
    </row>
    <row r="3590" spans="2:9" x14ac:dyDescent="0.25">
      <c r="B3590" s="59"/>
      <c r="C3590" s="60"/>
      <c r="D3590" s="60"/>
      <c r="F3590" s="60"/>
      <c r="G3590" s="60"/>
      <c r="H3590" s="62"/>
      <c r="I3590" s="62" t="str">
        <f t="shared" si="56"/>
        <v/>
      </c>
    </row>
    <row r="3591" spans="2:9" x14ac:dyDescent="0.25">
      <c r="B3591" s="59"/>
      <c r="C3591" s="60"/>
      <c r="D3591" s="60"/>
      <c r="F3591" s="60"/>
      <c r="G3591" s="60"/>
      <c r="H3591" s="62"/>
      <c r="I3591" s="62" t="str">
        <f t="shared" si="56"/>
        <v/>
      </c>
    </row>
    <row r="3592" spans="2:9" x14ac:dyDescent="0.25">
      <c r="B3592" s="59"/>
      <c r="C3592" s="60"/>
      <c r="D3592" s="60"/>
      <c r="F3592" s="60"/>
      <c r="G3592" s="60"/>
      <c r="H3592" s="62"/>
      <c r="I3592" s="62" t="str">
        <f t="shared" si="56"/>
        <v/>
      </c>
    </row>
    <row r="3593" spans="2:9" x14ac:dyDescent="0.25">
      <c r="B3593" s="59"/>
      <c r="C3593" s="60"/>
      <c r="D3593" s="60"/>
      <c r="F3593" s="60"/>
      <c r="G3593" s="60"/>
      <c r="H3593" s="62"/>
      <c r="I3593" s="62" t="str">
        <f t="shared" si="56"/>
        <v/>
      </c>
    </row>
    <row r="3594" spans="2:9" x14ac:dyDescent="0.25">
      <c r="B3594" s="59"/>
      <c r="C3594" s="60"/>
      <c r="D3594" s="60"/>
      <c r="F3594" s="60"/>
      <c r="G3594" s="60"/>
      <c r="H3594" s="62"/>
      <c r="I3594" s="62" t="str">
        <f t="shared" si="56"/>
        <v/>
      </c>
    </row>
    <row r="3595" spans="2:9" x14ac:dyDescent="0.25">
      <c r="B3595" s="59"/>
      <c r="C3595" s="60"/>
      <c r="D3595" s="60"/>
      <c r="F3595" s="60"/>
      <c r="G3595" s="60"/>
      <c r="H3595" s="62"/>
      <c r="I3595" s="62" t="str">
        <f t="shared" si="56"/>
        <v/>
      </c>
    </row>
    <row r="3596" spans="2:9" x14ac:dyDescent="0.25">
      <c r="B3596" s="59"/>
      <c r="C3596" s="60"/>
      <c r="D3596" s="60"/>
      <c r="F3596" s="60"/>
      <c r="G3596" s="60"/>
      <c r="H3596" s="62"/>
      <c r="I3596" s="62" t="str">
        <f t="shared" si="56"/>
        <v/>
      </c>
    </row>
    <row r="3597" spans="2:9" x14ac:dyDescent="0.25">
      <c r="B3597" s="59"/>
      <c r="C3597" s="60"/>
      <c r="D3597" s="60"/>
      <c r="F3597" s="60"/>
      <c r="G3597" s="60"/>
      <c r="H3597" s="62"/>
      <c r="I3597" s="62" t="str">
        <f t="shared" si="56"/>
        <v/>
      </c>
    </row>
    <row r="3598" spans="2:9" x14ac:dyDescent="0.25">
      <c r="B3598" s="59"/>
      <c r="C3598" s="60"/>
      <c r="D3598" s="60"/>
      <c r="F3598" s="60"/>
      <c r="G3598" s="60"/>
      <c r="H3598" s="62"/>
      <c r="I3598" s="62" t="str">
        <f t="shared" si="56"/>
        <v/>
      </c>
    </row>
    <row r="3599" spans="2:9" x14ac:dyDescent="0.25">
      <c r="B3599" s="59"/>
      <c r="C3599" s="60"/>
      <c r="D3599" s="60"/>
      <c r="F3599" s="60"/>
      <c r="G3599" s="60"/>
      <c r="H3599" s="62"/>
      <c r="I3599" s="62" t="str">
        <f t="shared" si="56"/>
        <v/>
      </c>
    </row>
    <row r="3600" spans="2:9" x14ac:dyDescent="0.25">
      <c r="B3600" s="59"/>
      <c r="C3600" s="60"/>
      <c r="D3600" s="60"/>
      <c r="F3600" s="60"/>
      <c r="G3600" s="60"/>
      <c r="H3600" s="62"/>
      <c r="I3600" s="62" t="str">
        <f t="shared" si="56"/>
        <v/>
      </c>
    </row>
    <row r="3601" spans="2:9" x14ac:dyDescent="0.25">
      <c r="B3601" s="59"/>
      <c r="C3601" s="60"/>
      <c r="D3601" s="60"/>
      <c r="F3601" s="60"/>
      <c r="G3601" s="60"/>
      <c r="H3601" s="62"/>
      <c r="I3601" s="62" t="str">
        <f t="shared" si="56"/>
        <v/>
      </c>
    </row>
    <row r="3602" spans="2:9" x14ac:dyDescent="0.25">
      <c r="B3602" s="59"/>
      <c r="C3602" s="60"/>
      <c r="D3602" s="60"/>
      <c r="F3602" s="60"/>
      <c r="G3602" s="60"/>
      <c r="H3602" s="62"/>
      <c r="I3602" s="62" t="str">
        <f t="shared" si="56"/>
        <v/>
      </c>
    </row>
    <row r="3603" spans="2:9" x14ac:dyDescent="0.25">
      <c r="B3603" s="59"/>
      <c r="C3603" s="60"/>
      <c r="D3603" s="60"/>
      <c r="F3603" s="60"/>
      <c r="G3603" s="60"/>
      <c r="H3603" s="62"/>
      <c r="I3603" s="62" t="str">
        <f t="shared" si="56"/>
        <v/>
      </c>
    </row>
    <row r="3604" spans="2:9" x14ac:dyDescent="0.25">
      <c r="B3604" s="59"/>
      <c r="C3604" s="60"/>
      <c r="D3604" s="60"/>
      <c r="F3604" s="60"/>
      <c r="G3604" s="60"/>
      <c r="H3604" s="62"/>
      <c r="I3604" s="62" t="str">
        <f t="shared" si="56"/>
        <v/>
      </c>
    </row>
    <row r="3605" spans="2:9" x14ac:dyDescent="0.25">
      <c r="B3605" s="59"/>
      <c r="C3605" s="60"/>
      <c r="D3605" s="60"/>
      <c r="F3605" s="60"/>
      <c r="G3605" s="60"/>
      <c r="H3605" s="62"/>
      <c r="I3605" s="62" t="str">
        <f t="shared" si="56"/>
        <v/>
      </c>
    </row>
    <row r="3606" spans="2:9" x14ac:dyDescent="0.25">
      <c r="B3606" s="59"/>
      <c r="C3606" s="60"/>
      <c r="D3606" s="60"/>
      <c r="F3606" s="60"/>
      <c r="G3606" s="60"/>
      <c r="H3606" s="62"/>
      <c r="I3606" s="62" t="str">
        <f t="shared" si="56"/>
        <v/>
      </c>
    </row>
    <row r="3607" spans="2:9" x14ac:dyDescent="0.25">
      <c r="B3607" s="59"/>
      <c r="C3607" s="60"/>
      <c r="D3607" s="60"/>
      <c r="F3607" s="60"/>
      <c r="G3607" s="60"/>
      <c r="H3607" s="62"/>
      <c r="I3607" s="62" t="str">
        <f t="shared" si="56"/>
        <v/>
      </c>
    </row>
    <row r="3608" spans="2:9" x14ac:dyDescent="0.25">
      <c r="B3608" s="59"/>
      <c r="C3608" s="60"/>
      <c r="D3608" s="60"/>
      <c r="F3608" s="60"/>
      <c r="G3608" s="60"/>
      <c r="H3608" s="62"/>
      <c r="I3608" s="62" t="str">
        <f t="shared" si="56"/>
        <v/>
      </c>
    </row>
    <row r="3609" spans="2:9" x14ac:dyDescent="0.25">
      <c r="B3609" s="59"/>
      <c r="C3609" s="60"/>
      <c r="D3609" s="60"/>
      <c r="F3609" s="60"/>
      <c r="G3609" s="60"/>
      <c r="H3609" s="62"/>
      <c r="I3609" s="62" t="str">
        <f t="shared" si="56"/>
        <v/>
      </c>
    </row>
    <row r="3610" spans="2:9" x14ac:dyDescent="0.25">
      <c r="B3610" s="59"/>
      <c r="C3610" s="60"/>
      <c r="D3610" s="60"/>
      <c r="F3610" s="60"/>
      <c r="G3610" s="60"/>
      <c r="H3610" s="62"/>
      <c r="I3610" s="62" t="str">
        <f t="shared" si="56"/>
        <v/>
      </c>
    </row>
    <row r="3611" spans="2:9" x14ac:dyDescent="0.25">
      <c r="B3611" s="59"/>
      <c r="C3611" s="60"/>
      <c r="D3611" s="60"/>
      <c r="F3611" s="60"/>
      <c r="G3611" s="60"/>
      <c r="H3611" s="62"/>
      <c r="I3611" s="62" t="str">
        <f t="shared" si="56"/>
        <v/>
      </c>
    </row>
    <row r="3612" spans="2:9" x14ac:dyDescent="0.25">
      <c r="B3612" s="59"/>
      <c r="C3612" s="60"/>
      <c r="D3612" s="60"/>
      <c r="F3612" s="60"/>
      <c r="G3612" s="60"/>
      <c r="H3612" s="62"/>
      <c r="I3612" s="62" t="str">
        <f t="shared" si="56"/>
        <v/>
      </c>
    </row>
    <row r="3613" spans="2:9" x14ac:dyDescent="0.25">
      <c r="B3613" s="59"/>
      <c r="C3613" s="60"/>
      <c r="D3613" s="60"/>
      <c r="F3613" s="60"/>
      <c r="G3613" s="60"/>
      <c r="H3613" s="62"/>
      <c r="I3613" s="62" t="str">
        <f t="shared" si="56"/>
        <v/>
      </c>
    </row>
    <row r="3614" spans="2:9" x14ac:dyDescent="0.25">
      <c r="B3614" s="59"/>
      <c r="C3614" s="60"/>
      <c r="D3614" s="60"/>
      <c r="F3614" s="60"/>
      <c r="G3614" s="60"/>
      <c r="H3614" s="62"/>
      <c r="I3614" s="62" t="str">
        <f t="shared" si="56"/>
        <v/>
      </c>
    </row>
    <row r="3615" spans="2:9" x14ac:dyDescent="0.25">
      <c r="B3615" s="59"/>
      <c r="C3615" s="60"/>
      <c r="D3615" s="60"/>
      <c r="F3615" s="60"/>
      <c r="G3615" s="60"/>
      <c r="H3615" s="62"/>
      <c r="I3615" s="62" t="str">
        <f t="shared" si="56"/>
        <v/>
      </c>
    </row>
    <row r="3616" spans="2:9" x14ac:dyDescent="0.25">
      <c r="B3616" s="59"/>
      <c r="C3616" s="60"/>
      <c r="D3616" s="60"/>
      <c r="F3616" s="60"/>
      <c r="G3616" s="60"/>
      <c r="H3616" s="62"/>
      <c r="I3616" s="62" t="str">
        <f t="shared" si="56"/>
        <v/>
      </c>
    </row>
    <row r="3617" spans="2:9" x14ac:dyDescent="0.25">
      <c r="B3617" s="59"/>
      <c r="C3617" s="60"/>
      <c r="D3617" s="60"/>
      <c r="F3617" s="60"/>
      <c r="G3617" s="60"/>
      <c r="H3617" s="62"/>
      <c r="I3617" s="62" t="str">
        <f t="shared" si="56"/>
        <v/>
      </c>
    </row>
    <row r="3618" spans="2:9" x14ac:dyDescent="0.25">
      <c r="B3618" s="59"/>
      <c r="C3618" s="60"/>
      <c r="D3618" s="60"/>
      <c r="F3618" s="60"/>
      <c r="G3618" s="60"/>
      <c r="H3618" s="62"/>
      <c r="I3618" s="62" t="str">
        <f t="shared" si="56"/>
        <v/>
      </c>
    </row>
    <row r="3619" spans="2:9" x14ac:dyDescent="0.25">
      <c r="B3619" s="59"/>
      <c r="C3619" s="60"/>
      <c r="D3619" s="60"/>
      <c r="F3619" s="60"/>
      <c r="G3619" s="60"/>
      <c r="H3619" s="62"/>
      <c r="I3619" s="62" t="str">
        <f t="shared" si="56"/>
        <v/>
      </c>
    </row>
    <row r="3620" spans="2:9" x14ac:dyDescent="0.25">
      <c r="B3620" s="59"/>
      <c r="C3620" s="60"/>
      <c r="D3620" s="60"/>
      <c r="F3620" s="60"/>
      <c r="G3620" s="60"/>
      <c r="H3620" s="62"/>
      <c r="I3620" s="62" t="str">
        <f t="shared" si="56"/>
        <v/>
      </c>
    </row>
    <row r="3621" spans="2:9" x14ac:dyDescent="0.25">
      <c r="B3621" s="59"/>
      <c r="C3621" s="60"/>
      <c r="D3621" s="60"/>
      <c r="F3621" s="60"/>
      <c r="G3621" s="60"/>
      <c r="H3621" s="62"/>
      <c r="I3621" s="62" t="str">
        <f t="shared" si="56"/>
        <v/>
      </c>
    </row>
    <row r="3622" spans="2:9" x14ac:dyDescent="0.25">
      <c r="B3622" s="59"/>
      <c r="C3622" s="60"/>
      <c r="D3622" s="60"/>
      <c r="F3622" s="60"/>
      <c r="G3622" s="60"/>
      <c r="H3622" s="62"/>
      <c r="I3622" s="62" t="str">
        <f t="shared" si="56"/>
        <v/>
      </c>
    </row>
    <row r="3623" spans="2:9" x14ac:dyDescent="0.25">
      <c r="B3623" s="59"/>
      <c r="C3623" s="60"/>
      <c r="D3623" s="60"/>
      <c r="F3623" s="60"/>
      <c r="G3623" s="60"/>
      <c r="H3623" s="62"/>
      <c r="I3623" s="62" t="str">
        <f t="shared" si="56"/>
        <v/>
      </c>
    </row>
    <row r="3624" spans="2:9" x14ac:dyDescent="0.25">
      <c r="B3624" s="59"/>
      <c r="C3624" s="60"/>
      <c r="D3624" s="60"/>
      <c r="F3624" s="60"/>
      <c r="G3624" s="60"/>
      <c r="H3624" s="62"/>
      <c r="I3624" s="62" t="str">
        <f t="shared" si="56"/>
        <v/>
      </c>
    </row>
    <row r="3625" spans="2:9" x14ac:dyDescent="0.25">
      <c r="B3625" s="59"/>
      <c r="C3625" s="60"/>
      <c r="D3625" s="60"/>
      <c r="F3625" s="60"/>
      <c r="G3625" s="60"/>
      <c r="H3625" s="62"/>
      <c r="I3625" s="62" t="str">
        <f t="shared" si="56"/>
        <v/>
      </c>
    </row>
    <row r="3626" spans="2:9" x14ac:dyDescent="0.25">
      <c r="B3626" s="59"/>
      <c r="C3626" s="60"/>
      <c r="D3626" s="60"/>
      <c r="F3626" s="60"/>
      <c r="G3626" s="60"/>
      <c r="H3626" s="62"/>
      <c r="I3626" s="62" t="str">
        <f t="shared" si="56"/>
        <v/>
      </c>
    </row>
    <row r="3627" spans="2:9" x14ac:dyDescent="0.25">
      <c r="B3627" s="59"/>
      <c r="C3627" s="60"/>
      <c r="D3627" s="60"/>
      <c r="F3627" s="60"/>
      <c r="G3627" s="60"/>
      <c r="H3627" s="62"/>
      <c r="I3627" s="62" t="str">
        <f t="shared" si="56"/>
        <v/>
      </c>
    </row>
    <row r="3628" spans="2:9" x14ac:dyDescent="0.25">
      <c r="B3628" s="59"/>
      <c r="C3628" s="60"/>
      <c r="D3628" s="60"/>
      <c r="F3628" s="60"/>
      <c r="G3628" s="60"/>
      <c r="H3628" s="62"/>
      <c r="I3628" s="62" t="str">
        <f t="shared" si="56"/>
        <v/>
      </c>
    </row>
    <row r="3629" spans="2:9" x14ac:dyDescent="0.25">
      <c r="B3629" s="59"/>
      <c r="C3629" s="60"/>
      <c r="D3629" s="60"/>
      <c r="F3629" s="60"/>
      <c r="G3629" s="60"/>
      <c r="H3629" s="62"/>
      <c r="I3629" s="62" t="str">
        <f t="shared" si="56"/>
        <v/>
      </c>
    </row>
    <row r="3630" spans="2:9" x14ac:dyDescent="0.25">
      <c r="B3630" s="59"/>
      <c r="C3630" s="60"/>
      <c r="D3630" s="60"/>
      <c r="F3630" s="60"/>
      <c r="G3630" s="60"/>
      <c r="H3630" s="62"/>
      <c r="I3630" s="62" t="str">
        <f t="shared" si="56"/>
        <v/>
      </c>
    </row>
    <row r="3631" spans="2:9" x14ac:dyDescent="0.25">
      <c r="B3631" s="59"/>
      <c r="C3631" s="60"/>
      <c r="D3631" s="60"/>
      <c r="F3631" s="60"/>
      <c r="G3631" s="60"/>
      <c r="H3631" s="62"/>
      <c r="I3631" s="62" t="str">
        <f t="shared" si="56"/>
        <v/>
      </c>
    </row>
    <row r="3632" spans="2:9" x14ac:dyDescent="0.25">
      <c r="B3632" s="59"/>
      <c r="C3632" s="60"/>
      <c r="D3632" s="60"/>
      <c r="F3632" s="60"/>
      <c r="G3632" s="60"/>
      <c r="H3632" s="62"/>
      <c r="I3632" s="62" t="str">
        <f t="shared" si="56"/>
        <v/>
      </c>
    </row>
    <row r="3633" spans="2:9" x14ac:dyDescent="0.25">
      <c r="B3633" s="59"/>
      <c r="C3633" s="60"/>
      <c r="D3633" s="60"/>
      <c r="F3633" s="60"/>
      <c r="G3633" s="60"/>
      <c r="H3633" s="62"/>
      <c r="I3633" s="62" t="str">
        <f t="shared" si="56"/>
        <v/>
      </c>
    </row>
    <row r="3634" spans="2:9" x14ac:dyDescent="0.25">
      <c r="B3634" s="59"/>
      <c r="C3634" s="60"/>
      <c r="D3634" s="60"/>
      <c r="F3634" s="60"/>
      <c r="G3634" s="60"/>
      <c r="H3634" s="62"/>
      <c r="I3634" s="62" t="str">
        <f t="shared" si="56"/>
        <v/>
      </c>
    </row>
    <row r="3635" spans="2:9" x14ac:dyDescent="0.25">
      <c r="B3635" s="59"/>
      <c r="C3635" s="60"/>
      <c r="D3635" s="60"/>
      <c r="F3635" s="60"/>
      <c r="G3635" s="60"/>
      <c r="H3635" s="62"/>
      <c r="I3635" s="62" t="str">
        <f t="shared" si="56"/>
        <v/>
      </c>
    </row>
    <row r="3636" spans="2:9" x14ac:dyDescent="0.25">
      <c r="B3636" s="59"/>
      <c r="C3636" s="60"/>
      <c r="D3636" s="60"/>
      <c r="F3636" s="60"/>
      <c r="G3636" s="60"/>
      <c r="H3636" s="62"/>
      <c r="I3636" s="62" t="str">
        <f t="shared" si="56"/>
        <v/>
      </c>
    </row>
    <row r="3637" spans="2:9" x14ac:dyDescent="0.25">
      <c r="B3637" s="59"/>
      <c r="C3637" s="60"/>
      <c r="D3637" s="60"/>
      <c r="F3637" s="60"/>
      <c r="G3637" s="60"/>
      <c r="H3637" s="62"/>
      <c r="I3637" s="62" t="str">
        <f t="shared" si="56"/>
        <v/>
      </c>
    </row>
    <row r="3638" spans="2:9" x14ac:dyDescent="0.25">
      <c r="B3638" s="59"/>
      <c r="C3638" s="60"/>
      <c r="D3638" s="60"/>
      <c r="F3638" s="60"/>
      <c r="G3638" s="60"/>
      <c r="H3638" s="62"/>
      <c r="I3638" s="62" t="str">
        <f t="shared" si="56"/>
        <v/>
      </c>
    </row>
    <row r="3639" spans="2:9" x14ac:dyDescent="0.25">
      <c r="B3639" s="59"/>
      <c r="C3639" s="60"/>
      <c r="D3639" s="60"/>
      <c r="F3639" s="60"/>
      <c r="G3639" s="60"/>
      <c r="H3639" s="62"/>
      <c r="I3639" s="62" t="str">
        <f t="shared" si="56"/>
        <v/>
      </c>
    </row>
    <row r="3640" spans="2:9" x14ac:dyDescent="0.25">
      <c r="B3640" s="59"/>
      <c r="C3640" s="60"/>
      <c r="D3640" s="60"/>
      <c r="F3640" s="60"/>
      <c r="G3640" s="60"/>
      <c r="H3640" s="62"/>
      <c r="I3640" s="62" t="str">
        <f t="shared" si="56"/>
        <v/>
      </c>
    </row>
    <row r="3641" spans="2:9" x14ac:dyDescent="0.25">
      <c r="B3641" s="59"/>
      <c r="C3641" s="60"/>
      <c r="D3641" s="60"/>
      <c r="F3641" s="60"/>
      <c r="G3641" s="60"/>
      <c r="H3641" s="62"/>
      <c r="I3641" s="62" t="str">
        <f t="shared" si="56"/>
        <v/>
      </c>
    </row>
    <row r="3642" spans="2:9" x14ac:dyDescent="0.25">
      <c r="B3642" s="59"/>
      <c r="C3642" s="60"/>
      <c r="D3642" s="60"/>
      <c r="F3642" s="60"/>
      <c r="G3642" s="60"/>
      <c r="H3642" s="62"/>
      <c r="I3642" s="62" t="str">
        <f t="shared" si="56"/>
        <v/>
      </c>
    </row>
    <row r="3643" spans="2:9" x14ac:dyDescent="0.25">
      <c r="B3643" s="59"/>
      <c r="C3643" s="60"/>
      <c r="D3643" s="60"/>
      <c r="F3643" s="60"/>
      <c r="G3643" s="60"/>
      <c r="H3643" s="62"/>
      <c r="I3643" s="62" t="str">
        <f t="shared" si="56"/>
        <v/>
      </c>
    </row>
    <row r="3644" spans="2:9" x14ac:dyDescent="0.25">
      <c r="B3644" s="59"/>
      <c r="C3644" s="60"/>
      <c r="D3644" s="60"/>
      <c r="F3644" s="60"/>
      <c r="G3644" s="60"/>
      <c r="H3644" s="62"/>
      <c r="I3644" s="62" t="str">
        <f t="shared" si="56"/>
        <v/>
      </c>
    </row>
    <row r="3645" spans="2:9" x14ac:dyDescent="0.25">
      <c r="B3645" s="59"/>
      <c r="C3645" s="60"/>
      <c r="D3645" s="60"/>
      <c r="F3645" s="60"/>
      <c r="G3645" s="60"/>
      <c r="H3645" s="62"/>
      <c r="I3645" s="62" t="str">
        <f t="shared" si="56"/>
        <v/>
      </c>
    </row>
    <row r="3646" spans="2:9" x14ac:dyDescent="0.25">
      <c r="B3646" s="59"/>
      <c r="C3646" s="60"/>
      <c r="D3646" s="60"/>
      <c r="F3646" s="60"/>
      <c r="G3646" s="60"/>
      <c r="H3646" s="62"/>
      <c r="I3646" s="62" t="str">
        <f t="shared" si="56"/>
        <v/>
      </c>
    </row>
    <row r="3647" spans="2:9" x14ac:dyDescent="0.25">
      <c r="B3647" s="59"/>
      <c r="C3647" s="60"/>
      <c r="D3647" s="60"/>
      <c r="F3647" s="60"/>
      <c r="G3647" s="60"/>
      <c r="H3647" s="62"/>
      <c r="I3647" s="62" t="str">
        <f t="shared" si="56"/>
        <v/>
      </c>
    </row>
    <row r="3648" spans="2:9" x14ac:dyDescent="0.25">
      <c r="B3648" s="59"/>
      <c r="C3648" s="60"/>
      <c r="D3648" s="60"/>
      <c r="F3648" s="60"/>
      <c r="G3648" s="60"/>
      <c r="H3648" s="62"/>
      <c r="I3648" s="62" t="str">
        <f t="shared" si="56"/>
        <v/>
      </c>
    </row>
    <row r="3649" spans="2:9" x14ac:dyDescent="0.25">
      <c r="B3649" s="59"/>
      <c r="C3649" s="60"/>
      <c r="D3649" s="60"/>
      <c r="F3649" s="60"/>
      <c r="G3649" s="60"/>
      <c r="H3649" s="62"/>
      <c r="I3649" s="62" t="str">
        <f t="shared" si="56"/>
        <v/>
      </c>
    </row>
    <row r="3650" spans="2:9" x14ac:dyDescent="0.25">
      <c r="B3650" s="59"/>
      <c r="C3650" s="60"/>
      <c r="D3650" s="60"/>
      <c r="F3650" s="60"/>
      <c r="G3650" s="60"/>
      <c r="H3650" s="62"/>
      <c r="I3650" s="62" t="str">
        <f t="shared" si="56"/>
        <v/>
      </c>
    </row>
    <row r="3651" spans="2:9" x14ac:dyDescent="0.25">
      <c r="B3651" s="59"/>
      <c r="C3651" s="60"/>
      <c r="D3651" s="60"/>
      <c r="F3651" s="60"/>
      <c r="G3651" s="60"/>
      <c r="H3651" s="62"/>
      <c r="I3651" s="62" t="str">
        <f t="shared" si="56"/>
        <v/>
      </c>
    </row>
    <row r="3652" spans="2:9" x14ac:dyDescent="0.25">
      <c r="B3652" s="59"/>
      <c r="C3652" s="60"/>
      <c r="D3652" s="60"/>
      <c r="F3652" s="60"/>
      <c r="G3652" s="60"/>
      <c r="H3652" s="62"/>
      <c r="I3652" s="62" t="str">
        <f t="shared" si="56"/>
        <v/>
      </c>
    </row>
    <row r="3653" spans="2:9" x14ac:dyDescent="0.25">
      <c r="B3653" s="59"/>
      <c r="C3653" s="60"/>
      <c r="D3653" s="60"/>
      <c r="F3653" s="60"/>
      <c r="G3653" s="60"/>
      <c r="H3653" s="62"/>
      <c r="I3653" s="62" t="str">
        <f t="shared" ref="I3653:I3716" si="57">IF(H3653&lt;&gt;"",H3653-H3652,"")</f>
        <v/>
      </c>
    </row>
    <row r="3654" spans="2:9" x14ac:dyDescent="0.25">
      <c r="B3654" s="59"/>
      <c r="C3654" s="60"/>
      <c r="D3654" s="60"/>
      <c r="F3654" s="60"/>
      <c r="G3654" s="60"/>
      <c r="H3654" s="62"/>
      <c r="I3654" s="62" t="str">
        <f t="shared" si="57"/>
        <v/>
      </c>
    </row>
    <row r="3655" spans="2:9" x14ac:dyDescent="0.25">
      <c r="B3655" s="59"/>
      <c r="C3655" s="60"/>
      <c r="D3655" s="60"/>
      <c r="F3655" s="60"/>
      <c r="G3655" s="60"/>
      <c r="H3655" s="62"/>
      <c r="I3655" s="62" t="str">
        <f t="shared" si="57"/>
        <v/>
      </c>
    </row>
    <row r="3656" spans="2:9" x14ac:dyDescent="0.25">
      <c r="B3656" s="59"/>
      <c r="C3656" s="60"/>
      <c r="D3656" s="60"/>
      <c r="F3656" s="60"/>
      <c r="G3656" s="60"/>
      <c r="H3656" s="62"/>
      <c r="I3656" s="62" t="str">
        <f t="shared" si="57"/>
        <v/>
      </c>
    </row>
    <row r="3657" spans="2:9" x14ac:dyDescent="0.25">
      <c r="B3657" s="59"/>
      <c r="C3657" s="60"/>
      <c r="D3657" s="60"/>
      <c r="F3657" s="60"/>
      <c r="G3657" s="60"/>
      <c r="H3657" s="62"/>
      <c r="I3657" s="62" t="str">
        <f t="shared" si="57"/>
        <v/>
      </c>
    </row>
    <row r="3658" spans="2:9" x14ac:dyDescent="0.25">
      <c r="B3658" s="59"/>
      <c r="C3658" s="60"/>
      <c r="D3658" s="60"/>
      <c r="F3658" s="60"/>
      <c r="G3658" s="60"/>
      <c r="H3658" s="62"/>
      <c r="I3658" s="62" t="str">
        <f t="shared" si="57"/>
        <v/>
      </c>
    </row>
    <row r="3659" spans="2:9" x14ac:dyDescent="0.25">
      <c r="B3659" s="59"/>
      <c r="C3659" s="60"/>
      <c r="D3659" s="60"/>
      <c r="F3659" s="60"/>
      <c r="G3659" s="60"/>
      <c r="H3659" s="62"/>
      <c r="I3659" s="62" t="str">
        <f t="shared" si="57"/>
        <v/>
      </c>
    </row>
    <row r="3660" spans="2:9" x14ac:dyDescent="0.25">
      <c r="B3660" s="59"/>
      <c r="C3660" s="60"/>
      <c r="D3660" s="60"/>
      <c r="F3660" s="60"/>
      <c r="G3660" s="60"/>
      <c r="H3660" s="62"/>
      <c r="I3660" s="62" t="str">
        <f t="shared" si="57"/>
        <v/>
      </c>
    </row>
    <row r="3661" spans="2:9" x14ac:dyDescent="0.25">
      <c r="B3661" s="59"/>
      <c r="C3661" s="60"/>
      <c r="D3661" s="60"/>
      <c r="F3661" s="60"/>
      <c r="G3661" s="60"/>
      <c r="H3661" s="62"/>
      <c r="I3661" s="62" t="str">
        <f t="shared" si="57"/>
        <v/>
      </c>
    </row>
    <row r="3662" spans="2:9" x14ac:dyDescent="0.25">
      <c r="B3662" s="59"/>
      <c r="C3662" s="60"/>
      <c r="D3662" s="60"/>
      <c r="F3662" s="60"/>
      <c r="G3662" s="60"/>
      <c r="H3662" s="62"/>
      <c r="I3662" s="62" t="str">
        <f t="shared" si="57"/>
        <v/>
      </c>
    </row>
    <row r="3663" spans="2:9" x14ac:dyDescent="0.25">
      <c r="B3663" s="59"/>
      <c r="C3663" s="60"/>
      <c r="D3663" s="60"/>
      <c r="F3663" s="60"/>
      <c r="G3663" s="60"/>
      <c r="H3663" s="62"/>
      <c r="I3663" s="62" t="str">
        <f t="shared" si="57"/>
        <v/>
      </c>
    </row>
    <row r="3664" spans="2:9" x14ac:dyDescent="0.25">
      <c r="B3664" s="59"/>
      <c r="C3664" s="60"/>
      <c r="D3664" s="60"/>
      <c r="F3664" s="60"/>
      <c r="G3664" s="60"/>
      <c r="H3664" s="62"/>
      <c r="I3664" s="62" t="str">
        <f t="shared" si="57"/>
        <v/>
      </c>
    </row>
    <row r="3665" spans="2:9" x14ac:dyDescent="0.25">
      <c r="B3665" s="59"/>
      <c r="C3665" s="60"/>
      <c r="D3665" s="60"/>
      <c r="F3665" s="60"/>
      <c r="G3665" s="60"/>
      <c r="H3665" s="62"/>
      <c r="I3665" s="62" t="str">
        <f t="shared" si="57"/>
        <v/>
      </c>
    </row>
    <row r="3666" spans="2:9" x14ac:dyDescent="0.25">
      <c r="B3666" s="59"/>
      <c r="C3666" s="60"/>
      <c r="D3666" s="60"/>
      <c r="F3666" s="60"/>
      <c r="G3666" s="60"/>
      <c r="H3666" s="62"/>
      <c r="I3666" s="62" t="str">
        <f t="shared" si="57"/>
        <v/>
      </c>
    </row>
    <row r="3667" spans="2:9" x14ac:dyDescent="0.25">
      <c r="B3667" s="59"/>
      <c r="C3667" s="60"/>
      <c r="D3667" s="60"/>
      <c r="F3667" s="60"/>
      <c r="G3667" s="60"/>
      <c r="H3667" s="62"/>
      <c r="I3667" s="62" t="str">
        <f t="shared" si="57"/>
        <v/>
      </c>
    </row>
    <row r="3668" spans="2:9" x14ac:dyDescent="0.25">
      <c r="B3668" s="59"/>
      <c r="C3668" s="60"/>
      <c r="D3668" s="60"/>
      <c r="F3668" s="60"/>
      <c r="G3668" s="60"/>
      <c r="H3668" s="62"/>
      <c r="I3668" s="62" t="str">
        <f t="shared" si="57"/>
        <v/>
      </c>
    </row>
    <row r="3669" spans="2:9" x14ac:dyDescent="0.25">
      <c r="B3669" s="59"/>
      <c r="C3669" s="60"/>
      <c r="D3669" s="60"/>
      <c r="F3669" s="60"/>
      <c r="G3669" s="60"/>
      <c r="H3669" s="62"/>
      <c r="I3669" s="62" t="str">
        <f t="shared" si="57"/>
        <v/>
      </c>
    </row>
    <row r="3670" spans="2:9" x14ac:dyDescent="0.25">
      <c r="B3670" s="59"/>
      <c r="C3670" s="60"/>
      <c r="D3670" s="60"/>
      <c r="F3670" s="60"/>
      <c r="G3670" s="60"/>
      <c r="H3670" s="62"/>
      <c r="I3670" s="62" t="str">
        <f t="shared" si="57"/>
        <v/>
      </c>
    </row>
    <row r="3671" spans="2:9" x14ac:dyDescent="0.25">
      <c r="B3671" s="59"/>
      <c r="C3671" s="60"/>
      <c r="D3671" s="60"/>
      <c r="F3671" s="60"/>
      <c r="G3671" s="60"/>
      <c r="H3671" s="62"/>
      <c r="I3671" s="62" t="str">
        <f t="shared" si="57"/>
        <v/>
      </c>
    </row>
    <row r="3672" spans="2:9" x14ac:dyDescent="0.25">
      <c r="B3672" s="59"/>
      <c r="C3672" s="60"/>
      <c r="D3672" s="60"/>
      <c r="F3672" s="60"/>
      <c r="G3672" s="60"/>
      <c r="H3672" s="62"/>
      <c r="I3672" s="62" t="str">
        <f t="shared" si="57"/>
        <v/>
      </c>
    </row>
    <row r="3673" spans="2:9" x14ac:dyDescent="0.25">
      <c r="B3673" s="59"/>
      <c r="C3673" s="60"/>
      <c r="D3673" s="60"/>
      <c r="F3673" s="60"/>
      <c r="G3673" s="60"/>
      <c r="H3673" s="62"/>
      <c r="I3673" s="62" t="str">
        <f t="shared" si="57"/>
        <v/>
      </c>
    </row>
    <row r="3674" spans="2:9" x14ac:dyDescent="0.25">
      <c r="B3674" s="59"/>
      <c r="C3674" s="60"/>
      <c r="D3674" s="60"/>
      <c r="F3674" s="60"/>
      <c r="G3674" s="60"/>
      <c r="H3674" s="62"/>
      <c r="I3674" s="62" t="str">
        <f t="shared" si="57"/>
        <v/>
      </c>
    </row>
    <row r="3675" spans="2:9" x14ac:dyDescent="0.25">
      <c r="B3675" s="59"/>
      <c r="C3675" s="60"/>
      <c r="D3675" s="60"/>
      <c r="F3675" s="60"/>
      <c r="G3675" s="60"/>
      <c r="H3675" s="62"/>
      <c r="I3675" s="62" t="str">
        <f t="shared" si="57"/>
        <v/>
      </c>
    </row>
    <row r="3676" spans="2:9" x14ac:dyDescent="0.25">
      <c r="B3676" s="59"/>
      <c r="C3676" s="60"/>
      <c r="D3676" s="60"/>
      <c r="F3676" s="60"/>
      <c r="G3676" s="60"/>
      <c r="H3676" s="62"/>
      <c r="I3676" s="62" t="str">
        <f t="shared" si="57"/>
        <v/>
      </c>
    </row>
    <row r="3677" spans="2:9" x14ac:dyDescent="0.25">
      <c r="B3677" s="59"/>
      <c r="C3677" s="60"/>
      <c r="D3677" s="60"/>
      <c r="F3677" s="60"/>
      <c r="G3677" s="60"/>
      <c r="H3677" s="62"/>
      <c r="I3677" s="62" t="str">
        <f t="shared" si="57"/>
        <v/>
      </c>
    </row>
    <row r="3678" spans="2:9" x14ac:dyDescent="0.25">
      <c r="B3678" s="59"/>
      <c r="C3678" s="60"/>
      <c r="D3678" s="60"/>
      <c r="F3678" s="60"/>
      <c r="G3678" s="60"/>
      <c r="H3678" s="62"/>
      <c r="I3678" s="62" t="str">
        <f t="shared" si="57"/>
        <v/>
      </c>
    </row>
    <row r="3679" spans="2:9" x14ac:dyDescent="0.25">
      <c r="B3679" s="59"/>
      <c r="C3679" s="60"/>
      <c r="D3679" s="60"/>
      <c r="F3679" s="60"/>
      <c r="G3679" s="60"/>
      <c r="H3679" s="62"/>
      <c r="I3679" s="62" t="str">
        <f t="shared" si="57"/>
        <v/>
      </c>
    </row>
    <row r="3680" spans="2:9" x14ac:dyDescent="0.25">
      <c r="B3680" s="59"/>
      <c r="C3680" s="60"/>
      <c r="D3680" s="60"/>
      <c r="F3680" s="60"/>
      <c r="G3680" s="60"/>
      <c r="H3680" s="62"/>
      <c r="I3680" s="62" t="str">
        <f t="shared" si="57"/>
        <v/>
      </c>
    </row>
    <row r="3681" spans="2:9" x14ac:dyDescent="0.25">
      <c r="B3681" s="59"/>
      <c r="C3681" s="60"/>
      <c r="D3681" s="60"/>
      <c r="F3681" s="60"/>
      <c r="G3681" s="60"/>
      <c r="H3681" s="62"/>
      <c r="I3681" s="62" t="str">
        <f t="shared" si="57"/>
        <v/>
      </c>
    </row>
    <row r="3682" spans="2:9" x14ac:dyDescent="0.25">
      <c r="B3682" s="59"/>
      <c r="C3682" s="60"/>
      <c r="D3682" s="60"/>
      <c r="F3682" s="60"/>
      <c r="G3682" s="60"/>
      <c r="H3682" s="62"/>
      <c r="I3682" s="62" t="str">
        <f t="shared" si="57"/>
        <v/>
      </c>
    </row>
    <row r="3683" spans="2:9" x14ac:dyDescent="0.25">
      <c r="B3683" s="59"/>
      <c r="C3683" s="60"/>
      <c r="D3683" s="60"/>
      <c r="F3683" s="60"/>
      <c r="G3683" s="60"/>
      <c r="H3683" s="62"/>
      <c r="I3683" s="62" t="str">
        <f t="shared" si="57"/>
        <v/>
      </c>
    </row>
    <row r="3684" spans="2:9" x14ac:dyDescent="0.25">
      <c r="B3684" s="59"/>
      <c r="C3684" s="60"/>
      <c r="D3684" s="60"/>
      <c r="F3684" s="60"/>
      <c r="G3684" s="60"/>
      <c r="H3684" s="62"/>
      <c r="I3684" s="62" t="str">
        <f t="shared" si="57"/>
        <v/>
      </c>
    </row>
    <row r="3685" spans="2:9" x14ac:dyDescent="0.25">
      <c r="B3685" s="59"/>
      <c r="C3685" s="60"/>
      <c r="D3685" s="60"/>
      <c r="F3685" s="60"/>
      <c r="G3685" s="60"/>
      <c r="H3685" s="62"/>
      <c r="I3685" s="62" t="str">
        <f t="shared" si="57"/>
        <v/>
      </c>
    </row>
    <row r="3686" spans="2:9" x14ac:dyDescent="0.25">
      <c r="B3686" s="59"/>
      <c r="C3686" s="60"/>
      <c r="D3686" s="60"/>
      <c r="F3686" s="60"/>
      <c r="G3686" s="60"/>
      <c r="H3686" s="62"/>
      <c r="I3686" s="62" t="str">
        <f t="shared" si="57"/>
        <v/>
      </c>
    </row>
    <row r="3687" spans="2:9" x14ac:dyDescent="0.25">
      <c r="B3687" s="59"/>
      <c r="C3687" s="60"/>
      <c r="D3687" s="60"/>
      <c r="F3687" s="60"/>
      <c r="G3687" s="60"/>
      <c r="H3687" s="62"/>
      <c r="I3687" s="62" t="str">
        <f t="shared" si="57"/>
        <v/>
      </c>
    </row>
    <row r="3688" spans="2:9" x14ac:dyDescent="0.25">
      <c r="B3688" s="59"/>
      <c r="C3688" s="60"/>
      <c r="D3688" s="60"/>
      <c r="F3688" s="60"/>
      <c r="G3688" s="60"/>
      <c r="H3688" s="62"/>
      <c r="I3688" s="62" t="str">
        <f t="shared" si="57"/>
        <v/>
      </c>
    </row>
    <row r="3689" spans="2:9" x14ac:dyDescent="0.25">
      <c r="B3689" s="59"/>
      <c r="C3689" s="60"/>
      <c r="D3689" s="60"/>
      <c r="F3689" s="60"/>
      <c r="G3689" s="60"/>
      <c r="H3689" s="62"/>
      <c r="I3689" s="62" t="str">
        <f t="shared" si="57"/>
        <v/>
      </c>
    </row>
    <row r="3690" spans="2:9" x14ac:dyDescent="0.25">
      <c r="B3690" s="59"/>
      <c r="C3690" s="60"/>
      <c r="D3690" s="60"/>
      <c r="F3690" s="60"/>
      <c r="G3690" s="60"/>
      <c r="H3690" s="62"/>
      <c r="I3690" s="62" t="str">
        <f t="shared" si="57"/>
        <v/>
      </c>
    </row>
    <row r="3691" spans="2:9" x14ac:dyDescent="0.25">
      <c r="B3691" s="59"/>
      <c r="C3691" s="60"/>
      <c r="D3691" s="60"/>
      <c r="F3691" s="60"/>
      <c r="G3691" s="60"/>
      <c r="H3691" s="62"/>
      <c r="I3691" s="62" t="str">
        <f t="shared" si="57"/>
        <v/>
      </c>
    </row>
    <row r="3692" spans="2:9" x14ac:dyDescent="0.25">
      <c r="B3692" s="59"/>
      <c r="C3692" s="60"/>
      <c r="D3692" s="60"/>
      <c r="F3692" s="60"/>
      <c r="G3692" s="60"/>
      <c r="H3692" s="62"/>
      <c r="I3692" s="62" t="str">
        <f t="shared" si="57"/>
        <v/>
      </c>
    </row>
    <row r="3693" spans="2:9" x14ac:dyDescent="0.25">
      <c r="B3693" s="59"/>
      <c r="C3693" s="60"/>
      <c r="D3693" s="60"/>
      <c r="F3693" s="60"/>
      <c r="G3693" s="60"/>
      <c r="H3693" s="62"/>
      <c r="I3693" s="62" t="str">
        <f t="shared" si="57"/>
        <v/>
      </c>
    </row>
    <row r="3694" spans="2:9" x14ac:dyDescent="0.25">
      <c r="B3694" s="59"/>
      <c r="C3694" s="60"/>
      <c r="D3694" s="60"/>
      <c r="F3694" s="60"/>
      <c r="G3694" s="60"/>
      <c r="H3694" s="62"/>
      <c r="I3694" s="62" t="str">
        <f t="shared" si="57"/>
        <v/>
      </c>
    </row>
    <row r="3695" spans="2:9" x14ac:dyDescent="0.25">
      <c r="B3695" s="59"/>
      <c r="C3695" s="60"/>
      <c r="D3695" s="60"/>
      <c r="F3695" s="60"/>
      <c r="G3695" s="60"/>
      <c r="H3695" s="62"/>
      <c r="I3695" s="62" t="str">
        <f t="shared" si="57"/>
        <v/>
      </c>
    </row>
    <row r="3696" spans="2:9" x14ac:dyDescent="0.25">
      <c r="B3696" s="59"/>
      <c r="C3696" s="60"/>
      <c r="D3696" s="60"/>
      <c r="F3696" s="60"/>
      <c r="G3696" s="60"/>
      <c r="H3696" s="62"/>
      <c r="I3696" s="62" t="str">
        <f t="shared" si="57"/>
        <v/>
      </c>
    </row>
    <row r="3697" spans="2:9" x14ac:dyDescent="0.25">
      <c r="B3697" s="59"/>
      <c r="C3697" s="60"/>
      <c r="D3697" s="60"/>
      <c r="F3697" s="60"/>
      <c r="G3697" s="60"/>
      <c r="H3697" s="62"/>
      <c r="I3697" s="62" t="str">
        <f t="shared" si="57"/>
        <v/>
      </c>
    </row>
    <row r="3698" spans="2:9" x14ac:dyDescent="0.25">
      <c r="B3698" s="59"/>
      <c r="C3698" s="60"/>
      <c r="D3698" s="60"/>
      <c r="F3698" s="60"/>
      <c r="G3698" s="60"/>
      <c r="H3698" s="62"/>
      <c r="I3698" s="62" t="str">
        <f t="shared" si="57"/>
        <v/>
      </c>
    </row>
    <row r="3699" spans="2:9" x14ac:dyDescent="0.25">
      <c r="B3699" s="59"/>
      <c r="C3699" s="60"/>
      <c r="D3699" s="60"/>
      <c r="F3699" s="60"/>
      <c r="G3699" s="60"/>
      <c r="H3699" s="62"/>
      <c r="I3699" s="62" t="str">
        <f t="shared" si="57"/>
        <v/>
      </c>
    </row>
    <row r="3700" spans="2:9" x14ac:dyDescent="0.25">
      <c r="B3700" s="59"/>
      <c r="C3700" s="60"/>
      <c r="D3700" s="60"/>
      <c r="F3700" s="60"/>
      <c r="G3700" s="60"/>
      <c r="H3700" s="62"/>
      <c r="I3700" s="62" t="str">
        <f t="shared" si="57"/>
        <v/>
      </c>
    </row>
    <row r="3701" spans="2:9" x14ac:dyDescent="0.25">
      <c r="B3701" s="59"/>
      <c r="C3701" s="60"/>
      <c r="D3701" s="60"/>
      <c r="F3701" s="60"/>
      <c r="G3701" s="60"/>
      <c r="H3701" s="62"/>
      <c r="I3701" s="62" t="str">
        <f t="shared" si="57"/>
        <v/>
      </c>
    </row>
    <row r="3702" spans="2:9" x14ac:dyDescent="0.25">
      <c r="B3702" s="59"/>
      <c r="C3702" s="60"/>
      <c r="D3702" s="60"/>
      <c r="F3702" s="60"/>
      <c r="G3702" s="60"/>
      <c r="H3702" s="62"/>
      <c r="I3702" s="62" t="str">
        <f t="shared" si="57"/>
        <v/>
      </c>
    </row>
    <row r="3703" spans="2:9" x14ac:dyDescent="0.25">
      <c r="B3703" s="59"/>
      <c r="C3703" s="60"/>
      <c r="D3703" s="60"/>
      <c r="F3703" s="60"/>
      <c r="G3703" s="60"/>
      <c r="H3703" s="62"/>
      <c r="I3703" s="62" t="str">
        <f t="shared" si="57"/>
        <v/>
      </c>
    </row>
    <row r="3704" spans="2:9" x14ac:dyDescent="0.25">
      <c r="B3704" s="59"/>
      <c r="C3704" s="60"/>
      <c r="D3704" s="60"/>
      <c r="F3704" s="60"/>
      <c r="G3704" s="60"/>
      <c r="H3704" s="62"/>
      <c r="I3704" s="62" t="str">
        <f t="shared" si="57"/>
        <v/>
      </c>
    </row>
    <row r="3705" spans="2:9" x14ac:dyDescent="0.25">
      <c r="B3705" s="59"/>
      <c r="C3705" s="60"/>
      <c r="D3705" s="60"/>
      <c r="F3705" s="60"/>
      <c r="G3705" s="60"/>
      <c r="H3705" s="62"/>
      <c r="I3705" s="62" t="str">
        <f t="shared" si="57"/>
        <v/>
      </c>
    </row>
    <row r="3706" spans="2:9" x14ac:dyDescent="0.25">
      <c r="B3706" s="59"/>
      <c r="C3706" s="60"/>
      <c r="D3706" s="60"/>
      <c r="F3706" s="60"/>
      <c r="G3706" s="60"/>
      <c r="H3706" s="62"/>
      <c r="I3706" s="62" t="str">
        <f t="shared" si="57"/>
        <v/>
      </c>
    </row>
    <row r="3707" spans="2:9" x14ac:dyDescent="0.25">
      <c r="B3707" s="59"/>
      <c r="C3707" s="60"/>
      <c r="D3707" s="60"/>
      <c r="F3707" s="60"/>
      <c r="G3707" s="60"/>
      <c r="H3707" s="62"/>
      <c r="I3707" s="62" t="str">
        <f t="shared" si="57"/>
        <v/>
      </c>
    </row>
    <row r="3708" spans="2:9" x14ac:dyDescent="0.25">
      <c r="B3708" s="59"/>
      <c r="C3708" s="60"/>
      <c r="D3708" s="60"/>
      <c r="F3708" s="60"/>
      <c r="G3708" s="60"/>
      <c r="H3708" s="62"/>
      <c r="I3708" s="62" t="str">
        <f t="shared" si="57"/>
        <v/>
      </c>
    </row>
    <row r="3709" spans="2:9" x14ac:dyDescent="0.25">
      <c r="B3709" s="59"/>
      <c r="C3709" s="60"/>
      <c r="D3709" s="60"/>
      <c r="F3709" s="60"/>
      <c r="G3709" s="60"/>
      <c r="H3709" s="62"/>
      <c r="I3709" s="62" t="str">
        <f t="shared" si="57"/>
        <v/>
      </c>
    </row>
    <row r="3710" spans="2:9" x14ac:dyDescent="0.25">
      <c r="B3710" s="59"/>
      <c r="C3710" s="60"/>
      <c r="D3710" s="60"/>
      <c r="F3710" s="60"/>
      <c r="G3710" s="60"/>
      <c r="H3710" s="62"/>
      <c r="I3710" s="62" t="str">
        <f t="shared" si="57"/>
        <v/>
      </c>
    </row>
    <row r="3711" spans="2:9" x14ac:dyDescent="0.25">
      <c r="B3711" s="59"/>
      <c r="C3711" s="60"/>
      <c r="D3711" s="60"/>
      <c r="F3711" s="60"/>
      <c r="G3711" s="60"/>
      <c r="H3711" s="62"/>
      <c r="I3711" s="62" t="str">
        <f t="shared" si="57"/>
        <v/>
      </c>
    </row>
    <row r="3712" spans="2:9" x14ac:dyDescent="0.25">
      <c r="B3712" s="59"/>
      <c r="C3712" s="60"/>
      <c r="D3712" s="60"/>
      <c r="F3712" s="60"/>
      <c r="G3712" s="60"/>
      <c r="H3712" s="62"/>
      <c r="I3712" s="62" t="str">
        <f t="shared" si="57"/>
        <v/>
      </c>
    </row>
    <row r="3713" spans="2:9" x14ac:dyDescent="0.25">
      <c r="B3713" s="59"/>
      <c r="C3713" s="60"/>
      <c r="D3713" s="60"/>
      <c r="F3713" s="60"/>
      <c r="G3713" s="60"/>
      <c r="H3713" s="62"/>
      <c r="I3713" s="62" t="str">
        <f t="shared" si="57"/>
        <v/>
      </c>
    </row>
    <row r="3714" spans="2:9" x14ac:dyDescent="0.25">
      <c r="B3714" s="59"/>
      <c r="C3714" s="60"/>
      <c r="D3714" s="60"/>
      <c r="F3714" s="60"/>
      <c r="G3714" s="60"/>
      <c r="H3714" s="62"/>
      <c r="I3714" s="62" t="str">
        <f t="shared" si="57"/>
        <v/>
      </c>
    </row>
    <row r="3715" spans="2:9" x14ac:dyDescent="0.25">
      <c r="B3715" s="59"/>
      <c r="C3715" s="60"/>
      <c r="D3715" s="60"/>
      <c r="F3715" s="60"/>
      <c r="G3715" s="60"/>
      <c r="H3715" s="62"/>
      <c r="I3715" s="62" t="str">
        <f t="shared" si="57"/>
        <v/>
      </c>
    </row>
    <row r="3716" spans="2:9" x14ac:dyDescent="0.25">
      <c r="B3716" s="59"/>
      <c r="C3716" s="60"/>
      <c r="D3716" s="60"/>
      <c r="F3716" s="60"/>
      <c r="G3716" s="60"/>
      <c r="H3716" s="62"/>
      <c r="I3716" s="62" t="str">
        <f t="shared" si="57"/>
        <v/>
      </c>
    </row>
    <row r="3717" spans="2:9" x14ac:dyDescent="0.25">
      <c r="B3717" s="59"/>
      <c r="C3717" s="60"/>
      <c r="D3717" s="60"/>
      <c r="F3717" s="60"/>
      <c r="G3717" s="60"/>
      <c r="H3717" s="62"/>
      <c r="I3717" s="62" t="str">
        <f t="shared" ref="I3717:I3780" si="58">IF(H3717&lt;&gt;"",H3717-H3716,"")</f>
        <v/>
      </c>
    </row>
    <row r="3718" spans="2:9" x14ac:dyDescent="0.25">
      <c r="B3718" s="59"/>
      <c r="C3718" s="60"/>
      <c r="D3718" s="60"/>
      <c r="F3718" s="60"/>
      <c r="G3718" s="60"/>
      <c r="H3718" s="62"/>
      <c r="I3718" s="62" t="str">
        <f t="shared" si="58"/>
        <v/>
      </c>
    </row>
    <row r="3719" spans="2:9" x14ac:dyDescent="0.25">
      <c r="B3719" s="59"/>
      <c r="C3719" s="60"/>
      <c r="D3719" s="60"/>
      <c r="F3719" s="60"/>
      <c r="G3719" s="60"/>
      <c r="H3719" s="62"/>
      <c r="I3719" s="62" t="str">
        <f t="shared" si="58"/>
        <v/>
      </c>
    </row>
    <row r="3720" spans="2:9" x14ac:dyDescent="0.25">
      <c r="B3720" s="59"/>
      <c r="C3720" s="60"/>
      <c r="D3720" s="60"/>
      <c r="F3720" s="60"/>
      <c r="G3720" s="60"/>
      <c r="H3720" s="62"/>
      <c r="I3720" s="62" t="str">
        <f t="shared" si="58"/>
        <v/>
      </c>
    </row>
    <row r="3721" spans="2:9" x14ac:dyDescent="0.25">
      <c r="B3721" s="59"/>
      <c r="C3721" s="60"/>
      <c r="D3721" s="60"/>
      <c r="F3721" s="60"/>
      <c r="G3721" s="60"/>
      <c r="H3721" s="62"/>
      <c r="I3721" s="62" t="str">
        <f t="shared" si="58"/>
        <v/>
      </c>
    </row>
    <row r="3722" spans="2:9" x14ac:dyDescent="0.25">
      <c r="B3722" s="59"/>
      <c r="C3722" s="60"/>
      <c r="D3722" s="60"/>
      <c r="F3722" s="60"/>
      <c r="G3722" s="60"/>
      <c r="H3722" s="62"/>
      <c r="I3722" s="62" t="str">
        <f t="shared" si="58"/>
        <v/>
      </c>
    </row>
    <row r="3723" spans="2:9" x14ac:dyDescent="0.25">
      <c r="B3723" s="59"/>
      <c r="C3723" s="60"/>
      <c r="D3723" s="60"/>
      <c r="F3723" s="60"/>
      <c r="G3723" s="60"/>
      <c r="H3723" s="62"/>
      <c r="I3723" s="62" t="str">
        <f t="shared" si="58"/>
        <v/>
      </c>
    </row>
    <row r="3724" spans="2:9" x14ac:dyDescent="0.25">
      <c r="B3724" s="59"/>
      <c r="C3724" s="60"/>
      <c r="D3724" s="60"/>
      <c r="F3724" s="60"/>
      <c r="G3724" s="60"/>
      <c r="H3724" s="62"/>
      <c r="I3724" s="62" t="str">
        <f t="shared" si="58"/>
        <v/>
      </c>
    </row>
    <row r="3725" spans="2:9" x14ac:dyDescent="0.25">
      <c r="B3725" s="59"/>
      <c r="C3725" s="60"/>
      <c r="D3725" s="60"/>
      <c r="F3725" s="60"/>
      <c r="G3725" s="60"/>
      <c r="H3725" s="62"/>
      <c r="I3725" s="62" t="str">
        <f t="shared" si="58"/>
        <v/>
      </c>
    </row>
    <row r="3726" spans="2:9" x14ac:dyDescent="0.25">
      <c r="B3726" s="59"/>
      <c r="C3726" s="60"/>
      <c r="D3726" s="60"/>
      <c r="F3726" s="60"/>
      <c r="G3726" s="60"/>
      <c r="H3726" s="62"/>
      <c r="I3726" s="62" t="str">
        <f t="shared" si="58"/>
        <v/>
      </c>
    </row>
    <row r="3727" spans="2:9" x14ac:dyDescent="0.25">
      <c r="B3727" s="59"/>
      <c r="C3727" s="60"/>
      <c r="D3727" s="60"/>
      <c r="F3727" s="60"/>
      <c r="G3727" s="60"/>
      <c r="H3727" s="62"/>
      <c r="I3727" s="62" t="str">
        <f t="shared" si="58"/>
        <v/>
      </c>
    </row>
    <row r="3728" spans="2:9" x14ac:dyDescent="0.25">
      <c r="B3728" s="59"/>
      <c r="C3728" s="60"/>
      <c r="D3728" s="60"/>
      <c r="F3728" s="60"/>
      <c r="G3728" s="60"/>
      <c r="H3728" s="62"/>
      <c r="I3728" s="62" t="str">
        <f t="shared" si="58"/>
        <v/>
      </c>
    </row>
    <row r="3729" spans="2:9" x14ac:dyDescent="0.25">
      <c r="B3729" s="59"/>
      <c r="C3729" s="60"/>
      <c r="D3729" s="60"/>
      <c r="F3729" s="60"/>
      <c r="G3729" s="60"/>
      <c r="H3729" s="62"/>
      <c r="I3729" s="62" t="str">
        <f t="shared" si="58"/>
        <v/>
      </c>
    </row>
    <row r="3730" spans="2:9" x14ac:dyDescent="0.25">
      <c r="B3730" s="59"/>
      <c r="C3730" s="60"/>
      <c r="D3730" s="60"/>
      <c r="F3730" s="60"/>
      <c r="G3730" s="60"/>
      <c r="H3730" s="62"/>
      <c r="I3730" s="62" t="str">
        <f t="shared" si="58"/>
        <v/>
      </c>
    </row>
    <row r="3731" spans="2:9" x14ac:dyDescent="0.25">
      <c r="B3731" s="59"/>
      <c r="C3731" s="60"/>
      <c r="D3731" s="60"/>
      <c r="F3731" s="60"/>
      <c r="G3731" s="60"/>
      <c r="H3731" s="62"/>
      <c r="I3731" s="62" t="str">
        <f t="shared" si="58"/>
        <v/>
      </c>
    </row>
    <row r="3732" spans="2:9" x14ac:dyDescent="0.25">
      <c r="B3732" s="59"/>
      <c r="C3732" s="60"/>
      <c r="D3732" s="60"/>
      <c r="F3732" s="60"/>
      <c r="G3732" s="60"/>
      <c r="H3732" s="62"/>
      <c r="I3732" s="62" t="str">
        <f t="shared" si="58"/>
        <v/>
      </c>
    </row>
    <row r="3733" spans="2:9" x14ac:dyDescent="0.25">
      <c r="B3733" s="59"/>
      <c r="C3733" s="60"/>
      <c r="D3733" s="60"/>
      <c r="F3733" s="60"/>
      <c r="G3733" s="60"/>
      <c r="H3733" s="62"/>
      <c r="I3733" s="62" t="str">
        <f t="shared" si="58"/>
        <v/>
      </c>
    </row>
    <row r="3734" spans="2:9" x14ac:dyDescent="0.25">
      <c r="B3734" s="59"/>
      <c r="C3734" s="60"/>
      <c r="D3734" s="60"/>
      <c r="F3734" s="60"/>
      <c r="G3734" s="60"/>
      <c r="H3734" s="62"/>
      <c r="I3734" s="62" t="str">
        <f t="shared" si="58"/>
        <v/>
      </c>
    </row>
    <row r="3735" spans="2:9" x14ac:dyDescent="0.25">
      <c r="B3735" s="59"/>
      <c r="C3735" s="60"/>
      <c r="D3735" s="60"/>
      <c r="F3735" s="60"/>
      <c r="G3735" s="60"/>
      <c r="H3735" s="62"/>
      <c r="I3735" s="62" t="str">
        <f t="shared" si="58"/>
        <v/>
      </c>
    </row>
    <row r="3736" spans="2:9" x14ac:dyDescent="0.25">
      <c r="B3736" s="59"/>
      <c r="C3736" s="60"/>
      <c r="D3736" s="60"/>
      <c r="F3736" s="60"/>
      <c r="G3736" s="60"/>
      <c r="H3736" s="62"/>
      <c r="I3736" s="62" t="str">
        <f t="shared" si="58"/>
        <v/>
      </c>
    </row>
    <row r="3737" spans="2:9" x14ac:dyDescent="0.25">
      <c r="B3737" s="59"/>
      <c r="C3737" s="60"/>
      <c r="D3737" s="60"/>
      <c r="F3737" s="60"/>
      <c r="G3737" s="60"/>
      <c r="H3737" s="62"/>
      <c r="I3737" s="62" t="str">
        <f t="shared" si="58"/>
        <v/>
      </c>
    </row>
    <row r="3738" spans="2:9" x14ac:dyDescent="0.25">
      <c r="B3738" s="59"/>
      <c r="C3738" s="60"/>
      <c r="D3738" s="60"/>
      <c r="F3738" s="60"/>
      <c r="G3738" s="60"/>
      <c r="H3738" s="62"/>
      <c r="I3738" s="62" t="str">
        <f t="shared" si="58"/>
        <v/>
      </c>
    </row>
    <row r="3739" spans="2:9" x14ac:dyDescent="0.25">
      <c r="B3739" s="59"/>
      <c r="C3739" s="60"/>
      <c r="D3739" s="60"/>
      <c r="F3739" s="60"/>
      <c r="G3739" s="60"/>
      <c r="H3739" s="62"/>
      <c r="I3739" s="62" t="str">
        <f t="shared" si="58"/>
        <v/>
      </c>
    </row>
    <row r="3740" spans="2:9" x14ac:dyDescent="0.25">
      <c r="B3740" s="59"/>
      <c r="C3740" s="60"/>
      <c r="D3740" s="60"/>
      <c r="F3740" s="60"/>
      <c r="G3740" s="60"/>
      <c r="H3740" s="62"/>
      <c r="I3740" s="62" t="str">
        <f t="shared" si="58"/>
        <v/>
      </c>
    </row>
    <row r="3741" spans="2:9" x14ac:dyDescent="0.25">
      <c r="B3741" s="59"/>
      <c r="C3741" s="60"/>
      <c r="D3741" s="60"/>
      <c r="F3741" s="60"/>
      <c r="G3741" s="60"/>
      <c r="H3741" s="62"/>
      <c r="I3741" s="62" t="str">
        <f t="shared" si="58"/>
        <v/>
      </c>
    </row>
    <row r="3742" spans="2:9" x14ac:dyDescent="0.25">
      <c r="B3742" s="59"/>
      <c r="C3742" s="60"/>
      <c r="D3742" s="60"/>
      <c r="F3742" s="60"/>
      <c r="G3742" s="60"/>
      <c r="H3742" s="62"/>
      <c r="I3742" s="62" t="str">
        <f t="shared" si="58"/>
        <v/>
      </c>
    </row>
    <row r="3743" spans="2:9" x14ac:dyDescent="0.25">
      <c r="B3743" s="59"/>
      <c r="C3743" s="60"/>
      <c r="D3743" s="60"/>
      <c r="F3743" s="60"/>
      <c r="G3743" s="60"/>
      <c r="H3743" s="62"/>
      <c r="I3743" s="62" t="str">
        <f t="shared" si="58"/>
        <v/>
      </c>
    </row>
    <row r="3744" spans="2:9" x14ac:dyDescent="0.25">
      <c r="B3744" s="59"/>
      <c r="C3744" s="60"/>
      <c r="D3744" s="60"/>
      <c r="F3744" s="60"/>
      <c r="G3744" s="60"/>
      <c r="H3744" s="62"/>
      <c r="I3744" s="62" t="str">
        <f t="shared" si="58"/>
        <v/>
      </c>
    </row>
    <row r="3745" spans="2:9" x14ac:dyDescent="0.25">
      <c r="B3745" s="59"/>
      <c r="C3745" s="60"/>
      <c r="D3745" s="60"/>
      <c r="F3745" s="60"/>
      <c r="G3745" s="60"/>
      <c r="H3745" s="62"/>
      <c r="I3745" s="62" t="str">
        <f t="shared" si="58"/>
        <v/>
      </c>
    </row>
    <row r="3746" spans="2:9" x14ac:dyDescent="0.25">
      <c r="B3746" s="59"/>
      <c r="C3746" s="60"/>
      <c r="D3746" s="60"/>
      <c r="F3746" s="60"/>
      <c r="G3746" s="60"/>
      <c r="H3746" s="62"/>
      <c r="I3746" s="62" t="str">
        <f t="shared" si="58"/>
        <v/>
      </c>
    </row>
    <row r="3747" spans="2:9" x14ac:dyDescent="0.25">
      <c r="B3747" s="59"/>
      <c r="C3747" s="60"/>
      <c r="D3747" s="60"/>
      <c r="F3747" s="60"/>
      <c r="G3747" s="60"/>
      <c r="H3747" s="62"/>
      <c r="I3747" s="62" t="str">
        <f t="shared" si="58"/>
        <v/>
      </c>
    </row>
    <row r="3748" spans="2:9" x14ac:dyDescent="0.25">
      <c r="B3748" s="59"/>
      <c r="C3748" s="60"/>
      <c r="D3748" s="60"/>
      <c r="F3748" s="60"/>
      <c r="G3748" s="60"/>
      <c r="H3748" s="62"/>
      <c r="I3748" s="62" t="str">
        <f t="shared" si="58"/>
        <v/>
      </c>
    </row>
    <row r="3749" spans="2:9" x14ac:dyDescent="0.25">
      <c r="B3749" s="59"/>
      <c r="C3749" s="60"/>
      <c r="D3749" s="60"/>
      <c r="F3749" s="60"/>
      <c r="G3749" s="60"/>
      <c r="H3749" s="62"/>
      <c r="I3749" s="62" t="str">
        <f t="shared" si="58"/>
        <v/>
      </c>
    </row>
    <row r="3750" spans="2:9" x14ac:dyDescent="0.25">
      <c r="B3750" s="59"/>
      <c r="C3750" s="60"/>
      <c r="D3750" s="60"/>
      <c r="F3750" s="60"/>
      <c r="G3750" s="60"/>
      <c r="H3750" s="62"/>
      <c r="I3750" s="62" t="str">
        <f t="shared" si="58"/>
        <v/>
      </c>
    </row>
    <row r="3751" spans="2:9" x14ac:dyDescent="0.25">
      <c r="B3751" s="59"/>
      <c r="C3751" s="60"/>
      <c r="D3751" s="60"/>
      <c r="F3751" s="60"/>
      <c r="G3751" s="60"/>
      <c r="H3751" s="62"/>
      <c r="I3751" s="62" t="str">
        <f t="shared" si="58"/>
        <v/>
      </c>
    </row>
    <row r="3752" spans="2:9" x14ac:dyDescent="0.25">
      <c r="B3752" s="59"/>
      <c r="C3752" s="60"/>
      <c r="D3752" s="60"/>
      <c r="F3752" s="60"/>
      <c r="G3752" s="60"/>
      <c r="H3752" s="62"/>
      <c r="I3752" s="62" t="str">
        <f t="shared" si="58"/>
        <v/>
      </c>
    </row>
    <row r="3753" spans="2:9" x14ac:dyDescent="0.25">
      <c r="B3753" s="59"/>
      <c r="C3753" s="60"/>
      <c r="D3753" s="60"/>
      <c r="F3753" s="60"/>
      <c r="G3753" s="60"/>
      <c r="H3753" s="62"/>
      <c r="I3753" s="62" t="str">
        <f t="shared" si="58"/>
        <v/>
      </c>
    </row>
    <row r="3754" spans="2:9" x14ac:dyDescent="0.25">
      <c r="B3754" s="59"/>
      <c r="C3754" s="60"/>
      <c r="D3754" s="60"/>
      <c r="F3754" s="60"/>
      <c r="G3754" s="60"/>
      <c r="H3754" s="62"/>
      <c r="I3754" s="62" t="str">
        <f t="shared" si="58"/>
        <v/>
      </c>
    </row>
    <row r="3755" spans="2:9" x14ac:dyDescent="0.25">
      <c r="B3755" s="59"/>
      <c r="C3755" s="60"/>
      <c r="D3755" s="60"/>
      <c r="F3755" s="60"/>
      <c r="G3755" s="60"/>
      <c r="H3755" s="62"/>
      <c r="I3755" s="62" t="str">
        <f t="shared" si="58"/>
        <v/>
      </c>
    </row>
    <row r="3756" spans="2:9" x14ac:dyDescent="0.25">
      <c r="B3756" s="59"/>
      <c r="C3756" s="60"/>
      <c r="D3756" s="60"/>
      <c r="F3756" s="60"/>
      <c r="G3756" s="60"/>
      <c r="H3756" s="62"/>
      <c r="I3756" s="62" t="str">
        <f t="shared" si="58"/>
        <v/>
      </c>
    </row>
    <row r="3757" spans="2:9" x14ac:dyDescent="0.25">
      <c r="B3757" s="59"/>
      <c r="C3757" s="60"/>
      <c r="D3757" s="60"/>
      <c r="F3757" s="60"/>
      <c r="G3757" s="60"/>
      <c r="H3757" s="62"/>
      <c r="I3757" s="62" t="str">
        <f t="shared" si="58"/>
        <v/>
      </c>
    </row>
    <row r="3758" spans="2:9" x14ac:dyDescent="0.25">
      <c r="B3758" s="59"/>
      <c r="C3758" s="60"/>
      <c r="D3758" s="60"/>
      <c r="F3758" s="60"/>
      <c r="G3758" s="60"/>
      <c r="H3758" s="62"/>
      <c r="I3758" s="62" t="str">
        <f t="shared" si="58"/>
        <v/>
      </c>
    </row>
    <row r="3759" spans="2:9" x14ac:dyDescent="0.25">
      <c r="B3759" s="59"/>
      <c r="C3759" s="60"/>
      <c r="D3759" s="60"/>
      <c r="F3759" s="60"/>
      <c r="G3759" s="60"/>
      <c r="H3759" s="62"/>
      <c r="I3759" s="62" t="str">
        <f t="shared" si="58"/>
        <v/>
      </c>
    </row>
    <row r="3760" spans="2:9" x14ac:dyDescent="0.25">
      <c r="B3760" s="59"/>
      <c r="C3760" s="60"/>
      <c r="D3760" s="60"/>
      <c r="F3760" s="60"/>
      <c r="G3760" s="60"/>
      <c r="H3760" s="62"/>
      <c r="I3760" s="62" t="str">
        <f t="shared" si="58"/>
        <v/>
      </c>
    </row>
    <row r="3761" spans="2:9" x14ac:dyDescent="0.25">
      <c r="B3761" s="59"/>
      <c r="C3761" s="60"/>
      <c r="D3761" s="60"/>
      <c r="F3761" s="60"/>
      <c r="G3761" s="60"/>
      <c r="H3761" s="62"/>
      <c r="I3761" s="62" t="str">
        <f t="shared" si="58"/>
        <v/>
      </c>
    </row>
    <row r="3762" spans="2:9" x14ac:dyDescent="0.25">
      <c r="B3762" s="59"/>
      <c r="C3762" s="60"/>
      <c r="D3762" s="60"/>
      <c r="F3762" s="60"/>
      <c r="G3762" s="60"/>
      <c r="H3762" s="62"/>
      <c r="I3762" s="62" t="str">
        <f t="shared" si="58"/>
        <v/>
      </c>
    </row>
    <row r="3763" spans="2:9" x14ac:dyDescent="0.25">
      <c r="B3763" s="59"/>
      <c r="C3763" s="60"/>
      <c r="D3763" s="60"/>
      <c r="F3763" s="60"/>
      <c r="G3763" s="60"/>
      <c r="H3763" s="62"/>
      <c r="I3763" s="62" t="str">
        <f t="shared" si="58"/>
        <v/>
      </c>
    </row>
    <row r="3764" spans="2:9" x14ac:dyDescent="0.25">
      <c r="B3764" s="59"/>
      <c r="C3764" s="60"/>
      <c r="D3764" s="60"/>
      <c r="F3764" s="60"/>
      <c r="G3764" s="60"/>
      <c r="H3764" s="62"/>
      <c r="I3764" s="62" t="str">
        <f t="shared" si="58"/>
        <v/>
      </c>
    </row>
    <row r="3765" spans="2:9" x14ac:dyDescent="0.25">
      <c r="B3765" s="59"/>
      <c r="C3765" s="60"/>
      <c r="D3765" s="60"/>
      <c r="F3765" s="60"/>
      <c r="G3765" s="60"/>
      <c r="H3765" s="62"/>
      <c r="I3765" s="62" t="str">
        <f t="shared" si="58"/>
        <v/>
      </c>
    </row>
    <row r="3766" spans="2:9" x14ac:dyDescent="0.25">
      <c r="B3766" s="59"/>
      <c r="C3766" s="60"/>
      <c r="D3766" s="60"/>
      <c r="F3766" s="60"/>
      <c r="G3766" s="60"/>
      <c r="H3766" s="62"/>
      <c r="I3766" s="62" t="str">
        <f t="shared" si="58"/>
        <v/>
      </c>
    </row>
    <row r="3767" spans="2:9" x14ac:dyDescent="0.25">
      <c r="B3767" s="59"/>
      <c r="C3767" s="60"/>
      <c r="D3767" s="60"/>
      <c r="F3767" s="60"/>
      <c r="G3767" s="60"/>
      <c r="H3767" s="62"/>
      <c r="I3767" s="62" t="str">
        <f t="shared" si="58"/>
        <v/>
      </c>
    </row>
    <row r="3768" spans="2:9" x14ac:dyDescent="0.25">
      <c r="B3768" s="59"/>
      <c r="C3768" s="60"/>
      <c r="D3768" s="60"/>
      <c r="F3768" s="60"/>
      <c r="G3768" s="60"/>
      <c r="H3768" s="62"/>
      <c r="I3768" s="62" t="str">
        <f t="shared" si="58"/>
        <v/>
      </c>
    </row>
    <row r="3769" spans="2:9" x14ac:dyDescent="0.25">
      <c r="B3769" s="59"/>
      <c r="C3769" s="60"/>
      <c r="D3769" s="60"/>
      <c r="F3769" s="60"/>
      <c r="G3769" s="60"/>
      <c r="H3769" s="62"/>
      <c r="I3769" s="62" t="str">
        <f t="shared" si="58"/>
        <v/>
      </c>
    </row>
    <row r="3770" spans="2:9" x14ac:dyDescent="0.25">
      <c r="B3770" s="59"/>
      <c r="C3770" s="60"/>
      <c r="D3770" s="60"/>
      <c r="F3770" s="60"/>
      <c r="G3770" s="60"/>
      <c r="H3770" s="62"/>
      <c r="I3770" s="62" t="str">
        <f t="shared" si="58"/>
        <v/>
      </c>
    </row>
    <row r="3771" spans="2:9" x14ac:dyDescent="0.25">
      <c r="B3771" s="59"/>
      <c r="C3771" s="60"/>
      <c r="D3771" s="60"/>
      <c r="F3771" s="60"/>
      <c r="G3771" s="60"/>
      <c r="H3771" s="62"/>
      <c r="I3771" s="62" t="str">
        <f t="shared" si="58"/>
        <v/>
      </c>
    </row>
    <row r="3772" spans="2:9" x14ac:dyDescent="0.25">
      <c r="B3772" s="59"/>
      <c r="C3772" s="60"/>
      <c r="D3772" s="60"/>
      <c r="F3772" s="60"/>
      <c r="G3772" s="60"/>
      <c r="H3772" s="62"/>
      <c r="I3772" s="62" t="str">
        <f t="shared" si="58"/>
        <v/>
      </c>
    </row>
    <row r="3773" spans="2:9" x14ac:dyDescent="0.25">
      <c r="B3773" s="59"/>
      <c r="C3773" s="60"/>
      <c r="D3773" s="60"/>
      <c r="F3773" s="60"/>
      <c r="G3773" s="60"/>
      <c r="H3773" s="62"/>
      <c r="I3773" s="62" t="str">
        <f t="shared" si="58"/>
        <v/>
      </c>
    </row>
    <row r="3774" spans="2:9" x14ac:dyDescent="0.25">
      <c r="B3774" s="59"/>
      <c r="C3774" s="60"/>
      <c r="D3774" s="60"/>
      <c r="F3774" s="60"/>
      <c r="G3774" s="60"/>
      <c r="H3774" s="62"/>
      <c r="I3774" s="62" t="str">
        <f t="shared" si="58"/>
        <v/>
      </c>
    </row>
    <row r="3775" spans="2:9" x14ac:dyDescent="0.25">
      <c r="B3775" s="59"/>
      <c r="C3775" s="60"/>
      <c r="D3775" s="60"/>
      <c r="F3775" s="60"/>
      <c r="G3775" s="60"/>
      <c r="H3775" s="62"/>
      <c r="I3775" s="62" t="str">
        <f t="shared" si="58"/>
        <v/>
      </c>
    </row>
    <row r="3776" spans="2:9" x14ac:dyDescent="0.25">
      <c r="B3776" s="59"/>
      <c r="C3776" s="60"/>
      <c r="D3776" s="60"/>
      <c r="F3776" s="60"/>
      <c r="G3776" s="60"/>
      <c r="H3776" s="62"/>
      <c r="I3776" s="62" t="str">
        <f t="shared" si="58"/>
        <v/>
      </c>
    </row>
    <row r="3777" spans="2:9" x14ac:dyDescent="0.25">
      <c r="B3777" s="59"/>
      <c r="C3777" s="60"/>
      <c r="D3777" s="60"/>
      <c r="F3777" s="60"/>
      <c r="G3777" s="60"/>
      <c r="H3777" s="62"/>
      <c r="I3777" s="62" t="str">
        <f t="shared" si="58"/>
        <v/>
      </c>
    </row>
    <row r="3778" spans="2:9" x14ac:dyDescent="0.25">
      <c r="B3778" s="59"/>
      <c r="C3778" s="60"/>
      <c r="D3778" s="60"/>
      <c r="F3778" s="60"/>
      <c r="G3778" s="60"/>
      <c r="H3778" s="62"/>
      <c r="I3778" s="62" t="str">
        <f t="shared" si="58"/>
        <v/>
      </c>
    </row>
    <row r="3779" spans="2:9" x14ac:dyDescent="0.25">
      <c r="B3779" s="59"/>
      <c r="C3779" s="60"/>
      <c r="D3779" s="60"/>
      <c r="F3779" s="60"/>
      <c r="G3779" s="60"/>
      <c r="H3779" s="62"/>
      <c r="I3779" s="62" t="str">
        <f t="shared" si="58"/>
        <v/>
      </c>
    </row>
    <row r="3780" spans="2:9" x14ac:dyDescent="0.25">
      <c r="B3780" s="59"/>
      <c r="C3780" s="60"/>
      <c r="D3780" s="60"/>
      <c r="F3780" s="60"/>
      <c r="G3780" s="60"/>
      <c r="H3780" s="62"/>
      <c r="I3780" s="62" t="str">
        <f t="shared" si="58"/>
        <v/>
      </c>
    </row>
    <row r="3781" spans="2:9" x14ac:dyDescent="0.25">
      <c r="B3781" s="59"/>
      <c r="C3781" s="60"/>
      <c r="D3781" s="60"/>
      <c r="F3781" s="60"/>
      <c r="G3781" s="60"/>
      <c r="H3781" s="62"/>
      <c r="I3781" s="62" t="str">
        <f t="shared" ref="I3781:I3844" si="59">IF(H3781&lt;&gt;"",H3781-H3780,"")</f>
        <v/>
      </c>
    </row>
    <row r="3782" spans="2:9" x14ac:dyDescent="0.25">
      <c r="B3782" s="59"/>
      <c r="C3782" s="60"/>
      <c r="D3782" s="60"/>
      <c r="F3782" s="60"/>
      <c r="G3782" s="60"/>
      <c r="H3782" s="62"/>
      <c r="I3782" s="62" t="str">
        <f t="shared" si="59"/>
        <v/>
      </c>
    </row>
    <row r="3783" spans="2:9" x14ac:dyDescent="0.25">
      <c r="B3783" s="59"/>
      <c r="C3783" s="60"/>
      <c r="D3783" s="60"/>
      <c r="F3783" s="60"/>
      <c r="G3783" s="60"/>
      <c r="H3783" s="62"/>
      <c r="I3783" s="62" t="str">
        <f t="shared" si="59"/>
        <v/>
      </c>
    </row>
    <row r="3784" spans="2:9" x14ac:dyDescent="0.25">
      <c r="B3784" s="59"/>
      <c r="C3784" s="60"/>
      <c r="D3784" s="60"/>
      <c r="F3784" s="60"/>
      <c r="G3784" s="60"/>
      <c r="H3784" s="62"/>
      <c r="I3784" s="62" t="str">
        <f t="shared" si="59"/>
        <v/>
      </c>
    </row>
    <row r="3785" spans="2:9" x14ac:dyDescent="0.25">
      <c r="B3785" s="59"/>
      <c r="C3785" s="60"/>
      <c r="D3785" s="60"/>
      <c r="F3785" s="60"/>
      <c r="G3785" s="60"/>
      <c r="H3785" s="62"/>
      <c r="I3785" s="62" t="str">
        <f t="shared" si="59"/>
        <v/>
      </c>
    </row>
    <row r="3786" spans="2:9" x14ac:dyDescent="0.25">
      <c r="B3786" s="59"/>
      <c r="C3786" s="60"/>
      <c r="D3786" s="60"/>
      <c r="F3786" s="60"/>
      <c r="G3786" s="60"/>
      <c r="H3786" s="62"/>
      <c r="I3786" s="62" t="str">
        <f t="shared" si="59"/>
        <v/>
      </c>
    </row>
    <row r="3787" spans="2:9" x14ac:dyDescent="0.25">
      <c r="B3787" s="59"/>
      <c r="C3787" s="60"/>
      <c r="D3787" s="60"/>
      <c r="F3787" s="60"/>
      <c r="G3787" s="60"/>
      <c r="H3787" s="62"/>
      <c r="I3787" s="62" t="str">
        <f t="shared" si="59"/>
        <v/>
      </c>
    </row>
    <row r="3788" spans="2:9" x14ac:dyDescent="0.25">
      <c r="B3788" s="59"/>
      <c r="C3788" s="60"/>
      <c r="D3788" s="60"/>
      <c r="F3788" s="60"/>
      <c r="G3788" s="60"/>
      <c r="H3788" s="62"/>
      <c r="I3788" s="62" t="str">
        <f t="shared" si="59"/>
        <v/>
      </c>
    </row>
    <row r="3789" spans="2:9" x14ac:dyDescent="0.25">
      <c r="B3789" s="59"/>
      <c r="C3789" s="60"/>
      <c r="D3789" s="60"/>
      <c r="F3789" s="60"/>
      <c r="G3789" s="60"/>
      <c r="H3789" s="62"/>
      <c r="I3789" s="62" t="str">
        <f t="shared" si="59"/>
        <v/>
      </c>
    </row>
    <row r="3790" spans="2:9" x14ac:dyDescent="0.25">
      <c r="B3790" s="59"/>
      <c r="C3790" s="60"/>
      <c r="D3790" s="60"/>
      <c r="F3790" s="60"/>
      <c r="G3790" s="60"/>
      <c r="H3790" s="62"/>
      <c r="I3790" s="62" t="str">
        <f t="shared" si="59"/>
        <v/>
      </c>
    </row>
    <row r="3791" spans="2:9" x14ac:dyDescent="0.25">
      <c r="B3791" s="59"/>
      <c r="C3791" s="60"/>
      <c r="D3791" s="60"/>
      <c r="F3791" s="60"/>
      <c r="G3791" s="60"/>
      <c r="H3791" s="62"/>
      <c r="I3791" s="62" t="str">
        <f t="shared" si="59"/>
        <v/>
      </c>
    </row>
    <row r="3792" spans="2:9" x14ac:dyDescent="0.25">
      <c r="B3792" s="59"/>
      <c r="C3792" s="60"/>
      <c r="D3792" s="60"/>
      <c r="F3792" s="60"/>
      <c r="G3792" s="60"/>
      <c r="H3792" s="62"/>
      <c r="I3792" s="62" t="str">
        <f t="shared" si="59"/>
        <v/>
      </c>
    </row>
    <row r="3793" spans="2:9" x14ac:dyDescent="0.25">
      <c r="B3793" s="59"/>
      <c r="C3793" s="60"/>
      <c r="D3793" s="60"/>
      <c r="F3793" s="60"/>
      <c r="G3793" s="60"/>
      <c r="H3793" s="62"/>
      <c r="I3793" s="62" t="str">
        <f t="shared" si="59"/>
        <v/>
      </c>
    </row>
    <row r="3794" spans="2:9" x14ac:dyDescent="0.25">
      <c r="B3794" s="59"/>
      <c r="C3794" s="60"/>
      <c r="D3794" s="60"/>
      <c r="F3794" s="60"/>
      <c r="G3794" s="60"/>
      <c r="H3794" s="62"/>
      <c r="I3794" s="62" t="str">
        <f t="shared" si="59"/>
        <v/>
      </c>
    </row>
    <row r="3795" spans="2:9" x14ac:dyDescent="0.25">
      <c r="B3795" s="59"/>
      <c r="C3795" s="60"/>
      <c r="D3795" s="60"/>
      <c r="F3795" s="60"/>
      <c r="G3795" s="60"/>
      <c r="H3795" s="62"/>
      <c r="I3795" s="62" t="str">
        <f t="shared" si="59"/>
        <v/>
      </c>
    </row>
    <row r="3796" spans="2:9" x14ac:dyDescent="0.25">
      <c r="B3796" s="59"/>
      <c r="C3796" s="60"/>
      <c r="D3796" s="60"/>
      <c r="F3796" s="60"/>
      <c r="G3796" s="60"/>
      <c r="H3796" s="62"/>
      <c r="I3796" s="62" t="str">
        <f t="shared" si="59"/>
        <v/>
      </c>
    </row>
    <row r="3797" spans="2:9" x14ac:dyDescent="0.25">
      <c r="B3797" s="59"/>
      <c r="C3797" s="60"/>
      <c r="D3797" s="60"/>
      <c r="F3797" s="60"/>
      <c r="G3797" s="60"/>
      <c r="H3797" s="62"/>
      <c r="I3797" s="62" t="str">
        <f t="shared" si="59"/>
        <v/>
      </c>
    </row>
    <row r="3798" spans="2:9" x14ac:dyDescent="0.25">
      <c r="B3798" s="59"/>
      <c r="C3798" s="60"/>
      <c r="D3798" s="60"/>
      <c r="F3798" s="60"/>
      <c r="G3798" s="60"/>
      <c r="H3798" s="62"/>
      <c r="I3798" s="62" t="str">
        <f t="shared" si="59"/>
        <v/>
      </c>
    </row>
    <row r="3799" spans="2:9" x14ac:dyDescent="0.25">
      <c r="B3799" s="59"/>
      <c r="C3799" s="60"/>
      <c r="D3799" s="60"/>
      <c r="F3799" s="60"/>
      <c r="G3799" s="60"/>
      <c r="H3799" s="62"/>
      <c r="I3799" s="62" t="str">
        <f t="shared" si="59"/>
        <v/>
      </c>
    </row>
    <row r="3800" spans="2:9" x14ac:dyDescent="0.25">
      <c r="B3800" s="59"/>
      <c r="C3800" s="60"/>
      <c r="D3800" s="60"/>
      <c r="F3800" s="60"/>
      <c r="G3800" s="60"/>
      <c r="H3800" s="62"/>
      <c r="I3800" s="62" t="str">
        <f t="shared" si="59"/>
        <v/>
      </c>
    </row>
    <row r="3801" spans="2:9" x14ac:dyDescent="0.25">
      <c r="B3801" s="59"/>
      <c r="C3801" s="60"/>
      <c r="D3801" s="60"/>
      <c r="F3801" s="60"/>
      <c r="G3801" s="60"/>
      <c r="H3801" s="62"/>
      <c r="I3801" s="62" t="str">
        <f t="shared" si="59"/>
        <v/>
      </c>
    </row>
    <row r="3802" spans="2:9" x14ac:dyDescent="0.25">
      <c r="B3802" s="59"/>
      <c r="C3802" s="60"/>
      <c r="D3802" s="60"/>
      <c r="F3802" s="60"/>
      <c r="G3802" s="60"/>
      <c r="H3802" s="62"/>
      <c r="I3802" s="62" t="str">
        <f t="shared" si="59"/>
        <v/>
      </c>
    </row>
    <row r="3803" spans="2:9" x14ac:dyDescent="0.25">
      <c r="B3803" s="59"/>
      <c r="C3803" s="60"/>
      <c r="D3803" s="60"/>
      <c r="F3803" s="60"/>
      <c r="G3803" s="60"/>
      <c r="H3803" s="62"/>
      <c r="I3803" s="62" t="str">
        <f t="shared" si="59"/>
        <v/>
      </c>
    </row>
    <row r="3804" spans="2:9" x14ac:dyDescent="0.25">
      <c r="B3804" s="59"/>
      <c r="C3804" s="60"/>
      <c r="D3804" s="60"/>
      <c r="F3804" s="60"/>
      <c r="G3804" s="60"/>
      <c r="H3804" s="62"/>
      <c r="I3804" s="62" t="str">
        <f t="shared" si="59"/>
        <v/>
      </c>
    </row>
    <row r="3805" spans="2:9" x14ac:dyDescent="0.25">
      <c r="B3805" s="59"/>
      <c r="C3805" s="60"/>
      <c r="D3805" s="60"/>
      <c r="F3805" s="60"/>
      <c r="G3805" s="60"/>
      <c r="H3805" s="62"/>
      <c r="I3805" s="62" t="str">
        <f t="shared" si="59"/>
        <v/>
      </c>
    </row>
    <row r="3806" spans="2:9" x14ac:dyDescent="0.25">
      <c r="B3806" s="59"/>
      <c r="C3806" s="60"/>
      <c r="D3806" s="60"/>
      <c r="F3806" s="60"/>
      <c r="G3806" s="60"/>
      <c r="H3806" s="62"/>
      <c r="I3806" s="62" t="str">
        <f t="shared" si="59"/>
        <v/>
      </c>
    </row>
    <row r="3807" spans="2:9" x14ac:dyDescent="0.25">
      <c r="B3807" s="59"/>
      <c r="C3807" s="60"/>
      <c r="D3807" s="60"/>
      <c r="F3807" s="60"/>
      <c r="G3807" s="60"/>
      <c r="H3807" s="62"/>
      <c r="I3807" s="62" t="str">
        <f t="shared" si="59"/>
        <v/>
      </c>
    </row>
    <row r="3808" spans="2:9" x14ac:dyDescent="0.25">
      <c r="B3808" s="59"/>
      <c r="C3808" s="60"/>
      <c r="D3808" s="60"/>
      <c r="F3808" s="60"/>
      <c r="G3808" s="60"/>
      <c r="H3808" s="62"/>
      <c r="I3808" s="62" t="str">
        <f t="shared" si="59"/>
        <v/>
      </c>
    </row>
    <row r="3809" spans="2:9" x14ac:dyDescent="0.25">
      <c r="B3809" s="59"/>
      <c r="C3809" s="60"/>
      <c r="D3809" s="60"/>
      <c r="F3809" s="60"/>
      <c r="G3809" s="60"/>
      <c r="H3809" s="62"/>
      <c r="I3809" s="62" t="str">
        <f t="shared" si="59"/>
        <v/>
      </c>
    </row>
    <row r="3810" spans="2:9" x14ac:dyDescent="0.25">
      <c r="B3810" s="59"/>
      <c r="C3810" s="60"/>
      <c r="D3810" s="60"/>
      <c r="F3810" s="60"/>
      <c r="G3810" s="60"/>
      <c r="H3810" s="62"/>
      <c r="I3810" s="62" t="str">
        <f t="shared" si="59"/>
        <v/>
      </c>
    </row>
    <row r="3811" spans="2:9" x14ac:dyDescent="0.25">
      <c r="B3811" s="59"/>
      <c r="C3811" s="60"/>
      <c r="D3811" s="60"/>
      <c r="F3811" s="60"/>
      <c r="G3811" s="60"/>
      <c r="H3811" s="62"/>
      <c r="I3811" s="62" t="str">
        <f t="shared" si="59"/>
        <v/>
      </c>
    </row>
    <row r="3812" spans="2:9" x14ac:dyDescent="0.25">
      <c r="B3812" s="59"/>
      <c r="C3812" s="60"/>
      <c r="D3812" s="60"/>
      <c r="F3812" s="60"/>
      <c r="G3812" s="60"/>
      <c r="H3812" s="62"/>
      <c r="I3812" s="62" t="str">
        <f t="shared" si="59"/>
        <v/>
      </c>
    </row>
    <row r="3813" spans="2:9" x14ac:dyDescent="0.25">
      <c r="B3813" s="59"/>
      <c r="C3813" s="60"/>
      <c r="D3813" s="60"/>
      <c r="F3813" s="60"/>
      <c r="G3813" s="60"/>
      <c r="H3813" s="62"/>
      <c r="I3813" s="62" t="str">
        <f t="shared" si="59"/>
        <v/>
      </c>
    </row>
    <row r="3814" spans="2:9" x14ac:dyDescent="0.25">
      <c r="B3814" s="59"/>
      <c r="C3814" s="60"/>
      <c r="D3814" s="60"/>
      <c r="F3814" s="60"/>
      <c r="G3814" s="60"/>
      <c r="H3814" s="62"/>
      <c r="I3814" s="62" t="str">
        <f t="shared" si="59"/>
        <v/>
      </c>
    </row>
    <row r="3815" spans="2:9" x14ac:dyDescent="0.25">
      <c r="B3815" s="59"/>
      <c r="C3815" s="60"/>
      <c r="D3815" s="60"/>
      <c r="F3815" s="60"/>
      <c r="G3815" s="60"/>
      <c r="H3815" s="62"/>
      <c r="I3815" s="62" t="str">
        <f t="shared" si="59"/>
        <v/>
      </c>
    </row>
    <row r="3816" spans="2:9" x14ac:dyDescent="0.25">
      <c r="B3816" s="59"/>
      <c r="C3816" s="60"/>
      <c r="D3816" s="60"/>
      <c r="F3816" s="60"/>
      <c r="G3816" s="60"/>
      <c r="H3816" s="62"/>
      <c r="I3816" s="62" t="str">
        <f t="shared" si="59"/>
        <v/>
      </c>
    </row>
    <row r="3817" spans="2:9" x14ac:dyDescent="0.25">
      <c r="B3817" s="59"/>
      <c r="C3817" s="60"/>
      <c r="D3817" s="60"/>
      <c r="F3817" s="60"/>
      <c r="G3817" s="60"/>
      <c r="H3817" s="62"/>
      <c r="I3817" s="62" t="str">
        <f t="shared" si="59"/>
        <v/>
      </c>
    </row>
    <row r="3818" spans="2:9" x14ac:dyDescent="0.25">
      <c r="B3818" s="59"/>
      <c r="C3818" s="60"/>
      <c r="D3818" s="60"/>
      <c r="F3818" s="60"/>
      <c r="G3818" s="60"/>
      <c r="H3818" s="62"/>
      <c r="I3818" s="62" t="str">
        <f t="shared" si="59"/>
        <v/>
      </c>
    </row>
    <row r="3819" spans="2:9" x14ac:dyDescent="0.25">
      <c r="B3819" s="59"/>
      <c r="C3819" s="60"/>
      <c r="D3819" s="60"/>
      <c r="F3819" s="60"/>
      <c r="G3819" s="60"/>
      <c r="H3819" s="62"/>
      <c r="I3819" s="62" t="str">
        <f t="shared" si="59"/>
        <v/>
      </c>
    </row>
    <row r="3820" spans="2:9" x14ac:dyDescent="0.25">
      <c r="B3820" s="59"/>
      <c r="C3820" s="60"/>
      <c r="D3820" s="60"/>
      <c r="F3820" s="60"/>
      <c r="G3820" s="60"/>
      <c r="H3820" s="62"/>
      <c r="I3820" s="62" t="str">
        <f t="shared" si="59"/>
        <v/>
      </c>
    </row>
    <row r="3821" spans="2:9" x14ac:dyDescent="0.25">
      <c r="B3821" s="59"/>
      <c r="C3821" s="60"/>
      <c r="D3821" s="60"/>
      <c r="F3821" s="60"/>
      <c r="G3821" s="60"/>
      <c r="H3821" s="62"/>
      <c r="I3821" s="62" t="str">
        <f t="shared" si="59"/>
        <v/>
      </c>
    </row>
    <row r="3822" spans="2:9" x14ac:dyDescent="0.25">
      <c r="B3822" s="59"/>
      <c r="C3822" s="60"/>
      <c r="D3822" s="60"/>
      <c r="F3822" s="60"/>
      <c r="G3822" s="60"/>
      <c r="H3822" s="62"/>
      <c r="I3822" s="62" t="str">
        <f t="shared" si="59"/>
        <v/>
      </c>
    </row>
    <row r="3823" spans="2:9" x14ac:dyDescent="0.25">
      <c r="B3823" s="59"/>
      <c r="C3823" s="60"/>
      <c r="D3823" s="60"/>
      <c r="F3823" s="60"/>
      <c r="G3823" s="60"/>
      <c r="H3823" s="62"/>
      <c r="I3823" s="62" t="str">
        <f t="shared" si="59"/>
        <v/>
      </c>
    </row>
    <row r="3824" spans="2:9" x14ac:dyDescent="0.25">
      <c r="B3824" s="59"/>
      <c r="C3824" s="60"/>
      <c r="D3824" s="60"/>
      <c r="F3824" s="60"/>
      <c r="G3824" s="60"/>
      <c r="H3824" s="62"/>
      <c r="I3824" s="62" t="str">
        <f t="shared" si="59"/>
        <v/>
      </c>
    </row>
    <row r="3825" spans="2:9" x14ac:dyDescent="0.25">
      <c r="B3825" s="59"/>
      <c r="C3825" s="60"/>
      <c r="D3825" s="60"/>
      <c r="F3825" s="60"/>
      <c r="G3825" s="60"/>
      <c r="H3825" s="62"/>
      <c r="I3825" s="62" t="str">
        <f t="shared" si="59"/>
        <v/>
      </c>
    </row>
    <row r="3826" spans="2:9" x14ac:dyDescent="0.25">
      <c r="B3826" s="59"/>
      <c r="C3826" s="60"/>
      <c r="D3826" s="60"/>
      <c r="F3826" s="60"/>
      <c r="G3826" s="60"/>
      <c r="H3826" s="62"/>
      <c r="I3826" s="62" t="str">
        <f t="shared" si="59"/>
        <v/>
      </c>
    </row>
    <row r="3827" spans="2:9" x14ac:dyDescent="0.25">
      <c r="B3827" s="59"/>
      <c r="C3827" s="60"/>
      <c r="D3827" s="60"/>
      <c r="F3827" s="60"/>
      <c r="G3827" s="60"/>
      <c r="H3827" s="62"/>
      <c r="I3827" s="62" t="str">
        <f t="shared" si="59"/>
        <v/>
      </c>
    </row>
    <row r="3828" spans="2:9" x14ac:dyDescent="0.25">
      <c r="B3828" s="59"/>
      <c r="C3828" s="60"/>
      <c r="D3828" s="60"/>
      <c r="F3828" s="60"/>
      <c r="G3828" s="60"/>
      <c r="H3828" s="62"/>
      <c r="I3828" s="62" t="str">
        <f t="shared" si="59"/>
        <v/>
      </c>
    </row>
    <row r="3829" spans="2:9" x14ac:dyDescent="0.25">
      <c r="B3829" s="59"/>
      <c r="C3829" s="60"/>
      <c r="D3829" s="60"/>
      <c r="F3829" s="60"/>
      <c r="G3829" s="60"/>
      <c r="H3829" s="62"/>
      <c r="I3829" s="62" t="str">
        <f t="shared" si="59"/>
        <v/>
      </c>
    </row>
    <row r="3830" spans="2:9" x14ac:dyDescent="0.25">
      <c r="B3830" s="59"/>
      <c r="C3830" s="60"/>
      <c r="D3830" s="60"/>
      <c r="F3830" s="60"/>
      <c r="G3830" s="60"/>
      <c r="H3830" s="62"/>
      <c r="I3830" s="62" t="str">
        <f t="shared" si="59"/>
        <v/>
      </c>
    </row>
    <row r="3831" spans="2:9" x14ac:dyDescent="0.25">
      <c r="B3831" s="59"/>
      <c r="C3831" s="60"/>
      <c r="D3831" s="60"/>
      <c r="F3831" s="60"/>
      <c r="G3831" s="60"/>
      <c r="H3831" s="62"/>
      <c r="I3831" s="62" t="str">
        <f t="shared" si="59"/>
        <v/>
      </c>
    </row>
    <row r="3832" spans="2:9" x14ac:dyDescent="0.25">
      <c r="B3832" s="59"/>
      <c r="C3832" s="60"/>
      <c r="D3832" s="60"/>
      <c r="F3832" s="60"/>
      <c r="G3832" s="60"/>
      <c r="H3832" s="62"/>
      <c r="I3832" s="62" t="str">
        <f t="shared" si="59"/>
        <v/>
      </c>
    </row>
    <row r="3833" spans="2:9" x14ac:dyDescent="0.25">
      <c r="B3833" s="59"/>
      <c r="C3833" s="60"/>
      <c r="D3833" s="60"/>
      <c r="F3833" s="60"/>
      <c r="G3833" s="60"/>
      <c r="H3833" s="62"/>
      <c r="I3833" s="62" t="str">
        <f t="shared" si="59"/>
        <v/>
      </c>
    </row>
    <row r="3834" spans="2:9" x14ac:dyDescent="0.25">
      <c r="B3834" s="59"/>
      <c r="C3834" s="60"/>
      <c r="D3834" s="60"/>
      <c r="F3834" s="60"/>
      <c r="G3834" s="60"/>
      <c r="H3834" s="62"/>
      <c r="I3834" s="62" t="str">
        <f t="shared" si="59"/>
        <v/>
      </c>
    </row>
    <row r="3835" spans="2:9" x14ac:dyDescent="0.25">
      <c r="B3835" s="59"/>
      <c r="C3835" s="60"/>
      <c r="D3835" s="60"/>
      <c r="F3835" s="60"/>
      <c r="G3835" s="60"/>
      <c r="H3835" s="62"/>
      <c r="I3835" s="62" t="str">
        <f t="shared" si="59"/>
        <v/>
      </c>
    </row>
    <row r="3836" spans="2:9" x14ac:dyDescent="0.25">
      <c r="B3836" s="59"/>
      <c r="C3836" s="60"/>
      <c r="D3836" s="60"/>
      <c r="F3836" s="60"/>
      <c r="G3836" s="60"/>
      <c r="H3836" s="62"/>
      <c r="I3836" s="62" t="str">
        <f t="shared" si="59"/>
        <v/>
      </c>
    </row>
    <row r="3837" spans="2:9" x14ac:dyDescent="0.25">
      <c r="B3837" s="59"/>
      <c r="C3837" s="60"/>
      <c r="D3837" s="60"/>
      <c r="F3837" s="60"/>
      <c r="G3837" s="60"/>
      <c r="H3837" s="62"/>
      <c r="I3837" s="62" t="str">
        <f t="shared" si="59"/>
        <v/>
      </c>
    </row>
    <row r="3838" spans="2:9" x14ac:dyDescent="0.25">
      <c r="B3838" s="59"/>
      <c r="C3838" s="60"/>
      <c r="D3838" s="60"/>
      <c r="F3838" s="60"/>
      <c r="G3838" s="60"/>
      <c r="H3838" s="62"/>
      <c r="I3838" s="62" t="str">
        <f t="shared" si="59"/>
        <v/>
      </c>
    </row>
    <row r="3839" spans="2:9" x14ac:dyDescent="0.25">
      <c r="B3839" s="59"/>
      <c r="C3839" s="60"/>
      <c r="D3839" s="60"/>
      <c r="F3839" s="60"/>
      <c r="G3839" s="60"/>
      <c r="H3839" s="62"/>
      <c r="I3839" s="62" t="str">
        <f t="shared" si="59"/>
        <v/>
      </c>
    </row>
    <row r="3840" spans="2:9" x14ac:dyDescent="0.25">
      <c r="B3840" s="59"/>
      <c r="C3840" s="60"/>
      <c r="D3840" s="60"/>
      <c r="F3840" s="60"/>
      <c r="G3840" s="60"/>
      <c r="H3840" s="62"/>
      <c r="I3840" s="62" t="str">
        <f t="shared" si="59"/>
        <v/>
      </c>
    </row>
    <row r="3841" spans="2:9" x14ac:dyDescent="0.25">
      <c r="B3841" s="59"/>
      <c r="C3841" s="60"/>
      <c r="D3841" s="60"/>
      <c r="F3841" s="60"/>
      <c r="G3841" s="60"/>
      <c r="H3841" s="62"/>
      <c r="I3841" s="62" t="str">
        <f t="shared" si="59"/>
        <v/>
      </c>
    </row>
    <row r="3842" spans="2:9" x14ac:dyDescent="0.25">
      <c r="B3842" s="59"/>
      <c r="C3842" s="60"/>
      <c r="D3842" s="60"/>
      <c r="F3842" s="60"/>
      <c r="G3842" s="60"/>
      <c r="H3842" s="62"/>
      <c r="I3842" s="62" t="str">
        <f t="shared" si="59"/>
        <v/>
      </c>
    </row>
    <row r="3843" spans="2:9" x14ac:dyDescent="0.25">
      <c r="B3843" s="59"/>
      <c r="C3843" s="60"/>
      <c r="D3843" s="60"/>
      <c r="F3843" s="60"/>
      <c r="G3843" s="60"/>
      <c r="H3843" s="62"/>
      <c r="I3843" s="62" t="str">
        <f t="shared" si="59"/>
        <v/>
      </c>
    </row>
    <row r="3844" spans="2:9" x14ac:dyDescent="0.25">
      <c r="B3844" s="59"/>
      <c r="C3844" s="60"/>
      <c r="D3844" s="60"/>
      <c r="F3844" s="60"/>
      <c r="G3844" s="60"/>
      <c r="H3844" s="62"/>
      <c r="I3844" s="62" t="str">
        <f t="shared" si="59"/>
        <v/>
      </c>
    </row>
    <row r="3845" spans="2:9" x14ac:dyDescent="0.25">
      <c r="B3845" s="59"/>
      <c r="C3845" s="60"/>
      <c r="D3845" s="60"/>
      <c r="F3845" s="60"/>
      <c r="G3845" s="60"/>
      <c r="H3845" s="62"/>
      <c r="I3845" s="62" t="str">
        <f t="shared" ref="I3845:I3908" si="60">IF(H3845&lt;&gt;"",H3845-H3844,"")</f>
        <v/>
      </c>
    </row>
    <row r="3846" spans="2:9" x14ac:dyDescent="0.25">
      <c r="B3846" s="59"/>
      <c r="C3846" s="60"/>
      <c r="D3846" s="60"/>
      <c r="F3846" s="60"/>
      <c r="G3846" s="60"/>
      <c r="H3846" s="62"/>
      <c r="I3846" s="62" t="str">
        <f t="shared" si="60"/>
        <v/>
      </c>
    </row>
    <row r="3847" spans="2:9" x14ac:dyDescent="0.25">
      <c r="B3847" s="59"/>
      <c r="C3847" s="60"/>
      <c r="D3847" s="60"/>
      <c r="F3847" s="60"/>
      <c r="G3847" s="60"/>
      <c r="H3847" s="62"/>
      <c r="I3847" s="62" t="str">
        <f t="shared" si="60"/>
        <v/>
      </c>
    </row>
    <row r="3848" spans="2:9" x14ac:dyDescent="0.25">
      <c r="B3848" s="59"/>
      <c r="C3848" s="60"/>
      <c r="D3848" s="60"/>
      <c r="F3848" s="60"/>
      <c r="G3848" s="60"/>
      <c r="H3848" s="62"/>
      <c r="I3848" s="62" t="str">
        <f t="shared" si="60"/>
        <v/>
      </c>
    </row>
    <row r="3849" spans="2:9" x14ac:dyDescent="0.25">
      <c r="B3849" s="59"/>
      <c r="C3849" s="60"/>
      <c r="D3849" s="60"/>
      <c r="F3849" s="60"/>
      <c r="G3849" s="60"/>
      <c r="H3849" s="62"/>
      <c r="I3849" s="62" t="str">
        <f t="shared" si="60"/>
        <v/>
      </c>
    </row>
    <row r="3850" spans="2:9" x14ac:dyDescent="0.25">
      <c r="B3850" s="59"/>
      <c r="C3850" s="60"/>
      <c r="D3850" s="60"/>
      <c r="F3850" s="60"/>
      <c r="G3850" s="60"/>
      <c r="H3850" s="62"/>
      <c r="I3850" s="62" t="str">
        <f t="shared" si="60"/>
        <v/>
      </c>
    </row>
    <row r="3851" spans="2:9" x14ac:dyDescent="0.25">
      <c r="B3851" s="59"/>
      <c r="C3851" s="60"/>
      <c r="D3851" s="60"/>
      <c r="F3851" s="60"/>
      <c r="G3851" s="60"/>
      <c r="H3851" s="62"/>
      <c r="I3851" s="62" t="str">
        <f t="shared" si="60"/>
        <v/>
      </c>
    </row>
    <row r="3852" spans="2:9" x14ac:dyDescent="0.25">
      <c r="B3852" s="59"/>
      <c r="C3852" s="60"/>
      <c r="D3852" s="60"/>
      <c r="F3852" s="60"/>
      <c r="G3852" s="60"/>
      <c r="H3852" s="62"/>
      <c r="I3852" s="62" t="str">
        <f t="shared" si="60"/>
        <v/>
      </c>
    </row>
    <row r="3853" spans="2:9" x14ac:dyDescent="0.25">
      <c r="B3853" s="59"/>
      <c r="C3853" s="60"/>
      <c r="D3853" s="60"/>
      <c r="F3853" s="60"/>
      <c r="G3853" s="60"/>
      <c r="H3853" s="62"/>
      <c r="I3853" s="62" t="str">
        <f t="shared" si="60"/>
        <v/>
      </c>
    </row>
    <row r="3854" spans="2:9" x14ac:dyDescent="0.25">
      <c r="B3854" s="59"/>
      <c r="C3854" s="60"/>
      <c r="D3854" s="60"/>
      <c r="F3854" s="60"/>
      <c r="G3854" s="60"/>
      <c r="H3854" s="62"/>
      <c r="I3854" s="62" t="str">
        <f t="shared" si="60"/>
        <v/>
      </c>
    </row>
    <row r="3855" spans="2:9" x14ac:dyDescent="0.25">
      <c r="B3855" s="59"/>
      <c r="C3855" s="60"/>
      <c r="D3855" s="60"/>
      <c r="F3855" s="60"/>
      <c r="G3855" s="60"/>
      <c r="H3855" s="62"/>
      <c r="I3855" s="62" t="str">
        <f t="shared" si="60"/>
        <v/>
      </c>
    </row>
    <row r="3856" spans="2:9" x14ac:dyDescent="0.25">
      <c r="B3856" s="59"/>
      <c r="C3856" s="60"/>
      <c r="D3856" s="60"/>
      <c r="F3856" s="60"/>
      <c r="G3856" s="60"/>
      <c r="H3856" s="62"/>
      <c r="I3856" s="62" t="str">
        <f t="shared" si="60"/>
        <v/>
      </c>
    </row>
    <row r="3857" spans="2:9" x14ac:dyDescent="0.25">
      <c r="B3857" s="59"/>
      <c r="C3857" s="60"/>
      <c r="D3857" s="60"/>
      <c r="F3857" s="60"/>
      <c r="G3857" s="60"/>
      <c r="H3857" s="62"/>
      <c r="I3857" s="62" t="str">
        <f t="shared" si="60"/>
        <v/>
      </c>
    </row>
    <row r="3858" spans="2:9" x14ac:dyDescent="0.25">
      <c r="B3858" s="59"/>
      <c r="C3858" s="60"/>
      <c r="D3858" s="60"/>
      <c r="F3858" s="60"/>
      <c r="G3858" s="60"/>
      <c r="H3858" s="62"/>
      <c r="I3858" s="62" t="str">
        <f t="shared" si="60"/>
        <v/>
      </c>
    </row>
    <row r="3859" spans="2:9" x14ac:dyDescent="0.25">
      <c r="B3859" s="59"/>
      <c r="C3859" s="60"/>
      <c r="D3859" s="60"/>
      <c r="F3859" s="60"/>
      <c r="G3859" s="60"/>
      <c r="H3859" s="62"/>
      <c r="I3859" s="62" t="str">
        <f t="shared" si="60"/>
        <v/>
      </c>
    </row>
    <row r="3860" spans="2:9" x14ac:dyDescent="0.25">
      <c r="B3860" s="59"/>
      <c r="C3860" s="60"/>
      <c r="D3860" s="60"/>
      <c r="F3860" s="60"/>
      <c r="G3860" s="60"/>
      <c r="H3860" s="62"/>
      <c r="I3860" s="62" t="str">
        <f t="shared" si="60"/>
        <v/>
      </c>
    </row>
    <row r="3861" spans="2:9" x14ac:dyDescent="0.25">
      <c r="B3861" s="59"/>
      <c r="C3861" s="60"/>
      <c r="D3861" s="60"/>
      <c r="F3861" s="60"/>
      <c r="G3861" s="60"/>
      <c r="H3861" s="62"/>
      <c r="I3861" s="62" t="str">
        <f t="shared" si="60"/>
        <v/>
      </c>
    </row>
    <row r="3862" spans="2:9" x14ac:dyDescent="0.25">
      <c r="B3862" s="59"/>
      <c r="C3862" s="60"/>
      <c r="D3862" s="60"/>
      <c r="F3862" s="60"/>
      <c r="G3862" s="60"/>
      <c r="H3862" s="62"/>
      <c r="I3862" s="62" t="str">
        <f t="shared" si="60"/>
        <v/>
      </c>
    </row>
    <row r="3863" spans="2:9" x14ac:dyDescent="0.25">
      <c r="B3863" s="59"/>
      <c r="C3863" s="60"/>
      <c r="D3863" s="60"/>
      <c r="F3863" s="60"/>
      <c r="G3863" s="60"/>
      <c r="H3863" s="62"/>
      <c r="I3863" s="62" t="str">
        <f t="shared" si="60"/>
        <v/>
      </c>
    </row>
    <row r="3864" spans="2:9" x14ac:dyDescent="0.25">
      <c r="B3864" s="59"/>
      <c r="C3864" s="60"/>
      <c r="D3864" s="60"/>
      <c r="F3864" s="60"/>
      <c r="G3864" s="60"/>
      <c r="H3864" s="62"/>
      <c r="I3864" s="62" t="str">
        <f t="shared" si="60"/>
        <v/>
      </c>
    </row>
    <row r="3865" spans="2:9" x14ac:dyDescent="0.25">
      <c r="B3865" s="59"/>
      <c r="C3865" s="60"/>
      <c r="D3865" s="60"/>
      <c r="F3865" s="60"/>
      <c r="G3865" s="60"/>
      <c r="H3865" s="62"/>
      <c r="I3865" s="62" t="str">
        <f t="shared" si="60"/>
        <v/>
      </c>
    </row>
    <row r="3866" spans="2:9" x14ac:dyDescent="0.25">
      <c r="B3866" s="59"/>
      <c r="C3866" s="60"/>
      <c r="D3866" s="60"/>
      <c r="F3866" s="60"/>
      <c r="G3866" s="60"/>
      <c r="H3866" s="62"/>
      <c r="I3866" s="62" t="str">
        <f t="shared" si="60"/>
        <v/>
      </c>
    </row>
    <row r="3867" spans="2:9" x14ac:dyDescent="0.25">
      <c r="B3867" s="59"/>
      <c r="C3867" s="60"/>
      <c r="D3867" s="60"/>
      <c r="F3867" s="60"/>
      <c r="G3867" s="60"/>
      <c r="H3867" s="62"/>
      <c r="I3867" s="62" t="str">
        <f t="shared" si="60"/>
        <v/>
      </c>
    </row>
    <row r="3868" spans="2:9" x14ac:dyDescent="0.25">
      <c r="B3868" s="59"/>
      <c r="C3868" s="60"/>
      <c r="D3868" s="60"/>
      <c r="F3868" s="60"/>
      <c r="G3868" s="60"/>
      <c r="H3868" s="62"/>
      <c r="I3868" s="62" t="str">
        <f t="shared" si="60"/>
        <v/>
      </c>
    </row>
    <row r="3869" spans="2:9" x14ac:dyDescent="0.25">
      <c r="B3869" s="59"/>
      <c r="C3869" s="60"/>
      <c r="D3869" s="60"/>
      <c r="F3869" s="60"/>
      <c r="G3869" s="60"/>
      <c r="H3869" s="62"/>
      <c r="I3869" s="62" t="str">
        <f t="shared" si="60"/>
        <v/>
      </c>
    </row>
    <row r="3870" spans="2:9" x14ac:dyDescent="0.25">
      <c r="B3870" s="59"/>
      <c r="C3870" s="60"/>
      <c r="D3870" s="60"/>
      <c r="F3870" s="60"/>
      <c r="G3870" s="60"/>
      <c r="H3870" s="62"/>
      <c r="I3870" s="62" t="str">
        <f t="shared" si="60"/>
        <v/>
      </c>
    </row>
    <row r="3871" spans="2:9" x14ac:dyDescent="0.25">
      <c r="B3871" s="59"/>
      <c r="C3871" s="60"/>
      <c r="D3871" s="60"/>
      <c r="F3871" s="60"/>
      <c r="G3871" s="60"/>
      <c r="H3871" s="62"/>
      <c r="I3871" s="62" t="str">
        <f t="shared" si="60"/>
        <v/>
      </c>
    </row>
    <row r="3872" spans="2:9" x14ac:dyDescent="0.25">
      <c r="B3872" s="59"/>
      <c r="C3872" s="60"/>
      <c r="D3872" s="60"/>
      <c r="F3872" s="60"/>
      <c r="G3872" s="60"/>
      <c r="H3872" s="62"/>
      <c r="I3872" s="62" t="str">
        <f t="shared" si="60"/>
        <v/>
      </c>
    </row>
    <row r="3873" spans="2:9" x14ac:dyDescent="0.25">
      <c r="B3873" s="59"/>
      <c r="C3873" s="60"/>
      <c r="D3873" s="60"/>
      <c r="F3873" s="60"/>
      <c r="G3873" s="60"/>
      <c r="H3873" s="62"/>
      <c r="I3873" s="62" t="str">
        <f t="shared" si="60"/>
        <v/>
      </c>
    </row>
    <row r="3874" spans="2:9" x14ac:dyDescent="0.25">
      <c r="B3874" s="59"/>
      <c r="C3874" s="60"/>
      <c r="D3874" s="60"/>
      <c r="F3874" s="60"/>
      <c r="G3874" s="60"/>
      <c r="H3874" s="62"/>
      <c r="I3874" s="62" t="str">
        <f t="shared" si="60"/>
        <v/>
      </c>
    </row>
    <row r="3875" spans="2:9" x14ac:dyDescent="0.25">
      <c r="B3875" s="59"/>
      <c r="C3875" s="60"/>
      <c r="D3875" s="60"/>
      <c r="F3875" s="60"/>
      <c r="G3875" s="60"/>
      <c r="H3875" s="62"/>
      <c r="I3875" s="62" t="str">
        <f t="shared" si="60"/>
        <v/>
      </c>
    </row>
    <row r="3876" spans="2:9" x14ac:dyDescent="0.25">
      <c r="B3876" s="59"/>
      <c r="C3876" s="60"/>
      <c r="D3876" s="60"/>
      <c r="F3876" s="60"/>
      <c r="G3876" s="60"/>
      <c r="H3876" s="62"/>
      <c r="I3876" s="62" t="str">
        <f t="shared" si="60"/>
        <v/>
      </c>
    </row>
    <row r="3877" spans="2:9" x14ac:dyDescent="0.25">
      <c r="B3877" s="59"/>
      <c r="C3877" s="60"/>
      <c r="D3877" s="60"/>
      <c r="F3877" s="60"/>
      <c r="G3877" s="60"/>
      <c r="H3877" s="62"/>
      <c r="I3877" s="62" t="str">
        <f t="shared" si="60"/>
        <v/>
      </c>
    </row>
    <row r="3878" spans="2:9" x14ac:dyDescent="0.25">
      <c r="B3878" s="59"/>
      <c r="C3878" s="60"/>
      <c r="D3878" s="60"/>
      <c r="F3878" s="60"/>
      <c r="G3878" s="60"/>
      <c r="H3878" s="62"/>
      <c r="I3878" s="62" t="str">
        <f t="shared" si="60"/>
        <v/>
      </c>
    </row>
    <row r="3879" spans="2:9" x14ac:dyDescent="0.25">
      <c r="B3879" s="59"/>
      <c r="C3879" s="60"/>
      <c r="D3879" s="60"/>
      <c r="F3879" s="60"/>
      <c r="G3879" s="60"/>
      <c r="H3879" s="62"/>
      <c r="I3879" s="62" t="str">
        <f t="shared" si="60"/>
        <v/>
      </c>
    </row>
    <row r="3880" spans="2:9" x14ac:dyDescent="0.25">
      <c r="B3880" s="59"/>
      <c r="C3880" s="60"/>
      <c r="D3880" s="60"/>
      <c r="F3880" s="60"/>
      <c r="G3880" s="60"/>
      <c r="H3880" s="62"/>
      <c r="I3880" s="62" t="str">
        <f t="shared" si="60"/>
        <v/>
      </c>
    </row>
    <row r="3881" spans="2:9" x14ac:dyDescent="0.25">
      <c r="B3881" s="59"/>
      <c r="C3881" s="60"/>
      <c r="D3881" s="60"/>
      <c r="F3881" s="60"/>
      <c r="G3881" s="60"/>
      <c r="H3881" s="62"/>
      <c r="I3881" s="62" t="str">
        <f t="shared" si="60"/>
        <v/>
      </c>
    </row>
    <row r="3882" spans="2:9" x14ac:dyDescent="0.25">
      <c r="B3882" s="59"/>
      <c r="C3882" s="60"/>
      <c r="D3882" s="60"/>
      <c r="F3882" s="60"/>
      <c r="G3882" s="60"/>
      <c r="H3882" s="62"/>
      <c r="I3882" s="62" t="str">
        <f t="shared" si="60"/>
        <v/>
      </c>
    </row>
    <row r="3883" spans="2:9" x14ac:dyDescent="0.25">
      <c r="B3883" s="59"/>
      <c r="C3883" s="60"/>
      <c r="D3883" s="60"/>
      <c r="F3883" s="60"/>
      <c r="G3883" s="60"/>
      <c r="H3883" s="62"/>
      <c r="I3883" s="62" t="str">
        <f t="shared" si="60"/>
        <v/>
      </c>
    </row>
    <row r="3884" spans="2:9" x14ac:dyDescent="0.25">
      <c r="B3884" s="59"/>
      <c r="C3884" s="60"/>
      <c r="D3884" s="60"/>
      <c r="F3884" s="60"/>
      <c r="G3884" s="60"/>
      <c r="H3884" s="62"/>
      <c r="I3884" s="62" t="str">
        <f t="shared" si="60"/>
        <v/>
      </c>
    </row>
    <row r="3885" spans="2:9" x14ac:dyDescent="0.25">
      <c r="B3885" s="59"/>
      <c r="C3885" s="60"/>
      <c r="D3885" s="60"/>
      <c r="F3885" s="60"/>
      <c r="G3885" s="60"/>
      <c r="H3885" s="62"/>
      <c r="I3885" s="62" t="str">
        <f t="shared" si="60"/>
        <v/>
      </c>
    </row>
    <row r="3886" spans="2:9" x14ac:dyDescent="0.25">
      <c r="B3886" s="59"/>
      <c r="C3886" s="60"/>
      <c r="D3886" s="60"/>
      <c r="F3886" s="60"/>
      <c r="G3886" s="60"/>
      <c r="H3886" s="62"/>
      <c r="I3886" s="62" t="str">
        <f t="shared" si="60"/>
        <v/>
      </c>
    </row>
    <row r="3887" spans="2:9" x14ac:dyDescent="0.25">
      <c r="B3887" s="59"/>
      <c r="C3887" s="60"/>
      <c r="D3887" s="60"/>
      <c r="F3887" s="60"/>
      <c r="G3887" s="60"/>
      <c r="H3887" s="62"/>
      <c r="I3887" s="62" t="str">
        <f t="shared" si="60"/>
        <v/>
      </c>
    </row>
    <row r="3888" spans="2:9" x14ac:dyDescent="0.25">
      <c r="B3888" s="59"/>
      <c r="C3888" s="60"/>
      <c r="D3888" s="60"/>
      <c r="F3888" s="60"/>
      <c r="G3888" s="60"/>
      <c r="H3888" s="62"/>
      <c r="I3888" s="62" t="str">
        <f t="shared" si="60"/>
        <v/>
      </c>
    </row>
    <row r="3889" spans="2:9" x14ac:dyDescent="0.25">
      <c r="B3889" s="59"/>
      <c r="C3889" s="60"/>
      <c r="D3889" s="60"/>
      <c r="F3889" s="60"/>
      <c r="G3889" s="60"/>
      <c r="H3889" s="62"/>
      <c r="I3889" s="62" t="str">
        <f t="shared" si="60"/>
        <v/>
      </c>
    </row>
    <row r="3890" spans="2:9" x14ac:dyDescent="0.25">
      <c r="B3890" s="59"/>
      <c r="C3890" s="60"/>
      <c r="D3890" s="60"/>
      <c r="F3890" s="60"/>
      <c r="G3890" s="60"/>
      <c r="H3890" s="62"/>
      <c r="I3890" s="62" t="str">
        <f t="shared" si="60"/>
        <v/>
      </c>
    </row>
    <row r="3891" spans="2:9" x14ac:dyDescent="0.25">
      <c r="B3891" s="59"/>
      <c r="C3891" s="60"/>
      <c r="D3891" s="60"/>
      <c r="F3891" s="60"/>
      <c r="G3891" s="60"/>
      <c r="H3891" s="62"/>
      <c r="I3891" s="62" t="str">
        <f t="shared" si="60"/>
        <v/>
      </c>
    </row>
    <row r="3892" spans="2:9" x14ac:dyDescent="0.25">
      <c r="B3892" s="59"/>
      <c r="C3892" s="60"/>
      <c r="D3892" s="60"/>
      <c r="F3892" s="60"/>
      <c r="G3892" s="60"/>
      <c r="H3892" s="62"/>
      <c r="I3892" s="62" t="str">
        <f t="shared" si="60"/>
        <v/>
      </c>
    </row>
    <row r="3893" spans="2:9" x14ac:dyDescent="0.25">
      <c r="B3893" s="59"/>
      <c r="C3893" s="60"/>
      <c r="D3893" s="60"/>
      <c r="F3893" s="60"/>
      <c r="G3893" s="60"/>
      <c r="H3893" s="62"/>
      <c r="I3893" s="62" t="str">
        <f t="shared" si="60"/>
        <v/>
      </c>
    </row>
    <row r="3894" spans="2:9" x14ac:dyDescent="0.25">
      <c r="B3894" s="59"/>
      <c r="C3894" s="60"/>
      <c r="D3894" s="60"/>
      <c r="F3894" s="60"/>
      <c r="G3894" s="60"/>
      <c r="H3894" s="62"/>
      <c r="I3894" s="62" t="str">
        <f t="shared" si="60"/>
        <v/>
      </c>
    </row>
    <row r="3895" spans="2:9" x14ac:dyDescent="0.25">
      <c r="B3895" s="59"/>
      <c r="C3895" s="60"/>
      <c r="D3895" s="60"/>
      <c r="F3895" s="60"/>
      <c r="G3895" s="60"/>
      <c r="H3895" s="62"/>
      <c r="I3895" s="62" t="str">
        <f t="shared" si="60"/>
        <v/>
      </c>
    </row>
    <row r="3896" spans="2:9" x14ac:dyDescent="0.25">
      <c r="B3896" s="59"/>
      <c r="C3896" s="60"/>
      <c r="D3896" s="60"/>
      <c r="F3896" s="60"/>
      <c r="G3896" s="60"/>
      <c r="H3896" s="62"/>
      <c r="I3896" s="62" t="str">
        <f t="shared" si="60"/>
        <v/>
      </c>
    </row>
    <row r="3897" spans="2:9" x14ac:dyDescent="0.25">
      <c r="B3897" s="59"/>
      <c r="C3897" s="60"/>
      <c r="D3897" s="60"/>
      <c r="F3897" s="60"/>
      <c r="G3897" s="60"/>
      <c r="H3897" s="62"/>
      <c r="I3897" s="62" t="str">
        <f t="shared" si="60"/>
        <v/>
      </c>
    </row>
    <row r="3898" spans="2:9" x14ac:dyDescent="0.25">
      <c r="B3898" s="59"/>
      <c r="C3898" s="60"/>
      <c r="D3898" s="60"/>
      <c r="F3898" s="60"/>
      <c r="G3898" s="60"/>
      <c r="H3898" s="62"/>
      <c r="I3898" s="62" t="str">
        <f t="shared" si="60"/>
        <v/>
      </c>
    </row>
    <row r="3899" spans="2:9" x14ac:dyDescent="0.25">
      <c r="B3899" s="59"/>
      <c r="C3899" s="60"/>
      <c r="D3899" s="60"/>
      <c r="F3899" s="60"/>
      <c r="G3899" s="60"/>
      <c r="H3899" s="62"/>
      <c r="I3899" s="62" t="str">
        <f t="shared" si="60"/>
        <v/>
      </c>
    </row>
    <row r="3900" spans="2:9" x14ac:dyDescent="0.25">
      <c r="B3900" s="59"/>
      <c r="C3900" s="60"/>
      <c r="D3900" s="60"/>
      <c r="F3900" s="60"/>
      <c r="G3900" s="60"/>
      <c r="H3900" s="62"/>
      <c r="I3900" s="62" t="str">
        <f t="shared" si="60"/>
        <v/>
      </c>
    </row>
    <row r="3901" spans="2:9" x14ac:dyDescent="0.25">
      <c r="B3901" s="59"/>
      <c r="C3901" s="60"/>
      <c r="D3901" s="60"/>
      <c r="F3901" s="60"/>
      <c r="G3901" s="60"/>
      <c r="H3901" s="62"/>
      <c r="I3901" s="62" t="str">
        <f t="shared" si="60"/>
        <v/>
      </c>
    </row>
    <row r="3902" spans="2:9" x14ac:dyDescent="0.25">
      <c r="B3902" s="59"/>
      <c r="C3902" s="60"/>
      <c r="D3902" s="60"/>
      <c r="F3902" s="60"/>
      <c r="G3902" s="60"/>
      <c r="H3902" s="62"/>
      <c r="I3902" s="62" t="str">
        <f t="shared" si="60"/>
        <v/>
      </c>
    </row>
    <row r="3903" spans="2:9" x14ac:dyDescent="0.25">
      <c r="B3903" s="59"/>
      <c r="C3903" s="60"/>
      <c r="D3903" s="60"/>
      <c r="F3903" s="60"/>
      <c r="G3903" s="60"/>
      <c r="H3903" s="62"/>
      <c r="I3903" s="62" t="str">
        <f t="shared" si="60"/>
        <v/>
      </c>
    </row>
    <row r="3904" spans="2:9" x14ac:dyDescent="0.25">
      <c r="B3904" s="59"/>
      <c r="C3904" s="60"/>
      <c r="D3904" s="60"/>
      <c r="F3904" s="60"/>
      <c r="G3904" s="60"/>
      <c r="H3904" s="62"/>
      <c r="I3904" s="62" t="str">
        <f t="shared" si="60"/>
        <v/>
      </c>
    </row>
    <row r="3905" spans="2:9" x14ac:dyDescent="0.25">
      <c r="B3905" s="59"/>
      <c r="C3905" s="60"/>
      <c r="D3905" s="60"/>
      <c r="F3905" s="60"/>
      <c r="G3905" s="60"/>
      <c r="H3905" s="62"/>
      <c r="I3905" s="62" t="str">
        <f t="shared" si="60"/>
        <v/>
      </c>
    </row>
    <row r="3906" spans="2:9" x14ac:dyDescent="0.25">
      <c r="B3906" s="59"/>
      <c r="C3906" s="60"/>
      <c r="D3906" s="60"/>
      <c r="F3906" s="60"/>
      <c r="G3906" s="60"/>
      <c r="H3906" s="62"/>
      <c r="I3906" s="62" t="str">
        <f t="shared" si="60"/>
        <v/>
      </c>
    </row>
    <row r="3907" spans="2:9" x14ac:dyDescent="0.25">
      <c r="B3907" s="59"/>
      <c r="C3907" s="60"/>
      <c r="D3907" s="60"/>
      <c r="F3907" s="60"/>
      <c r="G3907" s="60"/>
      <c r="H3907" s="62"/>
      <c r="I3907" s="62" t="str">
        <f t="shared" si="60"/>
        <v/>
      </c>
    </row>
    <row r="3908" spans="2:9" x14ac:dyDescent="0.25">
      <c r="B3908" s="59"/>
      <c r="C3908" s="60"/>
      <c r="D3908" s="60"/>
      <c r="F3908" s="60"/>
      <c r="G3908" s="60"/>
      <c r="H3908" s="62"/>
      <c r="I3908" s="62" t="str">
        <f t="shared" si="60"/>
        <v/>
      </c>
    </row>
    <row r="3909" spans="2:9" x14ac:dyDescent="0.25">
      <c r="B3909" s="59"/>
      <c r="C3909" s="60"/>
      <c r="D3909" s="60"/>
      <c r="F3909" s="60"/>
      <c r="G3909" s="60"/>
      <c r="H3909" s="62"/>
      <c r="I3909" s="62" t="str">
        <f t="shared" ref="I3909:I3972" si="61">IF(H3909&lt;&gt;"",H3909-H3908,"")</f>
        <v/>
      </c>
    </row>
    <row r="3910" spans="2:9" x14ac:dyDescent="0.25">
      <c r="B3910" s="59"/>
      <c r="C3910" s="60"/>
      <c r="D3910" s="60"/>
      <c r="F3910" s="60"/>
      <c r="G3910" s="60"/>
      <c r="H3910" s="62"/>
      <c r="I3910" s="62" t="str">
        <f t="shared" si="61"/>
        <v/>
      </c>
    </row>
    <row r="3911" spans="2:9" x14ac:dyDescent="0.25">
      <c r="B3911" s="59"/>
      <c r="C3911" s="60"/>
      <c r="D3911" s="60"/>
      <c r="F3911" s="60"/>
      <c r="G3911" s="60"/>
      <c r="H3911" s="62"/>
      <c r="I3911" s="62" t="str">
        <f t="shared" si="61"/>
        <v/>
      </c>
    </row>
    <row r="3912" spans="2:9" x14ac:dyDescent="0.25">
      <c r="B3912" s="59"/>
      <c r="C3912" s="60"/>
      <c r="D3912" s="60"/>
      <c r="F3912" s="60"/>
      <c r="G3912" s="60"/>
      <c r="H3912" s="62"/>
      <c r="I3912" s="62" t="str">
        <f t="shared" si="61"/>
        <v/>
      </c>
    </row>
    <row r="3913" spans="2:9" x14ac:dyDescent="0.25">
      <c r="B3913" s="59"/>
      <c r="C3913" s="60"/>
      <c r="D3913" s="60"/>
      <c r="F3913" s="60"/>
      <c r="G3913" s="60"/>
      <c r="H3913" s="62"/>
      <c r="I3913" s="62" t="str">
        <f t="shared" si="61"/>
        <v/>
      </c>
    </row>
    <row r="3914" spans="2:9" x14ac:dyDescent="0.25">
      <c r="B3914" s="59"/>
      <c r="C3914" s="60"/>
      <c r="D3914" s="60"/>
      <c r="F3914" s="60"/>
      <c r="G3914" s="60"/>
      <c r="H3914" s="62"/>
      <c r="I3914" s="62" t="str">
        <f t="shared" si="61"/>
        <v/>
      </c>
    </row>
    <row r="3915" spans="2:9" x14ac:dyDescent="0.25">
      <c r="B3915" s="59"/>
      <c r="C3915" s="60"/>
      <c r="D3915" s="60"/>
      <c r="F3915" s="60"/>
      <c r="G3915" s="60"/>
      <c r="H3915" s="62"/>
      <c r="I3915" s="62" t="str">
        <f t="shared" si="61"/>
        <v/>
      </c>
    </row>
    <row r="3916" spans="2:9" x14ac:dyDescent="0.25">
      <c r="B3916" s="59"/>
      <c r="C3916" s="60"/>
      <c r="D3916" s="60"/>
      <c r="F3916" s="60"/>
      <c r="G3916" s="60"/>
      <c r="H3916" s="62"/>
      <c r="I3916" s="62" t="str">
        <f t="shared" si="61"/>
        <v/>
      </c>
    </row>
    <row r="3917" spans="2:9" x14ac:dyDescent="0.25">
      <c r="B3917" s="59"/>
      <c r="C3917" s="60"/>
      <c r="D3917" s="60"/>
      <c r="F3917" s="60"/>
      <c r="G3917" s="60"/>
      <c r="H3917" s="62"/>
      <c r="I3917" s="62" t="str">
        <f t="shared" si="61"/>
        <v/>
      </c>
    </row>
    <row r="3918" spans="2:9" x14ac:dyDescent="0.25">
      <c r="B3918" s="59"/>
      <c r="C3918" s="60"/>
      <c r="D3918" s="60"/>
      <c r="F3918" s="60"/>
      <c r="G3918" s="60"/>
      <c r="H3918" s="62"/>
      <c r="I3918" s="62" t="str">
        <f t="shared" si="61"/>
        <v/>
      </c>
    </row>
    <row r="3919" spans="2:9" x14ac:dyDescent="0.25">
      <c r="B3919" s="59"/>
      <c r="C3919" s="60"/>
      <c r="D3919" s="60"/>
      <c r="F3919" s="60"/>
      <c r="G3919" s="60"/>
      <c r="H3919" s="62"/>
      <c r="I3919" s="62" t="str">
        <f t="shared" si="61"/>
        <v/>
      </c>
    </row>
    <row r="3920" spans="2:9" x14ac:dyDescent="0.25">
      <c r="B3920" s="59"/>
      <c r="C3920" s="60"/>
      <c r="D3920" s="60"/>
      <c r="F3920" s="60"/>
      <c r="G3920" s="60"/>
      <c r="H3920" s="62"/>
      <c r="I3920" s="62" t="str">
        <f t="shared" si="61"/>
        <v/>
      </c>
    </row>
    <row r="3921" spans="2:9" x14ac:dyDescent="0.25">
      <c r="B3921" s="59"/>
      <c r="C3921" s="60"/>
      <c r="D3921" s="60"/>
      <c r="F3921" s="60"/>
      <c r="G3921" s="60"/>
      <c r="H3921" s="62"/>
      <c r="I3921" s="62" t="str">
        <f t="shared" si="61"/>
        <v/>
      </c>
    </row>
    <row r="3922" spans="2:9" x14ac:dyDescent="0.25">
      <c r="B3922" s="59"/>
      <c r="C3922" s="60"/>
      <c r="D3922" s="60"/>
      <c r="F3922" s="60"/>
      <c r="G3922" s="60"/>
      <c r="H3922" s="62"/>
      <c r="I3922" s="62" t="str">
        <f t="shared" si="61"/>
        <v/>
      </c>
    </row>
    <row r="3923" spans="2:9" x14ac:dyDescent="0.25">
      <c r="B3923" s="59"/>
      <c r="C3923" s="60"/>
      <c r="D3923" s="60"/>
      <c r="F3923" s="60"/>
      <c r="G3923" s="60"/>
      <c r="H3923" s="62"/>
      <c r="I3923" s="62" t="str">
        <f t="shared" si="61"/>
        <v/>
      </c>
    </row>
    <row r="3924" spans="2:9" x14ac:dyDescent="0.25">
      <c r="B3924" s="59"/>
      <c r="C3924" s="60"/>
      <c r="D3924" s="60"/>
      <c r="F3924" s="60"/>
      <c r="G3924" s="60"/>
      <c r="H3924" s="62"/>
      <c r="I3924" s="62" t="str">
        <f t="shared" si="61"/>
        <v/>
      </c>
    </row>
    <row r="3925" spans="2:9" x14ac:dyDescent="0.25">
      <c r="B3925" s="59"/>
      <c r="C3925" s="60"/>
      <c r="D3925" s="60"/>
      <c r="F3925" s="60"/>
      <c r="G3925" s="60"/>
      <c r="H3925" s="62"/>
      <c r="I3925" s="62" t="str">
        <f t="shared" si="61"/>
        <v/>
      </c>
    </row>
    <row r="3926" spans="2:9" x14ac:dyDescent="0.25">
      <c r="B3926" s="59"/>
      <c r="C3926" s="60"/>
      <c r="D3926" s="60"/>
      <c r="F3926" s="60"/>
      <c r="G3926" s="60"/>
      <c r="H3926" s="62"/>
      <c r="I3926" s="62" t="str">
        <f t="shared" si="61"/>
        <v/>
      </c>
    </row>
    <row r="3927" spans="2:9" x14ac:dyDescent="0.25">
      <c r="B3927" s="59"/>
      <c r="C3927" s="60"/>
      <c r="D3927" s="60"/>
      <c r="F3927" s="60"/>
      <c r="G3927" s="60"/>
      <c r="H3927" s="62"/>
      <c r="I3927" s="62" t="str">
        <f t="shared" si="61"/>
        <v/>
      </c>
    </row>
    <row r="3928" spans="2:9" x14ac:dyDescent="0.25">
      <c r="B3928" s="59"/>
      <c r="C3928" s="60"/>
      <c r="D3928" s="60"/>
      <c r="F3928" s="60"/>
      <c r="G3928" s="60"/>
      <c r="H3928" s="62"/>
      <c r="I3928" s="62" t="str">
        <f t="shared" si="61"/>
        <v/>
      </c>
    </row>
    <row r="3929" spans="2:9" x14ac:dyDescent="0.25">
      <c r="B3929" s="59"/>
      <c r="C3929" s="60"/>
      <c r="D3929" s="60"/>
      <c r="F3929" s="60"/>
      <c r="G3929" s="60"/>
      <c r="H3929" s="62"/>
      <c r="I3929" s="62" t="str">
        <f t="shared" si="61"/>
        <v/>
      </c>
    </row>
    <row r="3930" spans="2:9" x14ac:dyDescent="0.25">
      <c r="B3930" s="59"/>
      <c r="C3930" s="60"/>
      <c r="D3930" s="60"/>
      <c r="F3930" s="60"/>
      <c r="G3930" s="60"/>
      <c r="H3930" s="62"/>
      <c r="I3930" s="62" t="str">
        <f t="shared" si="61"/>
        <v/>
      </c>
    </row>
    <row r="3931" spans="2:9" x14ac:dyDescent="0.25">
      <c r="B3931" s="59"/>
      <c r="C3931" s="60"/>
      <c r="D3931" s="60"/>
      <c r="F3931" s="60"/>
      <c r="G3931" s="60"/>
      <c r="H3931" s="62"/>
      <c r="I3931" s="62" t="str">
        <f t="shared" si="61"/>
        <v/>
      </c>
    </row>
    <row r="3932" spans="2:9" x14ac:dyDescent="0.25">
      <c r="B3932" s="59"/>
      <c r="C3932" s="60"/>
      <c r="D3932" s="60"/>
      <c r="F3932" s="60"/>
      <c r="G3932" s="60"/>
      <c r="H3932" s="62"/>
      <c r="I3932" s="62" t="str">
        <f t="shared" si="61"/>
        <v/>
      </c>
    </row>
    <row r="3933" spans="2:9" x14ac:dyDescent="0.25">
      <c r="B3933" s="59"/>
      <c r="C3933" s="60"/>
      <c r="D3933" s="60"/>
      <c r="F3933" s="60"/>
      <c r="G3933" s="60"/>
      <c r="H3933" s="62"/>
      <c r="I3933" s="62" t="str">
        <f t="shared" si="61"/>
        <v/>
      </c>
    </row>
    <row r="3934" spans="2:9" x14ac:dyDescent="0.25">
      <c r="B3934" s="59"/>
      <c r="C3934" s="60"/>
      <c r="D3934" s="60"/>
      <c r="F3934" s="60"/>
      <c r="G3934" s="60"/>
      <c r="H3934" s="62"/>
      <c r="I3934" s="62" t="str">
        <f t="shared" si="61"/>
        <v/>
      </c>
    </row>
    <row r="3935" spans="2:9" x14ac:dyDescent="0.25">
      <c r="B3935" s="59"/>
      <c r="C3935" s="60"/>
      <c r="D3935" s="60"/>
      <c r="F3935" s="60"/>
      <c r="G3935" s="60"/>
      <c r="H3935" s="62"/>
      <c r="I3935" s="62" t="str">
        <f t="shared" si="61"/>
        <v/>
      </c>
    </row>
    <row r="3936" spans="2:9" x14ac:dyDescent="0.25">
      <c r="B3936" s="59"/>
      <c r="C3936" s="60"/>
      <c r="D3936" s="60"/>
      <c r="F3936" s="60"/>
      <c r="G3936" s="60"/>
      <c r="H3936" s="62"/>
      <c r="I3936" s="62" t="str">
        <f t="shared" si="61"/>
        <v/>
      </c>
    </row>
    <row r="3937" spans="2:9" x14ac:dyDescent="0.25">
      <c r="B3937" s="59"/>
      <c r="C3937" s="60"/>
      <c r="D3937" s="60"/>
      <c r="F3937" s="60"/>
      <c r="G3937" s="60"/>
      <c r="H3937" s="62"/>
      <c r="I3937" s="62" t="str">
        <f t="shared" si="61"/>
        <v/>
      </c>
    </row>
    <row r="3938" spans="2:9" x14ac:dyDescent="0.25">
      <c r="B3938" s="59"/>
      <c r="C3938" s="60"/>
      <c r="D3938" s="60"/>
      <c r="F3938" s="60"/>
      <c r="G3938" s="60"/>
      <c r="H3938" s="62"/>
      <c r="I3938" s="62" t="str">
        <f t="shared" si="61"/>
        <v/>
      </c>
    </row>
    <row r="3939" spans="2:9" x14ac:dyDescent="0.25">
      <c r="B3939" s="59"/>
      <c r="C3939" s="60"/>
      <c r="D3939" s="60"/>
      <c r="F3939" s="60"/>
      <c r="G3939" s="60"/>
      <c r="H3939" s="62"/>
      <c r="I3939" s="62" t="str">
        <f t="shared" si="61"/>
        <v/>
      </c>
    </row>
    <row r="3940" spans="2:9" x14ac:dyDescent="0.25">
      <c r="B3940" s="59"/>
      <c r="C3940" s="60"/>
      <c r="D3940" s="60"/>
      <c r="F3940" s="60"/>
      <c r="G3940" s="60"/>
      <c r="H3940" s="62"/>
      <c r="I3940" s="62" t="str">
        <f t="shared" si="61"/>
        <v/>
      </c>
    </row>
    <row r="3941" spans="2:9" x14ac:dyDescent="0.25">
      <c r="B3941" s="59"/>
      <c r="C3941" s="60"/>
      <c r="D3941" s="60"/>
      <c r="F3941" s="60"/>
      <c r="G3941" s="60"/>
      <c r="H3941" s="62"/>
      <c r="I3941" s="62" t="str">
        <f t="shared" si="61"/>
        <v/>
      </c>
    </row>
    <row r="3942" spans="2:9" x14ac:dyDescent="0.25">
      <c r="B3942" s="59"/>
      <c r="C3942" s="60"/>
      <c r="D3942" s="60"/>
      <c r="F3942" s="60"/>
      <c r="G3942" s="60"/>
      <c r="H3942" s="62"/>
      <c r="I3942" s="62" t="str">
        <f t="shared" si="61"/>
        <v/>
      </c>
    </row>
    <row r="3943" spans="2:9" x14ac:dyDescent="0.25">
      <c r="B3943" s="59"/>
      <c r="C3943" s="60"/>
      <c r="D3943" s="60"/>
      <c r="F3943" s="60"/>
      <c r="G3943" s="60"/>
      <c r="H3943" s="62"/>
      <c r="I3943" s="62" t="str">
        <f t="shared" si="61"/>
        <v/>
      </c>
    </row>
    <row r="3944" spans="2:9" x14ac:dyDescent="0.25">
      <c r="B3944" s="59"/>
      <c r="C3944" s="60"/>
      <c r="D3944" s="60"/>
      <c r="F3944" s="60"/>
      <c r="G3944" s="60"/>
      <c r="H3944" s="62"/>
      <c r="I3944" s="62" t="str">
        <f t="shared" si="61"/>
        <v/>
      </c>
    </row>
    <row r="3945" spans="2:9" x14ac:dyDescent="0.25">
      <c r="B3945" s="59"/>
      <c r="C3945" s="60"/>
      <c r="D3945" s="60"/>
      <c r="F3945" s="60"/>
      <c r="G3945" s="60"/>
      <c r="H3945" s="62"/>
      <c r="I3945" s="62" t="str">
        <f t="shared" si="61"/>
        <v/>
      </c>
    </row>
    <row r="3946" spans="2:9" x14ac:dyDescent="0.25">
      <c r="B3946" s="59"/>
      <c r="C3946" s="60"/>
      <c r="D3946" s="60"/>
      <c r="F3946" s="60"/>
      <c r="G3946" s="60"/>
      <c r="H3946" s="62"/>
      <c r="I3946" s="62" t="str">
        <f t="shared" si="61"/>
        <v/>
      </c>
    </row>
    <row r="3947" spans="2:9" x14ac:dyDescent="0.25">
      <c r="B3947" s="59"/>
      <c r="C3947" s="60"/>
      <c r="D3947" s="60"/>
      <c r="F3947" s="60"/>
      <c r="G3947" s="60"/>
      <c r="H3947" s="62"/>
      <c r="I3947" s="62" t="str">
        <f t="shared" si="61"/>
        <v/>
      </c>
    </row>
    <row r="3948" spans="2:9" x14ac:dyDescent="0.25">
      <c r="B3948" s="59"/>
      <c r="C3948" s="60"/>
      <c r="D3948" s="60"/>
      <c r="F3948" s="60"/>
      <c r="G3948" s="60"/>
      <c r="H3948" s="62"/>
      <c r="I3948" s="62" t="str">
        <f t="shared" si="61"/>
        <v/>
      </c>
    </row>
    <row r="3949" spans="2:9" x14ac:dyDescent="0.25">
      <c r="B3949" s="59"/>
      <c r="C3949" s="60"/>
      <c r="D3949" s="60"/>
      <c r="F3949" s="60"/>
      <c r="G3949" s="60"/>
      <c r="H3949" s="62"/>
      <c r="I3949" s="62" t="str">
        <f t="shared" si="61"/>
        <v/>
      </c>
    </row>
    <row r="3950" spans="2:9" x14ac:dyDescent="0.25">
      <c r="B3950" s="59"/>
      <c r="C3950" s="60"/>
      <c r="D3950" s="60"/>
      <c r="F3950" s="60"/>
      <c r="G3950" s="60"/>
      <c r="H3950" s="62"/>
      <c r="I3950" s="62" t="str">
        <f t="shared" si="61"/>
        <v/>
      </c>
    </row>
    <row r="3951" spans="2:9" x14ac:dyDescent="0.25">
      <c r="B3951" s="59"/>
      <c r="C3951" s="60"/>
      <c r="D3951" s="60"/>
      <c r="F3951" s="60"/>
      <c r="G3951" s="60"/>
      <c r="H3951" s="62"/>
      <c r="I3951" s="62" t="str">
        <f t="shared" si="61"/>
        <v/>
      </c>
    </row>
    <row r="3952" spans="2:9" x14ac:dyDescent="0.25">
      <c r="B3952" s="59"/>
      <c r="C3952" s="60"/>
      <c r="D3952" s="60"/>
      <c r="F3952" s="60"/>
      <c r="G3952" s="60"/>
      <c r="H3952" s="62"/>
      <c r="I3952" s="62" t="str">
        <f t="shared" si="61"/>
        <v/>
      </c>
    </row>
    <row r="3953" spans="2:9" x14ac:dyDescent="0.25">
      <c r="B3953" s="59"/>
      <c r="C3953" s="60"/>
      <c r="D3953" s="60"/>
      <c r="F3953" s="60"/>
      <c r="G3953" s="60"/>
      <c r="H3953" s="62"/>
      <c r="I3953" s="62" t="str">
        <f t="shared" si="61"/>
        <v/>
      </c>
    </row>
    <row r="3954" spans="2:9" x14ac:dyDescent="0.25">
      <c r="B3954" s="59"/>
      <c r="C3954" s="60"/>
      <c r="D3954" s="60"/>
      <c r="F3954" s="60"/>
      <c r="G3954" s="60"/>
      <c r="H3954" s="62"/>
      <c r="I3954" s="62" t="str">
        <f t="shared" si="61"/>
        <v/>
      </c>
    </row>
    <row r="3955" spans="2:9" x14ac:dyDescent="0.25">
      <c r="B3955" s="59"/>
      <c r="C3955" s="60"/>
      <c r="D3955" s="60"/>
      <c r="F3955" s="60"/>
      <c r="G3955" s="60"/>
      <c r="H3955" s="62"/>
      <c r="I3955" s="62" t="str">
        <f t="shared" si="61"/>
        <v/>
      </c>
    </row>
    <row r="3956" spans="2:9" x14ac:dyDescent="0.25">
      <c r="B3956" s="59"/>
      <c r="C3956" s="60"/>
      <c r="D3956" s="60"/>
      <c r="F3956" s="60"/>
      <c r="G3956" s="60"/>
      <c r="H3956" s="62"/>
      <c r="I3956" s="62" t="str">
        <f t="shared" si="61"/>
        <v/>
      </c>
    </row>
    <row r="3957" spans="2:9" x14ac:dyDescent="0.25">
      <c r="B3957" s="59"/>
      <c r="C3957" s="60"/>
      <c r="D3957" s="60"/>
      <c r="F3957" s="60"/>
      <c r="G3957" s="60"/>
      <c r="H3957" s="62"/>
      <c r="I3957" s="62" t="str">
        <f t="shared" si="61"/>
        <v/>
      </c>
    </row>
    <row r="3958" spans="2:9" x14ac:dyDescent="0.25">
      <c r="B3958" s="59"/>
      <c r="C3958" s="60"/>
      <c r="D3958" s="60"/>
      <c r="F3958" s="60"/>
      <c r="G3958" s="60"/>
      <c r="H3958" s="62"/>
      <c r="I3958" s="62" t="str">
        <f t="shared" si="61"/>
        <v/>
      </c>
    </row>
    <row r="3959" spans="2:9" x14ac:dyDescent="0.25">
      <c r="B3959" s="59"/>
      <c r="C3959" s="60"/>
      <c r="D3959" s="60"/>
      <c r="F3959" s="60"/>
      <c r="G3959" s="60"/>
      <c r="H3959" s="62"/>
      <c r="I3959" s="62" t="str">
        <f t="shared" si="61"/>
        <v/>
      </c>
    </row>
    <row r="3960" spans="2:9" x14ac:dyDescent="0.25">
      <c r="B3960" s="59"/>
      <c r="C3960" s="60"/>
      <c r="D3960" s="60"/>
      <c r="F3960" s="60"/>
      <c r="G3960" s="60"/>
      <c r="H3960" s="62"/>
      <c r="I3960" s="62" t="str">
        <f t="shared" si="61"/>
        <v/>
      </c>
    </row>
    <row r="3961" spans="2:9" x14ac:dyDescent="0.25">
      <c r="B3961" s="59"/>
      <c r="C3961" s="60"/>
      <c r="D3961" s="60"/>
      <c r="F3961" s="60"/>
      <c r="G3961" s="60"/>
      <c r="H3961" s="62"/>
      <c r="I3961" s="62" t="str">
        <f t="shared" si="61"/>
        <v/>
      </c>
    </row>
    <row r="3962" spans="2:9" x14ac:dyDescent="0.25">
      <c r="B3962" s="59"/>
      <c r="C3962" s="60"/>
      <c r="D3962" s="60"/>
      <c r="F3962" s="60"/>
      <c r="G3962" s="60"/>
      <c r="H3962" s="62"/>
      <c r="I3962" s="62" t="str">
        <f t="shared" si="61"/>
        <v/>
      </c>
    </row>
    <row r="3963" spans="2:9" x14ac:dyDescent="0.25">
      <c r="B3963" s="59"/>
      <c r="C3963" s="60"/>
      <c r="D3963" s="60"/>
      <c r="F3963" s="60"/>
      <c r="G3963" s="60"/>
      <c r="H3963" s="62"/>
      <c r="I3963" s="62" t="str">
        <f t="shared" si="61"/>
        <v/>
      </c>
    </row>
    <row r="3964" spans="2:9" x14ac:dyDescent="0.25">
      <c r="B3964" s="59"/>
      <c r="C3964" s="60"/>
      <c r="D3964" s="60"/>
      <c r="F3964" s="60"/>
      <c r="G3964" s="60"/>
      <c r="H3964" s="62"/>
      <c r="I3964" s="62" t="str">
        <f t="shared" si="61"/>
        <v/>
      </c>
    </row>
    <row r="3965" spans="2:9" x14ac:dyDescent="0.25">
      <c r="B3965" s="59"/>
      <c r="C3965" s="60"/>
      <c r="D3965" s="60"/>
      <c r="F3965" s="60"/>
      <c r="G3965" s="60"/>
      <c r="H3965" s="62"/>
      <c r="I3965" s="62" t="str">
        <f t="shared" si="61"/>
        <v/>
      </c>
    </row>
    <row r="3966" spans="2:9" x14ac:dyDescent="0.25">
      <c r="B3966" s="59"/>
      <c r="C3966" s="60"/>
      <c r="D3966" s="60"/>
      <c r="F3966" s="60"/>
      <c r="G3966" s="60"/>
      <c r="H3966" s="62"/>
      <c r="I3966" s="62" t="str">
        <f t="shared" si="61"/>
        <v/>
      </c>
    </row>
    <row r="3967" spans="2:9" x14ac:dyDescent="0.25">
      <c r="B3967" s="59"/>
      <c r="C3967" s="60"/>
      <c r="D3967" s="60"/>
      <c r="F3967" s="60"/>
      <c r="G3967" s="60"/>
      <c r="H3967" s="62"/>
      <c r="I3967" s="62" t="str">
        <f t="shared" si="61"/>
        <v/>
      </c>
    </row>
    <row r="3968" spans="2:9" x14ac:dyDescent="0.25">
      <c r="B3968" s="59"/>
      <c r="C3968" s="60"/>
      <c r="D3968" s="60"/>
      <c r="F3968" s="60"/>
      <c r="G3968" s="60"/>
      <c r="H3968" s="62"/>
      <c r="I3968" s="62" t="str">
        <f t="shared" si="61"/>
        <v/>
      </c>
    </row>
    <row r="3969" spans="2:9" x14ac:dyDescent="0.25">
      <c r="B3969" s="59"/>
      <c r="C3969" s="60"/>
      <c r="D3969" s="60"/>
      <c r="F3969" s="60"/>
      <c r="G3969" s="60"/>
      <c r="H3969" s="62"/>
      <c r="I3969" s="62" t="str">
        <f t="shared" si="61"/>
        <v/>
      </c>
    </row>
    <row r="3970" spans="2:9" x14ac:dyDescent="0.25">
      <c r="B3970" s="59"/>
      <c r="C3970" s="60"/>
      <c r="D3970" s="60"/>
      <c r="F3970" s="60"/>
      <c r="G3970" s="60"/>
      <c r="H3970" s="62"/>
      <c r="I3970" s="62" t="str">
        <f t="shared" si="61"/>
        <v/>
      </c>
    </row>
    <row r="3971" spans="2:9" x14ac:dyDescent="0.25">
      <c r="B3971" s="59"/>
      <c r="C3971" s="60"/>
      <c r="D3971" s="60"/>
      <c r="F3971" s="60"/>
      <c r="G3971" s="60"/>
      <c r="H3971" s="62"/>
      <c r="I3971" s="62" t="str">
        <f t="shared" si="61"/>
        <v/>
      </c>
    </row>
    <row r="3972" spans="2:9" x14ac:dyDescent="0.25">
      <c r="B3972" s="59"/>
      <c r="C3972" s="60"/>
      <c r="D3972" s="60"/>
      <c r="F3972" s="60"/>
      <c r="G3972" s="60"/>
      <c r="H3972" s="62"/>
      <c r="I3972" s="62" t="str">
        <f t="shared" si="61"/>
        <v/>
      </c>
    </row>
    <row r="3973" spans="2:9" x14ac:dyDescent="0.25">
      <c r="B3973" s="59"/>
      <c r="C3973" s="60"/>
      <c r="D3973" s="60"/>
      <c r="F3973" s="60"/>
      <c r="G3973" s="60"/>
      <c r="H3973" s="62"/>
      <c r="I3973" s="62" t="str">
        <f t="shared" ref="I3973:I4036" si="62">IF(H3973&lt;&gt;"",H3973-H3972,"")</f>
        <v/>
      </c>
    </row>
    <row r="3974" spans="2:9" x14ac:dyDescent="0.25">
      <c r="B3974" s="59"/>
      <c r="C3974" s="60"/>
      <c r="D3974" s="60"/>
      <c r="F3974" s="60"/>
      <c r="G3974" s="60"/>
      <c r="H3974" s="62"/>
      <c r="I3974" s="62" t="str">
        <f t="shared" si="62"/>
        <v/>
      </c>
    </row>
    <row r="3975" spans="2:9" x14ac:dyDescent="0.25">
      <c r="B3975" s="59"/>
      <c r="C3975" s="60"/>
      <c r="D3975" s="60"/>
      <c r="F3975" s="60"/>
      <c r="G3975" s="60"/>
      <c r="H3975" s="62"/>
      <c r="I3975" s="62" t="str">
        <f t="shared" si="62"/>
        <v/>
      </c>
    </row>
    <row r="3976" spans="2:9" x14ac:dyDescent="0.25">
      <c r="B3976" s="59"/>
      <c r="C3976" s="60"/>
      <c r="D3976" s="60"/>
      <c r="F3976" s="60"/>
      <c r="G3976" s="60"/>
      <c r="H3976" s="62"/>
      <c r="I3976" s="62" t="str">
        <f t="shared" si="62"/>
        <v/>
      </c>
    </row>
    <row r="3977" spans="2:9" x14ac:dyDescent="0.25">
      <c r="B3977" s="59"/>
      <c r="C3977" s="60"/>
      <c r="D3977" s="60"/>
      <c r="F3977" s="60"/>
      <c r="G3977" s="60"/>
      <c r="H3977" s="62"/>
      <c r="I3977" s="62" t="str">
        <f t="shared" si="62"/>
        <v/>
      </c>
    </row>
    <row r="3978" spans="2:9" x14ac:dyDescent="0.25">
      <c r="B3978" s="59"/>
      <c r="C3978" s="60"/>
      <c r="D3978" s="60"/>
      <c r="F3978" s="60"/>
      <c r="G3978" s="60"/>
      <c r="H3978" s="62"/>
      <c r="I3978" s="62" t="str">
        <f t="shared" si="62"/>
        <v/>
      </c>
    </row>
    <row r="3979" spans="2:9" x14ac:dyDescent="0.25">
      <c r="B3979" s="59"/>
      <c r="C3979" s="60"/>
      <c r="D3979" s="60"/>
      <c r="F3979" s="60"/>
      <c r="G3979" s="60"/>
      <c r="H3979" s="62"/>
      <c r="I3979" s="62" t="str">
        <f t="shared" si="62"/>
        <v/>
      </c>
    </row>
    <row r="3980" spans="2:9" x14ac:dyDescent="0.25">
      <c r="B3980" s="59"/>
      <c r="C3980" s="60"/>
      <c r="D3980" s="60"/>
      <c r="F3980" s="60"/>
      <c r="G3980" s="60"/>
      <c r="H3980" s="62"/>
      <c r="I3980" s="62" t="str">
        <f t="shared" si="62"/>
        <v/>
      </c>
    </row>
    <row r="3981" spans="2:9" x14ac:dyDescent="0.25">
      <c r="B3981" s="59"/>
      <c r="C3981" s="60"/>
      <c r="D3981" s="60"/>
      <c r="F3981" s="60"/>
      <c r="G3981" s="60"/>
      <c r="H3981" s="62"/>
      <c r="I3981" s="62" t="str">
        <f t="shared" si="62"/>
        <v/>
      </c>
    </row>
    <row r="3982" spans="2:9" x14ac:dyDescent="0.25">
      <c r="B3982" s="59"/>
      <c r="C3982" s="60"/>
      <c r="D3982" s="60"/>
      <c r="F3982" s="60"/>
      <c r="G3982" s="60"/>
      <c r="H3982" s="62"/>
      <c r="I3982" s="62" t="str">
        <f t="shared" si="62"/>
        <v/>
      </c>
    </row>
    <row r="3983" spans="2:9" x14ac:dyDescent="0.25">
      <c r="B3983" s="59"/>
      <c r="C3983" s="60"/>
      <c r="D3983" s="60"/>
      <c r="F3983" s="60"/>
      <c r="G3983" s="60"/>
      <c r="H3983" s="62"/>
      <c r="I3983" s="62" t="str">
        <f t="shared" si="62"/>
        <v/>
      </c>
    </row>
    <row r="3984" spans="2:9" x14ac:dyDescent="0.25">
      <c r="B3984" s="59"/>
      <c r="C3984" s="60"/>
      <c r="D3984" s="60"/>
      <c r="F3984" s="60"/>
      <c r="G3984" s="60"/>
      <c r="H3984" s="62"/>
      <c r="I3984" s="62" t="str">
        <f t="shared" si="62"/>
        <v/>
      </c>
    </row>
    <row r="3985" spans="2:9" x14ac:dyDescent="0.25">
      <c r="B3985" s="59"/>
      <c r="C3985" s="60"/>
      <c r="D3985" s="60"/>
      <c r="F3985" s="60"/>
      <c r="G3985" s="60"/>
      <c r="H3985" s="62"/>
      <c r="I3985" s="62" t="str">
        <f t="shared" si="62"/>
        <v/>
      </c>
    </row>
    <row r="3986" spans="2:9" x14ac:dyDescent="0.25">
      <c r="B3986" s="59"/>
      <c r="C3986" s="60"/>
      <c r="D3986" s="60"/>
      <c r="F3986" s="60"/>
      <c r="G3986" s="60"/>
      <c r="H3986" s="62"/>
      <c r="I3986" s="62" t="str">
        <f t="shared" si="62"/>
        <v/>
      </c>
    </row>
    <row r="3987" spans="2:9" x14ac:dyDescent="0.25">
      <c r="B3987" s="59"/>
      <c r="C3987" s="60"/>
      <c r="D3987" s="60"/>
      <c r="F3987" s="60"/>
      <c r="G3987" s="60"/>
      <c r="H3987" s="62"/>
      <c r="I3987" s="62" t="str">
        <f t="shared" si="62"/>
        <v/>
      </c>
    </row>
    <row r="3988" spans="2:9" x14ac:dyDescent="0.25">
      <c r="B3988" s="59"/>
      <c r="C3988" s="60"/>
      <c r="D3988" s="60"/>
      <c r="F3988" s="60"/>
      <c r="G3988" s="60"/>
      <c r="H3988" s="62"/>
      <c r="I3988" s="62" t="str">
        <f t="shared" si="62"/>
        <v/>
      </c>
    </row>
    <row r="3989" spans="2:9" x14ac:dyDescent="0.25">
      <c r="B3989" s="59"/>
      <c r="C3989" s="60"/>
      <c r="D3989" s="60"/>
      <c r="F3989" s="60"/>
      <c r="G3989" s="60"/>
      <c r="H3989" s="62"/>
      <c r="I3989" s="62" t="str">
        <f t="shared" si="62"/>
        <v/>
      </c>
    </row>
    <row r="3990" spans="2:9" x14ac:dyDescent="0.25">
      <c r="B3990" s="59"/>
      <c r="C3990" s="60"/>
      <c r="D3990" s="60"/>
      <c r="F3990" s="60"/>
      <c r="G3990" s="60"/>
      <c r="H3990" s="62"/>
      <c r="I3990" s="62" t="str">
        <f t="shared" si="62"/>
        <v/>
      </c>
    </row>
    <row r="3991" spans="2:9" x14ac:dyDescent="0.25">
      <c r="B3991" s="59"/>
      <c r="C3991" s="60"/>
      <c r="D3991" s="60"/>
      <c r="F3991" s="60"/>
      <c r="G3991" s="60"/>
      <c r="H3991" s="62"/>
      <c r="I3991" s="62" t="str">
        <f t="shared" si="62"/>
        <v/>
      </c>
    </row>
    <row r="3992" spans="2:9" x14ac:dyDescent="0.25">
      <c r="B3992" s="59"/>
      <c r="C3992" s="60"/>
      <c r="D3992" s="60"/>
      <c r="F3992" s="60"/>
      <c r="G3992" s="60"/>
      <c r="H3992" s="62"/>
      <c r="I3992" s="62" t="str">
        <f t="shared" si="62"/>
        <v/>
      </c>
    </row>
    <row r="3993" spans="2:9" x14ac:dyDescent="0.25">
      <c r="B3993" s="59"/>
      <c r="C3993" s="60"/>
      <c r="D3993" s="60"/>
      <c r="F3993" s="60"/>
      <c r="G3993" s="60"/>
      <c r="H3993" s="62"/>
      <c r="I3993" s="62" t="str">
        <f t="shared" si="62"/>
        <v/>
      </c>
    </row>
    <row r="3994" spans="2:9" x14ac:dyDescent="0.25">
      <c r="B3994" s="59"/>
      <c r="C3994" s="60"/>
      <c r="D3994" s="60"/>
      <c r="F3994" s="60"/>
      <c r="G3994" s="60"/>
      <c r="H3994" s="62"/>
      <c r="I3994" s="62" t="str">
        <f t="shared" si="62"/>
        <v/>
      </c>
    </row>
    <row r="3995" spans="2:9" x14ac:dyDescent="0.25">
      <c r="B3995" s="59"/>
      <c r="C3995" s="60"/>
      <c r="D3995" s="60"/>
      <c r="F3995" s="60"/>
      <c r="G3995" s="60"/>
      <c r="H3995" s="62"/>
      <c r="I3995" s="62" t="str">
        <f t="shared" si="62"/>
        <v/>
      </c>
    </row>
    <row r="3996" spans="2:9" x14ac:dyDescent="0.25">
      <c r="B3996" s="59"/>
      <c r="C3996" s="60"/>
      <c r="D3996" s="60"/>
      <c r="F3996" s="60"/>
      <c r="G3996" s="60"/>
      <c r="H3996" s="62"/>
      <c r="I3996" s="62" t="str">
        <f t="shared" si="62"/>
        <v/>
      </c>
    </row>
    <row r="3997" spans="2:9" x14ac:dyDescent="0.25">
      <c r="B3997" s="59"/>
      <c r="C3997" s="60"/>
      <c r="D3997" s="60"/>
      <c r="F3997" s="60"/>
      <c r="G3997" s="60"/>
      <c r="H3997" s="62"/>
      <c r="I3997" s="62" t="str">
        <f t="shared" si="62"/>
        <v/>
      </c>
    </row>
    <row r="3998" spans="2:9" x14ac:dyDescent="0.25">
      <c r="B3998" s="59"/>
      <c r="C3998" s="60"/>
      <c r="D3998" s="60"/>
      <c r="F3998" s="60"/>
      <c r="G3998" s="60"/>
      <c r="H3998" s="62"/>
      <c r="I3998" s="62" t="str">
        <f t="shared" si="62"/>
        <v/>
      </c>
    </row>
    <row r="3999" spans="2:9" x14ac:dyDescent="0.25">
      <c r="B3999" s="59"/>
      <c r="C3999" s="60"/>
      <c r="D3999" s="60"/>
      <c r="F3999" s="60"/>
      <c r="G3999" s="60"/>
      <c r="H3999" s="62"/>
      <c r="I3999" s="62" t="str">
        <f t="shared" si="62"/>
        <v/>
      </c>
    </row>
    <row r="4000" spans="2:9" x14ac:dyDescent="0.25">
      <c r="B4000" s="59"/>
      <c r="C4000" s="60"/>
      <c r="D4000" s="60"/>
      <c r="F4000" s="60"/>
      <c r="G4000" s="60"/>
      <c r="H4000" s="62"/>
      <c r="I4000" s="62" t="str">
        <f t="shared" si="62"/>
        <v/>
      </c>
    </row>
    <row r="4001" spans="2:9" x14ac:dyDescent="0.25">
      <c r="B4001" s="59"/>
      <c r="C4001" s="60"/>
      <c r="D4001" s="60"/>
      <c r="F4001" s="60"/>
      <c r="G4001" s="60"/>
      <c r="H4001" s="62"/>
      <c r="I4001" s="62" t="str">
        <f t="shared" si="62"/>
        <v/>
      </c>
    </row>
    <row r="4002" spans="2:9" x14ac:dyDescent="0.25">
      <c r="B4002" s="59"/>
      <c r="C4002" s="60"/>
      <c r="D4002" s="60"/>
      <c r="F4002" s="60"/>
      <c r="G4002" s="60"/>
      <c r="H4002" s="62"/>
      <c r="I4002" s="62" t="str">
        <f t="shared" si="62"/>
        <v/>
      </c>
    </row>
    <row r="4003" spans="2:9" x14ac:dyDescent="0.25">
      <c r="B4003" s="59"/>
      <c r="C4003" s="60"/>
      <c r="D4003" s="60"/>
      <c r="F4003" s="60"/>
      <c r="G4003" s="60"/>
      <c r="H4003" s="62"/>
      <c r="I4003" s="62" t="str">
        <f t="shared" si="62"/>
        <v/>
      </c>
    </row>
    <row r="4004" spans="2:9" x14ac:dyDescent="0.25">
      <c r="B4004" s="59"/>
      <c r="C4004" s="60"/>
      <c r="D4004" s="60"/>
      <c r="F4004" s="60"/>
      <c r="G4004" s="60"/>
      <c r="H4004" s="62"/>
      <c r="I4004" s="62" t="str">
        <f t="shared" si="62"/>
        <v/>
      </c>
    </row>
    <row r="4005" spans="2:9" x14ac:dyDescent="0.25">
      <c r="B4005" s="59"/>
      <c r="C4005" s="60"/>
      <c r="D4005" s="60"/>
      <c r="F4005" s="60"/>
      <c r="G4005" s="60"/>
      <c r="H4005" s="62"/>
      <c r="I4005" s="62" t="str">
        <f t="shared" si="62"/>
        <v/>
      </c>
    </row>
    <row r="4006" spans="2:9" x14ac:dyDescent="0.25">
      <c r="B4006" s="59"/>
      <c r="C4006" s="60"/>
      <c r="D4006" s="60"/>
      <c r="F4006" s="60"/>
      <c r="G4006" s="60"/>
      <c r="H4006" s="62"/>
      <c r="I4006" s="62" t="str">
        <f t="shared" si="62"/>
        <v/>
      </c>
    </row>
    <row r="4007" spans="2:9" x14ac:dyDescent="0.25">
      <c r="B4007" s="59"/>
      <c r="C4007" s="60"/>
      <c r="D4007" s="60"/>
      <c r="F4007" s="60"/>
      <c r="G4007" s="60"/>
      <c r="H4007" s="62"/>
      <c r="I4007" s="62" t="str">
        <f t="shared" si="62"/>
        <v/>
      </c>
    </row>
    <row r="4008" spans="2:9" x14ac:dyDescent="0.25">
      <c r="B4008" s="59"/>
      <c r="C4008" s="60"/>
      <c r="D4008" s="60"/>
      <c r="F4008" s="60"/>
      <c r="G4008" s="60"/>
      <c r="H4008" s="62"/>
      <c r="I4008" s="62" t="str">
        <f t="shared" si="62"/>
        <v/>
      </c>
    </row>
    <row r="4009" spans="2:9" x14ac:dyDescent="0.25">
      <c r="B4009" s="59"/>
      <c r="C4009" s="60"/>
      <c r="D4009" s="60"/>
      <c r="F4009" s="60"/>
      <c r="G4009" s="60"/>
      <c r="H4009" s="62"/>
      <c r="I4009" s="62" t="str">
        <f t="shared" si="62"/>
        <v/>
      </c>
    </row>
    <row r="4010" spans="2:9" x14ac:dyDescent="0.25">
      <c r="B4010" s="59"/>
      <c r="C4010" s="60"/>
      <c r="D4010" s="60"/>
      <c r="F4010" s="60"/>
      <c r="G4010" s="60"/>
      <c r="H4010" s="62"/>
      <c r="I4010" s="62" t="str">
        <f t="shared" si="62"/>
        <v/>
      </c>
    </row>
    <row r="4011" spans="2:9" x14ac:dyDescent="0.25">
      <c r="B4011" s="59"/>
      <c r="C4011" s="60"/>
      <c r="D4011" s="60"/>
      <c r="F4011" s="60"/>
      <c r="G4011" s="60"/>
      <c r="H4011" s="62"/>
      <c r="I4011" s="62" t="str">
        <f t="shared" si="62"/>
        <v/>
      </c>
    </row>
    <row r="4012" spans="2:9" x14ac:dyDescent="0.25">
      <c r="B4012" s="59"/>
      <c r="C4012" s="60"/>
      <c r="D4012" s="60"/>
      <c r="F4012" s="60"/>
      <c r="G4012" s="60"/>
      <c r="H4012" s="62"/>
      <c r="I4012" s="62" t="str">
        <f t="shared" si="62"/>
        <v/>
      </c>
    </row>
    <row r="4013" spans="2:9" x14ac:dyDescent="0.25">
      <c r="I4013" s="62" t="str">
        <f t="shared" si="62"/>
        <v/>
      </c>
    </row>
    <row r="4014" spans="2:9" x14ac:dyDescent="0.25">
      <c r="I4014" s="62" t="str">
        <f t="shared" si="62"/>
        <v/>
      </c>
    </row>
    <row r="4015" spans="2:9" x14ac:dyDescent="0.25">
      <c r="I4015" s="62" t="str">
        <f t="shared" si="62"/>
        <v/>
      </c>
    </row>
    <row r="4016" spans="2:9" x14ac:dyDescent="0.25">
      <c r="I4016" s="62" t="str">
        <f t="shared" si="62"/>
        <v/>
      </c>
    </row>
    <row r="4017" spans="9:9" x14ac:dyDescent="0.25">
      <c r="I4017" s="62" t="str">
        <f t="shared" si="62"/>
        <v/>
      </c>
    </row>
    <row r="4018" spans="9:9" x14ac:dyDescent="0.25">
      <c r="I4018" s="62" t="str">
        <f t="shared" si="62"/>
        <v/>
      </c>
    </row>
    <row r="4019" spans="9:9" x14ac:dyDescent="0.25">
      <c r="I4019" s="62" t="str">
        <f t="shared" si="62"/>
        <v/>
      </c>
    </row>
    <row r="4020" spans="9:9" x14ac:dyDescent="0.25">
      <c r="I4020" s="62" t="str">
        <f t="shared" si="62"/>
        <v/>
      </c>
    </row>
    <row r="4021" spans="9:9" x14ac:dyDescent="0.25">
      <c r="I4021" s="62" t="str">
        <f t="shared" si="62"/>
        <v/>
      </c>
    </row>
    <row r="4022" spans="9:9" x14ac:dyDescent="0.25">
      <c r="I4022" s="62" t="str">
        <f t="shared" si="62"/>
        <v/>
      </c>
    </row>
    <row r="4023" spans="9:9" x14ac:dyDescent="0.25">
      <c r="I4023" s="62" t="str">
        <f t="shared" si="62"/>
        <v/>
      </c>
    </row>
    <row r="4024" spans="9:9" x14ac:dyDescent="0.25">
      <c r="I4024" s="62" t="str">
        <f t="shared" si="62"/>
        <v/>
      </c>
    </row>
    <row r="4025" spans="9:9" x14ac:dyDescent="0.25">
      <c r="I4025" s="62" t="str">
        <f t="shared" si="62"/>
        <v/>
      </c>
    </row>
    <row r="4026" spans="9:9" x14ac:dyDescent="0.25">
      <c r="I4026" s="62" t="str">
        <f t="shared" si="62"/>
        <v/>
      </c>
    </row>
    <row r="4027" spans="9:9" x14ac:dyDescent="0.25">
      <c r="I4027" s="62" t="str">
        <f t="shared" si="62"/>
        <v/>
      </c>
    </row>
    <row r="4028" spans="9:9" x14ac:dyDescent="0.25">
      <c r="I4028" s="62" t="str">
        <f t="shared" si="62"/>
        <v/>
      </c>
    </row>
    <row r="4029" spans="9:9" x14ac:dyDescent="0.25">
      <c r="I4029" s="62" t="str">
        <f t="shared" si="62"/>
        <v/>
      </c>
    </row>
    <row r="4030" spans="9:9" x14ac:dyDescent="0.25">
      <c r="I4030" s="62" t="str">
        <f t="shared" si="62"/>
        <v/>
      </c>
    </row>
    <row r="4031" spans="9:9" x14ac:dyDescent="0.25">
      <c r="I4031" s="62" t="str">
        <f t="shared" si="62"/>
        <v/>
      </c>
    </row>
    <row r="4032" spans="9:9" x14ac:dyDescent="0.25">
      <c r="I4032" s="62" t="str">
        <f t="shared" si="62"/>
        <v/>
      </c>
    </row>
    <row r="4033" spans="9:9" x14ac:dyDescent="0.25">
      <c r="I4033" s="62" t="str">
        <f t="shared" si="62"/>
        <v/>
      </c>
    </row>
    <row r="4034" spans="9:9" x14ac:dyDescent="0.25">
      <c r="I4034" s="62" t="str">
        <f t="shared" si="62"/>
        <v/>
      </c>
    </row>
    <row r="4035" spans="9:9" x14ac:dyDescent="0.25">
      <c r="I4035" s="62" t="str">
        <f t="shared" si="62"/>
        <v/>
      </c>
    </row>
    <row r="4036" spans="9:9" x14ac:dyDescent="0.25">
      <c r="I4036" s="62" t="str">
        <f t="shared" si="62"/>
        <v/>
      </c>
    </row>
    <row r="4037" spans="9:9" x14ac:dyDescent="0.25">
      <c r="I4037" s="62" t="str">
        <f t="shared" ref="I4037:I4100" si="63">IF(H4037&lt;&gt;"",H4037-H4036,"")</f>
        <v/>
      </c>
    </row>
    <row r="4038" spans="9:9" x14ac:dyDescent="0.25">
      <c r="I4038" s="62" t="str">
        <f t="shared" si="63"/>
        <v/>
      </c>
    </row>
    <row r="4039" spans="9:9" x14ac:dyDescent="0.25">
      <c r="I4039" s="62" t="str">
        <f t="shared" si="63"/>
        <v/>
      </c>
    </row>
    <row r="4040" spans="9:9" x14ac:dyDescent="0.25">
      <c r="I4040" s="62" t="str">
        <f t="shared" si="63"/>
        <v/>
      </c>
    </row>
    <row r="4041" spans="9:9" x14ac:dyDescent="0.25">
      <c r="I4041" s="62" t="str">
        <f t="shared" si="63"/>
        <v/>
      </c>
    </row>
    <row r="4042" spans="9:9" x14ac:dyDescent="0.25">
      <c r="I4042" s="62" t="str">
        <f t="shared" si="63"/>
        <v/>
      </c>
    </row>
    <row r="4043" spans="9:9" x14ac:dyDescent="0.25">
      <c r="I4043" s="62" t="str">
        <f t="shared" si="63"/>
        <v/>
      </c>
    </row>
    <row r="4044" spans="9:9" x14ac:dyDescent="0.25">
      <c r="I4044" s="62" t="str">
        <f t="shared" si="63"/>
        <v/>
      </c>
    </row>
    <row r="4045" spans="9:9" x14ac:dyDescent="0.25">
      <c r="I4045" s="62" t="str">
        <f t="shared" si="63"/>
        <v/>
      </c>
    </row>
    <row r="4046" spans="9:9" x14ac:dyDescent="0.25">
      <c r="I4046" s="62" t="str">
        <f t="shared" si="63"/>
        <v/>
      </c>
    </row>
    <row r="4047" spans="9:9" x14ac:dyDescent="0.25">
      <c r="I4047" s="62" t="str">
        <f t="shared" si="63"/>
        <v/>
      </c>
    </row>
    <row r="4048" spans="9:9" x14ac:dyDescent="0.25">
      <c r="I4048" s="62" t="str">
        <f t="shared" si="63"/>
        <v/>
      </c>
    </row>
    <row r="4049" spans="9:9" x14ac:dyDescent="0.25">
      <c r="I4049" s="62" t="str">
        <f t="shared" si="63"/>
        <v/>
      </c>
    </row>
    <row r="4050" spans="9:9" x14ac:dyDescent="0.25">
      <c r="I4050" s="62" t="str">
        <f t="shared" si="63"/>
        <v/>
      </c>
    </row>
    <row r="4051" spans="9:9" x14ac:dyDescent="0.25">
      <c r="I4051" s="62" t="str">
        <f t="shared" si="63"/>
        <v/>
      </c>
    </row>
    <row r="4052" spans="9:9" x14ac:dyDescent="0.25">
      <c r="I4052" s="62" t="str">
        <f t="shared" si="63"/>
        <v/>
      </c>
    </row>
    <row r="4053" spans="9:9" x14ac:dyDescent="0.25">
      <c r="I4053" s="62" t="str">
        <f t="shared" si="63"/>
        <v/>
      </c>
    </row>
    <row r="4054" spans="9:9" x14ac:dyDescent="0.25">
      <c r="I4054" s="62" t="str">
        <f t="shared" si="63"/>
        <v/>
      </c>
    </row>
    <row r="4055" spans="9:9" x14ac:dyDescent="0.25">
      <c r="I4055" s="62" t="str">
        <f t="shared" si="63"/>
        <v/>
      </c>
    </row>
    <row r="4056" spans="9:9" x14ac:dyDescent="0.25">
      <c r="I4056" s="62" t="str">
        <f t="shared" si="63"/>
        <v/>
      </c>
    </row>
    <row r="4057" spans="9:9" x14ac:dyDescent="0.25">
      <c r="I4057" s="62" t="str">
        <f t="shared" si="63"/>
        <v/>
      </c>
    </row>
    <row r="4058" spans="9:9" x14ac:dyDescent="0.25">
      <c r="I4058" s="62" t="str">
        <f t="shared" si="63"/>
        <v/>
      </c>
    </row>
    <row r="4059" spans="9:9" x14ac:dyDescent="0.25">
      <c r="I4059" s="62" t="str">
        <f t="shared" si="63"/>
        <v/>
      </c>
    </row>
    <row r="4060" spans="9:9" x14ac:dyDescent="0.25">
      <c r="I4060" s="62" t="str">
        <f t="shared" si="63"/>
        <v/>
      </c>
    </row>
    <row r="4061" spans="9:9" x14ac:dyDescent="0.25">
      <c r="I4061" s="62" t="str">
        <f t="shared" si="63"/>
        <v/>
      </c>
    </row>
    <row r="4062" spans="9:9" x14ac:dyDescent="0.25">
      <c r="I4062" s="62" t="str">
        <f t="shared" si="63"/>
        <v/>
      </c>
    </row>
    <row r="4063" spans="9:9" x14ac:dyDescent="0.25">
      <c r="I4063" s="62" t="str">
        <f t="shared" si="63"/>
        <v/>
      </c>
    </row>
    <row r="4064" spans="9:9" x14ac:dyDescent="0.25">
      <c r="I4064" s="62" t="str">
        <f t="shared" si="63"/>
        <v/>
      </c>
    </row>
    <row r="4065" spans="9:9" x14ac:dyDescent="0.25">
      <c r="I4065" s="62" t="str">
        <f t="shared" si="63"/>
        <v/>
      </c>
    </row>
    <row r="4066" spans="9:9" x14ac:dyDescent="0.25">
      <c r="I4066" s="62" t="str">
        <f t="shared" si="63"/>
        <v/>
      </c>
    </row>
    <row r="4067" spans="9:9" x14ac:dyDescent="0.25">
      <c r="I4067" s="62" t="str">
        <f t="shared" si="63"/>
        <v/>
      </c>
    </row>
    <row r="4068" spans="9:9" x14ac:dyDescent="0.25">
      <c r="I4068" s="62" t="str">
        <f t="shared" si="63"/>
        <v/>
      </c>
    </row>
    <row r="4069" spans="9:9" x14ac:dyDescent="0.25">
      <c r="I4069" s="62" t="str">
        <f t="shared" si="63"/>
        <v/>
      </c>
    </row>
    <row r="4070" spans="9:9" x14ac:dyDescent="0.25">
      <c r="I4070" s="62" t="str">
        <f t="shared" si="63"/>
        <v/>
      </c>
    </row>
    <row r="4071" spans="9:9" x14ac:dyDescent="0.25">
      <c r="I4071" s="62" t="str">
        <f t="shared" si="63"/>
        <v/>
      </c>
    </row>
    <row r="4072" spans="9:9" x14ac:dyDescent="0.25">
      <c r="I4072" s="62" t="str">
        <f t="shared" si="63"/>
        <v/>
      </c>
    </row>
    <row r="4073" spans="9:9" x14ac:dyDescent="0.25">
      <c r="I4073" s="62" t="str">
        <f t="shared" si="63"/>
        <v/>
      </c>
    </row>
    <row r="4074" spans="9:9" x14ac:dyDescent="0.25">
      <c r="I4074" s="62" t="str">
        <f t="shared" si="63"/>
        <v/>
      </c>
    </row>
    <row r="4075" spans="9:9" x14ac:dyDescent="0.25">
      <c r="I4075" s="62" t="str">
        <f t="shared" si="63"/>
        <v/>
      </c>
    </row>
    <row r="4076" spans="9:9" x14ac:dyDescent="0.25">
      <c r="I4076" s="62" t="str">
        <f t="shared" si="63"/>
        <v/>
      </c>
    </row>
    <row r="4077" spans="9:9" x14ac:dyDescent="0.25">
      <c r="I4077" s="62" t="str">
        <f t="shared" si="63"/>
        <v/>
      </c>
    </row>
    <row r="4078" spans="9:9" x14ac:dyDescent="0.25">
      <c r="I4078" s="62" t="str">
        <f t="shared" si="63"/>
        <v/>
      </c>
    </row>
    <row r="4079" spans="9:9" x14ac:dyDescent="0.25">
      <c r="I4079" s="62" t="str">
        <f t="shared" si="63"/>
        <v/>
      </c>
    </row>
    <row r="4080" spans="9:9" x14ac:dyDescent="0.25">
      <c r="I4080" s="62" t="str">
        <f t="shared" si="63"/>
        <v/>
      </c>
    </row>
    <row r="4081" spans="9:9" x14ac:dyDescent="0.25">
      <c r="I4081" s="62" t="str">
        <f t="shared" si="63"/>
        <v/>
      </c>
    </row>
    <row r="4082" spans="9:9" x14ac:dyDescent="0.25">
      <c r="I4082" s="62" t="str">
        <f t="shared" si="63"/>
        <v/>
      </c>
    </row>
    <row r="4083" spans="9:9" x14ac:dyDescent="0.25">
      <c r="I4083" s="62" t="str">
        <f t="shared" si="63"/>
        <v/>
      </c>
    </row>
    <row r="4084" spans="9:9" x14ac:dyDescent="0.25">
      <c r="I4084" s="62" t="str">
        <f t="shared" si="63"/>
        <v/>
      </c>
    </row>
    <row r="4085" spans="9:9" x14ac:dyDescent="0.25">
      <c r="I4085" s="62" t="str">
        <f t="shared" si="63"/>
        <v/>
      </c>
    </row>
    <row r="4086" spans="9:9" x14ac:dyDescent="0.25">
      <c r="I4086" s="62" t="str">
        <f t="shared" si="63"/>
        <v/>
      </c>
    </row>
    <row r="4087" spans="9:9" x14ac:dyDescent="0.25">
      <c r="I4087" s="62" t="str">
        <f t="shared" si="63"/>
        <v/>
      </c>
    </row>
    <row r="4088" spans="9:9" x14ac:dyDescent="0.25">
      <c r="I4088" s="62" t="str">
        <f t="shared" si="63"/>
        <v/>
      </c>
    </row>
    <row r="4089" spans="9:9" x14ac:dyDescent="0.25">
      <c r="I4089" s="62" t="str">
        <f t="shared" si="63"/>
        <v/>
      </c>
    </row>
    <row r="4090" spans="9:9" x14ac:dyDescent="0.25">
      <c r="I4090" s="62" t="str">
        <f t="shared" si="63"/>
        <v/>
      </c>
    </row>
    <row r="4091" spans="9:9" x14ac:dyDescent="0.25">
      <c r="I4091" s="62" t="str">
        <f t="shared" si="63"/>
        <v/>
      </c>
    </row>
    <row r="4092" spans="9:9" x14ac:dyDescent="0.25">
      <c r="I4092" s="62" t="str">
        <f t="shared" si="63"/>
        <v/>
      </c>
    </row>
    <row r="4093" spans="9:9" x14ac:dyDescent="0.25">
      <c r="I4093" s="62" t="str">
        <f t="shared" si="63"/>
        <v/>
      </c>
    </row>
    <row r="4094" spans="9:9" x14ac:dyDescent="0.25">
      <c r="I4094" s="62" t="str">
        <f t="shared" si="63"/>
        <v/>
      </c>
    </row>
    <row r="4095" spans="9:9" x14ac:dyDescent="0.25">
      <c r="I4095" s="62" t="str">
        <f t="shared" si="63"/>
        <v/>
      </c>
    </row>
    <row r="4096" spans="9:9" x14ac:dyDescent="0.25">
      <c r="I4096" s="62" t="str">
        <f t="shared" si="63"/>
        <v/>
      </c>
    </row>
    <row r="4097" spans="9:9" x14ac:dyDescent="0.25">
      <c r="I4097" s="62" t="str">
        <f t="shared" si="63"/>
        <v/>
      </c>
    </row>
    <row r="4098" spans="9:9" x14ac:dyDescent="0.25">
      <c r="I4098" s="62" t="str">
        <f t="shared" si="63"/>
        <v/>
      </c>
    </row>
    <row r="4099" spans="9:9" x14ac:dyDescent="0.25">
      <c r="I4099" s="62" t="str">
        <f t="shared" si="63"/>
        <v/>
      </c>
    </row>
    <row r="4100" spans="9:9" x14ac:dyDescent="0.25">
      <c r="I4100" s="62" t="str">
        <f t="shared" si="63"/>
        <v/>
      </c>
    </row>
    <row r="4101" spans="9:9" x14ac:dyDescent="0.25">
      <c r="I4101" s="62" t="str">
        <f t="shared" ref="I4101:I4164" si="64">IF(H4101&lt;&gt;"",H4101-H4100,"")</f>
        <v/>
      </c>
    </row>
    <row r="4102" spans="9:9" x14ac:dyDescent="0.25">
      <c r="I4102" s="62" t="str">
        <f t="shared" si="64"/>
        <v/>
      </c>
    </row>
    <row r="4103" spans="9:9" x14ac:dyDescent="0.25">
      <c r="I4103" s="62" t="str">
        <f t="shared" si="64"/>
        <v/>
      </c>
    </row>
    <row r="4104" spans="9:9" x14ac:dyDescent="0.25">
      <c r="I4104" s="62" t="str">
        <f t="shared" si="64"/>
        <v/>
      </c>
    </row>
    <row r="4105" spans="9:9" x14ac:dyDescent="0.25">
      <c r="I4105" s="62" t="str">
        <f t="shared" si="64"/>
        <v/>
      </c>
    </row>
    <row r="4106" spans="9:9" x14ac:dyDescent="0.25">
      <c r="I4106" s="62" t="str">
        <f t="shared" si="64"/>
        <v/>
      </c>
    </row>
    <row r="4107" spans="9:9" x14ac:dyDescent="0.25">
      <c r="I4107" s="62" t="str">
        <f t="shared" si="64"/>
        <v/>
      </c>
    </row>
    <row r="4108" spans="9:9" x14ac:dyDescent="0.25">
      <c r="I4108" s="62" t="str">
        <f t="shared" si="64"/>
        <v/>
      </c>
    </row>
    <row r="4109" spans="9:9" x14ac:dyDescent="0.25">
      <c r="I4109" s="62" t="str">
        <f t="shared" si="64"/>
        <v/>
      </c>
    </row>
    <row r="4110" spans="9:9" x14ac:dyDescent="0.25">
      <c r="I4110" s="62" t="str">
        <f t="shared" si="64"/>
        <v/>
      </c>
    </row>
    <row r="4111" spans="9:9" x14ac:dyDescent="0.25">
      <c r="I4111" s="62" t="str">
        <f t="shared" si="64"/>
        <v/>
      </c>
    </row>
    <row r="4112" spans="9:9" x14ac:dyDescent="0.25">
      <c r="I4112" s="62" t="str">
        <f t="shared" si="64"/>
        <v/>
      </c>
    </row>
    <row r="4113" spans="9:9" x14ac:dyDescent="0.25">
      <c r="I4113" s="62" t="str">
        <f t="shared" si="64"/>
        <v/>
      </c>
    </row>
    <row r="4114" spans="9:9" x14ac:dyDescent="0.25">
      <c r="I4114" s="62" t="str">
        <f t="shared" si="64"/>
        <v/>
      </c>
    </row>
    <row r="4115" spans="9:9" x14ac:dyDescent="0.25">
      <c r="I4115" s="62" t="str">
        <f t="shared" si="64"/>
        <v/>
      </c>
    </row>
    <row r="4116" spans="9:9" x14ac:dyDescent="0.25">
      <c r="I4116" s="62" t="str">
        <f t="shared" si="64"/>
        <v/>
      </c>
    </row>
    <row r="4117" spans="9:9" x14ac:dyDescent="0.25">
      <c r="I4117" s="62" t="str">
        <f t="shared" si="64"/>
        <v/>
      </c>
    </row>
    <row r="4118" spans="9:9" x14ac:dyDescent="0.25">
      <c r="I4118" s="62" t="str">
        <f t="shared" si="64"/>
        <v/>
      </c>
    </row>
    <row r="4119" spans="9:9" x14ac:dyDescent="0.25">
      <c r="I4119" s="62" t="str">
        <f t="shared" si="64"/>
        <v/>
      </c>
    </row>
    <row r="4120" spans="9:9" x14ac:dyDescent="0.25">
      <c r="I4120" s="62" t="str">
        <f t="shared" si="64"/>
        <v/>
      </c>
    </row>
    <row r="4121" spans="9:9" x14ac:dyDescent="0.25">
      <c r="I4121" s="62" t="str">
        <f t="shared" si="64"/>
        <v/>
      </c>
    </row>
    <row r="4122" spans="9:9" x14ac:dyDescent="0.25">
      <c r="I4122" s="62" t="str">
        <f t="shared" si="64"/>
        <v/>
      </c>
    </row>
    <row r="4123" spans="9:9" x14ac:dyDescent="0.25">
      <c r="I4123" s="62" t="str">
        <f t="shared" si="64"/>
        <v/>
      </c>
    </row>
    <row r="4124" spans="9:9" x14ac:dyDescent="0.25">
      <c r="I4124" s="62" t="str">
        <f t="shared" si="64"/>
        <v/>
      </c>
    </row>
    <row r="4125" spans="9:9" x14ac:dyDescent="0.25">
      <c r="I4125" s="62" t="str">
        <f t="shared" si="64"/>
        <v/>
      </c>
    </row>
    <row r="4126" spans="9:9" x14ac:dyDescent="0.25">
      <c r="I4126" s="62" t="str">
        <f t="shared" si="64"/>
        <v/>
      </c>
    </row>
    <row r="4127" spans="9:9" x14ac:dyDescent="0.25">
      <c r="I4127" s="62" t="str">
        <f t="shared" si="64"/>
        <v/>
      </c>
    </row>
    <row r="4128" spans="9:9" x14ac:dyDescent="0.25">
      <c r="I4128" s="62" t="str">
        <f t="shared" si="64"/>
        <v/>
      </c>
    </row>
    <row r="4129" spans="9:9" x14ac:dyDescent="0.25">
      <c r="I4129" s="62" t="str">
        <f t="shared" si="64"/>
        <v/>
      </c>
    </row>
    <row r="4130" spans="9:9" x14ac:dyDescent="0.25">
      <c r="I4130" s="62" t="str">
        <f t="shared" si="64"/>
        <v/>
      </c>
    </row>
    <row r="4131" spans="9:9" x14ac:dyDescent="0.25">
      <c r="I4131" s="62" t="str">
        <f t="shared" si="64"/>
        <v/>
      </c>
    </row>
    <row r="4132" spans="9:9" x14ac:dyDescent="0.25">
      <c r="I4132" s="62" t="str">
        <f t="shared" si="64"/>
        <v/>
      </c>
    </row>
    <row r="4133" spans="9:9" x14ac:dyDescent="0.25">
      <c r="I4133" s="62" t="str">
        <f t="shared" si="64"/>
        <v/>
      </c>
    </row>
    <row r="4134" spans="9:9" x14ac:dyDescent="0.25">
      <c r="I4134" s="62" t="str">
        <f t="shared" si="64"/>
        <v/>
      </c>
    </row>
    <row r="4135" spans="9:9" x14ac:dyDescent="0.25">
      <c r="I4135" s="62" t="str">
        <f t="shared" si="64"/>
        <v/>
      </c>
    </row>
    <row r="4136" spans="9:9" x14ac:dyDescent="0.25">
      <c r="I4136" s="62" t="str">
        <f t="shared" si="64"/>
        <v/>
      </c>
    </row>
    <row r="4137" spans="9:9" x14ac:dyDescent="0.25">
      <c r="I4137" s="62" t="str">
        <f t="shared" si="64"/>
        <v/>
      </c>
    </row>
    <row r="4138" spans="9:9" x14ac:dyDescent="0.25">
      <c r="I4138" s="62" t="str">
        <f t="shared" si="64"/>
        <v/>
      </c>
    </row>
    <row r="4139" spans="9:9" x14ac:dyDescent="0.25">
      <c r="I4139" s="62" t="str">
        <f t="shared" si="64"/>
        <v/>
      </c>
    </row>
    <row r="4140" spans="9:9" x14ac:dyDescent="0.25">
      <c r="I4140" s="62" t="str">
        <f t="shared" si="64"/>
        <v/>
      </c>
    </row>
    <row r="4141" spans="9:9" x14ac:dyDescent="0.25">
      <c r="I4141" s="62" t="str">
        <f t="shared" si="64"/>
        <v/>
      </c>
    </row>
    <row r="4142" spans="9:9" x14ac:dyDescent="0.25">
      <c r="I4142" s="62" t="str">
        <f t="shared" si="64"/>
        <v/>
      </c>
    </row>
    <row r="4143" spans="9:9" x14ac:dyDescent="0.25">
      <c r="I4143" s="62" t="str">
        <f t="shared" si="64"/>
        <v/>
      </c>
    </row>
    <row r="4144" spans="9:9" x14ac:dyDescent="0.25">
      <c r="I4144" s="62" t="str">
        <f t="shared" si="64"/>
        <v/>
      </c>
    </row>
    <row r="4145" spans="9:9" x14ac:dyDescent="0.25">
      <c r="I4145" s="62" t="str">
        <f t="shared" si="64"/>
        <v/>
      </c>
    </row>
    <row r="4146" spans="9:9" x14ac:dyDescent="0.25">
      <c r="I4146" s="62" t="str">
        <f t="shared" si="64"/>
        <v/>
      </c>
    </row>
    <row r="4147" spans="9:9" x14ac:dyDescent="0.25">
      <c r="I4147" s="62" t="str">
        <f t="shared" si="64"/>
        <v/>
      </c>
    </row>
    <row r="4148" spans="9:9" x14ac:dyDescent="0.25">
      <c r="I4148" s="62" t="str">
        <f t="shared" si="64"/>
        <v/>
      </c>
    </row>
    <row r="4149" spans="9:9" x14ac:dyDescent="0.25">
      <c r="I4149" s="62" t="str">
        <f t="shared" si="64"/>
        <v/>
      </c>
    </row>
    <row r="4150" spans="9:9" x14ac:dyDescent="0.25">
      <c r="I4150" s="62" t="str">
        <f t="shared" si="64"/>
        <v/>
      </c>
    </row>
    <row r="4151" spans="9:9" x14ac:dyDescent="0.25">
      <c r="I4151" s="62" t="str">
        <f t="shared" si="64"/>
        <v/>
      </c>
    </row>
    <row r="4152" spans="9:9" x14ac:dyDescent="0.25">
      <c r="I4152" s="62" t="str">
        <f t="shared" si="64"/>
        <v/>
      </c>
    </row>
    <row r="4153" spans="9:9" x14ac:dyDescent="0.25">
      <c r="I4153" s="62" t="str">
        <f t="shared" si="64"/>
        <v/>
      </c>
    </row>
    <row r="4154" spans="9:9" x14ac:dyDescent="0.25">
      <c r="I4154" s="62" t="str">
        <f t="shared" si="64"/>
        <v/>
      </c>
    </row>
    <row r="4155" spans="9:9" x14ac:dyDescent="0.25">
      <c r="I4155" s="62" t="str">
        <f t="shared" si="64"/>
        <v/>
      </c>
    </row>
    <row r="4156" spans="9:9" x14ac:dyDescent="0.25">
      <c r="I4156" s="62" t="str">
        <f t="shared" si="64"/>
        <v/>
      </c>
    </row>
    <row r="4157" spans="9:9" x14ac:dyDescent="0.25">
      <c r="I4157" s="62" t="str">
        <f t="shared" si="64"/>
        <v/>
      </c>
    </row>
    <row r="4158" spans="9:9" x14ac:dyDescent="0.25">
      <c r="I4158" s="62" t="str">
        <f t="shared" si="64"/>
        <v/>
      </c>
    </row>
    <row r="4159" spans="9:9" x14ac:dyDescent="0.25">
      <c r="I4159" s="62" t="str">
        <f t="shared" si="64"/>
        <v/>
      </c>
    </row>
    <row r="4160" spans="9:9" x14ac:dyDescent="0.25">
      <c r="I4160" s="62" t="str">
        <f t="shared" si="64"/>
        <v/>
      </c>
    </row>
    <row r="4161" spans="9:9" x14ac:dyDescent="0.25">
      <c r="I4161" s="62" t="str">
        <f t="shared" si="64"/>
        <v/>
      </c>
    </row>
    <row r="4162" spans="9:9" x14ac:dyDescent="0.25">
      <c r="I4162" s="62" t="str">
        <f t="shared" si="64"/>
        <v/>
      </c>
    </row>
    <row r="4163" spans="9:9" x14ac:dyDescent="0.25">
      <c r="I4163" s="62" t="str">
        <f t="shared" si="64"/>
        <v/>
      </c>
    </row>
    <row r="4164" spans="9:9" x14ac:dyDescent="0.25">
      <c r="I4164" s="62" t="str">
        <f t="shared" si="64"/>
        <v/>
      </c>
    </row>
    <row r="4165" spans="9:9" x14ac:dyDescent="0.25">
      <c r="I4165" s="62" t="str">
        <f t="shared" ref="I4165:I4228" si="65">IF(H4165&lt;&gt;"",H4165-H4164,"")</f>
        <v/>
      </c>
    </row>
    <row r="4166" spans="9:9" x14ac:dyDescent="0.25">
      <c r="I4166" s="62" t="str">
        <f t="shared" si="65"/>
        <v/>
      </c>
    </row>
    <row r="4167" spans="9:9" x14ac:dyDescent="0.25">
      <c r="I4167" s="62" t="str">
        <f t="shared" si="65"/>
        <v/>
      </c>
    </row>
    <row r="4168" spans="9:9" x14ac:dyDescent="0.25">
      <c r="I4168" s="62" t="str">
        <f t="shared" si="65"/>
        <v/>
      </c>
    </row>
    <row r="4169" spans="9:9" x14ac:dyDescent="0.25">
      <c r="I4169" s="62" t="str">
        <f t="shared" si="65"/>
        <v/>
      </c>
    </row>
    <row r="4170" spans="9:9" x14ac:dyDescent="0.25">
      <c r="I4170" s="62" t="str">
        <f t="shared" si="65"/>
        <v/>
      </c>
    </row>
    <row r="4171" spans="9:9" x14ac:dyDescent="0.25">
      <c r="I4171" s="62" t="str">
        <f t="shared" si="65"/>
        <v/>
      </c>
    </row>
    <row r="4172" spans="9:9" x14ac:dyDescent="0.25">
      <c r="I4172" s="62" t="str">
        <f t="shared" si="65"/>
        <v/>
      </c>
    </row>
    <row r="4173" spans="9:9" x14ac:dyDescent="0.25">
      <c r="I4173" s="62" t="str">
        <f t="shared" si="65"/>
        <v/>
      </c>
    </row>
    <row r="4174" spans="9:9" x14ac:dyDescent="0.25">
      <c r="I4174" s="62" t="str">
        <f t="shared" si="65"/>
        <v/>
      </c>
    </row>
    <row r="4175" spans="9:9" x14ac:dyDescent="0.25">
      <c r="I4175" s="62" t="str">
        <f t="shared" si="65"/>
        <v/>
      </c>
    </row>
    <row r="4176" spans="9:9" x14ac:dyDescent="0.25">
      <c r="I4176" s="62" t="str">
        <f t="shared" si="65"/>
        <v/>
      </c>
    </row>
    <row r="4177" spans="9:9" x14ac:dyDescent="0.25">
      <c r="I4177" s="62" t="str">
        <f t="shared" si="65"/>
        <v/>
      </c>
    </row>
    <row r="4178" spans="9:9" x14ac:dyDescent="0.25">
      <c r="I4178" s="62" t="str">
        <f t="shared" si="65"/>
        <v/>
      </c>
    </row>
    <row r="4179" spans="9:9" x14ac:dyDescent="0.25">
      <c r="I4179" s="62" t="str">
        <f t="shared" si="65"/>
        <v/>
      </c>
    </row>
    <row r="4180" spans="9:9" x14ac:dyDescent="0.25">
      <c r="I4180" s="62" t="str">
        <f t="shared" si="65"/>
        <v/>
      </c>
    </row>
    <row r="4181" spans="9:9" x14ac:dyDescent="0.25">
      <c r="I4181" s="62" t="str">
        <f t="shared" si="65"/>
        <v/>
      </c>
    </row>
    <row r="4182" spans="9:9" x14ac:dyDescent="0.25">
      <c r="I4182" s="62" t="str">
        <f t="shared" si="65"/>
        <v/>
      </c>
    </row>
    <row r="4183" spans="9:9" x14ac:dyDescent="0.25">
      <c r="I4183" s="62" t="str">
        <f t="shared" si="65"/>
        <v/>
      </c>
    </row>
    <row r="4184" spans="9:9" x14ac:dyDescent="0.25">
      <c r="I4184" s="62" t="str">
        <f t="shared" si="65"/>
        <v/>
      </c>
    </row>
    <row r="4185" spans="9:9" x14ac:dyDescent="0.25">
      <c r="I4185" s="62" t="str">
        <f t="shared" si="65"/>
        <v/>
      </c>
    </row>
    <row r="4186" spans="9:9" x14ac:dyDescent="0.25">
      <c r="I4186" s="62" t="str">
        <f t="shared" si="65"/>
        <v/>
      </c>
    </row>
    <row r="4187" spans="9:9" x14ac:dyDescent="0.25">
      <c r="I4187" s="62" t="str">
        <f t="shared" si="65"/>
        <v/>
      </c>
    </row>
    <row r="4188" spans="9:9" x14ac:dyDescent="0.25">
      <c r="I4188" s="62" t="str">
        <f t="shared" si="65"/>
        <v/>
      </c>
    </row>
    <row r="4189" spans="9:9" x14ac:dyDescent="0.25">
      <c r="I4189" s="62" t="str">
        <f t="shared" si="65"/>
        <v/>
      </c>
    </row>
    <row r="4190" spans="9:9" x14ac:dyDescent="0.25">
      <c r="I4190" s="62" t="str">
        <f t="shared" si="65"/>
        <v/>
      </c>
    </row>
    <row r="4191" spans="9:9" x14ac:dyDescent="0.25">
      <c r="I4191" s="62" t="str">
        <f t="shared" si="65"/>
        <v/>
      </c>
    </row>
    <row r="4192" spans="9:9" x14ac:dyDescent="0.25">
      <c r="I4192" s="62" t="str">
        <f t="shared" si="65"/>
        <v/>
      </c>
    </row>
    <row r="4193" spans="9:9" x14ac:dyDescent="0.25">
      <c r="I4193" s="62" t="str">
        <f t="shared" si="65"/>
        <v/>
      </c>
    </row>
    <row r="4194" spans="9:9" x14ac:dyDescent="0.25">
      <c r="I4194" s="62" t="str">
        <f t="shared" si="65"/>
        <v/>
      </c>
    </row>
    <row r="4195" spans="9:9" x14ac:dyDescent="0.25">
      <c r="I4195" s="62" t="str">
        <f t="shared" si="65"/>
        <v/>
      </c>
    </row>
    <row r="4196" spans="9:9" x14ac:dyDescent="0.25">
      <c r="I4196" s="62" t="str">
        <f t="shared" si="65"/>
        <v/>
      </c>
    </row>
    <row r="4197" spans="9:9" x14ac:dyDescent="0.25">
      <c r="I4197" s="62" t="str">
        <f t="shared" si="65"/>
        <v/>
      </c>
    </row>
    <row r="4198" spans="9:9" x14ac:dyDescent="0.25">
      <c r="I4198" s="62" t="str">
        <f t="shared" si="65"/>
        <v/>
      </c>
    </row>
    <row r="4199" spans="9:9" x14ac:dyDescent="0.25">
      <c r="I4199" s="62" t="str">
        <f t="shared" si="65"/>
        <v/>
      </c>
    </row>
    <row r="4200" spans="9:9" x14ac:dyDescent="0.25">
      <c r="I4200" s="62" t="str">
        <f t="shared" si="65"/>
        <v/>
      </c>
    </row>
    <row r="4201" spans="9:9" x14ac:dyDescent="0.25">
      <c r="I4201" s="62" t="str">
        <f t="shared" si="65"/>
        <v/>
      </c>
    </row>
    <row r="4202" spans="9:9" x14ac:dyDescent="0.25">
      <c r="I4202" s="62" t="str">
        <f t="shared" si="65"/>
        <v/>
      </c>
    </row>
    <row r="4203" spans="9:9" x14ac:dyDescent="0.25">
      <c r="I4203" s="62" t="str">
        <f t="shared" si="65"/>
        <v/>
      </c>
    </row>
    <row r="4204" spans="9:9" x14ac:dyDescent="0.25">
      <c r="I4204" s="62" t="str">
        <f t="shared" si="65"/>
        <v/>
      </c>
    </row>
    <row r="4205" spans="9:9" x14ac:dyDescent="0.25">
      <c r="I4205" s="62" t="str">
        <f t="shared" si="65"/>
        <v/>
      </c>
    </row>
    <row r="4206" spans="9:9" x14ac:dyDescent="0.25">
      <c r="I4206" s="62" t="str">
        <f t="shared" si="65"/>
        <v/>
      </c>
    </row>
    <row r="4207" spans="9:9" x14ac:dyDescent="0.25">
      <c r="I4207" s="62" t="str">
        <f t="shared" si="65"/>
        <v/>
      </c>
    </row>
    <row r="4208" spans="9:9" x14ac:dyDescent="0.25">
      <c r="I4208" s="62" t="str">
        <f t="shared" si="65"/>
        <v/>
      </c>
    </row>
    <row r="4209" spans="9:9" x14ac:dyDescent="0.25">
      <c r="I4209" s="62" t="str">
        <f t="shared" si="65"/>
        <v/>
      </c>
    </row>
    <row r="4210" spans="9:9" x14ac:dyDescent="0.25">
      <c r="I4210" s="62" t="str">
        <f t="shared" si="65"/>
        <v/>
      </c>
    </row>
    <row r="4211" spans="9:9" x14ac:dyDescent="0.25">
      <c r="I4211" s="62" t="str">
        <f t="shared" si="65"/>
        <v/>
      </c>
    </row>
    <row r="4212" spans="9:9" x14ac:dyDescent="0.25">
      <c r="I4212" s="62" t="str">
        <f t="shared" si="65"/>
        <v/>
      </c>
    </row>
    <row r="4213" spans="9:9" x14ac:dyDescent="0.25">
      <c r="I4213" s="62" t="str">
        <f t="shared" si="65"/>
        <v/>
      </c>
    </row>
    <row r="4214" spans="9:9" x14ac:dyDescent="0.25">
      <c r="I4214" s="62" t="str">
        <f t="shared" si="65"/>
        <v/>
      </c>
    </row>
    <row r="4215" spans="9:9" x14ac:dyDescent="0.25">
      <c r="I4215" s="62" t="str">
        <f t="shared" si="65"/>
        <v/>
      </c>
    </row>
    <row r="4216" spans="9:9" x14ac:dyDescent="0.25">
      <c r="I4216" s="62" t="str">
        <f t="shared" si="65"/>
        <v/>
      </c>
    </row>
    <row r="4217" spans="9:9" x14ac:dyDescent="0.25">
      <c r="I4217" s="62" t="str">
        <f t="shared" si="65"/>
        <v/>
      </c>
    </row>
    <row r="4218" spans="9:9" x14ac:dyDescent="0.25">
      <c r="I4218" s="62" t="str">
        <f t="shared" si="65"/>
        <v/>
      </c>
    </row>
    <row r="4219" spans="9:9" x14ac:dyDescent="0.25">
      <c r="I4219" s="62" t="str">
        <f t="shared" si="65"/>
        <v/>
      </c>
    </row>
    <row r="4220" spans="9:9" x14ac:dyDescent="0.25">
      <c r="I4220" s="62" t="str">
        <f t="shared" si="65"/>
        <v/>
      </c>
    </row>
    <row r="4221" spans="9:9" x14ac:dyDescent="0.25">
      <c r="I4221" s="62" t="str">
        <f t="shared" si="65"/>
        <v/>
      </c>
    </row>
    <row r="4222" spans="9:9" x14ac:dyDescent="0.25">
      <c r="I4222" s="62" t="str">
        <f t="shared" si="65"/>
        <v/>
      </c>
    </row>
    <row r="4223" spans="9:9" x14ac:dyDescent="0.25">
      <c r="I4223" s="62" t="str">
        <f t="shared" si="65"/>
        <v/>
      </c>
    </row>
    <row r="4224" spans="9:9" x14ac:dyDescent="0.25">
      <c r="I4224" s="62" t="str">
        <f t="shared" si="65"/>
        <v/>
      </c>
    </row>
    <row r="4225" spans="9:9" x14ac:dyDescent="0.25">
      <c r="I4225" s="62" t="str">
        <f t="shared" si="65"/>
        <v/>
      </c>
    </row>
    <row r="4226" spans="9:9" x14ac:dyDescent="0.25">
      <c r="I4226" s="62" t="str">
        <f t="shared" si="65"/>
        <v/>
      </c>
    </row>
    <row r="4227" spans="9:9" x14ac:dyDescent="0.25">
      <c r="I4227" s="62" t="str">
        <f t="shared" si="65"/>
        <v/>
      </c>
    </row>
    <row r="4228" spans="9:9" x14ac:dyDescent="0.25">
      <c r="I4228" s="62" t="str">
        <f t="shared" si="65"/>
        <v/>
      </c>
    </row>
    <row r="4229" spans="9:9" x14ac:dyDescent="0.25">
      <c r="I4229" s="62" t="str">
        <f t="shared" ref="I4229:I4292" si="66">IF(H4229&lt;&gt;"",H4229-H4228,"")</f>
        <v/>
      </c>
    </row>
    <row r="4230" spans="9:9" x14ac:dyDescent="0.25">
      <c r="I4230" s="62" t="str">
        <f t="shared" si="66"/>
        <v/>
      </c>
    </row>
    <row r="4231" spans="9:9" x14ac:dyDescent="0.25">
      <c r="I4231" s="62" t="str">
        <f t="shared" si="66"/>
        <v/>
      </c>
    </row>
    <row r="4232" spans="9:9" x14ac:dyDescent="0.25">
      <c r="I4232" s="62" t="str">
        <f t="shared" si="66"/>
        <v/>
      </c>
    </row>
    <row r="4233" spans="9:9" x14ac:dyDescent="0.25">
      <c r="I4233" s="62" t="str">
        <f t="shared" si="66"/>
        <v/>
      </c>
    </row>
    <row r="4234" spans="9:9" x14ac:dyDescent="0.25">
      <c r="I4234" s="62" t="str">
        <f t="shared" si="66"/>
        <v/>
      </c>
    </row>
    <row r="4235" spans="9:9" x14ac:dyDescent="0.25">
      <c r="I4235" s="62" t="str">
        <f t="shared" si="66"/>
        <v/>
      </c>
    </row>
    <row r="4236" spans="9:9" x14ac:dyDescent="0.25">
      <c r="I4236" s="62" t="str">
        <f t="shared" si="66"/>
        <v/>
      </c>
    </row>
    <row r="4237" spans="9:9" x14ac:dyDescent="0.25">
      <c r="I4237" s="62" t="str">
        <f t="shared" si="66"/>
        <v/>
      </c>
    </row>
    <row r="4238" spans="9:9" x14ac:dyDescent="0.25">
      <c r="I4238" s="62" t="str">
        <f t="shared" si="66"/>
        <v/>
      </c>
    </row>
    <row r="4239" spans="9:9" x14ac:dyDescent="0.25">
      <c r="I4239" s="62" t="str">
        <f t="shared" si="66"/>
        <v/>
      </c>
    </row>
    <row r="4240" spans="9:9" x14ac:dyDescent="0.25">
      <c r="I4240" s="62" t="str">
        <f t="shared" si="66"/>
        <v/>
      </c>
    </row>
    <row r="4241" spans="9:9" x14ac:dyDescent="0.25">
      <c r="I4241" s="62" t="str">
        <f t="shared" si="66"/>
        <v/>
      </c>
    </row>
    <row r="4242" spans="9:9" x14ac:dyDescent="0.25">
      <c r="I4242" s="62" t="str">
        <f t="shared" si="66"/>
        <v/>
      </c>
    </row>
    <row r="4243" spans="9:9" x14ac:dyDescent="0.25">
      <c r="I4243" s="62" t="str">
        <f t="shared" si="66"/>
        <v/>
      </c>
    </row>
    <row r="4244" spans="9:9" x14ac:dyDescent="0.25">
      <c r="I4244" s="62" t="str">
        <f t="shared" si="66"/>
        <v/>
      </c>
    </row>
    <row r="4245" spans="9:9" x14ac:dyDescent="0.25">
      <c r="I4245" s="62" t="str">
        <f t="shared" si="66"/>
        <v/>
      </c>
    </row>
    <row r="4246" spans="9:9" x14ac:dyDescent="0.25">
      <c r="I4246" s="62" t="str">
        <f t="shared" si="66"/>
        <v/>
      </c>
    </row>
    <row r="4247" spans="9:9" x14ac:dyDescent="0.25">
      <c r="I4247" s="62" t="str">
        <f t="shared" si="66"/>
        <v/>
      </c>
    </row>
    <row r="4248" spans="9:9" x14ac:dyDescent="0.25">
      <c r="I4248" s="62" t="str">
        <f t="shared" si="66"/>
        <v/>
      </c>
    </row>
    <row r="4249" spans="9:9" x14ac:dyDescent="0.25">
      <c r="I4249" s="62" t="str">
        <f t="shared" si="66"/>
        <v/>
      </c>
    </row>
    <row r="4250" spans="9:9" x14ac:dyDescent="0.25">
      <c r="I4250" s="62" t="str">
        <f t="shared" si="66"/>
        <v/>
      </c>
    </row>
    <row r="4251" spans="9:9" x14ac:dyDescent="0.25">
      <c r="I4251" s="62" t="str">
        <f t="shared" si="66"/>
        <v/>
      </c>
    </row>
    <row r="4252" spans="9:9" x14ac:dyDescent="0.25">
      <c r="I4252" s="62" t="str">
        <f t="shared" si="66"/>
        <v/>
      </c>
    </row>
    <row r="4253" spans="9:9" x14ac:dyDescent="0.25">
      <c r="I4253" s="62" t="str">
        <f t="shared" si="66"/>
        <v/>
      </c>
    </row>
    <row r="4254" spans="9:9" x14ac:dyDescent="0.25">
      <c r="I4254" s="62" t="str">
        <f t="shared" si="66"/>
        <v/>
      </c>
    </row>
    <row r="4255" spans="9:9" x14ac:dyDescent="0.25">
      <c r="I4255" s="62" t="str">
        <f t="shared" si="66"/>
        <v/>
      </c>
    </row>
    <row r="4256" spans="9:9" x14ac:dyDescent="0.25">
      <c r="I4256" s="62" t="str">
        <f t="shared" si="66"/>
        <v/>
      </c>
    </row>
    <row r="4257" spans="9:9" x14ac:dyDescent="0.25">
      <c r="I4257" s="62" t="str">
        <f t="shared" si="66"/>
        <v/>
      </c>
    </row>
    <row r="4258" spans="9:9" x14ac:dyDescent="0.25">
      <c r="I4258" s="62" t="str">
        <f t="shared" si="66"/>
        <v/>
      </c>
    </row>
    <row r="4259" spans="9:9" x14ac:dyDescent="0.25">
      <c r="I4259" s="62" t="str">
        <f t="shared" si="66"/>
        <v/>
      </c>
    </row>
    <row r="4260" spans="9:9" x14ac:dyDescent="0.25">
      <c r="I4260" s="62" t="str">
        <f t="shared" si="66"/>
        <v/>
      </c>
    </row>
    <row r="4261" spans="9:9" x14ac:dyDescent="0.25">
      <c r="I4261" s="62" t="str">
        <f t="shared" si="66"/>
        <v/>
      </c>
    </row>
    <row r="4262" spans="9:9" x14ac:dyDescent="0.25">
      <c r="I4262" s="62" t="str">
        <f t="shared" si="66"/>
        <v/>
      </c>
    </row>
    <row r="4263" spans="9:9" x14ac:dyDescent="0.25">
      <c r="I4263" s="62" t="str">
        <f t="shared" si="66"/>
        <v/>
      </c>
    </row>
    <row r="4264" spans="9:9" x14ac:dyDescent="0.25">
      <c r="I4264" s="62" t="str">
        <f t="shared" si="66"/>
        <v/>
      </c>
    </row>
    <row r="4265" spans="9:9" x14ac:dyDescent="0.25">
      <c r="I4265" s="62" t="str">
        <f t="shared" si="66"/>
        <v/>
      </c>
    </row>
    <row r="4266" spans="9:9" x14ac:dyDescent="0.25">
      <c r="I4266" s="62" t="str">
        <f t="shared" si="66"/>
        <v/>
      </c>
    </row>
    <row r="4267" spans="9:9" x14ac:dyDescent="0.25">
      <c r="I4267" s="62" t="str">
        <f t="shared" si="66"/>
        <v/>
      </c>
    </row>
    <row r="4268" spans="9:9" x14ac:dyDescent="0.25">
      <c r="I4268" s="62" t="str">
        <f t="shared" si="66"/>
        <v/>
      </c>
    </row>
    <row r="4269" spans="9:9" x14ac:dyDescent="0.25">
      <c r="I4269" s="62" t="str">
        <f t="shared" si="66"/>
        <v/>
      </c>
    </row>
    <row r="4270" spans="9:9" x14ac:dyDescent="0.25">
      <c r="I4270" s="62" t="str">
        <f t="shared" si="66"/>
        <v/>
      </c>
    </row>
    <row r="4271" spans="9:9" x14ac:dyDescent="0.25">
      <c r="I4271" s="62" t="str">
        <f t="shared" si="66"/>
        <v/>
      </c>
    </row>
    <row r="4272" spans="9:9" x14ac:dyDescent="0.25">
      <c r="I4272" s="62" t="str">
        <f t="shared" si="66"/>
        <v/>
      </c>
    </row>
    <row r="4273" spans="9:9" x14ac:dyDescent="0.25">
      <c r="I4273" s="62" t="str">
        <f t="shared" si="66"/>
        <v/>
      </c>
    </row>
    <row r="4274" spans="9:9" x14ac:dyDescent="0.25">
      <c r="I4274" s="62" t="str">
        <f t="shared" si="66"/>
        <v/>
      </c>
    </row>
    <row r="4275" spans="9:9" x14ac:dyDescent="0.25">
      <c r="I4275" s="62" t="str">
        <f t="shared" si="66"/>
        <v/>
      </c>
    </row>
    <row r="4276" spans="9:9" x14ac:dyDescent="0.25">
      <c r="I4276" s="62" t="str">
        <f t="shared" si="66"/>
        <v/>
      </c>
    </row>
    <row r="4277" spans="9:9" x14ac:dyDescent="0.25">
      <c r="I4277" s="62" t="str">
        <f t="shared" si="66"/>
        <v/>
      </c>
    </row>
    <row r="4278" spans="9:9" x14ac:dyDescent="0.25">
      <c r="I4278" s="62" t="str">
        <f t="shared" si="66"/>
        <v/>
      </c>
    </row>
    <row r="4279" spans="9:9" x14ac:dyDescent="0.25">
      <c r="I4279" s="62" t="str">
        <f t="shared" si="66"/>
        <v/>
      </c>
    </row>
    <row r="4280" spans="9:9" x14ac:dyDescent="0.25">
      <c r="I4280" s="62" t="str">
        <f t="shared" si="66"/>
        <v/>
      </c>
    </row>
    <row r="4281" spans="9:9" x14ac:dyDescent="0.25">
      <c r="I4281" s="62" t="str">
        <f t="shared" si="66"/>
        <v/>
      </c>
    </row>
    <row r="4282" spans="9:9" x14ac:dyDescent="0.25">
      <c r="I4282" s="62" t="str">
        <f t="shared" si="66"/>
        <v/>
      </c>
    </row>
    <row r="4283" spans="9:9" x14ac:dyDescent="0.25">
      <c r="I4283" s="62" t="str">
        <f t="shared" si="66"/>
        <v/>
      </c>
    </row>
    <row r="4284" spans="9:9" x14ac:dyDescent="0.25">
      <c r="I4284" s="62" t="str">
        <f t="shared" si="66"/>
        <v/>
      </c>
    </row>
    <row r="4285" spans="9:9" x14ac:dyDescent="0.25">
      <c r="I4285" s="62" t="str">
        <f t="shared" si="66"/>
        <v/>
      </c>
    </row>
    <row r="4286" spans="9:9" x14ac:dyDescent="0.25">
      <c r="I4286" s="62" t="str">
        <f t="shared" si="66"/>
        <v/>
      </c>
    </row>
    <row r="4287" spans="9:9" x14ac:dyDescent="0.25">
      <c r="I4287" s="62" t="str">
        <f t="shared" si="66"/>
        <v/>
      </c>
    </row>
    <row r="4288" spans="9:9" x14ac:dyDescent="0.25">
      <c r="I4288" s="62" t="str">
        <f t="shared" si="66"/>
        <v/>
      </c>
    </row>
    <row r="4289" spans="9:9" x14ac:dyDescent="0.25">
      <c r="I4289" s="62" t="str">
        <f t="shared" si="66"/>
        <v/>
      </c>
    </row>
    <row r="4290" spans="9:9" x14ac:dyDescent="0.25">
      <c r="I4290" s="62" t="str">
        <f t="shared" si="66"/>
        <v/>
      </c>
    </row>
    <row r="4291" spans="9:9" x14ac:dyDescent="0.25">
      <c r="I4291" s="62" t="str">
        <f t="shared" si="66"/>
        <v/>
      </c>
    </row>
    <row r="4292" spans="9:9" x14ac:dyDescent="0.25">
      <c r="I4292" s="62" t="str">
        <f t="shared" si="66"/>
        <v/>
      </c>
    </row>
    <row r="4293" spans="9:9" x14ac:dyDescent="0.25">
      <c r="I4293" s="62" t="str">
        <f t="shared" ref="I4293:I4356" si="67">IF(H4293&lt;&gt;"",H4293-H4292,"")</f>
        <v/>
      </c>
    </row>
    <row r="4294" spans="9:9" x14ac:dyDescent="0.25">
      <c r="I4294" s="62" t="str">
        <f t="shared" si="67"/>
        <v/>
      </c>
    </row>
    <row r="4295" spans="9:9" x14ac:dyDescent="0.25">
      <c r="I4295" s="62" t="str">
        <f t="shared" si="67"/>
        <v/>
      </c>
    </row>
    <row r="4296" spans="9:9" x14ac:dyDescent="0.25">
      <c r="I4296" s="62" t="str">
        <f t="shared" si="67"/>
        <v/>
      </c>
    </row>
    <row r="4297" spans="9:9" x14ac:dyDescent="0.25">
      <c r="I4297" s="62" t="str">
        <f t="shared" si="67"/>
        <v/>
      </c>
    </row>
    <row r="4298" spans="9:9" x14ac:dyDescent="0.25">
      <c r="I4298" s="62" t="str">
        <f t="shared" si="67"/>
        <v/>
      </c>
    </row>
    <row r="4299" spans="9:9" x14ac:dyDescent="0.25">
      <c r="I4299" s="62" t="str">
        <f t="shared" si="67"/>
        <v/>
      </c>
    </row>
    <row r="4300" spans="9:9" x14ac:dyDescent="0.25">
      <c r="I4300" s="62" t="str">
        <f t="shared" si="67"/>
        <v/>
      </c>
    </row>
    <row r="4301" spans="9:9" x14ac:dyDescent="0.25">
      <c r="I4301" s="62" t="str">
        <f t="shared" si="67"/>
        <v/>
      </c>
    </row>
    <row r="4302" spans="9:9" x14ac:dyDescent="0.25">
      <c r="I4302" s="62" t="str">
        <f t="shared" si="67"/>
        <v/>
      </c>
    </row>
    <row r="4303" spans="9:9" x14ac:dyDescent="0.25">
      <c r="I4303" s="62" t="str">
        <f t="shared" si="67"/>
        <v/>
      </c>
    </row>
    <row r="4304" spans="9:9" x14ac:dyDescent="0.25">
      <c r="I4304" s="62" t="str">
        <f t="shared" si="67"/>
        <v/>
      </c>
    </row>
    <row r="4305" spans="9:9" x14ac:dyDescent="0.25">
      <c r="I4305" s="62" t="str">
        <f t="shared" si="67"/>
        <v/>
      </c>
    </row>
    <row r="4306" spans="9:9" x14ac:dyDescent="0.25">
      <c r="I4306" s="62" t="str">
        <f t="shared" si="67"/>
        <v/>
      </c>
    </row>
    <row r="4307" spans="9:9" x14ac:dyDescent="0.25">
      <c r="I4307" s="62" t="str">
        <f t="shared" si="67"/>
        <v/>
      </c>
    </row>
    <row r="4308" spans="9:9" x14ac:dyDescent="0.25">
      <c r="I4308" s="62" t="str">
        <f t="shared" si="67"/>
        <v/>
      </c>
    </row>
    <row r="4309" spans="9:9" x14ac:dyDescent="0.25">
      <c r="I4309" s="62" t="str">
        <f t="shared" si="67"/>
        <v/>
      </c>
    </row>
    <row r="4310" spans="9:9" x14ac:dyDescent="0.25">
      <c r="I4310" s="62" t="str">
        <f t="shared" si="67"/>
        <v/>
      </c>
    </row>
    <row r="4311" spans="9:9" x14ac:dyDescent="0.25">
      <c r="I4311" s="62" t="str">
        <f t="shared" si="67"/>
        <v/>
      </c>
    </row>
    <row r="4312" spans="9:9" x14ac:dyDescent="0.25">
      <c r="I4312" s="62" t="str">
        <f t="shared" si="67"/>
        <v/>
      </c>
    </row>
    <row r="4313" spans="9:9" x14ac:dyDescent="0.25">
      <c r="I4313" s="62" t="str">
        <f t="shared" si="67"/>
        <v/>
      </c>
    </row>
    <row r="4314" spans="9:9" x14ac:dyDescent="0.25">
      <c r="I4314" s="62" t="str">
        <f t="shared" si="67"/>
        <v/>
      </c>
    </row>
    <row r="4315" spans="9:9" x14ac:dyDescent="0.25">
      <c r="I4315" s="62" t="str">
        <f t="shared" si="67"/>
        <v/>
      </c>
    </row>
    <row r="4316" spans="9:9" x14ac:dyDescent="0.25">
      <c r="I4316" s="62" t="str">
        <f t="shared" si="67"/>
        <v/>
      </c>
    </row>
    <row r="4317" spans="9:9" x14ac:dyDescent="0.25">
      <c r="I4317" s="62" t="str">
        <f t="shared" si="67"/>
        <v/>
      </c>
    </row>
    <row r="4318" spans="9:9" x14ac:dyDescent="0.25">
      <c r="I4318" s="62" t="str">
        <f t="shared" si="67"/>
        <v/>
      </c>
    </row>
    <row r="4319" spans="9:9" x14ac:dyDescent="0.25">
      <c r="I4319" s="62" t="str">
        <f t="shared" si="67"/>
        <v/>
      </c>
    </row>
    <row r="4320" spans="9:9" x14ac:dyDescent="0.25">
      <c r="I4320" s="62" t="str">
        <f t="shared" si="67"/>
        <v/>
      </c>
    </row>
    <row r="4321" spans="9:9" x14ac:dyDescent="0.25">
      <c r="I4321" s="62" t="str">
        <f t="shared" si="67"/>
        <v/>
      </c>
    </row>
    <row r="4322" spans="9:9" x14ac:dyDescent="0.25">
      <c r="I4322" s="62" t="str">
        <f t="shared" si="67"/>
        <v/>
      </c>
    </row>
    <row r="4323" spans="9:9" x14ac:dyDescent="0.25">
      <c r="I4323" s="62" t="str">
        <f t="shared" si="67"/>
        <v/>
      </c>
    </row>
    <row r="4324" spans="9:9" x14ac:dyDescent="0.25">
      <c r="I4324" s="62" t="str">
        <f t="shared" si="67"/>
        <v/>
      </c>
    </row>
    <row r="4325" spans="9:9" x14ac:dyDescent="0.25">
      <c r="I4325" s="62" t="str">
        <f t="shared" si="67"/>
        <v/>
      </c>
    </row>
    <row r="4326" spans="9:9" x14ac:dyDescent="0.25">
      <c r="I4326" s="62" t="str">
        <f t="shared" si="67"/>
        <v/>
      </c>
    </row>
    <row r="4327" spans="9:9" x14ac:dyDescent="0.25">
      <c r="I4327" s="62" t="str">
        <f t="shared" si="67"/>
        <v/>
      </c>
    </row>
    <row r="4328" spans="9:9" x14ac:dyDescent="0.25">
      <c r="I4328" s="62" t="str">
        <f t="shared" si="67"/>
        <v/>
      </c>
    </row>
    <row r="4329" spans="9:9" x14ac:dyDescent="0.25">
      <c r="I4329" s="62" t="str">
        <f t="shared" si="67"/>
        <v/>
      </c>
    </row>
    <row r="4330" spans="9:9" x14ac:dyDescent="0.25">
      <c r="I4330" s="62" t="str">
        <f t="shared" si="67"/>
        <v/>
      </c>
    </row>
    <row r="4331" spans="9:9" x14ac:dyDescent="0.25">
      <c r="I4331" s="62" t="str">
        <f t="shared" si="67"/>
        <v/>
      </c>
    </row>
    <row r="4332" spans="9:9" x14ac:dyDescent="0.25">
      <c r="I4332" s="62" t="str">
        <f t="shared" si="67"/>
        <v/>
      </c>
    </row>
    <row r="4333" spans="9:9" x14ac:dyDescent="0.25">
      <c r="I4333" s="62" t="str">
        <f t="shared" si="67"/>
        <v/>
      </c>
    </row>
    <row r="4334" spans="9:9" x14ac:dyDescent="0.25">
      <c r="I4334" s="62" t="str">
        <f t="shared" si="67"/>
        <v/>
      </c>
    </row>
    <row r="4335" spans="9:9" x14ac:dyDescent="0.25">
      <c r="I4335" s="62" t="str">
        <f t="shared" si="67"/>
        <v/>
      </c>
    </row>
    <row r="4336" spans="9:9" x14ac:dyDescent="0.25">
      <c r="I4336" s="62" t="str">
        <f t="shared" si="67"/>
        <v/>
      </c>
    </row>
    <row r="4337" spans="9:9" x14ac:dyDescent="0.25">
      <c r="I4337" s="62" t="str">
        <f t="shared" si="67"/>
        <v/>
      </c>
    </row>
    <row r="4338" spans="9:9" x14ac:dyDescent="0.25">
      <c r="I4338" s="62" t="str">
        <f t="shared" si="67"/>
        <v/>
      </c>
    </row>
    <row r="4339" spans="9:9" x14ac:dyDescent="0.25">
      <c r="I4339" s="62" t="str">
        <f t="shared" si="67"/>
        <v/>
      </c>
    </row>
    <row r="4340" spans="9:9" x14ac:dyDescent="0.25">
      <c r="I4340" s="62" t="str">
        <f t="shared" si="67"/>
        <v/>
      </c>
    </row>
    <row r="4341" spans="9:9" x14ac:dyDescent="0.25">
      <c r="I4341" s="62" t="str">
        <f t="shared" si="67"/>
        <v/>
      </c>
    </row>
    <row r="4342" spans="9:9" x14ac:dyDescent="0.25">
      <c r="I4342" s="62" t="str">
        <f t="shared" si="67"/>
        <v/>
      </c>
    </row>
    <row r="4343" spans="9:9" x14ac:dyDescent="0.25">
      <c r="I4343" s="62" t="str">
        <f t="shared" si="67"/>
        <v/>
      </c>
    </row>
    <row r="4344" spans="9:9" x14ac:dyDescent="0.25">
      <c r="I4344" s="62" t="str">
        <f t="shared" si="67"/>
        <v/>
      </c>
    </row>
    <row r="4345" spans="9:9" x14ac:dyDescent="0.25">
      <c r="I4345" s="62" t="str">
        <f t="shared" si="67"/>
        <v/>
      </c>
    </row>
    <row r="4346" spans="9:9" x14ac:dyDescent="0.25">
      <c r="I4346" s="62" t="str">
        <f t="shared" si="67"/>
        <v/>
      </c>
    </row>
    <row r="4347" spans="9:9" x14ac:dyDescent="0.25">
      <c r="I4347" s="62" t="str">
        <f t="shared" si="67"/>
        <v/>
      </c>
    </row>
    <row r="4348" spans="9:9" x14ac:dyDescent="0.25">
      <c r="I4348" s="62" t="str">
        <f t="shared" si="67"/>
        <v/>
      </c>
    </row>
    <row r="4349" spans="9:9" x14ac:dyDescent="0.25">
      <c r="I4349" s="62" t="str">
        <f t="shared" si="67"/>
        <v/>
      </c>
    </row>
    <row r="4350" spans="9:9" x14ac:dyDescent="0.25">
      <c r="I4350" s="62" t="str">
        <f t="shared" si="67"/>
        <v/>
      </c>
    </row>
    <row r="4351" spans="9:9" x14ac:dyDescent="0.25">
      <c r="I4351" s="62" t="str">
        <f t="shared" si="67"/>
        <v/>
      </c>
    </row>
    <row r="4352" spans="9:9" x14ac:dyDescent="0.25">
      <c r="I4352" s="62" t="str">
        <f t="shared" si="67"/>
        <v/>
      </c>
    </row>
    <row r="4353" spans="9:9" x14ac:dyDescent="0.25">
      <c r="I4353" s="62" t="str">
        <f t="shared" si="67"/>
        <v/>
      </c>
    </row>
    <row r="4354" spans="9:9" x14ac:dyDescent="0.25">
      <c r="I4354" s="62" t="str">
        <f t="shared" si="67"/>
        <v/>
      </c>
    </row>
    <row r="4355" spans="9:9" x14ac:dyDescent="0.25">
      <c r="I4355" s="62" t="str">
        <f t="shared" si="67"/>
        <v/>
      </c>
    </row>
    <row r="4356" spans="9:9" x14ac:dyDescent="0.25">
      <c r="I4356" s="62" t="str">
        <f t="shared" si="67"/>
        <v/>
      </c>
    </row>
    <row r="4357" spans="9:9" x14ac:dyDescent="0.25">
      <c r="I4357" s="62" t="str">
        <f t="shared" ref="I4357:I4420" si="68">IF(H4357&lt;&gt;"",H4357-H4356,"")</f>
        <v/>
      </c>
    </row>
    <row r="4358" spans="9:9" x14ac:dyDescent="0.25">
      <c r="I4358" s="62" t="str">
        <f t="shared" si="68"/>
        <v/>
      </c>
    </row>
    <row r="4359" spans="9:9" x14ac:dyDescent="0.25">
      <c r="I4359" s="62" t="str">
        <f t="shared" si="68"/>
        <v/>
      </c>
    </row>
    <row r="4360" spans="9:9" x14ac:dyDescent="0.25">
      <c r="I4360" s="62" t="str">
        <f t="shared" si="68"/>
        <v/>
      </c>
    </row>
    <row r="4361" spans="9:9" x14ac:dyDescent="0.25">
      <c r="I4361" s="62" t="str">
        <f t="shared" si="68"/>
        <v/>
      </c>
    </row>
    <row r="4362" spans="9:9" x14ac:dyDescent="0.25">
      <c r="I4362" s="62" t="str">
        <f t="shared" si="68"/>
        <v/>
      </c>
    </row>
    <row r="4363" spans="9:9" x14ac:dyDescent="0.25">
      <c r="I4363" s="62" t="str">
        <f t="shared" si="68"/>
        <v/>
      </c>
    </row>
    <row r="4364" spans="9:9" x14ac:dyDescent="0.25">
      <c r="I4364" s="62" t="str">
        <f t="shared" si="68"/>
        <v/>
      </c>
    </row>
    <row r="4365" spans="9:9" x14ac:dyDescent="0.25">
      <c r="I4365" s="62" t="str">
        <f t="shared" si="68"/>
        <v/>
      </c>
    </row>
    <row r="4366" spans="9:9" x14ac:dyDescent="0.25">
      <c r="I4366" s="62" t="str">
        <f t="shared" si="68"/>
        <v/>
      </c>
    </row>
    <row r="4367" spans="9:9" x14ac:dyDescent="0.25">
      <c r="I4367" s="62" t="str">
        <f t="shared" si="68"/>
        <v/>
      </c>
    </row>
    <row r="4368" spans="9:9" x14ac:dyDescent="0.25">
      <c r="I4368" s="62" t="str">
        <f t="shared" si="68"/>
        <v/>
      </c>
    </row>
    <row r="4369" spans="9:9" x14ac:dyDescent="0.25">
      <c r="I4369" s="62" t="str">
        <f t="shared" si="68"/>
        <v/>
      </c>
    </row>
    <row r="4370" spans="9:9" x14ac:dyDescent="0.25">
      <c r="I4370" s="62" t="str">
        <f t="shared" si="68"/>
        <v/>
      </c>
    </row>
    <row r="4371" spans="9:9" x14ac:dyDescent="0.25">
      <c r="I4371" s="62" t="str">
        <f t="shared" si="68"/>
        <v/>
      </c>
    </row>
    <row r="4372" spans="9:9" x14ac:dyDescent="0.25">
      <c r="I4372" s="62" t="str">
        <f t="shared" si="68"/>
        <v/>
      </c>
    </row>
    <row r="4373" spans="9:9" x14ac:dyDescent="0.25">
      <c r="I4373" s="62" t="str">
        <f t="shared" si="68"/>
        <v/>
      </c>
    </row>
    <row r="4374" spans="9:9" x14ac:dyDescent="0.25">
      <c r="I4374" s="62" t="str">
        <f t="shared" si="68"/>
        <v/>
      </c>
    </row>
    <row r="4375" spans="9:9" x14ac:dyDescent="0.25">
      <c r="I4375" s="62" t="str">
        <f t="shared" si="68"/>
        <v/>
      </c>
    </row>
    <row r="4376" spans="9:9" x14ac:dyDescent="0.25">
      <c r="I4376" s="62" t="str">
        <f t="shared" si="68"/>
        <v/>
      </c>
    </row>
    <row r="4377" spans="9:9" x14ac:dyDescent="0.25">
      <c r="I4377" s="62" t="str">
        <f t="shared" si="68"/>
        <v/>
      </c>
    </row>
    <row r="4378" spans="9:9" x14ac:dyDescent="0.25">
      <c r="I4378" s="62" t="str">
        <f t="shared" si="68"/>
        <v/>
      </c>
    </row>
    <row r="4379" spans="9:9" x14ac:dyDescent="0.25">
      <c r="I4379" s="62" t="str">
        <f t="shared" si="68"/>
        <v/>
      </c>
    </row>
    <row r="4380" spans="9:9" x14ac:dyDescent="0.25">
      <c r="I4380" s="62" t="str">
        <f t="shared" si="68"/>
        <v/>
      </c>
    </row>
    <row r="4381" spans="9:9" x14ac:dyDescent="0.25">
      <c r="I4381" s="62" t="str">
        <f t="shared" si="68"/>
        <v/>
      </c>
    </row>
    <row r="4382" spans="9:9" x14ac:dyDescent="0.25">
      <c r="I4382" s="62" t="str">
        <f t="shared" si="68"/>
        <v/>
      </c>
    </row>
    <row r="4383" spans="9:9" x14ac:dyDescent="0.25">
      <c r="I4383" s="62" t="str">
        <f t="shared" si="68"/>
        <v/>
      </c>
    </row>
    <row r="4384" spans="9:9" x14ac:dyDescent="0.25">
      <c r="I4384" s="62" t="str">
        <f t="shared" si="68"/>
        <v/>
      </c>
    </row>
    <row r="4385" spans="9:9" x14ac:dyDescent="0.25">
      <c r="I4385" s="62" t="str">
        <f t="shared" si="68"/>
        <v/>
      </c>
    </row>
    <row r="4386" spans="9:9" x14ac:dyDescent="0.25">
      <c r="I4386" s="62" t="str">
        <f t="shared" si="68"/>
        <v/>
      </c>
    </row>
    <row r="4387" spans="9:9" x14ac:dyDescent="0.25">
      <c r="I4387" s="62" t="str">
        <f t="shared" si="68"/>
        <v/>
      </c>
    </row>
    <row r="4388" spans="9:9" x14ac:dyDescent="0.25">
      <c r="I4388" s="62" t="str">
        <f t="shared" si="68"/>
        <v/>
      </c>
    </row>
    <row r="4389" spans="9:9" x14ac:dyDescent="0.25">
      <c r="I4389" s="62" t="str">
        <f t="shared" si="68"/>
        <v/>
      </c>
    </row>
    <row r="4390" spans="9:9" x14ac:dyDescent="0.25">
      <c r="I4390" s="62" t="str">
        <f t="shared" si="68"/>
        <v/>
      </c>
    </row>
    <row r="4391" spans="9:9" x14ac:dyDescent="0.25">
      <c r="I4391" s="62" t="str">
        <f t="shared" si="68"/>
        <v/>
      </c>
    </row>
    <row r="4392" spans="9:9" x14ac:dyDescent="0.25">
      <c r="I4392" s="62" t="str">
        <f t="shared" si="68"/>
        <v/>
      </c>
    </row>
    <row r="4393" spans="9:9" x14ac:dyDescent="0.25">
      <c r="I4393" s="62" t="str">
        <f t="shared" si="68"/>
        <v/>
      </c>
    </row>
    <row r="4394" spans="9:9" x14ac:dyDescent="0.25">
      <c r="I4394" s="62" t="str">
        <f t="shared" si="68"/>
        <v/>
      </c>
    </row>
    <row r="4395" spans="9:9" x14ac:dyDescent="0.25">
      <c r="I4395" s="62" t="str">
        <f t="shared" si="68"/>
        <v/>
      </c>
    </row>
    <row r="4396" spans="9:9" x14ac:dyDescent="0.25">
      <c r="I4396" s="62" t="str">
        <f t="shared" si="68"/>
        <v/>
      </c>
    </row>
    <row r="4397" spans="9:9" x14ac:dyDescent="0.25">
      <c r="I4397" s="62" t="str">
        <f t="shared" si="68"/>
        <v/>
      </c>
    </row>
    <row r="4398" spans="9:9" x14ac:dyDescent="0.25">
      <c r="I4398" s="62" t="str">
        <f t="shared" si="68"/>
        <v/>
      </c>
    </row>
    <row r="4399" spans="9:9" x14ac:dyDescent="0.25">
      <c r="I4399" s="62" t="str">
        <f t="shared" si="68"/>
        <v/>
      </c>
    </row>
    <row r="4400" spans="9:9" x14ac:dyDescent="0.25">
      <c r="I4400" s="62" t="str">
        <f t="shared" si="68"/>
        <v/>
      </c>
    </row>
    <row r="4401" spans="9:9" x14ac:dyDescent="0.25">
      <c r="I4401" s="62" t="str">
        <f t="shared" si="68"/>
        <v/>
      </c>
    </row>
    <row r="4402" spans="9:9" x14ac:dyDescent="0.25">
      <c r="I4402" s="62" t="str">
        <f t="shared" si="68"/>
        <v/>
      </c>
    </row>
    <row r="4403" spans="9:9" x14ac:dyDescent="0.25">
      <c r="I4403" s="62" t="str">
        <f t="shared" si="68"/>
        <v/>
      </c>
    </row>
    <row r="4404" spans="9:9" x14ac:dyDescent="0.25">
      <c r="I4404" s="62" t="str">
        <f t="shared" si="68"/>
        <v/>
      </c>
    </row>
    <row r="4405" spans="9:9" x14ac:dyDescent="0.25">
      <c r="I4405" s="62" t="str">
        <f t="shared" si="68"/>
        <v/>
      </c>
    </row>
    <row r="4406" spans="9:9" x14ac:dyDescent="0.25">
      <c r="I4406" s="62" t="str">
        <f t="shared" si="68"/>
        <v/>
      </c>
    </row>
    <row r="4407" spans="9:9" x14ac:dyDescent="0.25">
      <c r="I4407" s="62" t="str">
        <f t="shared" si="68"/>
        <v/>
      </c>
    </row>
    <row r="4408" spans="9:9" x14ac:dyDescent="0.25">
      <c r="I4408" s="62" t="str">
        <f t="shared" si="68"/>
        <v/>
      </c>
    </row>
    <row r="4409" spans="9:9" x14ac:dyDescent="0.25">
      <c r="I4409" s="62" t="str">
        <f t="shared" si="68"/>
        <v/>
      </c>
    </row>
    <row r="4410" spans="9:9" x14ac:dyDescent="0.25">
      <c r="I4410" s="62" t="str">
        <f t="shared" si="68"/>
        <v/>
      </c>
    </row>
    <row r="4411" spans="9:9" x14ac:dyDescent="0.25">
      <c r="I4411" s="62" t="str">
        <f t="shared" si="68"/>
        <v/>
      </c>
    </row>
    <row r="4412" spans="9:9" x14ac:dyDescent="0.25">
      <c r="I4412" s="62" t="str">
        <f t="shared" si="68"/>
        <v/>
      </c>
    </row>
    <row r="4413" spans="9:9" x14ac:dyDescent="0.25">
      <c r="I4413" s="62" t="str">
        <f t="shared" si="68"/>
        <v/>
      </c>
    </row>
    <row r="4414" spans="9:9" x14ac:dyDescent="0.25">
      <c r="I4414" s="62" t="str">
        <f t="shared" si="68"/>
        <v/>
      </c>
    </row>
    <row r="4415" spans="9:9" x14ac:dyDescent="0.25">
      <c r="I4415" s="62" t="str">
        <f t="shared" si="68"/>
        <v/>
      </c>
    </row>
    <row r="4416" spans="9:9" x14ac:dyDescent="0.25">
      <c r="I4416" s="62" t="str">
        <f t="shared" si="68"/>
        <v/>
      </c>
    </row>
    <row r="4417" spans="9:9" x14ac:dyDescent="0.25">
      <c r="I4417" s="62" t="str">
        <f t="shared" si="68"/>
        <v/>
      </c>
    </row>
    <row r="4418" spans="9:9" x14ac:dyDescent="0.25">
      <c r="I4418" s="62" t="str">
        <f t="shared" si="68"/>
        <v/>
      </c>
    </row>
    <row r="4419" spans="9:9" x14ac:dyDescent="0.25">
      <c r="I4419" s="62" t="str">
        <f t="shared" si="68"/>
        <v/>
      </c>
    </row>
    <row r="4420" spans="9:9" x14ac:dyDescent="0.25">
      <c r="I4420" s="62" t="str">
        <f t="shared" si="68"/>
        <v/>
      </c>
    </row>
    <row r="4421" spans="9:9" x14ac:dyDescent="0.25">
      <c r="I4421" s="62" t="str">
        <f t="shared" ref="I4421:I4484" si="69">IF(H4421&lt;&gt;"",H4421-H4420,"")</f>
        <v/>
      </c>
    </row>
    <row r="4422" spans="9:9" x14ac:dyDescent="0.25">
      <c r="I4422" s="62" t="str">
        <f t="shared" si="69"/>
        <v/>
      </c>
    </row>
    <row r="4423" spans="9:9" x14ac:dyDescent="0.25">
      <c r="I4423" s="62" t="str">
        <f t="shared" si="69"/>
        <v/>
      </c>
    </row>
    <row r="4424" spans="9:9" x14ac:dyDescent="0.25">
      <c r="I4424" s="62" t="str">
        <f t="shared" si="69"/>
        <v/>
      </c>
    </row>
    <row r="4425" spans="9:9" x14ac:dyDescent="0.25">
      <c r="I4425" s="62" t="str">
        <f t="shared" si="69"/>
        <v/>
      </c>
    </row>
    <row r="4426" spans="9:9" x14ac:dyDescent="0.25">
      <c r="I4426" s="62" t="str">
        <f t="shared" si="69"/>
        <v/>
      </c>
    </row>
    <row r="4427" spans="9:9" x14ac:dyDescent="0.25">
      <c r="I4427" s="62" t="str">
        <f t="shared" si="69"/>
        <v/>
      </c>
    </row>
    <row r="4428" spans="9:9" x14ac:dyDescent="0.25">
      <c r="I4428" s="62" t="str">
        <f t="shared" si="69"/>
        <v/>
      </c>
    </row>
    <row r="4429" spans="9:9" x14ac:dyDescent="0.25">
      <c r="I4429" s="62" t="str">
        <f t="shared" si="69"/>
        <v/>
      </c>
    </row>
    <row r="4430" spans="9:9" x14ac:dyDescent="0.25">
      <c r="I4430" s="62" t="str">
        <f t="shared" si="69"/>
        <v/>
      </c>
    </row>
    <row r="4431" spans="9:9" x14ac:dyDescent="0.25">
      <c r="I4431" s="62" t="str">
        <f t="shared" si="69"/>
        <v/>
      </c>
    </row>
    <row r="4432" spans="9:9" x14ac:dyDescent="0.25">
      <c r="I4432" s="62" t="str">
        <f t="shared" si="69"/>
        <v/>
      </c>
    </row>
    <row r="4433" spans="9:9" x14ac:dyDescent="0.25">
      <c r="I4433" s="62" t="str">
        <f t="shared" si="69"/>
        <v/>
      </c>
    </row>
    <row r="4434" spans="9:9" x14ac:dyDescent="0.25">
      <c r="I4434" s="62" t="str">
        <f t="shared" si="69"/>
        <v/>
      </c>
    </row>
    <row r="4435" spans="9:9" x14ac:dyDescent="0.25">
      <c r="I4435" s="62" t="str">
        <f t="shared" si="69"/>
        <v/>
      </c>
    </row>
    <row r="4436" spans="9:9" x14ac:dyDescent="0.25">
      <c r="I4436" s="62" t="str">
        <f t="shared" si="69"/>
        <v/>
      </c>
    </row>
    <row r="4437" spans="9:9" x14ac:dyDescent="0.25">
      <c r="I4437" s="62" t="str">
        <f t="shared" si="69"/>
        <v/>
      </c>
    </row>
    <row r="4438" spans="9:9" x14ac:dyDescent="0.25">
      <c r="I4438" s="62" t="str">
        <f t="shared" si="69"/>
        <v/>
      </c>
    </row>
    <row r="4439" spans="9:9" x14ac:dyDescent="0.25">
      <c r="I4439" s="62" t="str">
        <f t="shared" si="69"/>
        <v/>
      </c>
    </row>
    <row r="4440" spans="9:9" x14ac:dyDescent="0.25">
      <c r="I4440" s="62" t="str">
        <f t="shared" si="69"/>
        <v/>
      </c>
    </row>
    <row r="4441" spans="9:9" x14ac:dyDescent="0.25">
      <c r="I4441" s="62" t="str">
        <f t="shared" si="69"/>
        <v/>
      </c>
    </row>
    <row r="4442" spans="9:9" x14ac:dyDescent="0.25">
      <c r="I4442" s="62" t="str">
        <f t="shared" si="69"/>
        <v/>
      </c>
    </row>
    <row r="4443" spans="9:9" x14ac:dyDescent="0.25">
      <c r="I4443" s="62" t="str">
        <f t="shared" si="69"/>
        <v/>
      </c>
    </row>
    <row r="4444" spans="9:9" x14ac:dyDescent="0.25">
      <c r="I4444" s="62" t="str">
        <f t="shared" si="69"/>
        <v/>
      </c>
    </row>
    <row r="4445" spans="9:9" x14ac:dyDescent="0.25">
      <c r="I4445" s="62" t="str">
        <f t="shared" si="69"/>
        <v/>
      </c>
    </row>
    <row r="4446" spans="9:9" x14ac:dyDescent="0.25">
      <c r="I4446" s="62" t="str">
        <f t="shared" si="69"/>
        <v/>
      </c>
    </row>
    <row r="4447" spans="9:9" x14ac:dyDescent="0.25">
      <c r="I4447" s="62" t="str">
        <f t="shared" si="69"/>
        <v/>
      </c>
    </row>
    <row r="4448" spans="9:9" x14ac:dyDescent="0.25">
      <c r="I4448" s="62" t="str">
        <f t="shared" si="69"/>
        <v/>
      </c>
    </row>
    <row r="4449" spans="9:9" x14ac:dyDescent="0.25">
      <c r="I4449" s="62" t="str">
        <f t="shared" si="69"/>
        <v/>
      </c>
    </row>
    <row r="4450" spans="9:9" x14ac:dyDescent="0.25">
      <c r="I4450" s="62" t="str">
        <f t="shared" si="69"/>
        <v/>
      </c>
    </row>
    <row r="4451" spans="9:9" x14ac:dyDescent="0.25">
      <c r="I4451" s="62" t="str">
        <f t="shared" si="69"/>
        <v/>
      </c>
    </row>
    <row r="4452" spans="9:9" x14ac:dyDescent="0.25">
      <c r="I4452" s="62" t="str">
        <f t="shared" si="69"/>
        <v/>
      </c>
    </row>
    <row r="4453" spans="9:9" x14ac:dyDescent="0.25">
      <c r="I4453" s="62" t="str">
        <f t="shared" si="69"/>
        <v/>
      </c>
    </row>
    <row r="4454" spans="9:9" x14ac:dyDescent="0.25">
      <c r="I4454" s="62" t="str">
        <f t="shared" si="69"/>
        <v/>
      </c>
    </row>
    <row r="4455" spans="9:9" x14ac:dyDescent="0.25">
      <c r="I4455" s="62" t="str">
        <f t="shared" si="69"/>
        <v/>
      </c>
    </row>
    <row r="4456" spans="9:9" x14ac:dyDescent="0.25">
      <c r="I4456" s="62" t="str">
        <f t="shared" si="69"/>
        <v/>
      </c>
    </row>
    <row r="4457" spans="9:9" x14ac:dyDescent="0.25">
      <c r="I4457" s="62" t="str">
        <f t="shared" si="69"/>
        <v/>
      </c>
    </row>
    <row r="4458" spans="9:9" x14ac:dyDescent="0.25">
      <c r="I4458" s="62" t="str">
        <f t="shared" si="69"/>
        <v/>
      </c>
    </row>
    <row r="4459" spans="9:9" x14ac:dyDescent="0.25">
      <c r="I4459" s="62" t="str">
        <f t="shared" si="69"/>
        <v/>
      </c>
    </row>
    <row r="4460" spans="9:9" x14ac:dyDescent="0.25">
      <c r="I4460" s="62" t="str">
        <f t="shared" si="69"/>
        <v/>
      </c>
    </row>
    <row r="4461" spans="9:9" x14ac:dyDescent="0.25">
      <c r="I4461" s="62" t="str">
        <f t="shared" si="69"/>
        <v/>
      </c>
    </row>
    <row r="4462" spans="9:9" x14ac:dyDescent="0.25">
      <c r="I4462" s="62" t="str">
        <f t="shared" si="69"/>
        <v/>
      </c>
    </row>
    <row r="4463" spans="9:9" x14ac:dyDescent="0.25">
      <c r="I4463" s="62" t="str">
        <f t="shared" si="69"/>
        <v/>
      </c>
    </row>
    <row r="4464" spans="9:9" x14ac:dyDescent="0.25">
      <c r="I4464" s="62" t="str">
        <f t="shared" si="69"/>
        <v/>
      </c>
    </row>
    <row r="4465" spans="9:9" x14ac:dyDescent="0.25">
      <c r="I4465" s="62" t="str">
        <f t="shared" si="69"/>
        <v/>
      </c>
    </row>
    <row r="4466" spans="9:9" x14ac:dyDescent="0.25">
      <c r="I4466" s="62" t="str">
        <f t="shared" si="69"/>
        <v/>
      </c>
    </row>
    <row r="4467" spans="9:9" x14ac:dyDescent="0.25">
      <c r="I4467" s="62" t="str">
        <f t="shared" si="69"/>
        <v/>
      </c>
    </row>
    <row r="4468" spans="9:9" x14ac:dyDescent="0.25">
      <c r="I4468" s="62" t="str">
        <f t="shared" si="69"/>
        <v/>
      </c>
    </row>
    <row r="4469" spans="9:9" x14ac:dyDescent="0.25">
      <c r="I4469" s="62" t="str">
        <f t="shared" si="69"/>
        <v/>
      </c>
    </row>
    <row r="4470" spans="9:9" x14ac:dyDescent="0.25">
      <c r="I4470" s="62" t="str">
        <f t="shared" si="69"/>
        <v/>
      </c>
    </row>
    <row r="4471" spans="9:9" x14ac:dyDescent="0.25">
      <c r="I4471" s="62" t="str">
        <f t="shared" si="69"/>
        <v/>
      </c>
    </row>
    <row r="4472" spans="9:9" x14ac:dyDescent="0.25">
      <c r="I4472" s="62" t="str">
        <f t="shared" si="69"/>
        <v/>
      </c>
    </row>
    <row r="4473" spans="9:9" x14ac:dyDescent="0.25">
      <c r="I4473" s="62" t="str">
        <f t="shared" si="69"/>
        <v/>
      </c>
    </row>
    <row r="4474" spans="9:9" x14ac:dyDescent="0.25">
      <c r="I4474" s="62" t="str">
        <f t="shared" si="69"/>
        <v/>
      </c>
    </row>
    <row r="4475" spans="9:9" x14ac:dyDescent="0.25">
      <c r="I4475" s="62" t="str">
        <f t="shared" si="69"/>
        <v/>
      </c>
    </row>
    <row r="4476" spans="9:9" x14ac:dyDescent="0.25">
      <c r="I4476" s="62" t="str">
        <f t="shared" si="69"/>
        <v/>
      </c>
    </row>
    <row r="4477" spans="9:9" x14ac:dyDescent="0.25">
      <c r="I4477" s="62" t="str">
        <f t="shared" si="69"/>
        <v/>
      </c>
    </row>
    <row r="4478" spans="9:9" x14ac:dyDescent="0.25">
      <c r="I4478" s="62" t="str">
        <f t="shared" si="69"/>
        <v/>
      </c>
    </row>
    <row r="4479" spans="9:9" x14ac:dyDescent="0.25">
      <c r="I4479" s="62" t="str">
        <f t="shared" si="69"/>
        <v/>
      </c>
    </row>
    <row r="4480" spans="9:9" x14ac:dyDescent="0.25">
      <c r="I4480" s="62" t="str">
        <f t="shared" si="69"/>
        <v/>
      </c>
    </row>
    <row r="4481" spans="9:9" x14ac:dyDescent="0.25">
      <c r="I4481" s="62" t="str">
        <f t="shared" si="69"/>
        <v/>
      </c>
    </row>
    <row r="4482" spans="9:9" x14ac:dyDescent="0.25">
      <c r="I4482" s="62" t="str">
        <f t="shared" si="69"/>
        <v/>
      </c>
    </row>
    <row r="4483" spans="9:9" x14ac:dyDescent="0.25">
      <c r="I4483" s="62" t="str">
        <f t="shared" si="69"/>
        <v/>
      </c>
    </row>
    <row r="4484" spans="9:9" x14ac:dyDescent="0.25">
      <c r="I4484" s="62" t="str">
        <f t="shared" si="69"/>
        <v/>
      </c>
    </row>
    <row r="4485" spans="9:9" x14ac:dyDescent="0.25">
      <c r="I4485" s="62" t="str">
        <f t="shared" ref="I4485:I4548" si="70">IF(H4485&lt;&gt;"",H4485-H4484,"")</f>
        <v/>
      </c>
    </row>
    <row r="4486" spans="9:9" x14ac:dyDescent="0.25">
      <c r="I4486" s="62" t="str">
        <f t="shared" si="70"/>
        <v/>
      </c>
    </row>
    <row r="4487" spans="9:9" x14ac:dyDescent="0.25">
      <c r="I4487" s="62" t="str">
        <f t="shared" si="70"/>
        <v/>
      </c>
    </row>
    <row r="4488" spans="9:9" x14ac:dyDescent="0.25">
      <c r="I4488" s="62" t="str">
        <f t="shared" si="70"/>
        <v/>
      </c>
    </row>
    <row r="4489" spans="9:9" x14ac:dyDescent="0.25">
      <c r="I4489" s="62" t="str">
        <f t="shared" si="70"/>
        <v/>
      </c>
    </row>
    <row r="4490" spans="9:9" x14ac:dyDescent="0.25">
      <c r="I4490" s="62" t="str">
        <f t="shared" si="70"/>
        <v/>
      </c>
    </row>
    <row r="4491" spans="9:9" x14ac:dyDescent="0.25">
      <c r="I4491" s="62" t="str">
        <f t="shared" si="70"/>
        <v/>
      </c>
    </row>
    <row r="4492" spans="9:9" x14ac:dyDescent="0.25">
      <c r="I4492" s="62" t="str">
        <f t="shared" si="70"/>
        <v/>
      </c>
    </row>
    <row r="4493" spans="9:9" x14ac:dyDescent="0.25">
      <c r="I4493" s="62" t="str">
        <f t="shared" si="70"/>
        <v/>
      </c>
    </row>
    <row r="4494" spans="9:9" x14ac:dyDescent="0.25">
      <c r="I4494" s="62" t="str">
        <f t="shared" si="70"/>
        <v/>
      </c>
    </row>
    <row r="4495" spans="9:9" x14ac:dyDescent="0.25">
      <c r="I4495" s="62" t="str">
        <f t="shared" si="70"/>
        <v/>
      </c>
    </row>
    <row r="4496" spans="9:9" x14ac:dyDescent="0.25">
      <c r="I4496" s="62" t="str">
        <f t="shared" si="70"/>
        <v/>
      </c>
    </row>
    <row r="4497" spans="9:9" x14ac:dyDescent="0.25">
      <c r="I4497" s="62" t="str">
        <f t="shared" si="70"/>
        <v/>
      </c>
    </row>
    <row r="4498" spans="9:9" x14ac:dyDescent="0.25">
      <c r="I4498" s="62" t="str">
        <f t="shared" si="70"/>
        <v/>
      </c>
    </row>
    <row r="4499" spans="9:9" x14ac:dyDescent="0.25">
      <c r="I4499" s="62" t="str">
        <f t="shared" si="70"/>
        <v/>
      </c>
    </row>
    <row r="4500" spans="9:9" x14ac:dyDescent="0.25">
      <c r="I4500" s="62" t="str">
        <f t="shared" si="70"/>
        <v/>
      </c>
    </row>
    <row r="4501" spans="9:9" x14ac:dyDescent="0.25">
      <c r="I4501" s="62" t="str">
        <f t="shared" si="70"/>
        <v/>
      </c>
    </row>
    <row r="4502" spans="9:9" x14ac:dyDescent="0.25">
      <c r="I4502" s="62" t="str">
        <f t="shared" si="70"/>
        <v/>
      </c>
    </row>
    <row r="4503" spans="9:9" x14ac:dyDescent="0.25">
      <c r="I4503" s="62" t="str">
        <f t="shared" si="70"/>
        <v/>
      </c>
    </row>
    <row r="4504" spans="9:9" x14ac:dyDescent="0.25">
      <c r="I4504" s="62" t="str">
        <f t="shared" si="70"/>
        <v/>
      </c>
    </row>
    <row r="4505" spans="9:9" x14ac:dyDescent="0.25">
      <c r="I4505" s="62" t="str">
        <f t="shared" si="70"/>
        <v/>
      </c>
    </row>
    <row r="4506" spans="9:9" x14ac:dyDescent="0.25">
      <c r="I4506" s="62" t="str">
        <f t="shared" si="70"/>
        <v/>
      </c>
    </row>
    <row r="4507" spans="9:9" x14ac:dyDescent="0.25">
      <c r="I4507" s="62" t="str">
        <f t="shared" si="70"/>
        <v/>
      </c>
    </row>
    <row r="4508" spans="9:9" x14ac:dyDescent="0.25">
      <c r="I4508" s="62" t="str">
        <f t="shared" si="70"/>
        <v/>
      </c>
    </row>
    <row r="4509" spans="9:9" x14ac:dyDescent="0.25">
      <c r="I4509" s="62" t="str">
        <f t="shared" si="70"/>
        <v/>
      </c>
    </row>
    <row r="4510" spans="9:9" x14ac:dyDescent="0.25">
      <c r="I4510" s="62" t="str">
        <f t="shared" si="70"/>
        <v/>
      </c>
    </row>
    <row r="4511" spans="9:9" x14ac:dyDescent="0.25">
      <c r="I4511" s="62" t="str">
        <f t="shared" si="70"/>
        <v/>
      </c>
    </row>
    <row r="4512" spans="9:9" x14ac:dyDescent="0.25">
      <c r="I4512" s="62" t="str">
        <f t="shared" si="70"/>
        <v/>
      </c>
    </row>
    <row r="4513" spans="9:9" x14ac:dyDescent="0.25">
      <c r="I4513" s="62" t="str">
        <f t="shared" si="70"/>
        <v/>
      </c>
    </row>
    <row r="4514" spans="9:9" x14ac:dyDescent="0.25">
      <c r="I4514" s="62" t="str">
        <f t="shared" si="70"/>
        <v/>
      </c>
    </row>
    <row r="4515" spans="9:9" x14ac:dyDescent="0.25">
      <c r="I4515" s="62" t="str">
        <f t="shared" si="70"/>
        <v/>
      </c>
    </row>
    <row r="4516" spans="9:9" x14ac:dyDescent="0.25">
      <c r="I4516" s="62" t="str">
        <f t="shared" si="70"/>
        <v/>
      </c>
    </row>
    <row r="4517" spans="9:9" x14ac:dyDescent="0.25">
      <c r="I4517" s="62" t="str">
        <f t="shared" si="70"/>
        <v/>
      </c>
    </row>
    <row r="4518" spans="9:9" x14ac:dyDescent="0.25">
      <c r="I4518" s="62" t="str">
        <f t="shared" si="70"/>
        <v/>
      </c>
    </row>
    <row r="4519" spans="9:9" x14ac:dyDescent="0.25">
      <c r="I4519" s="62" t="str">
        <f t="shared" si="70"/>
        <v/>
      </c>
    </row>
    <row r="4520" spans="9:9" x14ac:dyDescent="0.25">
      <c r="I4520" s="62" t="str">
        <f t="shared" si="70"/>
        <v/>
      </c>
    </row>
    <row r="4521" spans="9:9" x14ac:dyDescent="0.25">
      <c r="I4521" s="62" t="str">
        <f t="shared" si="70"/>
        <v/>
      </c>
    </row>
    <row r="4522" spans="9:9" x14ac:dyDescent="0.25">
      <c r="I4522" s="62" t="str">
        <f t="shared" si="70"/>
        <v/>
      </c>
    </row>
    <row r="4523" spans="9:9" x14ac:dyDescent="0.25">
      <c r="I4523" s="62" t="str">
        <f t="shared" si="70"/>
        <v/>
      </c>
    </row>
    <row r="4524" spans="9:9" x14ac:dyDescent="0.25">
      <c r="I4524" s="62" t="str">
        <f t="shared" si="70"/>
        <v/>
      </c>
    </row>
    <row r="4525" spans="9:9" x14ac:dyDescent="0.25">
      <c r="I4525" s="62" t="str">
        <f t="shared" si="70"/>
        <v/>
      </c>
    </row>
    <row r="4526" spans="9:9" x14ac:dyDescent="0.25">
      <c r="I4526" s="62" t="str">
        <f t="shared" si="70"/>
        <v/>
      </c>
    </row>
    <row r="4527" spans="9:9" x14ac:dyDescent="0.25">
      <c r="I4527" s="62" t="str">
        <f t="shared" si="70"/>
        <v/>
      </c>
    </row>
    <row r="4528" spans="9:9" x14ac:dyDescent="0.25">
      <c r="I4528" s="62" t="str">
        <f t="shared" si="70"/>
        <v/>
      </c>
    </row>
    <row r="4529" spans="9:9" x14ac:dyDescent="0.25">
      <c r="I4529" s="62" t="str">
        <f t="shared" si="70"/>
        <v/>
      </c>
    </row>
    <row r="4530" spans="9:9" x14ac:dyDescent="0.25">
      <c r="I4530" s="62" t="str">
        <f t="shared" si="70"/>
        <v/>
      </c>
    </row>
    <row r="4531" spans="9:9" x14ac:dyDescent="0.25">
      <c r="I4531" s="62" t="str">
        <f t="shared" si="70"/>
        <v/>
      </c>
    </row>
    <row r="4532" spans="9:9" x14ac:dyDescent="0.25">
      <c r="I4532" s="62" t="str">
        <f t="shared" si="70"/>
        <v/>
      </c>
    </row>
    <row r="4533" spans="9:9" x14ac:dyDescent="0.25">
      <c r="I4533" s="62" t="str">
        <f t="shared" si="70"/>
        <v/>
      </c>
    </row>
    <row r="4534" spans="9:9" x14ac:dyDescent="0.25">
      <c r="I4534" s="62" t="str">
        <f t="shared" si="70"/>
        <v/>
      </c>
    </row>
    <row r="4535" spans="9:9" x14ac:dyDescent="0.25">
      <c r="I4535" s="62" t="str">
        <f t="shared" si="70"/>
        <v/>
      </c>
    </row>
    <row r="4536" spans="9:9" x14ac:dyDescent="0.25">
      <c r="I4536" s="62" t="str">
        <f t="shared" si="70"/>
        <v/>
      </c>
    </row>
    <row r="4537" spans="9:9" x14ac:dyDescent="0.25">
      <c r="I4537" s="62" t="str">
        <f t="shared" si="70"/>
        <v/>
      </c>
    </row>
    <row r="4538" spans="9:9" x14ac:dyDescent="0.25">
      <c r="I4538" s="62" t="str">
        <f t="shared" si="70"/>
        <v/>
      </c>
    </row>
    <row r="4539" spans="9:9" x14ac:dyDescent="0.25">
      <c r="I4539" s="62" t="str">
        <f t="shared" si="70"/>
        <v/>
      </c>
    </row>
    <row r="4540" spans="9:9" x14ac:dyDescent="0.25">
      <c r="I4540" s="62" t="str">
        <f t="shared" si="70"/>
        <v/>
      </c>
    </row>
    <row r="4541" spans="9:9" x14ac:dyDescent="0.25">
      <c r="I4541" s="62" t="str">
        <f t="shared" si="70"/>
        <v/>
      </c>
    </row>
    <row r="4542" spans="9:9" x14ac:dyDescent="0.25">
      <c r="I4542" s="62" t="str">
        <f t="shared" si="70"/>
        <v/>
      </c>
    </row>
    <row r="4543" spans="9:9" x14ac:dyDescent="0.25">
      <c r="I4543" s="62" t="str">
        <f t="shared" si="70"/>
        <v/>
      </c>
    </row>
    <row r="4544" spans="9:9" x14ac:dyDescent="0.25">
      <c r="I4544" s="62" t="str">
        <f t="shared" si="70"/>
        <v/>
      </c>
    </row>
    <row r="4545" spans="9:9" x14ac:dyDescent="0.25">
      <c r="I4545" s="62" t="str">
        <f t="shared" si="70"/>
        <v/>
      </c>
    </row>
    <row r="4546" spans="9:9" x14ac:dyDescent="0.25">
      <c r="I4546" s="62" t="str">
        <f t="shared" si="70"/>
        <v/>
      </c>
    </row>
    <row r="4547" spans="9:9" x14ac:dyDescent="0.25">
      <c r="I4547" s="62" t="str">
        <f t="shared" si="70"/>
        <v/>
      </c>
    </row>
    <row r="4548" spans="9:9" x14ac:dyDescent="0.25">
      <c r="I4548" s="62" t="str">
        <f t="shared" si="70"/>
        <v/>
      </c>
    </row>
    <row r="4549" spans="9:9" x14ac:dyDescent="0.25">
      <c r="I4549" s="62" t="str">
        <f t="shared" ref="I4549:I4612" si="71">IF(H4549&lt;&gt;"",H4549-H4548,"")</f>
        <v/>
      </c>
    </row>
    <row r="4550" spans="9:9" x14ac:dyDescent="0.25">
      <c r="I4550" s="62" t="str">
        <f t="shared" si="71"/>
        <v/>
      </c>
    </row>
    <row r="4551" spans="9:9" x14ac:dyDescent="0.25">
      <c r="I4551" s="62" t="str">
        <f t="shared" si="71"/>
        <v/>
      </c>
    </row>
    <row r="4552" spans="9:9" x14ac:dyDescent="0.25">
      <c r="I4552" s="62" t="str">
        <f t="shared" si="71"/>
        <v/>
      </c>
    </row>
    <row r="4553" spans="9:9" x14ac:dyDescent="0.25">
      <c r="I4553" s="62" t="str">
        <f t="shared" si="71"/>
        <v/>
      </c>
    </row>
    <row r="4554" spans="9:9" x14ac:dyDescent="0.25">
      <c r="I4554" s="62" t="str">
        <f t="shared" si="71"/>
        <v/>
      </c>
    </row>
    <row r="4555" spans="9:9" x14ac:dyDescent="0.25">
      <c r="I4555" s="62" t="str">
        <f t="shared" si="71"/>
        <v/>
      </c>
    </row>
    <row r="4556" spans="9:9" x14ac:dyDescent="0.25">
      <c r="I4556" s="62" t="str">
        <f t="shared" si="71"/>
        <v/>
      </c>
    </row>
    <row r="4557" spans="9:9" x14ac:dyDescent="0.25">
      <c r="I4557" s="62" t="str">
        <f t="shared" si="71"/>
        <v/>
      </c>
    </row>
    <row r="4558" spans="9:9" x14ac:dyDescent="0.25">
      <c r="I4558" s="62" t="str">
        <f t="shared" si="71"/>
        <v/>
      </c>
    </row>
    <row r="4559" spans="9:9" x14ac:dyDescent="0.25">
      <c r="I4559" s="62" t="str">
        <f t="shared" si="71"/>
        <v/>
      </c>
    </row>
    <row r="4560" spans="9:9" x14ac:dyDescent="0.25">
      <c r="I4560" s="62" t="str">
        <f t="shared" si="71"/>
        <v/>
      </c>
    </row>
    <row r="4561" spans="9:9" x14ac:dyDescent="0.25">
      <c r="I4561" s="62" t="str">
        <f t="shared" si="71"/>
        <v/>
      </c>
    </row>
    <row r="4562" spans="9:9" x14ac:dyDescent="0.25">
      <c r="I4562" s="62" t="str">
        <f t="shared" si="71"/>
        <v/>
      </c>
    </row>
    <row r="4563" spans="9:9" x14ac:dyDescent="0.25">
      <c r="I4563" s="62" t="str">
        <f t="shared" si="71"/>
        <v/>
      </c>
    </row>
    <row r="4564" spans="9:9" x14ac:dyDescent="0.25">
      <c r="I4564" s="62" t="str">
        <f t="shared" si="71"/>
        <v/>
      </c>
    </row>
    <row r="4565" spans="9:9" x14ac:dyDescent="0.25">
      <c r="I4565" s="62" t="str">
        <f t="shared" si="71"/>
        <v/>
      </c>
    </row>
    <row r="4566" spans="9:9" x14ac:dyDescent="0.25">
      <c r="I4566" s="62" t="str">
        <f t="shared" si="71"/>
        <v/>
      </c>
    </row>
    <row r="4567" spans="9:9" x14ac:dyDescent="0.25">
      <c r="I4567" s="62" t="str">
        <f t="shared" si="71"/>
        <v/>
      </c>
    </row>
    <row r="4568" spans="9:9" x14ac:dyDescent="0.25">
      <c r="I4568" s="62" t="str">
        <f t="shared" si="71"/>
        <v/>
      </c>
    </row>
    <row r="4569" spans="9:9" x14ac:dyDescent="0.25">
      <c r="I4569" s="62" t="str">
        <f t="shared" si="71"/>
        <v/>
      </c>
    </row>
    <row r="4570" spans="9:9" x14ac:dyDescent="0.25">
      <c r="I4570" s="62" t="str">
        <f t="shared" si="71"/>
        <v/>
      </c>
    </row>
    <row r="4571" spans="9:9" x14ac:dyDescent="0.25">
      <c r="I4571" s="62" t="str">
        <f t="shared" si="71"/>
        <v/>
      </c>
    </row>
    <row r="4572" spans="9:9" x14ac:dyDescent="0.25">
      <c r="I4572" s="62" t="str">
        <f t="shared" si="71"/>
        <v/>
      </c>
    </row>
    <row r="4573" spans="9:9" x14ac:dyDescent="0.25">
      <c r="I4573" s="62" t="str">
        <f t="shared" si="71"/>
        <v/>
      </c>
    </row>
    <row r="4574" spans="9:9" x14ac:dyDescent="0.25">
      <c r="I4574" s="62" t="str">
        <f t="shared" si="71"/>
        <v/>
      </c>
    </row>
    <row r="4575" spans="9:9" x14ac:dyDescent="0.25">
      <c r="I4575" s="62" t="str">
        <f t="shared" si="71"/>
        <v/>
      </c>
    </row>
    <row r="4576" spans="9:9" x14ac:dyDescent="0.25">
      <c r="I4576" s="62" t="str">
        <f t="shared" si="71"/>
        <v/>
      </c>
    </row>
    <row r="4577" spans="9:9" x14ac:dyDescent="0.25">
      <c r="I4577" s="62" t="str">
        <f t="shared" si="71"/>
        <v/>
      </c>
    </row>
    <row r="4578" spans="9:9" x14ac:dyDescent="0.25">
      <c r="I4578" s="62" t="str">
        <f t="shared" si="71"/>
        <v/>
      </c>
    </row>
    <row r="4579" spans="9:9" x14ac:dyDescent="0.25">
      <c r="I4579" s="62" t="str">
        <f t="shared" si="71"/>
        <v/>
      </c>
    </row>
    <row r="4580" spans="9:9" x14ac:dyDescent="0.25">
      <c r="I4580" s="62" t="str">
        <f t="shared" si="71"/>
        <v/>
      </c>
    </row>
    <row r="4581" spans="9:9" x14ac:dyDescent="0.25">
      <c r="I4581" s="62" t="str">
        <f t="shared" si="71"/>
        <v/>
      </c>
    </row>
    <row r="4582" spans="9:9" x14ac:dyDescent="0.25">
      <c r="I4582" s="62" t="str">
        <f t="shared" si="71"/>
        <v/>
      </c>
    </row>
    <row r="4583" spans="9:9" x14ac:dyDescent="0.25">
      <c r="I4583" s="62" t="str">
        <f t="shared" si="71"/>
        <v/>
      </c>
    </row>
    <row r="4584" spans="9:9" x14ac:dyDescent="0.25">
      <c r="I4584" s="62" t="str">
        <f t="shared" si="71"/>
        <v/>
      </c>
    </row>
    <row r="4585" spans="9:9" x14ac:dyDescent="0.25">
      <c r="I4585" s="62" t="str">
        <f t="shared" si="71"/>
        <v/>
      </c>
    </row>
    <row r="4586" spans="9:9" x14ac:dyDescent="0.25">
      <c r="I4586" s="62" t="str">
        <f t="shared" si="71"/>
        <v/>
      </c>
    </row>
    <row r="4587" spans="9:9" x14ac:dyDescent="0.25">
      <c r="I4587" s="62" t="str">
        <f t="shared" si="71"/>
        <v/>
      </c>
    </row>
    <row r="4588" spans="9:9" x14ac:dyDescent="0.25">
      <c r="I4588" s="62" t="str">
        <f t="shared" si="71"/>
        <v/>
      </c>
    </row>
    <row r="4589" spans="9:9" x14ac:dyDescent="0.25">
      <c r="I4589" s="62" t="str">
        <f t="shared" si="71"/>
        <v/>
      </c>
    </row>
    <row r="4590" spans="9:9" x14ac:dyDescent="0.25">
      <c r="I4590" s="62" t="str">
        <f t="shared" si="71"/>
        <v/>
      </c>
    </row>
    <row r="4591" spans="9:9" x14ac:dyDescent="0.25">
      <c r="I4591" s="62" t="str">
        <f t="shared" si="71"/>
        <v/>
      </c>
    </row>
    <row r="4592" spans="9:9" x14ac:dyDescent="0.25">
      <c r="I4592" s="62" t="str">
        <f t="shared" si="71"/>
        <v/>
      </c>
    </row>
    <row r="4593" spans="9:9" x14ac:dyDescent="0.25">
      <c r="I4593" s="62" t="str">
        <f t="shared" si="71"/>
        <v/>
      </c>
    </row>
    <row r="4594" spans="9:9" x14ac:dyDescent="0.25">
      <c r="I4594" s="62" t="str">
        <f t="shared" si="71"/>
        <v/>
      </c>
    </row>
    <row r="4595" spans="9:9" x14ac:dyDescent="0.25">
      <c r="I4595" s="62" t="str">
        <f t="shared" si="71"/>
        <v/>
      </c>
    </row>
    <row r="4596" spans="9:9" x14ac:dyDescent="0.25">
      <c r="I4596" s="62" t="str">
        <f t="shared" si="71"/>
        <v/>
      </c>
    </row>
    <row r="4597" spans="9:9" x14ac:dyDescent="0.25">
      <c r="I4597" s="62" t="str">
        <f t="shared" si="71"/>
        <v/>
      </c>
    </row>
    <row r="4598" spans="9:9" x14ac:dyDescent="0.25">
      <c r="I4598" s="62" t="str">
        <f t="shared" si="71"/>
        <v/>
      </c>
    </row>
    <row r="4599" spans="9:9" x14ac:dyDescent="0.25">
      <c r="I4599" s="62" t="str">
        <f t="shared" si="71"/>
        <v/>
      </c>
    </row>
    <row r="4600" spans="9:9" x14ac:dyDescent="0.25">
      <c r="I4600" s="62" t="str">
        <f t="shared" si="71"/>
        <v/>
      </c>
    </row>
    <row r="4601" spans="9:9" x14ac:dyDescent="0.25">
      <c r="I4601" s="62" t="str">
        <f t="shared" si="71"/>
        <v/>
      </c>
    </row>
    <row r="4602" spans="9:9" x14ac:dyDescent="0.25">
      <c r="I4602" s="62" t="str">
        <f t="shared" si="71"/>
        <v/>
      </c>
    </row>
    <row r="4603" spans="9:9" x14ac:dyDescent="0.25">
      <c r="I4603" s="62" t="str">
        <f t="shared" si="71"/>
        <v/>
      </c>
    </row>
    <row r="4604" spans="9:9" x14ac:dyDescent="0.25">
      <c r="I4604" s="62" t="str">
        <f t="shared" si="71"/>
        <v/>
      </c>
    </row>
    <row r="4605" spans="9:9" x14ac:dyDescent="0.25">
      <c r="I4605" s="62" t="str">
        <f t="shared" si="71"/>
        <v/>
      </c>
    </row>
    <row r="4606" spans="9:9" x14ac:dyDescent="0.25">
      <c r="I4606" s="62" t="str">
        <f t="shared" si="71"/>
        <v/>
      </c>
    </row>
    <row r="4607" spans="9:9" x14ac:dyDescent="0.25">
      <c r="I4607" s="62" t="str">
        <f t="shared" si="71"/>
        <v/>
      </c>
    </row>
    <row r="4608" spans="9:9" x14ac:dyDescent="0.25">
      <c r="I4608" s="62" t="str">
        <f t="shared" si="71"/>
        <v/>
      </c>
    </row>
    <row r="4609" spans="9:9" x14ac:dyDescent="0.25">
      <c r="I4609" s="62" t="str">
        <f t="shared" si="71"/>
        <v/>
      </c>
    </row>
    <row r="4610" spans="9:9" x14ac:dyDescent="0.25">
      <c r="I4610" s="62" t="str">
        <f t="shared" si="71"/>
        <v/>
      </c>
    </row>
    <row r="4611" spans="9:9" x14ac:dyDescent="0.25">
      <c r="I4611" s="62" t="str">
        <f t="shared" si="71"/>
        <v/>
      </c>
    </row>
    <row r="4612" spans="9:9" x14ac:dyDescent="0.25">
      <c r="I4612" s="62" t="str">
        <f t="shared" si="71"/>
        <v/>
      </c>
    </row>
    <row r="4613" spans="9:9" x14ac:dyDescent="0.25">
      <c r="I4613" s="62" t="str">
        <f t="shared" ref="I4613:I4676" si="72">IF(H4613&lt;&gt;"",H4613-H4612,"")</f>
        <v/>
      </c>
    </row>
    <row r="4614" spans="9:9" x14ac:dyDescent="0.25">
      <c r="I4614" s="62" t="str">
        <f t="shared" si="72"/>
        <v/>
      </c>
    </row>
    <row r="4615" spans="9:9" x14ac:dyDescent="0.25">
      <c r="I4615" s="62" t="str">
        <f t="shared" si="72"/>
        <v/>
      </c>
    </row>
    <row r="4616" spans="9:9" x14ac:dyDescent="0.25">
      <c r="I4616" s="62" t="str">
        <f t="shared" si="72"/>
        <v/>
      </c>
    </row>
    <row r="4617" spans="9:9" x14ac:dyDescent="0.25">
      <c r="I4617" s="62" t="str">
        <f t="shared" si="72"/>
        <v/>
      </c>
    </row>
    <row r="4618" spans="9:9" x14ac:dyDescent="0.25">
      <c r="I4618" s="62" t="str">
        <f t="shared" si="72"/>
        <v/>
      </c>
    </row>
    <row r="4619" spans="9:9" x14ac:dyDescent="0.25">
      <c r="I4619" s="62" t="str">
        <f t="shared" si="72"/>
        <v/>
      </c>
    </row>
    <row r="4620" spans="9:9" x14ac:dyDescent="0.25">
      <c r="I4620" s="62" t="str">
        <f t="shared" si="72"/>
        <v/>
      </c>
    </row>
    <row r="4621" spans="9:9" x14ac:dyDescent="0.25">
      <c r="I4621" s="62" t="str">
        <f t="shared" si="72"/>
        <v/>
      </c>
    </row>
    <row r="4622" spans="9:9" x14ac:dyDescent="0.25">
      <c r="I4622" s="62" t="str">
        <f t="shared" si="72"/>
        <v/>
      </c>
    </row>
    <row r="4623" spans="9:9" x14ac:dyDescent="0.25">
      <c r="I4623" s="62" t="str">
        <f t="shared" si="72"/>
        <v/>
      </c>
    </row>
    <row r="4624" spans="9:9" x14ac:dyDescent="0.25">
      <c r="I4624" s="62" t="str">
        <f t="shared" si="72"/>
        <v/>
      </c>
    </row>
    <row r="4625" spans="9:9" x14ac:dyDescent="0.25">
      <c r="I4625" s="62" t="str">
        <f t="shared" si="72"/>
        <v/>
      </c>
    </row>
    <row r="4626" spans="9:9" x14ac:dyDescent="0.25">
      <c r="I4626" s="62" t="str">
        <f t="shared" si="72"/>
        <v/>
      </c>
    </row>
    <row r="4627" spans="9:9" x14ac:dyDescent="0.25">
      <c r="I4627" s="62" t="str">
        <f t="shared" si="72"/>
        <v/>
      </c>
    </row>
    <row r="4628" spans="9:9" x14ac:dyDescent="0.25">
      <c r="I4628" s="62" t="str">
        <f t="shared" si="72"/>
        <v/>
      </c>
    </row>
    <row r="4629" spans="9:9" x14ac:dyDescent="0.25">
      <c r="I4629" s="62" t="str">
        <f t="shared" si="72"/>
        <v/>
      </c>
    </row>
    <row r="4630" spans="9:9" x14ac:dyDescent="0.25">
      <c r="I4630" s="62" t="str">
        <f t="shared" si="72"/>
        <v/>
      </c>
    </row>
    <row r="4631" spans="9:9" x14ac:dyDescent="0.25">
      <c r="I4631" s="62" t="str">
        <f t="shared" si="72"/>
        <v/>
      </c>
    </row>
    <row r="4632" spans="9:9" x14ac:dyDescent="0.25">
      <c r="I4632" s="62" t="str">
        <f t="shared" si="72"/>
        <v/>
      </c>
    </row>
    <row r="4633" spans="9:9" x14ac:dyDescent="0.25">
      <c r="I4633" s="62" t="str">
        <f t="shared" si="72"/>
        <v/>
      </c>
    </row>
    <row r="4634" spans="9:9" x14ac:dyDescent="0.25">
      <c r="I4634" s="62" t="str">
        <f t="shared" si="72"/>
        <v/>
      </c>
    </row>
    <row r="4635" spans="9:9" x14ac:dyDescent="0.25">
      <c r="I4635" s="62" t="str">
        <f t="shared" si="72"/>
        <v/>
      </c>
    </row>
    <row r="4636" spans="9:9" x14ac:dyDescent="0.25">
      <c r="I4636" s="62" t="str">
        <f t="shared" si="72"/>
        <v/>
      </c>
    </row>
    <row r="4637" spans="9:9" x14ac:dyDescent="0.25">
      <c r="I4637" s="62" t="str">
        <f t="shared" si="72"/>
        <v/>
      </c>
    </row>
    <row r="4638" spans="9:9" x14ac:dyDescent="0.25">
      <c r="I4638" s="62" t="str">
        <f t="shared" si="72"/>
        <v/>
      </c>
    </row>
    <row r="4639" spans="9:9" x14ac:dyDescent="0.25">
      <c r="I4639" s="62" t="str">
        <f t="shared" si="72"/>
        <v/>
      </c>
    </row>
    <row r="4640" spans="9:9" x14ac:dyDescent="0.25">
      <c r="I4640" s="62" t="str">
        <f t="shared" si="72"/>
        <v/>
      </c>
    </row>
    <row r="4641" spans="9:9" x14ac:dyDescent="0.25">
      <c r="I4641" s="62" t="str">
        <f t="shared" si="72"/>
        <v/>
      </c>
    </row>
    <row r="4642" spans="9:9" x14ac:dyDescent="0.25">
      <c r="I4642" s="62" t="str">
        <f t="shared" si="72"/>
        <v/>
      </c>
    </row>
    <row r="4643" spans="9:9" x14ac:dyDescent="0.25">
      <c r="I4643" s="62" t="str">
        <f t="shared" si="72"/>
        <v/>
      </c>
    </row>
    <row r="4644" spans="9:9" x14ac:dyDescent="0.25">
      <c r="I4644" s="62" t="str">
        <f t="shared" si="72"/>
        <v/>
      </c>
    </row>
    <row r="4645" spans="9:9" x14ac:dyDescent="0.25">
      <c r="I4645" s="62" t="str">
        <f t="shared" si="72"/>
        <v/>
      </c>
    </row>
    <row r="4646" spans="9:9" x14ac:dyDescent="0.25">
      <c r="I4646" s="62" t="str">
        <f t="shared" si="72"/>
        <v/>
      </c>
    </row>
    <row r="4647" spans="9:9" x14ac:dyDescent="0.25">
      <c r="I4647" s="62" t="str">
        <f t="shared" si="72"/>
        <v/>
      </c>
    </row>
    <row r="4648" spans="9:9" x14ac:dyDescent="0.25">
      <c r="I4648" s="62" t="str">
        <f t="shared" si="72"/>
        <v/>
      </c>
    </row>
    <row r="4649" spans="9:9" x14ac:dyDescent="0.25">
      <c r="I4649" s="62" t="str">
        <f t="shared" si="72"/>
        <v/>
      </c>
    </row>
    <row r="4650" spans="9:9" x14ac:dyDescent="0.25">
      <c r="I4650" s="62" t="str">
        <f t="shared" si="72"/>
        <v/>
      </c>
    </row>
    <row r="4651" spans="9:9" x14ac:dyDescent="0.25">
      <c r="I4651" s="62" t="str">
        <f t="shared" si="72"/>
        <v/>
      </c>
    </row>
    <row r="4652" spans="9:9" x14ac:dyDescent="0.25">
      <c r="I4652" s="62" t="str">
        <f t="shared" si="72"/>
        <v/>
      </c>
    </row>
    <row r="4653" spans="9:9" x14ac:dyDescent="0.25">
      <c r="I4653" s="62" t="str">
        <f t="shared" si="72"/>
        <v/>
      </c>
    </row>
    <row r="4654" spans="9:9" x14ac:dyDescent="0.25">
      <c r="I4654" s="62" t="str">
        <f t="shared" si="72"/>
        <v/>
      </c>
    </row>
    <row r="4655" spans="9:9" x14ac:dyDescent="0.25">
      <c r="I4655" s="62" t="str">
        <f t="shared" si="72"/>
        <v/>
      </c>
    </row>
    <row r="4656" spans="9:9" x14ac:dyDescent="0.25">
      <c r="I4656" s="62" t="str">
        <f t="shared" si="72"/>
        <v/>
      </c>
    </row>
    <row r="4657" spans="9:9" x14ac:dyDescent="0.25">
      <c r="I4657" s="62" t="str">
        <f t="shared" si="72"/>
        <v/>
      </c>
    </row>
    <row r="4658" spans="9:9" x14ac:dyDescent="0.25">
      <c r="I4658" s="62" t="str">
        <f t="shared" si="72"/>
        <v/>
      </c>
    </row>
    <row r="4659" spans="9:9" x14ac:dyDescent="0.25">
      <c r="I4659" s="62" t="str">
        <f t="shared" si="72"/>
        <v/>
      </c>
    </row>
    <row r="4660" spans="9:9" x14ac:dyDescent="0.25">
      <c r="I4660" s="62" t="str">
        <f t="shared" si="72"/>
        <v/>
      </c>
    </row>
    <row r="4661" spans="9:9" x14ac:dyDescent="0.25">
      <c r="I4661" s="62" t="str">
        <f t="shared" si="72"/>
        <v/>
      </c>
    </row>
    <row r="4662" spans="9:9" x14ac:dyDescent="0.25">
      <c r="I4662" s="62" t="str">
        <f t="shared" si="72"/>
        <v/>
      </c>
    </row>
    <row r="4663" spans="9:9" x14ac:dyDescent="0.25">
      <c r="I4663" s="62" t="str">
        <f t="shared" si="72"/>
        <v/>
      </c>
    </row>
    <row r="4664" spans="9:9" x14ac:dyDescent="0.25">
      <c r="I4664" s="62" t="str">
        <f t="shared" si="72"/>
        <v/>
      </c>
    </row>
    <row r="4665" spans="9:9" x14ac:dyDescent="0.25">
      <c r="I4665" s="62" t="str">
        <f t="shared" si="72"/>
        <v/>
      </c>
    </row>
    <row r="4666" spans="9:9" x14ac:dyDescent="0.25">
      <c r="I4666" s="62" t="str">
        <f t="shared" si="72"/>
        <v/>
      </c>
    </row>
    <row r="4667" spans="9:9" x14ac:dyDescent="0.25">
      <c r="I4667" s="62" t="str">
        <f t="shared" si="72"/>
        <v/>
      </c>
    </row>
    <row r="4668" spans="9:9" x14ac:dyDescent="0.25">
      <c r="I4668" s="62" t="str">
        <f t="shared" si="72"/>
        <v/>
      </c>
    </row>
    <row r="4669" spans="9:9" x14ac:dyDescent="0.25">
      <c r="I4669" s="62" t="str">
        <f t="shared" si="72"/>
        <v/>
      </c>
    </row>
    <row r="4670" spans="9:9" x14ac:dyDescent="0.25">
      <c r="I4670" s="62" t="str">
        <f t="shared" si="72"/>
        <v/>
      </c>
    </row>
    <row r="4671" spans="9:9" x14ac:dyDescent="0.25">
      <c r="I4671" s="62" t="str">
        <f t="shared" si="72"/>
        <v/>
      </c>
    </row>
    <row r="4672" spans="9:9" x14ac:dyDescent="0.25">
      <c r="I4672" s="62" t="str">
        <f t="shared" si="72"/>
        <v/>
      </c>
    </row>
    <row r="4673" spans="9:9" x14ac:dyDescent="0.25">
      <c r="I4673" s="62" t="str">
        <f t="shared" si="72"/>
        <v/>
      </c>
    </row>
    <row r="4674" spans="9:9" x14ac:dyDescent="0.25">
      <c r="I4674" s="62" t="str">
        <f t="shared" si="72"/>
        <v/>
      </c>
    </row>
    <row r="4675" spans="9:9" x14ac:dyDescent="0.25">
      <c r="I4675" s="62" t="str">
        <f t="shared" si="72"/>
        <v/>
      </c>
    </row>
    <row r="4676" spans="9:9" x14ac:dyDescent="0.25">
      <c r="I4676" s="62" t="str">
        <f t="shared" si="72"/>
        <v/>
      </c>
    </row>
    <row r="4677" spans="9:9" x14ac:dyDescent="0.25">
      <c r="I4677" s="62" t="str">
        <f t="shared" ref="I4677:I4740" si="73">IF(H4677&lt;&gt;"",H4677-H4676,"")</f>
        <v/>
      </c>
    </row>
    <row r="4678" spans="9:9" x14ac:dyDescent="0.25">
      <c r="I4678" s="62" t="str">
        <f t="shared" si="73"/>
        <v/>
      </c>
    </row>
    <row r="4679" spans="9:9" x14ac:dyDescent="0.25">
      <c r="I4679" s="62" t="str">
        <f t="shared" si="73"/>
        <v/>
      </c>
    </row>
    <row r="4680" spans="9:9" x14ac:dyDescent="0.25">
      <c r="I4680" s="62" t="str">
        <f t="shared" si="73"/>
        <v/>
      </c>
    </row>
    <row r="4681" spans="9:9" x14ac:dyDescent="0.25">
      <c r="I4681" s="62" t="str">
        <f t="shared" si="73"/>
        <v/>
      </c>
    </row>
    <row r="4682" spans="9:9" x14ac:dyDescent="0.25">
      <c r="I4682" s="62" t="str">
        <f t="shared" si="73"/>
        <v/>
      </c>
    </row>
    <row r="4683" spans="9:9" x14ac:dyDescent="0.25">
      <c r="I4683" s="62" t="str">
        <f t="shared" si="73"/>
        <v/>
      </c>
    </row>
    <row r="4684" spans="9:9" x14ac:dyDescent="0.25">
      <c r="I4684" s="62" t="str">
        <f t="shared" si="73"/>
        <v/>
      </c>
    </row>
    <row r="4685" spans="9:9" x14ac:dyDescent="0.25">
      <c r="I4685" s="62" t="str">
        <f t="shared" si="73"/>
        <v/>
      </c>
    </row>
    <row r="4686" spans="9:9" x14ac:dyDescent="0.25">
      <c r="I4686" s="62" t="str">
        <f t="shared" si="73"/>
        <v/>
      </c>
    </row>
    <row r="4687" spans="9:9" x14ac:dyDescent="0.25">
      <c r="I4687" s="62" t="str">
        <f t="shared" si="73"/>
        <v/>
      </c>
    </row>
    <row r="4688" spans="9:9" x14ac:dyDescent="0.25">
      <c r="I4688" s="62" t="str">
        <f t="shared" si="73"/>
        <v/>
      </c>
    </row>
    <row r="4689" spans="9:9" x14ac:dyDescent="0.25">
      <c r="I4689" s="62" t="str">
        <f t="shared" si="73"/>
        <v/>
      </c>
    </row>
    <row r="4690" spans="9:9" x14ac:dyDescent="0.25">
      <c r="I4690" s="62" t="str">
        <f t="shared" si="73"/>
        <v/>
      </c>
    </row>
    <row r="4691" spans="9:9" x14ac:dyDescent="0.25">
      <c r="I4691" s="62" t="str">
        <f t="shared" si="73"/>
        <v/>
      </c>
    </row>
    <row r="4692" spans="9:9" x14ac:dyDescent="0.25">
      <c r="I4692" s="62" t="str">
        <f t="shared" si="73"/>
        <v/>
      </c>
    </row>
    <row r="4693" spans="9:9" x14ac:dyDescent="0.25">
      <c r="I4693" s="62" t="str">
        <f t="shared" si="73"/>
        <v/>
      </c>
    </row>
    <row r="4694" spans="9:9" x14ac:dyDescent="0.25">
      <c r="I4694" s="62" t="str">
        <f t="shared" si="73"/>
        <v/>
      </c>
    </row>
    <row r="4695" spans="9:9" x14ac:dyDescent="0.25">
      <c r="I4695" s="62" t="str">
        <f t="shared" si="73"/>
        <v/>
      </c>
    </row>
    <row r="4696" spans="9:9" x14ac:dyDescent="0.25">
      <c r="I4696" s="62" t="str">
        <f t="shared" si="73"/>
        <v/>
      </c>
    </row>
    <row r="4697" spans="9:9" x14ac:dyDescent="0.25">
      <c r="I4697" s="62" t="str">
        <f t="shared" si="73"/>
        <v/>
      </c>
    </row>
    <row r="4698" spans="9:9" x14ac:dyDescent="0.25">
      <c r="I4698" s="62" t="str">
        <f t="shared" si="73"/>
        <v/>
      </c>
    </row>
    <row r="4699" spans="9:9" x14ac:dyDescent="0.25">
      <c r="I4699" s="62" t="str">
        <f t="shared" si="73"/>
        <v/>
      </c>
    </row>
    <row r="4700" spans="9:9" x14ac:dyDescent="0.25">
      <c r="I4700" s="62" t="str">
        <f t="shared" si="73"/>
        <v/>
      </c>
    </row>
    <row r="4701" spans="9:9" x14ac:dyDescent="0.25">
      <c r="I4701" s="62" t="str">
        <f t="shared" si="73"/>
        <v/>
      </c>
    </row>
    <row r="4702" spans="9:9" x14ac:dyDescent="0.25">
      <c r="I4702" s="62" t="str">
        <f t="shared" si="73"/>
        <v/>
      </c>
    </row>
    <row r="4703" spans="9:9" x14ac:dyDescent="0.25">
      <c r="I4703" s="62" t="str">
        <f t="shared" si="73"/>
        <v/>
      </c>
    </row>
    <row r="4704" spans="9:9" x14ac:dyDescent="0.25">
      <c r="I4704" s="62" t="str">
        <f t="shared" si="73"/>
        <v/>
      </c>
    </row>
    <row r="4705" spans="9:9" x14ac:dyDescent="0.25">
      <c r="I4705" s="62" t="str">
        <f t="shared" si="73"/>
        <v/>
      </c>
    </row>
    <row r="4706" spans="9:9" x14ac:dyDescent="0.25">
      <c r="I4706" s="62" t="str">
        <f t="shared" si="73"/>
        <v/>
      </c>
    </row>
    <row r="4707" spans="9:9" x14ac:dyDescent="0.25">
      <c r="I4707" s="62" t="str">
        <f t="shared" si="73"/>
        <v/>
      </c>
    </row>
    <row r="4708" spans="9:9" x14ac:dyDescent="0.25">
      <c r="I4708" s="62" t="str">
        <f t="shared" si="73"/>
        <v/>
      </c>
    </row>
    <row r="4709" spans="9:9" x14ac:dyDescent="0.25">
      <c r="I4709" s="62" t="str">
        <f t="shared" si="73"/>
        <v/>
      </c>
    </row>
    <row r="4710" spans="9:9" x14ac:dyDescent="0.25">
      <c r="I4710" s="62" t="str">
        <f t="shared" si="73"/>
        <v/>
      </c>
    </row>
    <row r="4711" spans="9:9" x14ac:dyDescent="0.25">
      <c r="I4711" s="62" t="str">
        <f t="shared" si="73"/>
        <v/>
      </c>
    </row>
    <row r="4712" spans="9:9" x14ac:dyDescent="0.25">
      <c r="I4712" s="62" t="str">
        <f t="shared" si="73"/>
        <v/>
      </c>
    </row>
    <row r="4713" spans="9:9" x14ac:dyDescent="0.25">
      <c r="I4713" s="62" t="str">
        <f t="shared" si="73"/>
        <v/>
      </c>
    </row>
    <row r="4714" spans="9:9" x14ac:dyDescent="0.25">
      <c r="I4714" s="62" t="str">
        <f t="shared" si="73"/>
        <v/>
      </c>
    </row>
    <row r="4715" spans="9:9" x14ac:dyDescent="0.25">
      <c r="I4715" s="62" t="str">
        <f t="shared" si="73"/>
        <v/>
      </c>
    </row>
    <row r="4716" spans="9:9" x14ac:dyDescent="0.25">
      <c r="I4716" s="62" t="str">
        <f t="shared" si="73"/>
        <v/>
      </c>
    </row>
    <row r="4717" spans="9:9" x14ac:dyDescent="0.25">
      <c r="I4717" s="62" t="str">
        <f t="shared" si="73"/>
        <v/>
      </c>
    </row>
    <row r="4718" spans="9:9" x14ac:dyDescent="0.25">
      <c r="I4718" s="62" t="str">
        <f t="shared" si="73"/>
        <v/>
      </c>
    </row>
    <row r="4719" spans="9:9" x14ac:dyDescent="0.25">
      <c r="I4719" s="62" t="str">
        <f t="shared" si="73"/>
        <v/>
      </c>
    </row>
    <row r="4720" spans="9:9" x14ac:dyDescent="0.25">
      <c r="I4720" s="62" t="str">
        <f t="shared" si="73"/>
        <v/>
      </c>
    </row>
    <row r="4721" spans="9:9" x14ac:dyDescent="0.25">
      <c r="I4721" s="62" t="str">
        <f t="shared" si="73"/>
        <v/>
      </c>
    </row>
    <row r="4722" spans="9:9" x14ac:dyDescent="0.25">
      <c r="I4722" s="62" t="str">
        <f t="shared" si="73"/>
        <v/>
      </c>
    </row>
    <row r="4723" spans="9:9" x14ac:dyDescent="0.25">
      <c r="I4723" s="62" t="str">
        <f t="shared" si="73"/>
        <v/>
      </c>
    </row>
    <row r="4724" spans="9:9" x14ac:dyDescent="0.25">
      <c r="I4724" s="62" t="str">
        <f t="shared" si="73"/>
        <v/>
      </c>
    </row>
    <row r="4725" spans="9:9" x14ac:dyDescent="0.25">
      <c r="I4725" s="62" t="str">
        <f t="shared" si="73"/>
        <v/>
      </c>
    </row>
    <row r="4726" spans="9:9" x14ac:dyDescent="0.25">
      <c r="I4726" s="62" t="str">
        <f t="shared" si="73"/>
        <v/>
      </c>
    </row>
    <row r="4727" spans="9:9" x14ac:dyDescent="0.25">
      <c r="I4727" s="62" t="str">
        <f t="shared" si="73"/>
        <v/>
      </c>
    </row>
    <row r="4728" spans="9:9" x14ac:dyDescent="0.25">
      <c r="I4728" s="62" t="str">
        <f t="shared" si="73"/>
        <v/>
      </c>
    </row>
    <row r="4729" spans="9:9" x14ac:dyDescent="0.25">
      <c r="I4729" s="62" t="str">
        <f t="shared" si="73"/>
        <v/>
      </c>
    </row>
    <row r="4730" spans="9:9" x14ac:dyDescent="0.25">
      <c r="I4730" s="62" t="str">
        <f t="shared" si="73"/>
        <v/>
      </c>
    </row>
    <row r="4731" spans="9:9" x14ac:dyDescent="0.25">
      <c r="I4731" s="62" t="str">
        <f t="shared" si="73"/>
        <v/>
      </c>
    </row>
    <row r="4732" spans="9:9" x14ac:dyDescent="0.25">
      <c r="I4732" s="62" t="str">
        <f t="shared" si="73"/>
        <v/>
      </c>
    </row>
    <row r="4733" spans="9:9" x14ac:dyDescent="0.25">
      <c r="I4733" s="62" t="str">
        <f t="shared" si="73"/>
        <v/>
      </c>
    </row>
    <row r="4734" spans="9:9" x14ac:dyDescent="0.25">
      <c r="I4734" s="62" t="str">
        <f t="shared" si="73"/>
        <v/>
      </c>
    </row>
    <row r="4735" spans="9:9" x14ac:dyDescent="0.25">
      <c r="I4735" s="62" t="str">
        <f t="shared" si="73"/>
        <v/>
      </c>
    </row>
    <row r="4736" spans="9:9" x14ac:dyDescent="0.25">
      <c r="I4736" s="62" t="str">
        <f t="shared" si="73"/>
        <v/>
      </c>
    </row>
    <row r="4737" spans="9:9" x14ac:dyDescent="0.25">
      <c r="I4737" s="62" t="str">
        <f t="shared" si="73"/>
        <v/>
      </c>
    </row>
    <row r="4738" spans="9:9" x14ac:dyDescent="0.25">
      <c r="I4738" s="62" t="str">
        <f t="shared" si="73"/>
        <v/>
      </c>
    </row>
    <row r="4739" spans="9:9" x14ac:dyDescent="0.25">
      <c r="I4739" s="62" t="str">
        <f t="shared" si="73"/>
        <v/>
      </c>
    </row>
    <row r="4740" spans="9:9" x14ac:dyDescent="0.25">
      <c r="I4740" s="62" t="str">
        <f t="shared" si="73"/>
        <v/>
      </c>
    </row>
    <row r="4741" spans="9:9" x14ac:dyDescent="0.25">
      <c r="I4741" s="62" t="str">
        <f t="shared" ref="I4741:I4804" si="74">IF(H4741&lt;&gt;"",H4741-H4740,"")</f>
        <v/>
      </c>
    </row>
    <row r="4742" spans="9:9" x14ac:dyDescent="0.25">
      <c r="I4742" s="62" t="str">
        <f t="shared" si="74"/>
        <v/>
      </c>
    </row>
    <row r="4743" spans="9:9" x14ac:dyDescent="0.25">
      <c r="I4743" s="62" t="str">
        <f t="shared" si="74"/>
        <v/>
      </c>
    </row>
    <row r="4744" spans="9:9" x14ac:dyDescent="0.25">
      <c r="I4744" s="62" t="str">
        <f t="shared" si="74"/>
        <v/>
      </c>
    </row>
    <row r="4745" spans="9:9" x14ac:dyDescent="0.25">
      <c r="I4745" s="62" t="str">
        <f t="shared" si="74"/>
        <v/>
      </c>
    </row>
    <row r="4746" spans="9:9" x14ac:dyDescent="0.25">
      <c r="I4746" s="62" t="str">
        <f t="shared" si="74"/>
        <v/>
      </c>
    </row>
    <row r="4747" spans="9:9" x14ac:dyDescent="0.25">
      <c r="I4747" s="62" t="str">
        <f t="shared" si="74"/>
        <v/>
      </c>
    </row>
    <row r="4748" spans="9:9" x14ac:dyDescent="0.25">
      <c r="I4748" s="62" t="str">
        <f t="shared" si="74"/>
        <v/>
      </c>
    </row>
    <row r="4749" spans="9:9" x14ac:dyDescent="0.25">
      <c r="I4749" s="62" t="str">
        <f t="shared" si="74"/>
        <v/>
      </c>
    </row>
    <row r="4750" spans="9:9" x14ac:dyDescent="0.25">
      <c r="I4750" s="62" t="str">
        <f t="shared" si="74"/>
        <v/>
      </c>
    </row>
    <row r="4751" spans="9:9" x14ac:dyDescent="0.25">
      <c r="I4751" s="62" t="str">
        <f t="shared" si="74"/>
        <v/>
      </c>
    </row>
    <row r="4752" spans="9:9" x14ac:dyDescent="0.25">
      <c r="I4752" s="62" t="str">
        <f t="shared" si="74"/>
        <v/>
      </c>
    </row>
    <row r="4753" spans="9:9" x14ac:dyDescent="0.25">
      <c r="I4753" s="62" t="str">
        <f t="shared" si="74"/>
        <v/>
      </c>
    </row>
    <row r="4754" spans="9:9" x14ac:dyDescent="0.25">
      <c r="I4754" s="62" t="str">
        <f t="shared" si="74"/>
        <v/>
      </c>
    </row>
    <row r="4755" spans="9:9" x14ac:dyDescent="0.25">
      <c r="I4755" s="62" t="str">
        <f t="shared" si="74"/>
        <v/>
      </c>
    </row>
    <row r="4756" spans="9:9" x14ac:dyDescent="0.25">
      <c r="I4756" s="62" t="str">
        <f t="shared" si="74"/>
        <v/>
      </c>
    </row>
    <row r="4757" spans="9:9" x14ac:dyDescent="0.25">
      <c r="I4757" s="62" t="str">
        <f t="shared" si="74"/>
        <v/>
      </c>
    </row>
    <row r="4758" spans="9:9" x14ac:dyDescent="0.25">
      <c r="I4758" s="62" t="str">
        <f t="shared" si="74"/>
        <v/>
      </c>
    </row>
    <row r="4759" spans="9:9" x14ac:dyDescent="0.25">
      <c r="I4759" s="62" t="str">
        <f t="shared" si="74"/>
        <v/>
      </c>
    </row>
    <row r="4760" spans="9:9" x14ac:dyDescent="0.25">
      <c r="I4760" s="62" t="str">
        <f t="shared" si="74"/>
        <v/>
      </c>
    </row>
    <row r="4761" spans="9:9" x14ac:dyDescent="0.25">
      <c r="I4761" s="62" t="str">
        <f t="shared" si="74"/>
        <v/>
      </c>
    </row>
    <row r="4762" spans="9:9" x14ac:dyDescent="0.25">
      <c r="I4762" s="62" t="str">
        <f t="shared" si="74"/>
        <v/>
      </c>
    </row>
    <row r="4763" spans="9:9" x14ac:dyDescent="0.25">
      <c r="I4763" s="62" t="str">
        <f t="shared" si="74"/>
        <v/>
      </c>
    </row>
    <row r="4764" spans="9:9" x14ac:dyDescent="0.25">
      <c r="I4764" s="62" t="str">
        <f t="shared" si="74"/>
        <v/>
      </c>
    </row>
    <row r="4765" spans="9:9" x14ac:dyDescent="0.25">
      <c r="I4765" s="62" t="str">
        <f t="shared" si="74"/>
        <v/>
      </c>
    </row>
    <row r="4766" spans="9:9" x14ac:dyDescent="0.25">
      <c r="I4766" s="62" t="str">
        <f t="shared" si="74"/>
        <v/>
      </c>
    </row>
    <row r="4767" spans="9:9" x14ac:dyDescent="0.25">
      <c r="I4767" s="62" t="str">
        <f t="shared" si="74"/>
        <v/>
      </c>
    </row>
    <row r="4768" spans="9:9" x14ac:dyDescent="0.25">
      <c r="I4768" s="62" t="str">
        <f t="shared" si="74"/>
        <v/>
      </c>
    </row>
    <row r="4769" spans="9:9" x14ac:dyDescent="0.25">
      <c r="I4769" s="62" t="str">
        <f t="shared" si="74"/>
        <v/>
      </c>
    </row>
    <row r="4770" spans="9:9" x14ac:dyDescent="0.25">
      <c r="I4770" s="62" t="str">
        <f t="shared" si="74"/>
        <v/>
      </c>
    </row>
    <row r="4771" spans="9:9" x14ac:dyDescent="0.25">
      <c r="I4771" s="62" t="str">
        <f t="shared" si="74"/>
        <v/>
      </c>
    </row>
    <row r="4772" spans="9:9" x14ac:dyDescent="0.25">
      <c r="I4772" s="62" t="str">
        <f t="shared" si="74"/>
        <v/>
      </c>
    </row>
    <row r="4773" spans="9:9" x14ac:dyDescent="0.25">
      <c r="I4773" s="62" t="str">
        <f t="shared" si="74"/>
        <v/>
      </c>
    </row>
    <row r="4774" spans="9:9" x14ac:dyDescent="0.25">
      <c r="I4774" s="62" t="str">
        <f t="shared" si="74"/>
        <v/>
      </c>
    </row>
    <row r="4775" spans="9:9" x14ac:dyDescent="0.25">
      <c r="I4775" s="62" t="str">
        <f t="shared" si="74"/>
        <v/>
      </c>
    </row>
    <row r="4776" spans="9:9" x14ac:dyDescent="0.25">
      <c r="I4776" s="62" t="str">
        <f t="shared" si="74"/>
        <v/>
      </c>
    </row>
    <row r="4777" spans="9:9" x14ac:dyDescent="0.25">
      <c r="I4777" s="62" t="str">
        <f t="shared" si="74"/>
        <v/>
      </c>
    </row>
    <row r="4778" spans="9:9" x14ac:dyDescent="0.25">
      <c r="I4778" s="62" t="str">
        <f t="shared" si="74"/>
        <v/>
      </c>
    </row>
    <row r="4779" spans="9:9" x14ac:dyDescent="0.25">
      <c r="I4779" s="62" t="str">
        <f t="shared" si="74"/>
        <v/>
      </c>
    </row>
    <row r="4780" spans="9:9" x14ac:dyDescent="0.25">
      <c r="I4780" s="62" t="str">
        <f t="shared" si="74"/>
        <v/>
      </c>
    </row>
    <row r="4781" spans="9:9" x14ac:dyDescent="0.25">
      <c r="I4781" s="62" t="str">
        <f t="shared" si="74"/>
        <v/>
      </c>
    </row>
    <row r="4782" spans="9:9" x14ac:dyDescent="0.25">
      <c r="I4782" s="62" t="str">
        <f t="shared" si="74"/>
        <v/>
      </c>
    </row>
    <row r="4783" spans="9:9" x14ac:dyDescent="0.25">
      <c r="I4783" s="62" t="str">
        <f t="shared" si="74"/>
        <v/>
      </c>
    </row>
    <row r="4784" spans="9:9" x14ac:dyDescent="0.25">
      <c r="I4784" s="62" t="str">
        <f t="shared" si="74"/>
        <v/>
      </c>
    </row>
    <row r="4785" spans="9:9" x14ac:dyDescent="0.25">
      <c r="I4785" s="62" t="str">
        <f t="shared" si="74"/>
        <v/>
      </c>
    </row>
    <row r="4786" spans="9:9" x14ac:dyDescent="0.25">
      <c r="I4786" s="62" t="str">
        <f t="shared" si="74"/>
        <v/>
      </c>
    </row>
    <row r="4787" spans="9:9" x14ac:dyDescent="0.25">
      <c r="I4787" s="62" t="str">
        <f t="shared" si="74"/>
        <v/>
      </c>
    </row>
    <row r="4788" spans="9:9" x14ac:dyDescent="0.25">
      <c r="I4788" s="62" t="str">
        <f t="shared" si="74"/>
        <v/>
      </c>
    </row>
    <row r="4789" spans="9:9" x14ac:dyDescent="0.25">
      <c r="I4789" s="62" t="str">
        <f t="shared" si="74"/>
        <v/>
      </c>
    </row>
    <row r="4790" spans="9:9" x14ac:dyDescent="0.25">
      <c r="I4790" s="62" t="str">
        <f t="shared" si="74"/>
        <v/>
      </c>
    </row>
    <row r="4791" spans="9:9" x14ac:dyDescent="0.25">
      <c r="I4791" s="62" t="str">
        <f t="shared" si="74"/>
        <v/>
      </c>
    </row>
    <row r="4792" spans="9:9" x14ac:dyDescent="0.25">
      <c r="I4792" s="62" t="str">
        <f t="shared" si="74"/>
        <v/>
      </c>
    </row>
    <row r="4793" spans="9:9" x14ac:dyDescent="0.25">
      <c r="I4793" s="62" t="str">
        <f t="shared" si="74"/>
        <v/>
      </c>
    </row>
    <row r="4794" spans="9:9" x14ac:dyDescent="0.25">
      <c r="I4794" s="62" t="str">
        <f t="shared" si="74"/>
        <v/>
      </c>
    </row>
    <row r="4795" spans="9:9" x14ac:dyDescent="0.25">
      <c r="I4795" s="62" t="str">
        <f t="shared" si="74"/>
        <v/>
      </c>
    </row>
    <row r="4796" spans="9:9" x14ac:dyDescent="0.25">
      <c r="I4796" s="62" t="str">
        <f t="shared" si="74"/>
        <v/>
      </c>
    </row>
    <row r="4797" spans="9:9" x14ac:dyDescent="0.25">
      <c r="I4797" s="62" t="str">
        <f t="shared" si="74"/>
        <v/>
      </c>
    </row>
    <row r="4798" spans="9:9" x14ac:dyDescent="0.25">
      <c r="I4798" s="62" t="str">
        <f t="shared" si="74"/>
        <v/>
      </c>
    </row>
    <row r="4799" spans="9:9" x14ac:dyDescent="0.25">
      <c r="I4799" s="62" t="str">
        <f t="shared" si="74"/>
        <v/>
      </c>
    </row>
    <row r="4800" spans="9:9" x14ac:dyDescent="0.25">
      <c r="I4800" s="62" t="str">
        <f t="shared" si="74"/>
        <v/>
      </c>
    </row>
    <row r="4801" spans="9:9" x14ac:dyDescent="0.25">
      <c r="I4801" s="62" t="str">
        <f t="shared" si="74"/>
        <v/>
      </c>
    </row>
    <row r="4802" spans="9:9" x14ac:dyDescent="0.25">
      <c r="I4802" s="62" t="str">
        <f t="shared" si="74"/>
        <v/>
      </c>
    </row>
    <row r="4803" spans="9:9" x14ac:dyDescent="0.25">
      <c r="I4803" s="62" t="str">
        <f t="shared" si="74"/>
        <v/>
      </c>
    </row>
    <row r="4804" spans="9:9" x14ac:dyDescent="0.25">
      <c r="I4804" s="62" t="str">
        <f t="shared" si="74"/>
        <v/>
      </c>
    </row>
    <row r="4805" spans="9:9" x14ac:dyDescent="0.25">
      <c r="I4805" s="62" t="str">
        <f t="shared" ref="I4805:I4868" si="75">IF(H4805&lt;&gt;"",H4805-H4804,"")</f>
        <v/>
      </c>
    </row>
    <row r="4806" spans="9:9" x14ac:dyDescent="0.25">
      <c r="I4806" s="62" t="str">
        <f t="shared" si="75"/>
        <v/>
      </c>
    </row>
    <row r="4807" spans="9:9" x14ac:dyDescent="0.25">
      <c r="I4807" s="62" t="str">
        <f t="shared" si="75"/>
        <v/>
      </c>
    </row>
    <row r="4808" spans="9:9" x14ac:dyDescent="0.25">
      <c r="I4808" s="62" t="str">
        <f t="shared" si="75"/>
        <v/>
      </c>
    </row>
    <row r="4809" spans="9:9" x14ac:dyDescent="0.25">
      <c r="I4809" s="62" t="str">
        <f t="shared" si="75"/>
        <v/>
      </c>
    </row>
    <row r="4810" spans="9:9" x14ac:dyDescent="0.25">
      <c r="I4810" s="62" t="str">
        <f t="shared" si="75"/>
        <v/>
      </c>
    </row>
    <row r="4811" spans="9:9" x14ac:dyDescent="0.25">
      <c r="I4811" s="62" t="str">
        <f t="shared" si="75"/>
        <v/>
      </c>
    </row>
    <row r="4812" spans="9:9" x14ac:dyDescent="0.25">
      <c r="I4812" s="62" t="str">
        <f t="shared" si="75"/>
        <v/>
      </c>
    </row>
    <row r="4813" spans="9:9" x14ac:dyDescent="0.25">
      <c r="I4813" s="62" t="str">
        <f t="shared" si="75"/>
        <v/>
      </c>
    </row>
    <row r="4814" spans="9:9" x14ac:dyDescent="0.25">
      <c r="I4814" s="62" t="str">
        <f t="shared" si="75"/>
        <v/>
      </c>
    </row>
    <row r="4815" spans="9:9" x14ac:dyDescent="0.25">
      <c r="I4815" s="62" t="str">
        <f t="shared" si="75"/>
        <v/>
      </c>
    </row>
    <row r="4816" spans="9:9" x14ac:dyDescent="0.25">
      <c r="I4816" s="62" t="str">
        <f t="shared" si="75"/>
        <v/>
      </c>
    </row>
    <row r="4817" spans="9:9" x14ac:dyDescent="0.25">
      <c r="I4817" s="62" t="str">
        <f t="shared" si="75"/>
        <v/>
      </c>
    </row>
    <row r="4818" spans="9:9" x14ac:dyDescent="0.25">
      <c r="I4818" s="62" t="str">
        <f t="shared" si="75"/>
        <v/>
      </c>
    </row>
    <row r="4819" spans="9:9" x14ac:dyDescent="0.25">
      <c r="I4819" s="62" t="str">
        <f t="shared" si="75"/>
        <v/>
      </c>
    </row>
    <row r="4820" spans="9:9" x14ac:dyDescent="0.25">
      <c r="I4820" s="62" t="str">
        <f t="shared" si="75"/>
        <v/>
      </c>
    </row>
    <row r="4821" spans="9:9" x14ac:dyDescent="0.25">
      <c r="I4821" s="62" t="str">
        <f t="shared" si="75"/>
        <v/>
      </c>
    </row>
    <row r="4822" spans="9:9" x14ac:dyDescent="0.25">
      <c r="I4822" s="62" t="str">
        <f t="shared" si="75"/>
        <v/>
      </c>
    </row>
    <row r="4823" spans="9:9" x14ac:dyDescent="0.25">
      <c r="I4823" s="62" t="str">
        <f t="shared" si="75"/>
        <v/>
      </c>
    </row>
    <row r="4824" spans="9:9" x14ac:dyDescent="0.25">
      <c r="I4824" s="62" t="str">
        <f t="shared" si="75"/>
        <v/>
      </c>
    </row>
    <row r="4825" spans="9:9" x14ac:dyDescent="0.25">
      <c r="I4825" s="62" t="str">
        <f t="shared" si="75"/>
        <v/>
      </c>
    </row>
    <row r="4826" spans="9:9" x14ac:dyDescent="0.25">
      <c r="I4826" s="62" t="str">
        <f t="shared" si="75"/>
        <v/>
      </c>
    </row>
    <row r="4827" spans="9:9" x14ac:dyDescent="0.25">
      <c r="I4827" s="62" t="str">
        <f t="shared" si="75"/>
        <v/>
      </c>
    </row>
    <row r="4828" spans="9:9" x14ac:dyDescent="0.25">
      <c r="I4828" s="62" t="str">
        <f t="shared" si="75"/>
        <v/>
      </c>
    </row>
    <row r="4829" spans="9:9" x14ac:dyDescent="0.25">
      <c r="I4829" s="62" t="str">
        <f t="shared" si="75"/>
        <v/>
      </c>
    </row>
    <row r="4830" spans="9:9" x14ac:dyDescent="0.25">
      <c r="I4830" s="62" t="str">
        <f t="shared" si="75"/>
        <v/>
      </c>
    </row>
    <row r="4831" spans="9:9" x14ac:dyDescent="0.25">
      <c r="I4831" s="62" t="str">
        <f t="shared" si="75"/>
        <v/>
      </c>
    </row>
    <row r="4832" spans="9:9" x14ac:dyDescent="0.25">
      <c r="I4832" s="62" t="str">
        <f t="shared" si="75"/>
        <v/>
      </c>
    </row>
    <row r="4833" spans="9:9" x14ac:dyDescent="0.25">
      <c r="I4833" s="62" t="str">
        <f t="shared" si="75"/>
        <v/>
      </c>
    </row>
    <row r="4834" spans="9:9" x14ac:dyDescent="0.25">
      <c r="I4834" s="62" t="str">
        <f t="shared" si="75"/>
        <v/>
      </c>
    </row>
    <row r="4835" spans="9:9" x14ac:dyDescent="0.25">
      <c r="I4835" s="62" t="str">
        <f t="shared" si="75"/>
        <v/>
      </c>
    </row>
    <row r="4836" spans="9:9" x14ac:dyDescent="0.25">
      <c r="I4836" s="62" t="str">
        <f t="shared" si="75"/>
        <v/>
      </c>
    </row>
    <row r="4837" spans="9:9" x14ac:dyDescent="0.25">
      <c r="I4837" s="62" t="str">
        <f t="shared" si="75"/>
        <v/>
      </c>
    </row>
    <row r="4838" spans="9:9" x14ac:dyDescent="0.25">
      <c r="I4838" s="62" t="str">
        <f t="shared" si="75"/>
        <v/>
      </c>
    </row>
    <row r="4839" spans="9:9" x14ac:dyDescent="0.25">
      <c r="I4839" s="62" t="str">
        <f t="shared" si="75"/>
        <v/>
      </c>
    </row>
    <row r="4840" spans="9:9" x14ac:dyDescent="0.25">
      <c r="I4840" s="62" t="str">
        <f t="shared" si="75"/>
        <v/>
      </c>
    </row>
    <row r="4841" spans="9:9" x14ac:dyDescent="0.25">
      <c r="I4841" s="62" t="str">
        <f t="shared" si="75"/>
        <v/>
      </c>
    </row>
    <row r="4842" spans="9:9" x14ac:dyDescent="0.25">
      <c r="I4842" s="62" t="str">
        <f t="shared" si="75"/>
        <v/>
      </c>
    </row>
    <row r="4843" spans="9:9" x14ac:dyDescent="0.25">
      <c r="I4843" s="62" t="str">
        <f t="shared" si="75"/>
        <v/>
      </c>
    </row>
    <row r="4844" spans="9:9" x14ac:dyDescent="0.25">
      <c r="I4844" s="62" t="str">
        <f t="shared" si="75"/>
        <v/>
      </c>
    </row>
    <row r="4845" spans="9:9" x14ac:dyDescent="0.25">
      <c r="I4845" s="62" t="str">
        <f t="shared" si="75"/>
        <v/>
      </c>
    </row>
    <row r="4846" spans="9:9" x14ac:dyDescent="0.25">
      <c r="I4846" s="62" t="str">
        <f t="shared" si="75"/>
        <v/>
      </c>
    </row>
    <row r="4847" spans="9:9" x14ac:dyDescent="0.25">
      <c r="I4847" s="62" t="str">
        <f t="shared" si="75"/>
        <v/>
      </c>
    </row>
    <row r="4848" spans="9:9" x14ac:dyDescent="0.25">
      <c r="I4848" s="62" t="str">
        <f t="shared" si="75"/>
        <v/>
      </c>
    </row>
    <row r="4849" spans="9:9" x14ac:dyDescent="0.25">
      <c r="I4849" s="62" t="str">
        <f t="shared" si="75"/>
        <v/>
      </c>
    </row>
    <row r="4850" spans="9:9" x14ac:dyDescent="0.25">
      <c r="I4850" s="62" t="str">
        <f t="shared" si="75"/>
        <v/>
      </c>
    </row>
    <row r="4851" spans="9:9" x14ac:dyDescent="0.25">
      <c r="I4851" s="62" t="str">
        <f t="shared" si="75"/>
        <v/>
      </c>
    </row>
    <row r="4852" spans="9:9" x14ac:dyDescent="0.25">
      <c r="I4852" s="62" t="str">
        <f t="shared" si="75"/>
        <v/>
      </c>
    </row>
    <row r="4853" spans="9:9" x14ac:dyDescent="0.25">
      <c r="I4853" s="62" t="str">
        <f t="shared" si="75"/>
        <v/>
      </c>
    </row>
    <row r="4854" spans="9:9" x14ac:dyDescent="0.25">
      <c r="I4854" s="62" t="str">
        <f t="shared" si="75"/>
        <v/>
      </c>
    </row>
    <row r="4855" spans="9:9" x14ac:dyDescent="0.25">
      <c r="I4855" s="62" t="str">
        <f t="shared" si="75"/>
        <v/>
      </c>
    </row>
    <row r="4856" spans="9:9" x14ac:dyDescent="0.25">
      <c r="I4856" s="62" t="str">
        <f t="shared" si="75"/>
        <v/>
      </c>
    </row>
    <row r="4857" spans="9:9" x14ac:dyDescent="0.25">
      <c r="I4857" s="62" t="str">
        <f t="shared" si="75"/>
        <v/>
      </c>
    </row>
    <row r="4858" spans="9:9" x14ac:dyDescent="0.25">
      <c r="I4858" s="62" t="str">
        <f t="shared" si="75"/>
        <v/>
      </c>
    </row>
    <row r="4859" spans="9:9" x14ac:dyDescent="0.25">
      <c r="I4859" s="62" t="str">
        <f t="shared" si="75"/>
        <v/>
      </c>
    </row>
    <row r="4860" spans="9:9" x14ac:dyDescent="0.25">
      <c r="I4860" s="62" t="str">
        <f t="shared" si="75"/>
        <v/>
      </c>
    </row>
    <row r="4861" spans="9:9" x14ac:dyDescent="0.25">
      <c r="I4861" s="62" t="str">
        <f t="shared" si="75"/>
        <v/>
      </c>
    </row>
    <row r="4862" spans="9:9" x14ac:dyDescent="0.25">
      <c r="I4862" s="62" t="str">
        <f t="shared" si="75"/>
        <v/>
      </c>
    </row>
    <row r="4863" spans="9:9" x14ac:dyDescent="0.25">
      <c r="I4863" s="62" t="str">
        <f t="shared" si="75"/>
        <v/>
      </c>
    </row>
    <row r="4864" spans="9:9" x14ac:dyDescent="0.25">
      <c r="I4864" s="62" t="str">
        <f t="shared" si="75"/>
        <v/>
      </c>
    </row>
    <row r="4865" spans="9:9" x14ac:dyDescent="0.25">
      <c r="I4865" s="62" t="str">
        <f t="shared" si="75"/>
        <v/>
      </c>
    </row>
    <row r="4866" spans="9:9" x14ac:dyDescent="0.25">
      <c r="I4866" s="62" t="str">
        <f t="shared" si="75"/>
        <v/>
      </c>
    </row>
    <row r="4867" spans="9:9" x14ac:dyDescent="0.25">
      <c r="I4867" s="62" t="str">
        <f t="shared" si="75"/>
        <v/>
      </c>
    </row>
    <row r="4868" spans="9:9" x14ac:dyDescent="0.25">
      <c r="I4868" s="62" t="str">
        <f t="shared" si="75"/>
        <v/>
      </c>
    </row>
    <row r="4869" spans="9:9" x14ac:dyDescent="0.25">
      <c r="I4869" s="62" t="str">
        <f t="shared" ref="I4869:I4932" si="76">IF(H4869&lt;&gt;"",H4869-H4868,"")</f>
        <v/>
      </c>
    </row>
    <row r="4870" spans="9:9" x14ac:dyDescent="0.25">
      <c r="I4870" s="62" t="str">
        <f t="shared" si="76"/>
        <v/>
      </c>
    </row>
    <row r="4871" spans="9:9" x14ac:dyDescent="0.25">
      <c r="I4871" s="62" t="str">
        <f t="shared" si="76"/>
        <v/>
      </c>
    </row>
    <row r="4872" spans="9:9" x14ac:dyDescent="0.25">
      <c r="I4872" s="62" t="str">
        <f t="shared" si="76"/>
        <v/>
      </c>
    </row>
    <row r="4873" spans="9:9" x14ac:dyDescent="0.25">
      <c r="I4873" s="62" t="str">
        <f t="shared" si="76"/>
        <v/>
      </c>
    </row>
    <row r="4874" spans="9:9" x14ac:dyDescent="0.25">
      <c r="I4874" s="62" t="str">
        <f t="shared" si="76"/>
        <v/>
      </c>
    </row>
    <row r="4875" spans="9:9" x14ac:dyDescent="0.25">
      <c r="I4875" s="62" t="str">
        <f t="shared" si="76"/>
        <v/>
      </c>
    </row>
    <row r="4876" spans="9:9" x14ac:dyDescent="0.25">
      <c r="I4876" s="62" t="str">
        <f t="shared" si="76"/>
        <v/>
      </c>
    </row>
    <row r="4877" spans="9:9" x14ac:dyDescent="0.25">
      <c r="I4877" s="62" t="str">
        <f t="shared" si="76"/>
        <v/>
      </c>
    </row>
    <row r="4878" spans="9:9" x14ac:dyDescent="0.25">
      <c r="I4878" s="62" t="str">
        <f t="shared" si="76"/>
        <v/>
      </c>
    </row>
    <row r="4879" spans="9:9" x14ac:dyDescent="0.25">
      <c r="I4879" s="62" t="str">
        <f t="shared" si="76"/>
        <v/>
      </c>
    </row>
    <row r="4880" spans="9:9" x14ac:dyDescent="0.25">
      <c r="I4880" s="62" t="str">
        <f t="shared" si="76"/>
        <v/>
      </c>
    </row>
    <row r="4881" spans="9:9" x14ac:dyDescent="0.25">
      <c r="I4881" s="62" t="str">
        <f t="shared" si="76"/>
        <v/>
      </c>
    </row>
    <row r="4882" spans="9:9" x14ac:dyDescent="0.25">
      <c r="I4882" s="62" t="str">
        <f t="shared" si="76"/>
        <v/>
      </c>
    </row>
    <row r="4883" spans="9:9" x14ac:dyDescent="0.25">
      <c r="I4883" s="62" t="str">
        <f t="shared" si="76"/>
        <v/>
      </c>
    </row>
    <row r="4884" spans="9:9" x14ac:dyDescent="0.25">
      <c r="I4884" s="62" t="str">
        <f t="shared" si="76"/>
        <v/>
      </c>
    </row>
    <row r="4885" spans="9:9" x14ac:dyDescent="0.25">
      <c r="I4885" s="62" t="str">
        <f t="shared" si="76"/>
        <v/>
      </c>
    </row>
    <row r="4886" spans="9:9" x14ac:dyDescent="0.25">
      <c r="I4886" s="62" t="str">
        <f t="shared" si="76"/>
        <v/>
      </c>
    </row>
    <row r="4887" spans="9:9" x14ac:dyDescent="0.25">
      <c r="I4887" s="62" t="str">
        <f t="shared" si="76"/>
        <v/>
      </c>
    </row>
    <row r="4888" spans="9:9" x14ac:dyDescent="0.25">
      <c r="I4888" s="62" t="str">
        <f t="shared" si="76"/>
        <v/>
      </c>
    </row>
    <row r="4889" spans="9:9" x14ac:dyDescent="0.25">
      <c r="I4889" s="62" t="str">
        <f t="shared" si="76"/>
        <v/>
      </c>
    </row>
    <row r="4890" spans="9:9" x14ac:dyDescent="0.25">
      <c r="I4890" s="62" t="str">
        <f t="shared" si="76"/>
        <v/>
      </c>
    </row>
    <row r="4891" spans="9:9" x14ac:dyDescent="0.25">
      <c r="I4891" s="62" t="str">
        <f t="shared" si="76"/>
        <v/>
      </c>
    </row>
    <row r="4892" spans="9:9" x14ac:dyDescent="0.25">
      <c r="I4892" s="62" t="str">
        <f t="shared" si="76"/>
        <v/>
      </c>
    </row>
    <row r="4893" spans="9:9" x14ac:dyDescent="0.25">
      <c r="I4893" s="62" t="str">
        <f t="shared" si="76"/>
        <v/>
      </c>
    </row>
    <row r="4894" spans="9:9" x14ac:dyDescent="0.25">
      <c r="I4894" s="62" t="str">
        <f t="shared" si="76"/>
        <v/>
      </c>
    </row>
    <row r="4895" spans="9:9" x14ac:dyDescent="0.25">
      <c r="I4895" s="62" t="str">
        <f t="shared" si="76"/>
        <v/>
      </c>
    </row>
    <row r="4896" spans="9:9" x14ac:dyDescent="0.25">
      <c r="I4896" s="62" t="str">
        <f t="shared" si="76"/>
        <v/>
      </c>
    </row>
    <row r="4897" spans="9:9" x14ac:dyDescent="0.25">
      <c r="I4897" s="62" t="str">
        <f t="shared" si="76"/>
        <v/>
      </c>
    </row>
    <row r="4898" spans="9:9" x14ac:dyDescent="0.25">
      <c r="I4898" s="62" t="str">
        <f t="shared" si="76"/>
        <v/>
      </c>
    </row>
    <row r="4899" spans="9:9" x14ac:dyDescent="0.25">
      <c r="I4899" s="62" t="str">
        <f t="shared" si="76"/>
        <v/>
      </c>
    </row>
    <row r="4900" spans="9:9" x14ac:dyDescent="0.25">
      <c r="I4900" s="62" t="str">
        <f t="shared" si="76"/>
        <v/>
      </c>
    </row>
    <row r="4901" spans="9:9" x14ac:dyDescent="0.25">
      <c r="I4901" s="62" t="str">
        <f t="shared" si="76"/>
        <v/>
      </c>
    </row>
    <row r="4902" spans="9:9" x14ac:dyDescent="0.25">
      <c r="I4902" s="62" t="str">
        <f t="shared" si="76"/>
        <v/>
      </c>
    </row>
    <row r="4903" spans="9:9" x14ac:dyDescent="0.25">
      <c r="I4903" s="62" t="str">
        <f t="shared" si="76"/>
        <v/>
      </c>
    </row>
    <row r="4904" spans="9:9" x14ac:dyDescent="0.25">
      <c r="I4904" s="62" t="str">
        <f t="shared" si="76"/>
        <v/>
      </c>
    </row>
    <row r="4905" spans="9:9" x14ac:dyDescent="0.25">
      <c r="I4905" s="62" t="str">
        <f t="shared" si="76"/>
        <v/>
      </c>
    </row>
    <row r="4906" spans="9:9" x14ac:dyDescent="0.25">
      <c r="I4906" s="62" t="str">
        <f t="shared" si="76"/>
        <v/>
      </c>
    </row>
    <row r="4907" spans="9:9" x14ac:dyDescent="0.25">
      <c r="I4907" s="62" t="str">
        <f t="shared" si="76"/>
        <v/>
      </c>
    </row>
    <row r="4908" spans="9:9" x14ac:dyDescent="0.25">
      <c r="I4908" s="62" t="str">
        <f t="shared" si="76"/>
        <v/>
      </c>
    </row>
    <row r="4909" spans="9:9" x14ac:dyDescent="0.25">
      <c r="I4909" s="62" t="str">
        <f t="shared" si="76"/>
        <v/>
      </c>
    </row>
    <row r="4910" spans="9:9" x14ac:dyDescent="0.25">
      <c r="I4910" s="62" t="str">
        <f t="shared" si="76"/>
        <v/>
      </c>
    </row>
    <row r="4911" spans="9:9" x14ac:dyDescent="0.25">
      <c r="I4911" s="62" t="str">
        <f t="shared" si="76"/>
        <v/>
      </c>
    </row>
    <row r="4912" spans="9:9" x14ac:dyDescent="0.25">
      <c r="I4912" s="62" t="str">
        <f t="shared" si="76"/>
        <v/>
      </c>
    </row>
    <row r="4913" spans="9:9" x14ac:dyDescent="0.25">
      <c r="I4913" s="62" t="str">
        <f t="shared" si="76"/>
        <v/>
      </c>
    </row>
    <row r="4914" spans="9:9" x14ac:dyDescent="0.25">
      <c r="I4914" s="62" t="str">
        <f t="shared" si="76"/>
        <v/>
      </c>
    </row>
    <row r="4915" spans="9:9" x14ac:dyDescent="0.25">
      <c r="I4915" s="62" t="str">
        <f t="shared" si="76"/>
        <v/>
      </c>
    </row>
    <row r="4916" spans="9:9" x14ac:dyDescent="0.25">
      <c r="I4916" s="62" t="str">
        <f t="shared" si="76"/>
        <v/>
      </c>
    </row>
    <row r="4917" spans="9:9" x14ac:dyDescent="0.25">
      <c r="I4917" s="62" t="str">
        <f t="shared" si="76"/>
        <v/>
      </c>
    </row>
    <row r="4918" spans="9:9" x14ac:dyDescent="0.25">
      <c r="I4918" s="62" t="str">
        <f t="shared" si="76"/>
        <v/>
      </c>
    </row>
    <row r="4919" spans="9:9" x14ac:dyDescent="0.25">
      <c r="I4919" s="62" t="str">
        <f t="shared" si="76"/>
        <v/>
      </c>
    </row>
    <row r="4920" spans="9:9" x14ac:dyDescent="0.25">
      <c r="I4920" s="62" t="str">
        <f t="shared" si="76"/>
        <v/>
      </c>
    </row>
    <row r="4921" spans="9:9" x14ac:dyDescent="0.25">
      <c r="I4921" s="62" t="str">
        <f t="shared" si="76"/>
        <v/>
      </c>
    </row>
    <row r="4922" spans="9:9" x14ac:dyDescent="0.25">
      <c r="I4922" s="62" t="str">
        <f t="shared" si="76"/>
        <v/>
      </c>
    </row>
    <row r="4923" spans="9:9" x14ac:dyDescent="0.25">
      <c r="I4923" s="62" t="str">
        <f t="shared" si="76"/>
        <v/>
      </c>
    </row>
    <row r="4924" spans="9:9" x14ac:dyDescent="0.25">
      <c r="I4924" s="62" t="str">
        <f t="shared" si="76"/>
        <v/>
      </c>
    </row>
    <row r="4925" spans="9:9" x14ac:dyDescent="0.25">
      <c r="I4925" s="62" t="str">
        <f t="shared" si="76"/>
        <v/>
      </c>
    </row>
    <row r="4926" spans="9:9" x14ac:dyDescent="0.25">
      <c r="I4926" s="62" t="str">
        <f t="shared" si="76"/>
        <v/>
      </c>
    </row>
    <row r="4927" spans="9:9" x14ac:dyDescent="0.25">
      <c r="I4927" s="62" t="str">
        <f t="shared" si="76"/>
        <v/>
      </c>
    </row>
    <row r="4928" spans="9:9" x14ac:dyDescent="0.25">
      <c r="I4928" s="62" t="str">
        <f t="shared" si="76"/>
        <v/>
      </c>
    </row>
    <row r="4929" spans="9:9" x14ac:dyDescent="0.25">
      <c r="I4929" s="62" t="str">
        <f t="shared" si="76"/>
        <v/>
      </c>
    </row>
    <row r="4930" spans="9:9" x14ac:dyDescent="0.25">
      <c r="I4930" s="62" t="str">
        <f t="shared" si="76"/>
        <v/>
      </c>
    </row>
    <row r="4931" spans="9:9" x14ac:dyDescent="0.25">
      <c r="I4931" s="62" t="str">
        <f t="shared" si="76"/>
        <v/>
      </c>
    </row>
    <row r="4932" spans="9:9" x14ac:dyDescent="0.25">
      <c r="I4932" s="62" t="str">
        <f t="shared" si="76"/>
        <v/>
      </c>
    </row>
    <row r="4933" spans="9:9" x14ac:dyDescent="0.25">
      <c r="I4933" s="62" t="str">
        <f t="shared" ref="I4933:I4996" si="77">IF(H4933&lt;&gt;"",H4933-H4932,"")</f>
        <v/>
      </c>
    </row>
    <row r="4934" spans="9:9" x14ac:dyDescent="0.25">
      <c r="I4934" s="62" t="str">
        <f t="shared" si="77"/>
        <v/>
      </c>
    </row>
    <row r="4935" spans="9:9" x14ac:dyDescent="0.25">
      <c r="I4935" s="62" t="str">
        <f t="shared" si="77"/>
        <v/>
      </c>
    </row>
    <row r="4936" spans="9:9" x14ac:dyDescent="0.25">
      <c r="I4936" s="62" t="str">
        <f t="shared" si="77"/>
        <v/>
      </c>
    </row>
    <row r="4937" spans="9:9" x14ac:dyDescent="0.25">
      <c r="I4937" s="62" t="str">
        <f t="shared" si="77"/>
        <v/>
      </c>
    </row>
    <row r="4938" spans="9:9" x14ac:dyDescent="0.25">
      <c r="I4938" s="62" t="str">
        <f t="shared" si="77"/>
        <v/>
      </c>
    </row>
    <row r="4939" spans="9:9" x14ac:dyDescent="0.25">
      <c r="I4939" s="62" t="str">
        <f t="shared" si="77"/>
        <v/>
      </c>
    </row>
    <row r="4940" spans="9:9" x14ac:dyDescent="0.25">
      <c r="I4940" s="62" t="str">
        <f t="shared" si="77"/>
        <v/>
      </c>
    </row>
    <row r="4941" spans="9:9" x14ac:dyDescent="0.25">
      <c r="I4941" s="62" t="str">
        <f t="shared" si="77"/>
        <v/>
      </c>
    </row>
    <row r="4942" spans="9:9" x14ac:dyDescent="0.25">
      <c r="I4942" s="62" t="str">
        <f t="shared" si="77"/>
        <v/>
      </c>
    </row>
    <row r="4943" spans="9:9" x14ac:dyDescent="0.25">
      <c r="I4943" s="62" t="str">
        <f t="shared" si="77"/>
        <v/>
      </c>
    </row>
    <row r="4944" spans="9:9" x14ac:dyDescent="0.25">
      <c r="I4944" s="62" t="str">
        <f t="shared" si="77"/>
        <v/>
      </c>
    </row>
    <row r="4945" spans="9:9" x14ac:dyDescent="0.25">
      <c r="I4945" s="62" t="str">
        <f t="shared" si="77"/>
        <v/>
      </c>
    </row>
    <row r="4946" spans="9:9" x14ac:dyDescent="0.25">
      <c r="I4946" s="62" t="str">
        <f t="shared" si="77"/>
        <v/>
      </c>
    </row>
    <row r="4947" spans="9:9" x14ac:dyDescent="0.25">
      <c r="I4947" s="62" t="str">
        <f t="shared" si="77"/>
        <v/>
      </c>
    </row>
    <row r="4948" spans="9:9" x14ac:dyDescent="0.25">
      <c r="I4948" s="62" t="str">
        <f t="shared" si="77"/>
        <v/>
      </c>
    </row>
    <row r="4949" spans="9:9" x14ac:dyDescent="0.25">
      <c r="I4949" s="62" t="str">
        <f t="shared" si="77"/>
        <v/>
      </c>
    </row>
    <row r="4950" spans="9:9" x14ac:dyDescent="0.25">
      <c r="I4950" s="62" t="str">
        <f t="shared" si="77"/>
        <v/>
      </c>
    </row>
    <row r="4951" spans="9:9" x14ac:dyDescent="0.25">
      <c r="I4951" s="62" t="str">
        <f t="shared" si="77"/>
        <v/>
      </c>
    </row>
    <row r="4952" spans="9:9" x14ac:dyDescent="0.25">
      <c r="I4952" s="62" t="str">
        <f t="shared" si="77"/>
        <v/>
      </c>
    </row>
    <row r="4953" spans="9:9" x14ac:dyDescent="0.25">
      <c r="I4953" s="62" t="str">
        <f t="shared" si="77"/>
        <v/>
      </c>
    </row>
    <row r="4954" spans="9:9" x14ac:dyDescent="0.25">
      <c r="I4954" s="62" t="str">
        <f t="shared" si="77"/>
        <v/>
      </c>
    </row>
    <row r="4955" spans="9:9" x14ac:dyDescent="0.25">
      <c r="I4955" s="62" t="str">
        <f t="shared" si="77"/>
        <v/>
      </c>
    </row>
    <row r="4956" spans="9:9" x14ac:dyDescent="0.25">
      <c r="I4956" s="62" t="str">
        <f t="shared" si="77"/>
        <v/>
      </c>
    </row>
    <row r="4957" spans="9:9" x14ac:dyDescent="0.25">
      <c r="I4957" s="62" t="str">
        <f t="shared" si="77"/>
        <v/>
      </c>
    </row>
    <row r="4958" spans="9:9" x14ac:dyDescent="0.25">
      <c r="I4958" s="62" t="str">
        <f t="shared" si="77"/>
        <v/>
      </c>
    </row>
    <row r="4959" spans="9:9" x14ac:dyDescent="0.25">
      <c r="I4959" s="62" t="str">
        <f t="shared" si="77"/>
        <v/>
      </c>
    </row>
    <row r="4960" spans="9:9" x14ac:dyDescent="0.25">
      <c r="I4960" s="62" t="str">
        <f t="shared" si="77"/>
        <v/>
      </c>
    </row>
    <row r="4961" spans="9:9" x14ac:dyDescent="0.25">
      <c r="I4961" s="62" t="str">
        <f t="shared" si="77"/>
        <v/>
      </c>
    </row>
    <row r="4962" spans="9:9" x14ac:dyDescent="0.25">
      <c r="I4962" s="62" t="str">
        <f t="shared" si="77"/>
        <v/>
      </c>
    </row>
    <row r="4963" spans="9:9" x14ac:dyDescent="0.25">
      <c r="I4963" s="62" t="str">
        <f t="shared" si="77"/>
        <v/>
      </c>
    </row>
    <row r="4964" spans="9:9" x14ac:dyDescent="0.25">
      <c r="I4964" s="62" t="str">
        <f t="shared" si="77"/>
        <v/>
      </c>
    </row>
    <row r="4965" spans="9:9" x14ac:dyDescent="0.25">
      <c r="I4965" s="62" t="str">
        <f t="shared" si="77"/>
        <v/>
      </c>
    </row>
    <row r="4966" spans="9:9" x14ac:dyDescent="0.25">
      <c r="I4966" s="62" t="str">
        <f t="shared" si="77"/>
        <v/>
      </c>
    </row>
    <row r="4967" spans="9:9" x14ac:dyDescent="0.25">
      <c r="I4967" s="62" t="str">
        <f t="shared" si="77"/>
        <v/>
      </c>
    </row>
    <row r="4968" spans="9:9" x14ac:dyDescent="0.25">
      <c r="I4968" s="62" t="str">
        <f t="shared" si="77"/>
        <v/>
      </c>
    </row>
    <row r="4969" spans="9:9" x14ac:dyDescent="0.25">
      <c r="I4969" s="62" t="str">
        <f t="shared" si="77"/>
        <v/>
      </c>
    </row>
    <row r="4970" spans="9:9" x14ac:dyDescent="0.25">
      <c r="I4970" s="62" t="str">
        <f t="shared" si="77"/>
        <v/>
      </c>
    </row>
    <row r="4971" spans="9:9" x14ac:dyDescent="0.25">
      <c r="I4971" s="62" t="str">
        <f t="shared" si="77"/>
        <v/>
      </c>
    </row>
    <row r="4972" spans="9:9" x14ac:dyDescent="0.25">
      <c r="I4972" s="62" t="str">
        <f t="shared" si="77"/>
        <v/>
      </c>
    </row>
    <row r="4973" spans="9:9" x14ac:dyDescent="0.25">
      <c r="I4973" s="62" t="str">
        <f t="shared" si="77"/>
        <v/>
      </c>
    </row>
    <row r="4974" spans="9:9" x14ac:dyDescent="0.25">
      <c r="I4974" s="62" t="str">
        <f t="shared" si="77"/>
        <v/>
      </c>
    </row>
    <row r="4975" spans="9:9" x14ac:dyDescent="0.25">
      <c r="I4975" s="62" t="str">
        <f t="shared" si="77"/>
        <v/>
      </c>
    </row>
    <row r="4976" spans="9:9" x14ac:dyDescent="0.25">
      <c r="I4976" s="62" t="str">
        <f t="shared" si="77"/>
        <v/>
      </c>
    </row>
    <row r="4977" spans="9:9" x14ac:dyDescent="0.25">
      <c r="I4977" s="62" t="str">
        <f t="shared" si="77"/>
        <v/>
      </c>
    </row>
    <row r="4978" spans="9:9" x14ac:dyDescent="0.25">
      <c r="I4978" s="62" t="str">
        <f t="shared" si="77"/>
        <v/>
      </c>
    </row>
    <row r="4979" spans="9:9" x14ac:dyDescent="0.25">
      <c r="I4979" s="62" t="str">
        <f t="shared" si="77"/>
        <v/>
      </c>
    </row>
    <row r="4980" spans="9:9" x14ac:dyDescent="0.25">
      <c r="I4980" s="62" t="str">
        <f t="shared" si="77"/>
        <v/>
      </c>
    </row>
    <row r="4981" spans="9:9" x14ac:dyDescent="0.25">
      <c r="I4981" s="62" t="str">
        <f t="shared" si="77"/>
        <v/>
      </c>
    </row>
    <row r="4982" spans="9:9" x14ac:dyDescent="0.25">
      <c r="I4982" s="62" t="str">
        <f t="shared" si="77"/>
        <v/>
      </c>
    </row>
    <row r="4983" spans="9:9" x14ac:dyDescent="0.25">
      <c r="I4983" s="62" t="str">
        <f t="shared" si="77"/>
        <v/>
      </c>
    </row>
    <row r="4984" spans="9:9" x14ac:dyDescent="0.25">
      <c r="I4984" s="62" t="str">
        <f t="shared" si="77"/>
        <v/>
      </c>
    </row>
    <row r="4985" spans="9:9" x14ac:dyDescent="0.25">
      <c r="I4985" s="62" t="str">
        <f t="shared" si="77"/>
        <v/>
      </c>
    </row>
    <row r="4986" spans="9:9" x14ac:dyDescent="0.25">
      <c r="I4986" s="62" t="str">
        <f t="shared" si="77"/>
        <v/>
      </c>
    </row>
    <row r="4987" spans="9:9" x14ac:dyDescent="0.25">
      <c r="I4987" s="62" t="str">
        <f t="shared" si="77"/>
        <v/>
      </c>
    </row>
    <row r="4988" spans="9:9" x14ac:dyDescent="0.25">
      <c r="I4988" s="62" t="str">
        <f t="shared" si="77"/>
        <v/>
      </c>
    </row>
    <row r="4989" spans="9:9" x14ac:dyDescent="0.25">
      <c r="I4989" s="62" t="str">
        <f t="shared" si="77"/>
        <v/>
      </c>
    </row>
    <row r="4990" spans="9:9" x14ac:dyDescent="0.25">
      <c r="I4990" s="62" t="str">
        <f t="shared" si="77"/>
        <v/>
      </c>
    </row>
    <row r="4991" spans="9:9" x14ac:dyDescent="0.25">
      <c r="I4991" s="62" t="str">
        <f t="shared" si="77"/>
        <v/>
      </c>
    </row>
    <row r="4992" spans="9:9" x14ac:dyDescent="0.25">
      <c r="I4992" s="62" t="str">
        <f t="shared" si="77"/>
        <v/>
      </c>
    </row>
    <row r="4993" spans="9:9" x14ac:dyDescent="0.25">
      <c r="I4993" s="62" t="str">
        <f t="shared" si="77"/>
        <v/>
      </c>
    </row>
    <row r="4994" spans="9:9" x14ac:dyDescent="0.25">
      <c r="I4994" s="62" t="str">
        <f t="shared" si="77"/>
        <v/>
      </c>
    </row>
    <row r="4995" spans="9:9" x14ac:dyDescent="0.25">
      <c r="I4995" s="62" t="str">
        <f t="shared" si="77"/>
        <v/>
      </c>
    </row>
    <row r="4996" spans="9:9" x14ac:dyDescent="0.25">
      <c r="I4996" s="62" t="str">
        <f t="shared" si="77"/>
        <v/>
      </c>
    </row>
    <row r="4997" spans="9:9" x14ac:dyDescent="0.25">
      <c r="I4997" s="62" t="str">
        <f t="shared" ref="I4997:I5060" si="78">IF(H4997&lt;&gt;"",H4997-H4996,"")</f>
        <v/>
      </c>
    </row>
    <row r="4998" spans="9:9" x14ac:dyDescent="0.25">
      <c r="I4998" s="62" t="str">
        <f t="shared" si="78"/>
        <v/>
      </c>
    </row>
    <row r="4999" spans="9:9" x14ac:dyDescent="0.25">
      <c r="I4999" s="62" t="str">
        <f t="shared" si="78"/>
        <v/>
      </c>
    </row>
    <row r="5000" spans="9:9" x14ac:dyDescent="0.25">
      <c r="I5000" s="62" t="str">
        <f t="shared" si="78"/>
        <v/>
      </c>
    </row>
    <row r="5001" spans="9:9" x14ac:dyDescent="0.25">
      <c r="I5001" s="62" t="str">
        <f t="shared" si="78"/>
        <v/>
      </c>
    </row>
    <row r="5002" spans="9:9" x14ac:dyDescent="0.25">
      <c r="I5002" s="62" t="str">
        <f t="shared" si="78"/>
        <v/>
      </c>
    </row>
    <row r="5003" spans="9:9" x14ac:dyDescent="0.25">
      <c r="I5003" s="62" t="str">
        <f t="shared" si="78"/>
        <v/>
      </c>
    </row>
    <row r="5004" spans="9:9" x14ac:dyDescent="0.25">
      <c r="I5004" s="62" t="str">
        <f t="shared" si="78"/>
        <v/>
      </c>
    </row>
    <row r="5005" spans="9:9" x14ac:dyDescent="0.25">
      <c r="I5005" s="62" t="str">
        <f t="shared" si="78"/>
        <v/>
      </c>
    </row>
    <row r="5006" spans="9:9" x14ac:dyDescent="0.25">
      <c r="I5006" s="62" t="str">
        <f t="shared" si="78"/>
        <v/>
      </c>
    </row>
    <row r="5007" spans="9:9" x14ac:dyDescent="0.25">
      <c r="I5007" s="62" t="str">
        <f t="shared" si="78"/>
        <v/>
      </c>
    </row>
    <row r="5008" spans="9:9" x14ac:dyDescent="0.25">
      <c r="I5008" s="62" t="str">
        <f t="shared" si="78"/>
        <v/>
      </c>
    </row>
    <row r="5009" spans="9:9" x14ac:dyDescent="0.25">
      <c r="I5009" s="62" t="str">
        <f t="shared" si="78"/>
        <v/>
      </c>
    </row>
    <row r="5010" spans="9:9" x14ac:dyDescent="0.25">
      <c r="I5010" s="62" t="str">
        <f t="shared" si="78"/>
        <v/>
      </c>
    </row>
    <row r="5011" spans="9:9" x14ac:dyDescent="0.25">
      <c r="I5011" s="62" t="str">
        <f t="shared" si="78"/>
        <v/>
      </c>
    </row>
    <row r="5012" spans="9:9" x14ac:dyDescent="0.25">
      <c r="I5012" s="62" t="str">
        <f t="shared" si="78"/>
        <v/>
      </c>
    </row>
    <row r="5013" spans="9:9" x14ac:dyDescent="0.25">
      <c r="I5013" s="62" t="str">
        <f t="shared" si="78"/>
        <v/>
      </c>
    </row>
    <row r="5014" spans="9:9" x14ac:dyDescent="0.25">
      <c r="I5014" s="62" t="str">
        <f t="shared" si="78"/>
        <v/>
      </c>
    </row>
    <row r="5015" spans="9:9" x14ac:dyDescent="0.25">
      <c r="I5015" s="62" t="str">
        <f t="shared" si="78"/>
        <v/>
      </c>
    </row>
    <row r="5016" spans="9:9" x14ac:dyDescent="0.25">
      <c r="I5016" s="62" t="str">
        <f t="shared" si="78"/>
        <v/>
      </c>
    </row>
    <row r="5017" spans="9:9" x14ac:dyDescent="0.25">
      <c r="I5017" s="62" t="str">
        <f t="shared" si="78"/>
        <v/>
      </c>
    </row>
    <row r="5018" spans="9:9" x14ac:dyDescent="0.25">
      <c r="I5018" s="62" t="str">
        <f t="shared" si="78"/>
        <v/>
      </c>
    </row>
    <row r="5019" spans="9:9" x14ac:dyDescent="0.25">
      <c r="I5019" s="62" t="str">
        <f t="shared" si="78"/>
        <v/>
      </c>
    </row>
    <row r="5020" spans="9:9" x14ac:dyDescent="0.25">
      <c r="I5020" s="62" t="str">
        <f t="shared" si="78"/>
        <v/>
      </c>
    </row>
    <row r="5021" spans="9:9" x14ac:dyDescent="0.25">
      <c r="I5021" s="62" t="str">
        <f t="shared" si="78"/>
        <v/>
      </c>
    </row>
    <row r="5022" spans="9:9" x14ac:dyDescent="0.25">
      <c r="I5022" s="62" t="str">
        <f t="shared" si="78"/>
        <v/>
      </c>
    </row>
    <row r="5023" spans="9:9" x14ac:dyDescent="0.25">
      <c r="I5023" s="62" t="str">
        <f t="shared" si="78"/>
        <v/>
      </c>
    </row>
    <row r="5024" spans="9:9" x14ac:dyDescent="0.25">
      <c r="I5024" s="62" t="str">
        <f t="shared" si="78"/>
        <v/>
      </c>
    </row>
    <row r="5025" spans="9:9" x14ac:dyDescent="0.25">
      <c r="I5025" s="62" t="str">
        <f t="shared" si="78"/>
        <v/>
      </c>
    </row>
    <row r="5026" spans="9:9" x14ac:dyDescent="0.25">
      <c r="I5026" s="62" t="str">
        <f t="shared" si="78"/>
        <v/>
      </c>
    </row>
    <row r="5027" spans="9:9" x14ac:dyDescent="0.25">
      <c r="I5027" s="62" t="str">
        <f t="shared" si="78"/>
        <v/>
      </c>
    </row>
    <row r="5028" spans="9:9" x14ac:dyDescent="0.25">
      <c r="I5028" s="62" t="str">
        <f t="shared" si="78"/>
        <v/>
      </c>
    </row>
    <row r="5029" spans="9:9" x14ac:dyDescent="0.25">
      <c r="I5029" s="62" t="str">
        <f t="shared" si="78"/>
        <v/>
      </c>
    </row>
    <row r="5030" spans="9:9" x14ac:dyDescent="0.25">
      <c r="I5030" s="62" t="str">
        <f t="shared" si="78"/>
        <v/>
      </c>
    </row>
    <row r="5031" spans="9:9" x14ac:dyDescent="0.25">
      <c r="I5031" s="62" t="str">
        <f t="shared" si="78"/>
        <v/>
      </c>
    </row>
    <row r="5032" spans="9:9" x14ac:dyDescent="0.25">
      <c r="I5032" s="62" t="str">
        <f t="shared" si="78"/>
        <v/>
      </c>
    </row>
    <row r="5033" spans="9:9" x14ac:dyDescent="0.25">
      <c r="I5033" s="62" t="str">
        <f t="shared" si="78"/>
        <v/>
      </c>
    </row>
    <row r="5034" spans="9:9" x14ac:dyDescent="0.25">
      <c r="I5034" s="62" t="str">
        <f t="shared" si="78"/>
        <v/>
      </c>
    </row>
    <row r="5035" spans="9:9" x14ac:dyDescent="0.25">
      <c r="I5035" s="62" t="str">
        <f t="shared" si="78"/>
        <v/>
      </c>
    </row>
    <row r="5036" spans="9:9" x14ac:dyDescent="0.25">
      <c r="I5036" s="62" t="str">
        <f t="shared" si="78"/>
        <v/>
      </c>
    </row>
    <row r="5037" spans="9:9" x14ac:dyDescent="0.25">
      <c r="I5037" s="62" t="str">
        <f t="shared" si="78"/>
        <v/>
      </c>
    </row>
    <row r="5038" spans="9:9" x14ac:dyDescent="0.25">
      <c r="I5038" s="62" t="str">
        <f t="shared" si="78"/>
        <v/>
      </c>
    </row>
    <row r="5039" spans="9:9" x14ac:dyDescent="0.25">
      <c r="I5039" s="62" t="str">
        <f t="shared" si="78"/>
        <v/>
      </c>
    </row>
    <row r="5040" spans="9:9" x14ac:dyDescent="0.25">
      <c r="I5040" s="62" t="str">
        <f t="shared" si="78"/>
        <v/>
      </c>
    </row>
    <row r="5041" spans="9:9" x14ac:dyDescent="0.25">
      <c r="I5041" s="62" t="str">
        <f t="shared" si="78"/>
        <v/>
      </c>
    </row>
    <row r="5042" spans="9:9" x14ac:dyDescent="0.25">
      <c r="I5042" s="62" t="str">
        <f t="shared" si="78"/>
        <v/>
      </c>
    </row>
    <row r="5043" spans="9:9" x14ac:dyDescent="0.25">
      <c r="I5043" s="62" t="str">
        <f t="shared" si="78"/>
        <v/>
      </c>
    </row>
    <row r="5044" spans="9:9" x14ac:dyDescent="0.25">
      <c r="I5044" s="62" t="str">
        <f t="shared" si="78"/>
        <v/>
      </c>
    </row>
    <row r="5045" spans="9:9" x14ac:dyDescent="0.25">
      <c r="I5045" s="62" t="str">
        <f t="shared" si="78"/>
        <v/>
      </c>
    </row>
    <row r="5046" spans="9:9" x14ac:dyDescent="0.25">
      <c r="I5046" s="62" t="str">
        <f t="shared" si="78"/>
        <v/>
      </c>
    </row>
    <row r="5047" spans="9:9" x14ac:dyDescent="0.25">
      <c r="I5047" s="62" t="str">
        <f t="shared" si="78"/>
        <v/>
      </c>
    </row>
    <row r="5048" spans="9:9" x14ac:dyDescent="0.25">
      <c r="I5048" s="62" t="str">
        <f t="shared" si="78"/>
        <v/>
      </c>
    </row>
    <row r="5049" spans="9:9" x14ac:dyDescent="0.25">
      <c r="I5049" s="62" t="str">
        <f t="shared" si="78"/>
        <v/>
      </c>
    </row>
    <row r="5050" spans="9:9" x14ac:dyDescent="0.25">
      <c r="I5050" s="62" t="str">
        <f t="shared" si="78"/>
        <v/>
      </c>
    </row>
    <row r="5051" spans="9:9" x14ac:dyDescent="0.25">
      <c r="I5051" s="62" t="str">
        <f t="shared" si="78"/>
        <v/>
      </c>
    </row>
    <row r="5052" spans="9:9" x14ac:dyDescent="0.25">
      <c r="I5052" s="62" t="str">
        <f t="shared" si="78"/>
        <v/>
      </c>
    </row>
    <row r="5053" spans="9:9" x14ac:dyDescent="0.25">
      <c r="I5053" s="62" t="str">
        <f t="shared" si="78"/>
        <v/>
      </c>
    </row>
    <row r="5054" spans="9:9" x14ac:dyDescent="0.25">
      <c r="I5054" s="62" t="str">
        <f t="shared" si="78"/>
        <v/>
      </c>
    </row>
    <row r="5055" spans="9:9" x14ac:dyDescent="0.25">
      <c r="I5055" s="62" t="str">
        <f t="shared" si="78"/>
        <v/>
      </c>
    </row>
    <row r="5056" spans="9:9" x14ac:dyDescent="0.25">
      <c r="I5056" s="62" t="str">
        <f t="shared" si="78"/>
        <v/>
      </c>
    </row>
    <row r="5057" spans="9:9" x14ac:dyDescent="0.25">
      <c r="I5057" s="62" t="str">
        <f t="shared" si="78"/>
        <v/>
      </c>
    </row>
    <row r="5058" spans="9:9" x14ac:dyDescent="0.25">
      <c r="I5058" s="62" t="str">
        <f t="shared" si="78"/>
        <v/>
      </c>
    </row>
    <row r="5059" spans="9:9" x14ac:dyDescent="0.25">
      <c r="I5059" s="62" t="str">
        <f t="shared" si="78"/>
        <v/>
      </c>
    </row>
    <row r="5060" spans="9:9" x14ac:dyDescent="0.25">
      <c r="I5060" s="62" t="str">
        <f t="shared" si="78"/>
        <v/>
      </c>
    </row>
    <row r="5061" spans="9:9" x14ac:dyDescent="0.25">
      <c r="I5061" s="62" t="str">
        <f t="shared" ref="I5061:I5124" si="79">IF(H5061&lt;&gt;"",H5061-H5060,"")</f>
        <v/>
      </c>
    </row>
    <row r="5062" spans="9:9" x14ac:dyDescent="0.25">
      <c r="I5062" s="62" t="str">
        <f t="shared" si="79"/>
        <v/>
      </c>
    </row>
    <row r="5063" spans="9:9" x14ac:dyDescent="0.25">
      <c r="I5063" s="62" t="str">
        <f t="shared" si="79"/>
        <v/>
      </c>
    </row>
    <row r="5064" spans="9:9" x14ac:dyDescent="0.25">
      <c r="I5064" s="62" t="str">
        <f t="shared" si="79"/>
        <v/>
      </c>
    </row>
    <row r="5065" spans="9:9" x14ac:dyDescent="0.25">
      <c r="I5065" s="62" t="str">
        <f t="shared" si="79"/>
        <v/>
      </c>
    </row>
    <row r="5066" spans="9:9" x14ac:dyDescent="0.25">
      <c r="I5066" s="62" t="str">
        <f t="shared" si="79"/>
        <v/>
      </c>
    </row>
    <row r="5067" spans="9:9" x14ac:dyDescent="0.25">
      <c r="I5067" s="62" t="str">
        <f t="shared" si="79"/>
        <v/>
      </c>
    </row>
    <row r="5068" spans="9:9" x14ac:dyDescent="0.25">
      <c r="I5068" s="62" t="str">
        <f t="shared" si="79"/>
        <v/>
      </c>
    </row>
    <row r="5069" spans="9:9" x14ac:dyDescent="0.25">
      <c r="I5069" s="62" t="str">
        <f t="shared" si="79"/>
        <v/>
      </c>
    </row>
    <row r="5070" spans="9:9" x14ac:dyDescent="0.25">
      <c r="I5070" s="62" t="str">
        <f t="shared" si="79"/>
        <v/>
      </c>
    </row>
    <row r="5071" spans="9:9" x14ac:dyDescent="0.25">
      <c r="I5071" s="62" t="str">
        <f t="shared" si="79"/>
        <v/>
      </c>
    </row>
    <row r="5072" spans="9:9" x14ac:dyDescent="0.25">
      <c r="I5072" s="62" t="str">
        <f t="shared" si="79"/>
        <v/>
      </c>
    </row>
    <row r="5073" spans="9:9" x14ac:dyDescent="0.25">
      <c r="I5073" s="62" t="str">
        <f t="shared" si="79"/>
        <v/>
      </c>
    </row>
    <row r="5074" spans="9:9" x14ac:dyDescent="0.25">
      <c r="I5074" s="62" t="str">
        <f t="shared" si="79"/>
        <v/>
      </c>
    </row>
    <row r="5075" spans="9:9" x14ac:dyDescent="0.25">
      <c r="I5075" s="62" t="str">
        <f t="shared" si="79"/>
        <v/>
      </c>
    </row>
    <row r="5076" spans="9:9" x14ac:dyDescent="0.25">
      <c r="I5076" s="62" t="str">
        <f t="shared" si="79"/>
        <v/>
      </c>
    </row>
    <row r="5077" spans="9:9" x14ac:dyDescent="0.25">
      <c r="I5077" s="62" t="str">
        <f t="shared" si="79"/>
        <v/>
      </c>
    </row>
    <row r="5078" spans="9:9" x14ac:dyDescent="0.25">
      <c r="I5078" s="62" t="str">
        <f t="shared" si="79"/>
        <v/>
      </c>
    </row>
    <row r="5079" spans="9:9" x14ac:dyDescent="0.25">
      <c r="I5079" s="62" t="str">
        <f t="shared" si="79"/>
        <v/>
      </c>
    </row>
    <row r="5080" spans="9:9" x14ac:dyDescent="0.25">
      <c r="I5080" s="62" t="str">
        <f t="shared" si="79"/>
        <v/>
      </c>
    </row>
    <row r="5081" spans="9:9" x14ac:dyDescent="0.25">
      <c r="I5081" s="62" t="str">
        <f t="shared" si="79"/>
        <v/>
      </c>
    </row>
    <row r="5082" spans="9:9" x14ac:dyDescent="0.25">
      <c r="I5082" s="62" t="str">
        <f t="shared" si="79"/>
        <v/>
      </c>
    </row>
    <row r="5083" spans="9:9" x14ac:dyDescent="0.25">
      <c r="I5083" s="62" t="str">
        <f t="shared" si="79"/>
        <v/>
      </c>
    </row>
    <row r="5084" spans="9:9" x14ac:dyDescent="0.25">
      <c r="I5084" s="62" t="str">
        <f t="shared" si="79"/>
        <v/>
      </c>
    </row>
    <row r="5085" spans="9:9" x14ac:dyDescent="0.25">
      <c r="I5085" s="62" t="str">
        <f t="shared" si="79"/>
        <v/>
      </c>
    </row>
    <row r="5086" spans="9:9" x14ac:dyDescent="0.25">
      <c r="I5086" s="62" t="str">
        <f t="shared" si="79"/>
        <v/>
      </c>
    </row>
    <row r="5087" spans="9:9" x14ac:dyDescent="0.25">
      <c r="I5087" s="62" t="str">
        <f t="shared" si="79"/>
        <v/>
      </c>
    </row>
    <row r="5088" spans="9:9" x14ac:dyDescent="0.25">
      <c r="I5088" s="62" t="str">
        <f t="shared" si="79"/>
        <v/>
      </c>
    </row>
    <row r="5089" spans="9:9" x14ac:dyDescent="0.25">
      <c r="I5089" s="62" t="str">
        <f t="shared" si="79"/>
        <v/>
      </c>
    </row>
    <row r="5090" spans="9:9" x14ac:dyDescent="0.25">
      <c r="I5090" s="62" t="str">
        <f t="shared" si="79"/>
        <v/>
      </c>
    </row>
    <row r="5091" spans="9:9" x14ac:dyDescent="0.25">
      <c r="I5091" s="62" t="str">
        <f t="shared" si="79"/>
        <v/>
      </c>
    </row>
    <row r="5092" spans="9:9" x14ac:dyDescent="0.25">
      <c r="I5092" s="62" t="str">
        <f t="shared" si="79"/>
        <v/>
      </c>
    </row>
    <row r="5093" spans="9:9" x14ac:dyDescent="0.25">
      <c r="I5093" s="62" t="str">
        <f t="shared" si="79"/>
        <v/>
      </c>
    </row>
    <row r="5094" spans="9:9" x14ac:dyDescent="0.25">
      <c r="I5094" s="62" t="str">
        <f t="shared" si="79"/>
        <v/>
      </c>
    </row>
    <row r="5095" spans="9:9" x14ac:dyDescent="0.25">
      <c r="I5095" s="62" t="str">
        <f t="shared" si="79"/>
        <v/>
      </c>
    </row>
    <row r="5096" spans="9:9" x14ac:dyDescent="0.25">
      <c r="I5096" s="62" t="str">
        <f t="shared" si="79"/>
        <v/>
      </c>
    </row>
    <row r="5097" spans="9:9" x14ac:dyDescent="0.25">
      <c r="I5097" s="62" t="str">
        <f t="shared" si="79"/>
        <v/>
      </c>
    </row>
    <row r="5098" spans="9:9" x14ac:dyDescent="0.25">
      <c r="I5098" s="62" t="str">
        <f t="shared" si="79"/>
        <v/>
      </c>
    </row>
    <row r="5099" spans="9:9" x14ac:dyDescent="0.25">
      <c r="I5099" s="62" t="str">
        <f t="shared" si="79"/>
        <v/>
      </c>
    </row>
    <row r="5100" spans="9:9" x14ac:dyDescent="0.25">
      <c r="I5100" s="62" t="str">
        <f t="shared" si="79"/>
        <v/>
      </c>
    </row>
    <row r="5101" spans="9:9" x14ac:dyDescent="0.25">
      <c r="I5101" s="62" t="str">
        <f t="shared" si="79"/>
        <v/>
      </c>
    </row>
    <row r="5102" spans="9:9" x14ac:dyDescent="0.25">
      <c r="I5102" s="62" t="str">
        <f t="shared" si="79"/>
        <v/>
      </c>
    </row>
    <row r="5103" spans="9:9" x14ac:dyDescent="0.25">
      <c r="I5103" s="62" t="str">
        <f t="shared" si="79"/>
        <v/>
      </c>
    </row>
    <row r="5104" spans="9:9" x14ac:dyDescent="0.25">
      <c r="I5104" s="62" t="str">
        <f t="shared" si="79"/>
        <v/>
      </c>
    </row>
    <row r="5105" spans="9:9" x14ac:dyDescent="0.25">
      <c r="I5105" s="62" t="str">
        <f t="shared" si="79"/>
        <v/>
      </c>
    </row>
    <row r="5106" spans="9:9" x14ac:dyDescent="0.25">
      <c r="I5106" s="62" t="str">
        <f t="shared" si="79"/>
        <v/>
      </c>
    </row>
    <row r="5107" spans="9:9" x14ac:dyDescent="0.25">
      <c r="I5107" s="62" t="str">
        <f t="shared" si="79"/>
        <v/>
      </c>
    </row>
    <row r="5108" spans="9:9" x14ac:dyDescent="0.25">
      <c r="I5108" s="62" t="str">
        <f t="shared" si="79"/>
        <v/>
      </c>
    </row>
    <row r="5109" spans="9:9" x14ac:dyDescent="0.25">
      <c r="I5109" s="62" t="str">
        <f t="shared" si="79"/>
        <v/>
      </c>
    </row>
    <row r="5110" spans="9:9" x14ac:dyDescent="0.25">
      <c r="I5110" s="62" t="str">
        <f t="shared" si="79"/>
        <v/>
      </c>
    </row>
    <row r="5111" spans="9:9" x14ac:dyDescent="0.25">
      <c r="I5111" s="62" t="str">
        <f t="shared" si="79"/>
        <v/>
      </c>
    </row>
    <row r="5112" spans="9:9" x14ac:dyDescent="0.25">
      <c r="I5112" s="62" t="str">
        <f t="shared" si="79"/>
        <v/>
      </c>
    </row>
    <row r="5113" spans="9:9" x14ac:dyDescent="0.25">
      <c r="I5113" s="62" t="str">
        <f t="shared" si="79"/>
        <v/>
      </c>
    </row>
    <row r="5114" spans="9:9" x14ac:dyDescent="0.25">
      <c r="I5114" s="62" t="str">
        <f t="shared" si="79"/>
        <v/>
      </c>
    </row>
    <row r="5115" spans="9:9" x14ac:dyDescent="0.25">
      <c r="I5115" s="62" t="str">
        <f t="shared" si="79"/>
        <v/>
      </c>
    </row>
    <row r="5116" spans="9:9" x14ac:dyDescent="0.25">
      <c r="I5116" s="62" t="str">
        <f t="shared" si="79"/>
        <v/>
      </c>
    </row>
    <row r="5117" spans="9:9" x14ac:dyDescent="0.25">
      <c r="I5117" s="62" t="str">
        <f t="shared" si="79"/>
        <v/>
      </c>
    </row>
    <row r="5118" spans="9:9" x14ac:dyDescent="0.25">
      <c r="I5118" s="62" t="str">
        <f t="shared" si="79"/>
        <v/>
      </c>
    </row>
    <row r="5119" spans="9:9" x14ac:dyDescent="0.25">
      <c r="I5119" s="62" t="str">
        <f t="shared" si="79"/>
        <v/>
      </c>
    </row>
    <row r="5120" spans="9:9" x14ac:dyDescent="0.25">
      <c r="I5120" s="62" t="str">
        <f t="shared" si="79"/>
        <v/>
      </c>
    </row>
    <row r="5121" spans="9:9" x14ac:dyDescent="0.25">
      <c r="I5121" s="62" t="str">
        <f t="shared" si="79"/>
        <v/>
      </c>
    </row>
    <row r="5122" spans="9:9" x14ac:dyDescent="0.25">
      <c r="I5122" s="62" t="str">
        <f t="shared" si="79"/>
        <v/>
      </c>
    </row>
    <row r="5123" spans="9:9" x14ac:dyDescent="0.25">
      <c r="I5123" s="62" t="str">
        <f t="shared" si="79"/>
        <v/>
      </c>
    </row>
    <row r="5124" spans="9:9" x14ac:dyDescent="0.25">
      <c r="I5124" s="62" t="str">
        <f t="shared" si="79"/>
        <v/>
      </c>
    </row>
    <row r="5125" spans="9:9" x14ac:dyDescent="0.25">
      <c r="I5125" s="62" t="str">
        <f t="shared" ref="I5125:I5188" si="80">IF(H5125&lt;&gt;"",H5125-H5124,"")</f>
        <v/>
      </c>
    </row>
    <row r="5126" spans="9:9" x14ac:dyDescent="0.25">
      <c r="I5126" s="62" t="str">
        <f t="shared" si="80"/>
        <v/>
      </c>
    </row>
    <row r="5127" spans="9:9" x14ac:dyDescent="0.25">
      <c r="I5127" s="62" t="str">
        <f t="shared" si="80"/>
        <v/>
      </c>
    </row>
    <row r="5128" spans="9:9" x14ac:dyDescent="0.25">
      <c r="I5128" s="62" t="str">
        <f t="shared" si="80"/>
        <v/>
      </c>
    </row>
    <row r="5129" spans="9:9" x14ac:dyDescent="0.25">
      <c r="I5129" s="62" t="str">
        <f t="shared" si="80"/>
        <v/>
      </c>
    </row>
    <row r="5130" spans="9:9" x14ac:dyDescent="0.25">
      <c r="I5130" s="62" t="str">
        <f t="shared" si="80"/>
        <v/>
      </c>
    </row>
    <row r="5131" spans="9:9" x14ac:dyDescent="0.25">
      <c r="I5131" s="62" t="str">
        <f t="shared" si="80"/>
        <v/>
      </c>
    </row>
    <row r="5132" spans="9:9" x14ac:dyDescent="0.25">
      <c r="I5132" s="62" t="str">
        <f t="shared" si="80"/>
        <v/>
      </c>
    </row>
    <row r="5133" spans="9:9" x14ac:dyDescent="0.25">
      <c r="I5133" s="62" t="str">
        <f t="shared" si="80"/>
        <v/>
      </c>
    </row>
    <row r="5134" spans="9:9" x14ac:dyDescent="0.25">
      <c r="I5134" s="62" t="str">
        <f t="shared" si="80"/>
        <v/>
      </c>
    </row>
    <row r="5135" spans="9:9" x14ac:dyDescent="0.25">
      <c r="I5135" s="62" t="str">
        <f t="shared" si="80"/>
        <v/>
      </c>
    </row>
    <row r="5136" spans="9:9" x14ac:dyDescent="0.25">
      <c r="I5136" s="62" t="str">
        <f t="shared" si="80"/>
        <v/>
      </c>
    </row>
    <row r="5137" spans="9:9" x14ac:dyDescent="0.25">
      <c r="I5137" s="62" t="str">
        <f t="shared" si="80"/>
        <v/>
      </c>
    </row>
    <row r="5138" spans="9:9" x14ac:dyDescent="0.25">
      <c r="I5138" s="62" t="str">
        <f t="shared" si="80"/>
        <v/>
      </c>
    </row>
    <row r="5139" spans="9:9" x14ac:dyDescent="0.25">
      <c r="I5139" s="62" t="str">
        <f t="shared" si="80"/>
        <v/>
      </c>
    </row>
    <row r="5140" spans="9:9" x14ac:dyDescent="0.25">
      <c r="I5140" s="62" t="str">
        <f t="shared" si="80"/>
        <v/>
      </c>
    </row>
    <row r="5141" spans="9:9" x14ac:dyDescent="0.25">
      <c r="I5141" s="62" t="str">
        <f t="shared" si="80"/>
        <v/>
      </c>
    </row>
    <row r="5142" spans="9:9" x14ac:dyDescent="0.25">
      <c r="I5142" s="62" t="str">
        <f t="shared" si="80"/>
        <v/>
      </c>
    </row>
    <row r="5143" spans="9:9" x14ac:dyDescent="0.25">
      <c r="I5143" s="62" t="str">
        <f t="shared" si="80"/>
        <v/>
      </c>
    </row>
    <row r="5144" spans="9:9" x14ac:dyDescent="0.25">
      <c r="I5144" s="62" t="str">
        <f t="shared" si="80"/>
        <v/>
      </c>
    </row>
    <row r="5145" spans="9:9" x14ac:dyDescent="0.25">
      <c r="I5145" s="62" t="str">
        <f t="shared" si="80"/>
        <v/>
      </c>
    </row>
    <row r="5146" spans="9:9" x14ac:dyDescent="0.25">
      <c r="I5146" s="62" t="str">
        <f t="shared" si="80"/>
        <v/>
      </c>
    </row>
    <row r="5147" spans="9:9" x14ac:dyDescent="0.25">
      <c r="I5147" s="62" t="str">
        <f t="shared" si="80"/>
        <v/>
      </c>
    </row>
    <row r="5148" spans="9:9" x14ac:dyDescent="0.25">
      <c r="I5148" s="62" t="str">
        <f t="shared" si="80"/>
        <v/>
      </c>
    </row>
    <row r="5149" spans="9:9" x14ac:dyDescent="0.25">
      <c r="I5149" s="62" t="str">
        <f t="shared" si="80"/>
        <v/>
      </c>
    </row>
    <row r="5150" spans="9:9" x14ac:dyDescent="0.25">
      <c r="I5150" s="62" t="str">
        <f t="shared" si="80"/>
        <v/>
      </c>
    </row>
    <row r="5151" spans="9:9" x14ac:dyDescent="0.25">
      <c r="I5151" s="62" t="str">
        <f t="shared" si="80"/>
        <v/>
      </c>
    </row>
    <row r="5152" spans="9:9" x14ac:dyDescent="0.25">
      <c r="I5152" s="62" t="str">
        <f t="shared" si="80"/>
        <v/>
      </c>
    </row>
    <row r="5153" spans="9:9" x14ac:dyDescent="0.25">
      <c r="I5153" s="62" t="str">
        <f t="shared" si="80"/>
        <v/>
      </c>
    </row>
    <row r="5154" spans="9:9" x14ac:dyDescent="0.25">
      <c r="I5154" s="62" t="str">
        <f t="shared" si="80"/>
        <v/>
      </c>
    </row>
    <row r="5155" spans="9:9" x14ac:dyDescent="0.25">
      <c r="I5155" s="62" t="str">
        <f t="shared" si="80"/>
        <v/>
      </c>
    </row>
    <row r="5156" spans="9:9" x14ac:dyDescent="0.25">
      <c r="I5156" s="62" t="str">
        <f t="shared" si="80"/>
        <v/>
      </c>
    </row>
    <row r="5157" spans="9:9" x14ac:dyDescent="0.25">
      <c r="I5157" s="62" t="str">
        <f t="shared" si="80"/>
        <v/>
      </c>
    </row>
    <row r="5158" spans="9:9" x14ac:dyDescent="0.25">
      <c r="I5158" s="62" t="str">
        <f t="shared" si="80"/>
        <v/>
      </c>
    </row>
    <row r="5159" spans="9:9" x14ac:dyDescent="0.25">
      <c r="I5159" s="62" t="str">
        <f t="shared" si="80"/>
        <v/>
      </c>
    </row>
    <row r="5160" spans="9:9" x14ac:dyDescent="0.25">
      <c r="I5160" s="62" t="str">
        <f t="shared" si="80"/>
        <v/>
      </c>
    </row>
    <row r="5161" spans="9:9" x14ac:dyDescent="0.25">
      <c r="I5161" s="62" t="str">
        <f t="shared" si="80"/>
        <v/>
      </c>
    </row>
    <row r="5162" spans="9:9" x14ac:dyDescent="0.25">
      <c r="I5162" s="62" t="str">
        <f t="shared" si="80"/>
        <v/>
      </c>
    </row>
    <row r="5163" spans="9:9" x14ac:dyDescent="0.25">
      <c r="I5163" s="62" t="str">
        <f t="shared" si="80"/>
        <v/>
      </c>
    </row>
    <row r="5164" spans="9:9" x14ac:dyDescent="0.25">
      <c r="I5164" s="62" t="str">
        <f t="shared" si="80"/>
        <v/>
      </c>
    </row>
    <row r="5165" spans="9:9" x14ac:dyDescent="0.25">
      <c r="I5165" s="62" t="str">
        <f t="shared" si="80"/>
        <v/>
      </c>
    </row>
    <row r="5166" spans="9:9" x14ac:dyDescent="0.25">
      <c r="I5166" s="62" t="str">
        <f t="shared" si="80"/>
        <v/>
      </c>
    </row>
    <row r="5167" spans="9:9" x14ac:dyDescent="0.25">
      <c r="I5167" s="62" t="str">
        <f t="shared" si="80"/>
        <v/>
      </c>
    </row>
    <row r="5168" spans="9:9" x14ac:dyDescent="0.25">
      <c r="I5168" s="62" t="str">
        <f t="shared" si="80"/>
        <v/>
      </c>
    </row>
    <row r="5169" spans="9:9" x14ac:dyDescent="0.25">
      <c r="I5169" s="62" t="str">
        <f t="shared" si="80"/>
        <v/>
      </c>
    </row>
    <row r="5170" spans="9:9" x14ac:dyDescent="0.25">
      <c r="I5170" s="62" t="str">
        <f t="shared" si="80"/>
        <v/>
      </c>
    </row>
    <row r="5171" spans="9:9" x14ac:dyDescent="0.25">
      <c r="I5171" s="62" t="str">
        <f t="shared" si="80"/>
        <v/>
      </c>
    </row>
    <row r="5172" spans="9:9" x14ac:dyDescent="0.25">
      <c r="I5172" s="62" t="str">
        <f t="shared" si="80"/>
        <v/>
      </c>
    </row>
    <row r="5173" spans="9:9" x14ac:dyDescent="0.25">
      <c r="I5173" s="62" t="str">
        <f t="shared" si="80"/>
        <v/>
      </c>
    </row>
    <row r="5174" spans="9:9" x14ac:dyDescent="0.25">
      <c r="I5174" s="62" t="str">
        <f t="shared" si="80"/>
        <v/>
      </c>
    </row>
    <row r="5175" spans="9:9" x14ac:dyDescent="0.25">
      <c r="I5175" s="62" t="str">
        <f t="shared" si="80"/>
        <v/>
      </c>
    </row>
    <row r="5176" spans="9:9" x14ac:dyDescent="0.25">
      <c r="I5176" s="62" t="str">
        <f t="shared" si="80"/>
        <v/>
      </c>
    </row>
    <row r="5177" spans="9:9" x14ac:dyDescent="0.25">
      <c r="I5177" s="62" t="str">
        <f t="shared" si="80"/>
        <v/>
      </c>
    </row>
    <row r="5178" spans="9:9" x14ac:dyDescent="0.25">
      <c r="I5178" s="62" t="str">
        <f t="shared" si="80"/>
        <v/>
      </c>
    </row>
    <row r="5179" spans="9:9" x14ac:dyDescent="0.25">
      <c r="I5179" s="62" t="str">
        <f t="shared" si="80"/>
        <v/>
      </c>
    </row>
    <row r="5180" spans="9:9" x14ac:dyDescent="0.25">
      <c r="I5180" s="62" t="str">
        <f t="shared" si="80"/>
        <v/>
      </c>
    </row>
    <row r="5181" spans="9:9" x14ac:dyDescent="0.25">
      <c r="I5181" s="62" t="str">
        <f t="shared" si="80"/>
        <v/>
      </c>
    </row>
    <row r="5182" spans="9:9" x14ac:dyDescent="0.25">
      <c r="I5182" s="62" t="str">
        <f t="shared" si="80"/>
        <v/>
      </c>
    </row>
    <row r="5183" spans="9:9" x14ac:dyDescent="0.25">
      <c r="I5183" s="62" t="str">
        <f t="shared" si="80"/>
        <v/>
      </c>
    </row>
    <row r="5184" spans="9:9" x14ac:dyDescent="0.25">
      <c r="I5184" s="62" t="str">
        <f t="shared" si="80"/>
        <v/>
      </c>
    </row>
    <row r="5185" spans="9:9" x14ac:dyDescent="0.25">
      <c r="I5185" s="62" t="str">
        <f t="shared" si="80"/>
        <v/>
      </c>
    </row>
    <row r="5186" spans="9:9" x14ac:dyDescent="0.25">
      <c r="I5186" s="62" t="str">
        <f t="shared" si="80"/>
        <v/>
      </c>
    </row>
    <row r="5187" spans="9:9" x14ac:dyDescent="0.25">
      <c r="I5187" s="62" t="str">
        <f t="shared" si="80"/>
        <v/>
      </c>
    </row>
    <row r="5188" spans="9:9" x14ac:dyDescent="0.25">
      <c r="I5188" s="62" t="str">
        <f t="shared" si="80"/>
        <v/>
      </c>
    </row>
    <row r="5189" spans="9:9" x14ac:dyDescent="0.25">
      <c r="I5189" s="62" t="str">
        <f t="shared" ref="I5189:I5252" si="81">IF(H5189&lt;&gt;"",H5189-H5188,"")</f>
        <v/>
      </c>
    </row>
    <row r="5190" spans="9:9" x14ac:dyDescent="0.25">
      <c r="I5190" s="62" t="str">
        <f t="shared" si="81"/>
        <v/>
      </c>
    </row>
    <row r="5191" spans="9:9" x14ac:dyDescent="0.25">
      <c r="I5191" s="62" t="str">
        <f t="shared" si="81"/>
        <v/>
      </c>
    </row>
    <row r="5192" spans="9:9" x14ac:dyDescent="0.25">
      <c r="I5192" s="62" t="str">
        <f t="shared" si="81"/>
        <v/>
      </c>
    </row>
    <row r="5193" spans="9:9" x14ac:dyDescent="0.25">
      <c r="I5193" s="62" t="str">
        <f t="shared" si="81"/>
        <v/>
      </c>
    </row>
    <row r="5194" spans="9:9" x14ac:dyDescent="0.25">
      <c r="I5194" s="62" t="str">
        <f t="shared" si="81"/>
        <v/>
      </c>
    </row>
    <row r="5195" spans="9:9" x14ac:dyDescent="0.25">
      <c r="I5195" s="62" t="str">
        <f t="shared" si="81"/>
        <v/>
      </c>
    </row>
    <row r="5196" spans="9:9" x14ac:dyDescent="0.25">
      <c r="I5196" s="62" t="str">
        <f t="shared" si="81"/>
        <v/>
      </c>
    </row>
    <row r="5197" spans="9:9" x14ac:dyDescent="0.25">
      <c r="I5197" s="62" t="str">
        <f t="shared" si="81"/>
        <v/>
      </c>
    </row>
    <row r="5198" spans="9:9" x14ac:dyDescent="0.25">
      <c r="I5198" s="62" t="str">
        <f t="shared" si="81"/>
        <v/>
      </c>
    </row>
    <row r="5199" spans="9:9" x14ac:dyDescent="0.25">
      <c r="I5199" s="62" t="str">
        <f t="shared" si="81"/>
        <v/>
      </c>
    </row>
    <row r="5200" spans="9:9" x14ac:dyDescent="0.25">
      <c r="I5200" s="62" t="str">
        <f t="shared" si="81"/>
        <v/>
      </c>
    </row>
    <row r="5201" spans="9:9" x14ac:dyDescent="0.25">
      <c r="I5201" s="62" t="str">
        <f t="shared" si="81"/>
        <v/>
      </c>
    </row>
    <row r="5202" spans="9:9" x14ac:dyDescent="0.25">
      <c r="I5202" s="62" t="str">
        <f t="shared" si="81"/>
        <v/>
      </c>
    </row>
    <row r="5203" spans="9:9" x14ac:dyDescent="0.25">
      <c r="I5203" s="62" t="str">
        <f t="shared" si="81"/>
        <v/>
      </c>
    </row>
    <row r="5204" spans="9:9" x14ac:dyDescent="0.25">
      <c r="I5204" s="62" t="str">
        <f t="shared" si="81"/>
        <v/>
      </c>
    </row>
    <row r="5205" spans="9:9" x14ac:dyDescent="0.25">
      <c r="I5205" s="62" t="str">
        <f t="shared" si="81"/>
        <v/>
      </c>
    </row>
    <row r="5206" spans="9:9" x14ac:dyDescent="0.25">
      <c r="I5206" s="62" t="str">
        <f t="shared" si="81"/>
        <v/>
      </c>
    </row>
    <row r="5207" spans="9:9" x14ac:dyDescent="0.25">
      <c r="I5207" s="62" t="str">
        <f t="shared" si="81"/>
        <v/>
      </c>
    </row>
    <row r="5208" spans="9:9" x14ac:dyDescent="0.25">
      <c r="I5208" s="62" t="str">
        <f t="shared" si="81"/>
        <v/>
      </c>
    </row>
    <row r="5209" spans="9:9" x14ac:dyDescent="0.25">
      <c r="I5209" s="62" t="str">
        <f t="shared" si="81"/>
        <v/>
      </c>
    </row>
    <row r="5210" spans="9:9" x14ac:dyDescent="0.25">
      <c r="I5210" s="62" t="str">
        <f t="shared" si="81"/>
        <v/>
      </c>
    </row>
    <row r="5211" spans="9:9" x14ac:dyDescent="0.25">
      <c r="I5211" s="62" t="str">
        <f t="shared" si="81"/>
        <v/>
      </c>
    </row>
    <row r="5212" spans="9:9" x14ac:dyDescent="0.25">
      <c r="I5212" s="62" t="str">
        <f t="shared" si="81"/>
        <v/>
      </c>
    </row>
    <row r="5213" spans="9:9" x14ac:dyDescent="0.25">
      <c r="I5213" s="62" t="str">
        <f t="shared" si="81"/>
        <v/>
      </c>
    </row>
    <row r="5214" spans="9:9" x14ac:dyDescent="0.25">
      <c r="I5214" s="62" t="str">
        <f t="shared" si="81"/>
        <v/>
      </c>
    </row>
    <row r="5215" spans="9:9" x14ac:dyDescent="0.25">
      <c r="I5215" s="62" t="str">
        <f t="shared" si="81"/>
        <v/>
      </c>
    </row>
    <row r="5216" spans="9:9" x14ac:dyDescent="0.25">
      <c r="I5216" s="62" t="str">
        <f t="shared" si="81"/>
        <v/>
      </c>
    </row>
    <row r="5217" spans="9:9" x14ac:dyDescent="0.25">
      <c r="I5217" s="62" t="str">
        <f t="shared" si="81"/>
        <v/>
      </c>
    </row>
    <row r="5218" spans="9:9" x14ac:dyDescent="0.25">
      <c r="I5218" s="62" t="str">
        <f t="shared" si="81"/>
        <v/>
      </c>
    </row>
    <row r="5219" spans="9:9" x14ac:dyDescent="0.25">
      <c r="I5219" s="62" t="str">
        <f t="shared" si="81"/>
        <v/>
      </c>
    </row>
    <row r="5220" spans="9:9" x14ac:dyDescent="0.25">
      <c r="I5220" s="62" t="str">
        <f t="shared" si="81"/>
        <v/>
      </c>
    </row>
    <row r="5221" spans="9:9" x14ac:dyDescent="0.25">
      <c r="I5221" s="62" t="str">
        <f t="shared" si="81"/>
        <v/>
      </c>
    </row>
    <row r="5222" spans="9:9" x14ac:dyDescent="0.25">
      <c r="I5222" s="62" t="str">
        <f t="shared" si="81"/>
        <v/>
      </c>
    </row>
    <row r="5223" spans="9:9" x14ac:dyDescent="0.25">
      <c r="I5223" s="62" t="str">
        <f t="shared" si="81"/>
        <v/>
      </c>
    </row>
    <row r="5224" spans="9:9" x14ac:dyDescent="0.25">
      <c r="I5224" s="62" t="str">
        <f t="shared" si="81"/>
        <v/>
      </c>
    </row>
    <row r="5225" spans="9:9" x14ac:dyDescent="0.25">
      <c r="I5225" s="62" t="str">
        <f t="shared" si="81"/>
        <v/>
      </c>
    </row>
    <row r="5226" spans="9:9" x14ac:dyDescent="0.25">
      <c r="I5226" s="62" t="str">
        <f t="shared" si="81"/>
        <v/>
      </c>
    </row>
    <row r="5227" spans="9:9" x14ac:dyDescent="0.25">
      <c r="I5227" s="62" t="str">
        <f t="shared" si="81"/>
        <v/>
      </c>
    </row>
    <row r="5228" spans="9:9" x14ac:dyDescent="0.25">
      <c r="I5228" s="62" t="str">
        <f t="shared" si="81"/>
        <v/>
      </c>
    </row>
    <row r="5229" spans="9:9" x14ac:dyDescent="0.25">
      <c r="I5229" s="62" t="str">
        <f t="shared" si="81"/>
        <v/>
      </c>
    </row>
    <row r="5230" spans="9:9" x14ac:dyDescent="0.25">
      <c r="I5230" s="62" t="str">
        <f t="shared" si="81"/>
        <v/>
      </c>
    </row>
    <row r="5231" spans="9:9" x14ac:dyDescent="0.25">
      <c r="I5231" s="62" t="str">
        <f t="shared" si="81"/>
        <v/>
      </c>
    </row>
    <row r="5232" spans="9:9" x14ac:dyDescent="0.25">
      <c r="I5232" s="62" t="str">
        <f t="shared" si="81"/>
        <v/>
      </c>
    </row>
    <row r="5233" spans="9:9" x14ac:dyDescent="0.25">
      <c r="I5233" s="62" t="str">
        <f t="shared" si="81"/>
        <v/>
      </c>
    </row>
    <row r="5234" spans="9:9" x14ac:dyDescent="0.25">
      <c r="I5234" s="62" t="str">
        <f t="shared" si="81"/>
        <v/>
      </c>
    </row>
    <row r="5235" spans="9:9" x14ac:dyDescent="0.25">
      <c r="I5235" s="62" t="str">
        <f t="shared" si="81"/>
        <v/>
      </c>
    </row>
    <row r="5236" spans="9:9" x14ac:dyDescent="0.25">
      <c r="I5236" s="62" t="str">
        <f t="shared" si="81"/>
        <v/>
      </c>
    </row>
    <row r="5237" spans="9:9" x14ac:dyDescent="0.25">
      <c r="I5237" s="62" t="str">
        <f t="shared" si="81"/>
        <v/>
      </c>
    </row>
    <row r="5238" spans="9:9" x14ac:dyDescent="0.25">
      <c r="I5238" s="62" t="str">
        <f t="shared" si="81"/>
        <v/>
      </c>
    </row>
    <row r="5239" spans="9:9" x14ac:dyDescent="0.25">
      <c r="I5239" s="62" t="str">
        <f t="shared" si="81"/>
        <v/>
      </c>
    </row>
    <row r="5240" spans="9:9" x14ac:dyDescent="0.25">
      <c r="I5240" s="62" t="str">
        <f t="shared" si="81"/>
        <v/>
      </c>
    </row>
    <row r="5241" spans="9:9" x14ac:dyDescent="0.25">
      <c r="I5241" s="62" t="str">
        <f t="shared" si="81"/>
        <v/>
      </c>
    </row>
    <row r="5242" spans="9:9" x14ac:dyDescent="0.25">
      <c r="I5242" s="62" t="str">
        <f t="shared" si="81"/>
        <v/>
      </c>
    </row>
    <row r="5243" spans="9:9" x14ac:dyDescent="0.25">
      <c r="I5243" s="62" t="str">
        <f t="shared" si="81"/>
        <v/>
      </c>
    </row>
    <row r="5244" spans="9:9" x14ac:dyDescent="0.25">
      <c r="I5244" s="62" t="str">
        <f t="shared" si="81"/>
        <v/>
      </c>
    </row>
    <row r="5245" spans="9:9" x14ac:dyDescent="0.25">
      <c r="I5245" s="62" t="str">
        <f t="shared" si="81"/>
        <v/>
      </c>
    </row>
    <row r="5246" spans="9:9" x14ac:dyDescent="0.25">
      <c r="I5246" s="62" t="str">
        <f t="shared" si="81"/>
        <v/>
      </c>
    </row>
    <row r="5247" spans="9:9" x14ac:dyDescent="0.25">
      <c r="I5247" s="62" t="str">
        <f t="shared" si="81"/>
        <v/>
      </c>
    </row>
    <row r="5248" spans="9:9" x14ac:dyDescent="0.25">
      <c r="I5248" s="62" t="str">
        <f t="shared" si="81"/>
        <v/>
      </c>
    </row>
    <row r="5249" spans="9:9" x14ac:dyDescent="0.25">
      <c r="I5249" s="62" t="str">
        <f t="shared" si="81"/>
        <v/>
      </c>
    </row>
    <row r="5250" spans="9:9" x14ac:dyDescent="0.25">
      <c r="I5250" s="62" t="str">
        <f t="shared" si="81"/>
        <v/>
      </c>
    </row>
    <row r="5251" spans="9:9" x14ac:dyDescent="0.25">
      <c r="I5251" s="62" t="str">
        <f t="shared" si="81"/>
        <v/>
      </c>
    </row>
    <row r="5252" spans="9:9" x14ac:dyDescent="0.25">
      <c r="I5252" s="62" t="str">
        <f t="shared" si="81"/>
        <v/>
      </c>
    </row>
    <row r="5253" spans="9:9" x14ac:dyDescent="0.25">
      <c r="I5253" s="62" t="str">
        <f t="shared" ref="I5253:I5316" si="82">IF(H5253&lt;&gt;"",H5253-H5252,"")</f>
        <v/>
      </c>
    </row>
    <row r="5254" spans="9:9" x14ac:dyDescent="0.25">
      <c r="I5254" s="62" t="str">
        <f t="shared" si="82"/>
        <v/>
      </c>
    </row>
    <row r="5255" spans="9:9" x14ac:dyDescent="0.25">
      <c r="I5255" s="62" t="str">
        <f t="shared" si="82"/>
        <v/>
      </c>
    </row>
    <row r="5256" spans="9:9" x14ac:dyDescent="0.25">
      <c r="I5256" s="62" t="str">
        <f t="shared" si="82"/>
        <v/>
      </c>
    </row>
    <row r="5257" spans="9:9" x14ac:dyDescent="0.25">
      <c r="I5257" s="62" t="str">
        <f t="shared" si="82"/>
        <v/>
      </c>
    </row>
    <row r="5258" spans="9:9" x14ac:dyDescent="0.25">
      <c r="I5258" s="62" t="str">
        <f t="shared" si="82"/>
        <v/>
      </c>
    </row>
    <row r="5259" spans="9:9" x14ac:dyDescent="0.25">
      <c r="I5259" s="62" t="str">
        <f t="shared" si="82"/>
        <v/>
      </c>
    </row>
    <row r="5260" spans="9:9" x14ac:dyDescent="0.25">
      <c r="I5260" s="62" t="str">
        <f t="shared" si="82"/>
        <v/>
      </c>
    </row>
    <row r="5261" spans="9:9" x14ac:dyDescent="0.25">
      <c r="I5261" s="62" t="str">
        <f t="shared" si="82"/>
        <v/>
      </c>
    </row>
    <row r="5262" spans="9:9" x14ac:dyDescent="0.25">
      <c r="I5262" s="62" t="str">
        <f t="shared" si="82"/>
        <v/>
      </c>
    </row>
    <row r="5263" spans="9:9" x14ac:dyDescent="0.25">
      <c r="I5263" s="62" t="str">
        <f t="shared" si="82"/>
        <v/>
      </c>
    </row>
    <row r="5264" spans="9:9" x14ac:dyDescent="0.25">
      <c r="I5264" s="62" t="str">
        <f t="shared" si="82"/>
        <v/>
      </c>
    </row>
    <row r="5265" spans="9:9" x14ac:dyDescent="0.25">
      <c r="I5265" s="62" t="str">
        <f t="shared" si="82"/>
        <v/>
      </c>
    </row>
    <row r="5266" spans="9:9" x14ac:dyDescent="0.25">
      <c r="I5266" s="62" t="str">
        <f t="shared" si="82"/>
        <v/>
      </c>
    </row>
    <row r="5267" spans="9:9" x14ac:dyDescent="0.25">
      <c r="I5267" s="62" t="str">
        <f t="shared" si="82"/>
        <v/>
      </c>
    </row>
    <row r="5268" spans="9:9" x14ac:dyDescent="0.25">
      <c r="I5268" s="62" t="str">
        <f t="shared" si="82"/>
        <v/>
      </c>
    </row>
    <row r="5269" spans="9:9" x14ac:dyDescent="0.25">
      <c r="I5269" s="62" t="str">
        <f t="shared" si="82"/>
        <v/>
      </c>
    </row>
    <row r="5270" spans="9:9" x14ac:dyDescent="0.25">
      <c r="I5270" s="62" t="str">
        <f t="shared" si="82"/>
        <v/>
      </c>
    </row>
    <row r="5271" spans="9:9" x14ac:dyDescent="0.25">
      <c r="I5271" s="62" t="str">
        <f t="shared" si="82"/>
        <v/>
      </c>
    </row>
    <row r="5272" spans="9:9" x14ac:dyDescent="0.25">
      <c r="I5272" s="62" t="str">
        <f t="shared" si="82"/>
        <v/>
      </c>
    </row>
    <row r="5273" spans="9:9" x14ac:dyDescent="0.25">
      <c r="I5273" s="62" t="str">
        <f t="shared" si="82"/>
        <v/>
      </c>
    </row>
    <row r="5274" spans="9:9" x14ac:dyDescent="0.25">
      <c r="I5274" s="62" t="str">
        <f t="shared" si="82"/>
        <v/>
      </c>
    </row>
    <row r="5275" spans="9:9" x14ac:dyDescent="0.25">
      <c r="I5275" s="62" t="str">
        <f t="shared" si="82"/>
        <v/>
      </c>
    </row>
    <row r="5276" spans="9:9" x14ac:dyDescent="0.25">
      <c r="I5276" s="62" t="str">
        <f t="shared" si="82"/>
        <v/>
      </c>
    </row>
    <row r="5277" spans="9:9" x14ac:dyDescent="0.25">
      <c r="I5277" s="62" t="str">
        <f t="shared" si="82"/>
        <v/>
      </c>
    </row>
    <row r="5278" spans="9:9" x14ac:dyDescent="0.25">
      <c r="I5278" s="62" t="str">
        <f t="shared" si="82"/>
        <v/>
      </c>
    </row>
    <row r="5279" spans="9:9" x14ac:dyDescent="0.25">
      <c r="I5279" s="62" t="str">
        <f t="shared" si="82"/>
        <v/>
      </c>
    </row>
    <row r="5280" spans="9:9" x14ac:dyDescent="0.25">
      <c r="I5280" s="62" t="str">
        <f t="shared" si="82"/>
        <v/>
      </c>
    </row>
    <row r="5281" spans="9:9" x14ac:dyDescent="0.25">
      <c r="I5281" s="62" t="str">
        <f t="shared" si="82"/>
        <v/>
      </c>
    </row>
    <row r="5282" spans="9:9" x14ac:dyDescent="0.25">
      <c r="I5282" s="62" t="str">
        <f t="shared" si="82"/>
        <v/>
      </c>
    </row>
    <row r="5283" spans="9:9" x14ac:dyDescent="0.25">
      <c r="I5283" s="62" t="str">
        <f t="shared" si="82"/>
        <v/>
      </c>
    </row>
    <row r="5284" spans="9:9" x14ac:dyDescent="0.25">
      <c r="I5284" s="62" t="str">
        <f t="shared" si="82"/>
        <v/>
      </c>
    </row>
    <row r="5285" spans="9:9" x14ac:dyDescent="0.25">
      <c r="I5285" s="62" t="str">
        <f t="shared" si="82"/>
        <v/>
      </c>
    </row>
    <row r="5286" spans="9:9" x14ac:dyDescent="0.25">
      <c r="I5286" s="62" t="str">
        <f t="shared" si="82"/>
        <v/>
      </c>
    </row>
    <row r="5287" spans="9:9" x14ac:dyDescent="0.25">
      <c r="I5287" s="62" t="str">
        <f t="shared" si="82"/>
        <v/>
      </c>
    </row>
    <row r="5288" spans="9:9" x14ac:dyDescent="0.25">
      <c r="I5288" s="62" t="str">
        <f t="shared" si="82"/>
        <v/>
      </c>
    </row>
    <row r="5289" spans="9:9" x14ac:dyDescent="0.25">
      <c r="I5289" s="62" t="str">
        <f t="shared" si="82"/>
        <v/>
      </c>
    </row>
    <row r="5290" spans="9:9" x14ac:dyDescent="0.25">
      <c r="I5290" s="62" t="str">
        <f t="shared" si="82"/>
        <v/>
      </c>
    </row>
    <row r="5291" spans="9:9" x14ac:dyDescent="0.25">
      <c r="I5291" s="62" t="str">
        <f t="shared" si="82"/>
        <v/>
      </c>
    </row>
    <row r="5292" spans="9:9" x14ac:dyDescent="0.25">
      <c r="I5292" s="62" t="str">
        <f t="shared" si="82"/>
        <v/>
      </c>
    </row>
    <row r="5293" spans="9:9" x14ac:dyDescent="0.25">
      <c r="I5293" s="62" t="str">
        <f t="shared" si="82"/>
        <v/>
      </c>
    </row>
    <row r="5294" spans="9:9" x14ac:dyDescent="0.25">
      <c r="I5294" s="62" t="str">
        <f t="shared" si="82"/>
        <v/>
      </c>
    </row>
    <row r="5295" spans="9:9" x14ac:dyDescent="0.25">
      <c r="I5295" s="62" t="str">
        <f t="shared" si="82"/>
        <v/>
      </c>
    </row>
    <row r="5296" spans="9:9" x14ac:dyDescent="0.25">
      <c r="I5296" s="62" t="str">
        <f t="shared" si="82"/>
        <v/>
      </c>
    </row>
    <row r="5297" spans="9:9" x14ac:dyDescent="0.25">
      <c r="I5297" s="62" t="str">
        <f t="shared" si="82"/>
        <v/>
      </c>
    </row>
    <row r="5298" spans="9:9" x14ac:dyDescent="0.25">
      <c r="I5298" s="62" t="str">
        <f t="shared" si="82"/>
        <v/>
      </c>
    </row>
    <row r="5299" spans="9:9" x14ac:dyDescent="0.25">
      <c r="I5299" s="62" t="str">
        <f t="shared" si="82"/>
        <v/>
      </c>
    </row>
    <row r="5300" spans="9:9" x14ac:dyDescent="0.25">
      <c r="I5300" s="62" t="str">
        <f t="shared" si="82"/>
        <v/>
      </c>
    </row>
    <row r="5301" spans="9:9" x14ac:dyDescent="0.25">
      <c r="I5301" s="62" t="str">
        <f t="shared" si="82"/>
        <v/>
      </c>
    </row>
    <row r="5302" spans="9:9" x14ac:dyDescent="0.25">
      <c r="I5302" s="62" t="str">
        <f t="shared" si="82"/>
        <v/>
      </c>
    </row>
    <row r="5303" spans="9:9" x14ac:dyDescent="0.25">
      <c r="I5303" s="62" t="str">
        <f t="shared" si="82"/>
        <v/>
      </c>
    </row>
    <row r="5304" spans="9:9" x14ac:dyDescent="0.25">
      <c r="I5304" s="62" t="str">
        <f t="shared" si="82"/>
        <v/>
      </c>
    </row>
    <row r="5305" spans="9:9" x14ac:dyDescent="0.25">
      <c r="I5305" s="62" t="str">
        <f t="shared" si="82"/>
        <v/>
      </c>
    </row>
    <row r="5306" spans="9:9" x14ac:dyDescent="0.25">
      <c r="I5306" s="62" t="str">
        <f t="shared" si="82"/>
        <v/>
      </c>
    </row>
    <row r="5307" spans="9:9" x14ac:dyDescent="0.25">
      <c r="I5307" s="62" t="str">
        <f t="shared" si="82"/>
        <v/>
      </c>
    </row>
    <row r="5308" spans="9:9" x14ac:dyDescent="0.25">
      <c r="I5308" s="62" t="str">
        <f t="shared" si="82"/>
        <v/>
      </c>
    </row>
    <row r="5309" spans="9:9" x14ac:dyDescent="0.25">
      <c r="I5309" s="62" t="str">
        <f t="shared" si="82"/>
        <v/>
      </c>
    </row>
    <row r="5310" spans="9:9" x14ac:dyDescent="0.25">
      <c r="I5310" s="62" t="str">
        <f t="shared" si="82"/>
        <v/>
      </c>
    </row>
    <row r="5311" spans="9:9" x14ac:dyDescent="0.25">
      <c r="I5311" s="62" t="str">
        <f t="shared" si="82"/>
        <v/>
      </c>
    </row>
    <row r="5312" spans="9:9" x14ac:dyDescent="0.25">
      <c r="I5312" s="62" t="str">
        <f t="shared" si="82"/>
        <v/>
      </c>
    </row>
    <row r="5313" spans="9:9" x14ac:dyDescent="0.25">
      <c r="I5313" s="62" t="str">
        <f t="shared" si="82"/>
        <v/>
      </c>
    </row>
    <row r="5314" spans="9:9" x14ac:dyDescent="0.25">
      <c r="I5314" s="62" t="str">
        <f t="shared" si="82"/>
        <v/>
      </c>
    </row>
    <row r="5315" spans="9:9" x14ac:dyDescent="0.25">
      <c r="I5315" s="62" t="str">
        <f t="shared" si="82"/>
        <v/>
      </c>
    </row>
    <row r="5316" spans="9:9" x14ac:dyDescent="0.25">
      <c r="I5316" s="62" t="str">
        <f t="shared" si="82"/>
        <v/>
      </c>
    </row>
    <row r="5317" spans="9:9" x14ac:dyDescent="0.25">
      <c r="I5317" s="62" t="str">
        <f t="shared" ref="I5317:I5380" si="83">IF(H5317&lt;&gt;"",H5317-H5316,"")</f>
        <v/>
      </c>
    </row>
    <row r="5318" spans="9:9" x14ac:dyDescent="0.25">
      <c r="I5318" s="62" t="str">
        <f t="shared" si="83"/>
        <v/>
      </c>
    </row>
    <row r="5319" spans="9:9" x14ac:dyDescent="0.25">
      <c r="I5319" s="62" t="str">
        <f t="shared" si="83"/>
        <v/>
      </c>
    </row>
    <row r="5320" spans="9:9" x14ac:dyDescent="0.25">
      <c r="I5320" s="62" t="str">
        <f t="shared" si="83"/>
        <v/>
      </c>
    </row>
    <row r="5321" spans="9:9" x14ac:dyDescent="0.25">
      <c r="I5321" s="62" t="str">
        <f t="shared" si="83"/>
        <v/>
      </c>
    </row>
    <row r="5322" spans="9:9" x14ac:dyDescent="0.25">
      <c r="I5322" s="62" t="str">
        <f t="shared" si="83"/>
        <v/>
      </c>
    </row>
    <row r="5323" spans="9:9" x14ac:dyDescent="0.25">
      <c r="I5323" s="62" t="str">
        <f t="shared" si="83"/>
        <v/>
      </c>
    </row>
    <row r="5324" spans="9:9" x14ac:dyDescent="0.25">
      <c r="I5324" s="62" t="str">
        <f t="shared" si="83"/>
        <v/>
      </c>
    </row>
    <row r="5325" spans="9:9" x14ac:dyDescent="0.25">
      <c r="I5325" s="62" t="str">
        <f t="shared" si="83"/>
        <v/>
      </c>
    </row>
    <row r="5326" spans="9:9" x14ac:dyDescent="0.25">
      <c r="I5326" s="62" t="str">
        <f t="shared" si="83"/>
        <v/>
      </c>
    </row>
    <row r="5327" spans="9:9" x14ac:dyDescent="0.25">
      <c r="I5327" s="62" t="str">
        <f t="shared" si="83"/>
        <v/>
      </c>
    </row>
    <row r="5328" spans="9:9" x14ac:dyDescent="0.25">
      <c r="I5328" s="62" t="str">
        <f t="shared" si="83"/>
        <v/>
      </c>
    </row>
    <row r="5329" spans="9:9" x14ac:dyDescent="0.25">
      <c r="I5329" s="62" t="str">
        <f t="shared" si="83"/>
        <v/>
      </c>
    </row>
    <row r="5330" spans="9:9" x14ac:dyDescent="0.25">
      <c r="I5330" s="62" t="str">
        <f t="shared" si="83"/>
        <v/>
      </c>
    </row>
    <row r="5331" spans="9:9" x14ac:dyDescent="0.25">
      <c r="I5331" s="62" t="str">
        <f t="shared" si="83"/>
        <v/>
      </c>
    </row>
    <row r="5332" spans="9:9" x14ac:dyDescent="0.25">
      <c r="I5332" s="62" t="str">
        <f t="shared" si="83"/>
        <v/>
      </c>
    </row>
    <row r="5333" spans="9:9" x14ac:dyDescent="0.25">
      <c r="I5333" s="62" t="str">
        <f t="shared" si="83"/>
        <v/>
      </c>
    </row>
    <row r="5334" spans="9:9" x14ac:dyDescent="0.25">
      <c r="I5334" s="62" t="str">
        <f t="shared" si="83"/>
        <v/>
      </c>
    </row>
    <row r="5335" spans="9:9" x14ac:dyDescent="0.25">
      <c r="I5335" s="62" t="str">
        <f t="shared" si="83"/>
        <v/>
      </c>
    </row>
    <row r="5336" spans="9:9" x14ac:dyDescent="0.25">
      <c r="I5336" s="62" t="str">
        <f t="shared" si="83"/>
        <v/>
      </c>
    </row>
    <row r="5337" spans="9:9" x14ac:dyDescent="0.25">
      <c r="I5337" s="62" t="str">
        <f t="shared" si="83"/>
        <v/>
      </c>
    </row>
    <row r="5338" spans="9:9" x14ac:dyDescent="0.25">
      <c r="I5338" s="62" t="str">
        <f t="shared" si="83"/>
        <v/>
      </c>
    </row>
    <row r="5339" spans="9:9" x14ac:dyDescent="0.25">
      <c r="I5339" s="62" t="str">
        <f t="shared" si="83"/>
        <v/>
      </c>
    </row>
    <row r="5340" spans="9:9" x14ac:dyDescent="0.25">
      <c r="I5340" s="62" t="str">
        <f t="shared" si="83"/>
        <v/>
      </c>
    </row>
    <row r="5341" spans="9:9" x14ac:dyDescent="0.25">
      <c r="I5341" s="62" t="str">
        <f t="shared" si="83"/>
        <v/>
      </c>
    </row>
    <row r="5342" spans="9:9" x14ac:dyDescent="0.25">
      <c r="I5342" s="62" t="str">
        <f t="shared" si="83"/>
        <v/>
      </c>
    </row>
    <row r="5343" spans="9:9" x14ac:dyDescent="0.25">
      <c r="I5343" s="62" t="str">
        <f t="shared" si="83"/>
        <v/>
      </c>
    </row>
    <row r="5344" spans="9:9" x14ac:dyDescent="0.25">
      <c r="I5344" s="62" t="str">
        <f t="shared" si="83"/>
        <v/>
      </c>
    </row>
    <row r="5345" spans="9:9" x14ac:dyDescent="0.25">
      <c r="I5345" s="62" t="str">
        <f t="shared" si="83"/>
        <v/>
      </c>
    </row>
    <row r="5346" spans="9:9" x14ac:dyDescent="0.25">
      <c r="I5346" s="62" t="str">
        <f t="shared" si="83"/>
        <v/>
      </c>
    </row>
    <row r="5347" spans="9:9" x14ac:dyDescent="0.25">
      <c r="I5347" s="62" t="str">
        <f t="shared" si="83"/>
        <v/>
      </c>
    </row>
    <row r="5348" spans="9:9" x14ac:dyDescent="0.25">
      <c r="I5348" s="62" t="str">
        <f t="shared" si="83"/>
        <v/>
      </c>
    </row>
    <row r="5349" spans="9:9" x14ac:dyDescent="0.25">
      <c r="I5349" s="62" t="str">
        <f t="shared" si="83"/>
        <v/>
      </c>
    </row>
    <row r="5350" spans="9:9" x14ac:dyDescent="0.25">
      <c r="I5350" s="62" t="str">
        <f t="shared" si="83"/>
        <v/>
      </c>
    </row>
    <row r="5351" spans="9:9" x14ac:dyDescent="0.25">
      <c r="I5351" s="62" t="str">
        <f t="shared" si="83"/>
        <v/>
      </c>
    </row>
    <row r="5352" spans="9:9" x14ac:dyDescent="0.25">
      <c r="I5352" s="62" t="str">
        <f t="shared" si="83"/>
        <v/>
      </c>
    </row>
    <row r="5353" spans="9:9" x14ac:dyDescent="0.25">
      <c r="I5353" s="62" t="str">
        <f t="shared" si="83"/>
        <v/>
      </c>
    </row>
    <row r="5354" spans="9:9" x14ac:dyDescent="0.25">
      <c r="I5354" s="62" t="str">
        <f t="shared" si="83"/>
        <v/>
      </c>
    </row>
    <row r="5355" spans="9:9" x14ac:dyDescent="0.25">
      <c r="I5355" s="62" t="str">
        <f t="shared" si="83"/>
        <v/>
      </c>
    </row>
    <row r="5356" spans="9:9" x14ac:dyDescent="0.25">
      <c r="I5356" s="62" t="str">
        <f t="shared" si="83"/>
        <v/>
      </c>
    </row>
    <row r="5357" spans="9:9" x14ac:dyDescent="0.25">
      <c r="I5357" s="62" t="str">
        <f t="shared" si="83"/>
        <v/>
      </c>
    </row>
    <row r="5358" spans="9:9" x14ac:dyDescent="0.25">
      <c r="I5358" s="62" t="str">
        <f t="shared" si="83"/>
        <v/>
      </c>
    </row>
    <row r="5359" spans="9:9" x14ac:dyDescent="0.25">
      <c r="I5359" s="62" t="str">
        <f t="shared" si="83"/>
        <v/>
      </c>
    </row>
    <row r="5360" spans="9:9" x14ac:dyDescent="0.25">
      <c r="I5360" s="62" t="str">
        <f t="shared" si="83"/>
        <v/>
      </c>
    </row>
    <row r="5361" spans="9:9" x14ac:dyDescent="0.25">
      <c r="I5361" s="62" t="str">
        <f t="shared" si="83"/>
        <v/>
      </c>
    </row>
    <row r="5362" spans="9:9" x14ac:dyDescent="0.25">
      <c r="I5362" s="62" t="str">
        <f t="shared" si="83"/>
        <v/>
      </c>
    </row>
    <row r="5363" spans="9:9" x14ac:dyDescent="0.25">
      <c r="I5363" s="62" t="str">
        <f t="shared" si="83"/>
        <v/>
      </c>
    </row>
    <row r="5364" spans="9:9" x14ac:dyDescent="0.25">
      <c r="I5364" s="62" t="str">
        <f t="shared" si="83"/>
        <v/>
      </c>
    </row>
    <row r="5365" spans="9:9" x14ac:dyDescent="0.25">
      <c r="I5365" s="62" t="str">
        <f t="shared" si="83"/>
        <v/>
      </c>
    </row>
    <row r="5366" spans="9:9" x14ac:dyDescent="0.25">
      <c r="I5366" s="62" t="str">
        <f t="shared" si="83"/>
        <v/>
      </c>
    </row>
    <row r="5367" spans="9:9" x14ac:dyDescent="0.25">
      <c r="I5367" s="62" t="str">
        <f t="shared" si="83"/>
        <v/>
      </c>
    </row>
    <row r="5368" spans="9:9" x14ac:dyDescent="0.25">
      <c r="I5368" s="62" t="str">
        <f t="shared" si="83"/>
        <v/>
      </c>
    </row>
    <row r="5369" spans="9:9" x14ac:dyDescent="0.25">
      <c r="I5369" s="62" t="str">
        <f t="shared" si="83"/>
        <v/>
      </c>
    </row>
    <row r="5370" spans="9:9" x14ac:dyDescent="0.25">
      <c r="I5370" s="62" t="str">
        <f t="shared" si="83"/>
        <v/>
      </c>
    </row>
    <row r="5371" spans="9:9" x14ac:dyDescent="0.25">
      <c r="I5371" s="62" t="str">
        <f t="shared" si="83"/>
        <v/>
      </c>
    </row>
    <row r="5372" spans="9:9" x14ac:dyDescent="0.25">
      <c r="I5372" s="62" t="str">
        <f t="shared" si="83"/>
        <v/>
      </c>
    </row>
    <row r="5373" spans="9:9" x14ac:dyDescent="0.25">
      <c r="I5373" s="62" t="str">
        <f t="shared" si="83"/>
        <v/>
      </c>
    </row>
    <row r="5374" spans="9:9" x14ac:dyDescent="0.25">
      <c r="I5374" s="62" t="str">
        <f t="shared" si="83"/>
        <v/>
      </c>
    </row>
    <row r="5375" spans="9:9" x14ac:dyDescent="0.25">
      <c r="I5375" s="62" t="str">
        <f t="shared" si="83"/>
        <v/>
      </c>
    </row>
    <row r="5376" spans="9:9" x14ac:dyDescent="0.25">
      <c r="I5376" s="62" t="str">
        <f t="shared" si="83"/>
        <v/>
      </c>
    </row>
    <row r="5377" spans="9:9" x14ac:dyDescent="0.25">
      <c r="I5377" s="62" t="str">
        <f t="shared" si="83"/>
        <v/>
      </c>
    </row>
    <row r="5378" spans="9:9" x14ac:dyDescent="0.25">
      <c r="I5378" s="62" t="str">
        <f t="shared" si="83"/>
        <v/>
      </c>
    </row>
    <row r="5379" spans="9:9" x14ac:dyDescent="0.25">
      <c r="I5379" s="62" t="str">
        <f t="shared" si="83"/>
        <v/>
      </c>
    </row>
    <row r="5380" spans="9:9" x14ac:dyDescent="0.25">
      <c r="I5380" s="62" t="str">
        <f t="shared" si="83"/>
        <v/>
      </c>
    </row>
    <row r="5381" spans="9:9" x14ac:dyDescent="0.25">
      <c r="I5381" s="62" t="str">
        <f t="shared" ref="I5381:I5444" si="84">IF(H5381&lt;&gt;"",H5381-H5380,"")</f>
        <v/>
      </c>
    </row>
    <row r="5382" spans="9:9" x14ac:dyDescent="0.25">
      <c r="I5382" s="62" t="str">
        <f t="shared" si="84"/>
        <v/>
      </c>
    </row>
    <row r="5383" spans="9:9" x14ac:dyDescent="0.25">
      <c r="I5383" s="62" t="str">
        <f t="shared" si="84"/>
        <v/>
      </c>
    </row>
    <row r="5384" spans="9:9" x14ac:dyDescent="0.25">
      <c r="I5384" s="62" t="str">
        <f t="shared" si="84"/>
        <v/>
      </c>
    </row>
    <row r="5385" spans="9:9" x14ac:dyDescent="0.25">
      <c r="I5385" s="62" t="str">
        <f t="shared" si="84"/>
        <v/>
      </c>
    </row>
    <row r="5386" spans="9:9" x14ac:dyDescent="0.25">
      <c r="I5386" s="62" t="str">
        <f t="shared" si="84"/>
        <v/>
      </c>
    </row>
    <row r="5387" spans="9:9" x14ac:dyDescent="0.25">
      <c r="I5387" s="62" t="str">
        <f t="shared" si="84"/>
        <v/>
      </c>
    </row>
    <row r="5388" spans="9:9" x14ac:dyDescent="0.25">
      <c r="I5388" s="62" t="str">
        <f t="shared" si="84"/>
        <v/>
      </c>
    </row>
    <row r="5389" spans="9:9" x14ac:dyDescent="0.25">
      <c r="I5389" s="62" t="str">
        <f t="shared" si="84"/>
        <v/>
      </c>
    </row>
    <row r="5390" spans="9:9" x14ac:dyDescent="0.25">
      <c r="I5390" s="62" t="str">
        <f t="shared" si="84"/>
        <v/>
      </c>
    </row>
    <row r="5391" spans="9:9" x14ac:dyDescent="0.25">
      <c r="I5391" s="62" t="str">
        <f t="shared" si="84"/>
        <v/>
      </c>
    </row>
    <row r="5392" spans="9:9" x14ac:dyDescent="0.25">
      <c r="I5392" s="62" t="str">
        <f t="shared" si="84"/>
        <v/>
      </c>
    </row>
    <row r="5393" spans="9:9" x14ac:dyDescent="0.25">
      <c r="I5393" s="62" t="str">
        <f t="shared" si="84"/>
        <v/>
      </c>
    </row>
    <row r="5394" spans="9:9" x14ac:dyDescent="0.25">
      <c r="I5394" s="62" t="str">
        <f t="shared" si="84"/>
        <v/>
      </c>
    </row>
    <row r="5395" spans="9:9" x14ac:dyDescent="0.25">
      <c r="I5395" s="62" t="str">
        <f t="shared" si="84"/>
        <v/>
      </c>
    </row>
    <row r="5396" spans="9:9" x14ac:dyDescent="0.25">
      <c r="I5396" s="62" t="str">
        <f t="shared" si="84"/>
        <v/>
      </c>
    </row>
    <row r="5397" spans="9:9" x14ac:dyDescent="0.25">
      <c r="I5397" s="62" t="str">
        <f t="shared" si="84"/>
        <v/>
      </c>
    </row>
    <row r="5398" spans="9:9" x14ac:dyDescent="0.25">
      <c r="I5398" s="62" t="str">
        <f t="shared" si="84"/>
        <v/>
      </c>
    </row>
    <row r="5399" spans="9:9" x14ac:dyDescent="0.25">
      <c r="I5399" s="62" t="str">
        <f t="shared" si="84"/>
        <v/>
      </c>
    </row>
    <row r="5400" spans="9:9" x14ac:dyDescent="0.25">
      <c r="I5400" s="62" t="str">
        <f t="shared" si="84"/>
        <v/>
      </c>
    </row>
    <row r="5401" spans="9:9" x14ac:dyDescent="0.25">
      <c r="I5401" s="62" t="str">
        <f t="shared" si="84"/>
        <v/>
      </c>
    </row>
    <row r="5402" spans="9:9" x14ac:dyDescent="0.25">
      <c r="I5402" s="62" t="str">
        <f t="shared" si="84"/>
        <v/>
      </c>
    </row>
    <row r="5403" spans="9:9" x14ac:dyDescent="0.25">
      <c r="I5403" s="62" t="str">
        <f t="shared" si="84"/>
        <v/>
      </c>
    </row>
    <row r="5404" spans="9:9" x14ac:dyDescent="0.25">
      <c r="I5404" s="62" t="str">
        <f t="shared" si="84"/>
        <v/>
      </c>
    </row>
    <row r="5405" spans="9:9" x14ac:dyDescent="0.25">
      <c r="I5405" s="62" t="str">
        <f t="shared" si="84"/>
        <v/>
      </c>
    </row>
    <row r="5406" spans="9:9" x14ac:dyDescent="0.25">
      <c r="I5406" s="62" t="str">
        <f t="shared" si="84"/>
        <v/>
      </c>
    </row>
    <row r="5407" spans="9:9" x14ac:dyDescent="0.25">
      <c r="I5407" s="62" t="str">
        <f t="shared" si="84"/>
        <v/>
      </c>
    </row>
    <row r="5408" spans="9:9" x14ac:dyDescent="0.25">
      <c r="I5408" s="62" t="str">
        <f t="shared" si="84"/>
        <v/>
      </c>
    </row>
    <row r="5409" spans="9:9" x14ac:dyDescent="0.25">
      <c r="I5409" s="62" t="str">
        <f t="shared" si="84"/>
        <v/>
      </c>
    </row>
    <row r="5410" spans="9:9" x14ac:dyDescent="0.25">
      <c r="I5410" s="62" t="str">
        <f t="shared" si="84"/>
        <v/>
      </c>
    </row>
    <row r="5411" spans="9:9" x14ac:dyDescent="0.25">
      <c r="I5411" s="62" t="str">
        <f t="shared" si="84"/>
        <v/>
      </c>
    </row>
    <row r="5412" spans="9:9" x14ac:dyDescent="0.25">
      <c r="I5412" s="62" t="str">
        <f t="shared" si="84"/>
        <v/>
      </c>
    </row>
    <row r="5413" spans="9:9" x14ac:dyDescent="0.25">
      <c r="I5413" s="62" t="str">
        <f t="shared" si="84"/>
        <v/>
      </c>
    </row>
    <row r="5414" spans="9:9" x14ac:dyDescent="0.25">
      <c r="I5414" s="62" t="str">
        <f t="shared" si="84"/>
        <v/>
      </c>
    </row>
    <row r="5415" spans="9:9" x14ac:dyDescent="0.25">
      <c r="I5415" s="62" t="str">
        <f t="shared" si="84"/>
        <v/>
      </c>
    </row>
    <row r="5416" spans="9:9" x14ac:dyDescent="0.25">
      <c r="I5416" s="62" t="str">
        <f t="shared" si="84"/>
        <v/>
      </c>
    </row>
    <row r="5417" spans="9:9" x14ac:dyDescent="0.25">
      <c r="I5417" s="62" t="str">
        <f t="shared" si="84"/>
        <v/>
      </c>
    </row>
    <row r="5418" spans="9:9" x14ac:dyDescent="0.25">
      <c r="I5418" s="62" t="str">
        <f t="shared" si="84"/>
        <v/>
      </c>
    </row>
    <row r="5419" spans="9:9" x14ac:dyDescent="0.25">
      <c r="I5419" s="62" t="str">
        <f t="shared" si="84"/>
        <v/>
      </c>
    </row>
    <row r="5420" spans="9:9" x14ac:dyDescent="0.25">
      <c r="I5420" s="62" t="str">
        <f t="shared" si="84"/>
        <v/>
      </c>
    </row>
    <row r="5421" spans="9:9" x14ac:dyDescent="0.25">
      <c r="I5421" s="62" t="str">
        <f t="shared" si="84"/>
        <v/>
      </c>
    </row>
    <row r="5422" spans="9:9" x14ac:dyDescent="0.25">
      <c r="I5422" s="62" t="str">
        <f t="shared" si="84"/>
        <v/>
      </c>
    </row>
    <row r="5423" spans="9:9" x14ac:dyDescent="0.25">
      <c r="I5423" s="62" t="str">
        <f t="shared" si="84"/>
        <v/>
      </c>
    </row>
    <row r="5424" spans="9:9" x14ac:dyDescent="0.25">
      <c r="I5424" s="62" t="str">
        <f t="shared" si="84"/>
        <v/>
      </c>
    </row>
    <row r="5425" spans="9:9" x14ac:dyDescent="0.25">
      <c r="I5425" s="62" t="str">
        <f t="shared" si="84"/>
        <v/>
      </c>
    </row>
    <row r="5426" spans="9:9" x14ac:dyDescent="0.25">
      <c r="I5426" s="62" t="str">
        <f t="shared" si="84"/>
        <v/>
      </c>
    </row>
    <row r="5427" spans="9:9" x14ac:dyDescent="0.25">
      <c r="I5427" s="62" t="str">
        <f t="shared" si="84"/>
        <v/>
      </c>
    </row>
    <row r="5428" spans="9:9" x14ac:dyDescent="0.25">
      <c r="I5428" s="62" t="str">
        <f t="shared" si="84"/>
        <v/>
      </c>
    </row>
    <row r="5429" spans="9:9" x14ac:dyDescent="0.25">
      <c r="I5429" s="62" t="str">
        <f t="shared" si="84"/>
        <v/>
      </c>
    </row>
    <row r="5430" spans="9:9" x14ac:dyDescent="0.25">
      <c r="I5430" s="62" t="str">
        <f t="shared" si="84"/>
        <v/>
      </c>
    </row>
    <row r="5431" spans="9:9" x14ac:dyDescent="0.25">
      <c r="I5431" s="62" t="str">
        <f t="shared" si="84"/>
        <v/>
      </c>
    </row>
    <row r="5432" spans="9:9" x14ac:dyDescent="0.25">
      <c r="I5432" s="62" t="str">
        <f t="shared" si="84"/>
        <v/>
      </c>
    </row>
    <row r="5433" spans="9:9" x14ac:dyDescent="0.25">
      <c r="I5433" s="62" t="str">
        <f t="shared" si="84"/>
        <v/>
      </c>
    </row>
    <row r="5434" spans="9:9" x14ac:dyDescent="0.25">
      <c r="I5434" s="62" t="str">
        <f t="shared" si="84"/>
        <v/>
      </c>
    </row>
    <row r="5435" spans="9:9" x14ac:dyDescent="0.25">
      <c r="I5435" s="62" t="str">
        <f t="shared" si="84"/>
        <v/>
      </c>
    </row>
    <row r="5436" spans="9:9" x14ac:dyDescent="0.25">
      <c r="I5436" s="62" t="str">
        <f t="shared" si="84"/>
        <v/>
      </c>
    </row>
    <row r="5437" spans="9:9" x14ac:dyDescent="0.25">
      <c r="I5437" s="62" t="str">
        <f t="shared" si="84"/>
        <v/>
      </c>
    </row>
    <row r="5438" spans="9:9" x14ac:dyDescent="0.25">
      <c r="I5438" s="62" t="str">
        <f t="shared" si="84"/>
        <v/>
      </c>
    </row>
    <row r="5439" spans="9:9" x14ac:dyDescent="0.25">
      <c r="I5439" s="62" t="str">
        <f t="shared" si="84"/>
        <v/>
      </c>
    </row>
    <row r="5440" spans="9:9" x14ac:dyDescent="0.25">
      <c r="I5440" s="62" t="str">
        <f t="shared" si="84"/>
        <v/>
      </c>
    </row>
    <row r="5441" spans="9:9" x14ac:dyDescent="0.25">
      <c r="I5441" s="62" t="str">
        <f t="shared" si="84"/>
        <v/>
      </c>
    </row>
    <row r="5442" spans="9:9" x14ac:dyDescent="0.25">
      <c r="I5442" s="62" t="str">
        <f t="shared" si="84"/>
        <v/>
      </c>
    </row>
    <row r="5443" spans="9:9" x14ac:dyDescent="0.25">
      <c r="I5443" s="62" t="str">
        <f t="shared" si="84"/>
        <v/>
      </c>
    </row>
    <row r="5444" spans="9:9" x14ac:dyDescent="0.25">
      <c r="I5444" s="62" t="str">
        <f t="shared" si="84"/>
        <v/>
      </c>
    </row>
    <row r="5445" spans="9:9" x14ac:dyDescent="0.25">
      <c r="I5445" s="62" t="str">
        <f t="shared" ref="I5445:I5508" si="85">IF(H5445&lt;&gt;"",H5445-H5444,"")</f>
        <v/>
      </c>
    </row>
    <row r="5446" spans="9:9" x14ac:dyDescent="0.25">
      <c r="I5446" s="62" t="str">
        <f t="shared" si="85"/>
        <v/>
      </c>
    </row>
    <row r="5447" spans="9:9" x14ac:dyDescent="0.25">
      <c r="I5447" s="62" t="str">
        <f t="shared" si="85"/>
        <v/>
      </c>
    </row>
    <row r="5448" spans="9:9" x14ac:dyDescent="0.25">
      <c r="I5448" s="62" t="str">
        <f t="shared" si="85"/>
        <v/>
      </c>
    </row>
    <row r="5449" spans="9:9" x14ac:dyDescent="0.25">
      <c r="I5449" s="62" t="str">
        <f t="shared" si="85"/>
        <v/>
      </c>
    </row>
    <row r="5450" spans="9:9" x14ac:dyDescent="0.25">
      <c r="I5450" s="62" t="str">
        <f t="shared" si="85"/>
        <v/>
      </c>
    </row>
    <row r="5451" spans="9:9" x14ac:dyDescent="0.25">
      <c r="I5451" s="62" t="str">
        <f t="shared" si="85"/>
        <v/>
      </c>
    </row>
    <row r="5452" spans="9:9" x14ac:dyDescent="0.25">
      <c r="I5452" s="62" t="str">
        <f t="shared" si="85"/>
        <v/>
      </c>
    </row>
    <row r="5453" spans="9:9" x14ac:dyDescent="0.25">
      <c r="I5453" s="62" t="str">
        <f t="shared" si="85"/>
        <v/>
      </c>
    </row>
    <row r="5454" spans="9:9" x14ac:dyDescent="0.25">
      <c r="I5454" s="62" t="str">
        <f t="shared" si="85"/>
        <v/>
      </c>
    </row>
    <row r="5455" spans="9:9" x14ac:dyDescent="0.25">
      <c r="I5455" s="62" t="str">
        <f t="shared" si="85"/>
        <v/>
      </c>
    </row>
    <row r="5456" spans="9:9" x14ac:dyDescent="0.25">
      <c r="I5456" s="62" t="str">
        <f t="shared" si="85"/>
        <v/>
      </c>
    </row>
    <row r="5457" spans="9:9" x14ac:dyDescent="0.25">
      <c r="I5457" s="62" t="str">
        <f t="shared" si="85"/>
        <v/>
      </c>
    </row>
    <row r="5458" spans="9:9" x14ac:dyDescent="0.25">
      <c r="I5458" s="62" t="str">
        <f t="shared" si="85"/>
        <v/>
      </c>
    </row>
    <row r="5459" spans="9:9" x14ac:dyDescent="0.25">
      <c r="I5459" s="62" t="str">
        <f t="shared" si="85"/>
        <v/>
      </c>
    </row>
    <row r="5460" spans="9:9" x14ac:dyDescent="0.25">
      <c r="I5460" s="62" t="str">
        <f t="shared" si="85"/>
        <v/>
      </c>
    </row>
    <row r="5461" spans="9:9" x14ac:dyDescent="0.25">
      <c r="I5461" s="62" t="str">
        <f t="shared" si="85"/>
        <v/>
      </c>
    </row>
    <row r="5462" spans="9:9" x14ac:dyDescent="0.25">
      <c r="I5462" s="62" t="str">
        <f t="shared" si="85"/>
        <v/>
      </c>
    </row>
    <row r="5463" spans="9:9" x14ac:dyDescent="0.25">
      <c r="I5463" s="62" t="str">
        <f t="shared" si="85"/>
        <v/>
      </c>
    </row>
    <row r="5464" spans="9:9" x14ac:dyDescent="0.25">
      <c r="I5464" s="62" t="str">
        <f t="shared" si="85"/>
        <v/>
      </c>
    </row>
    <row r="5465" spans="9:9" x14ac:dyDescent="0.25">
      <c r="I5465" s="62" t="str">
        <f t="shared" si="85"/>
        <v/>
      </c>
    </row>
    <row r="5466" spans="9:9" x14ac:dyDescent="0.25">
      <c r="I5466" s="62" t="str">
        <f t="shared" si="85"/>
        <v/>
      </c>
    </row>
    <row r="5467" spans="9:9" x14ac:dyDescent="0.25">
      <c r="I5467" s="62" t="str">
        <f t="shared" si="85"/>
        <v/>
      </c>
    </row>
    <row r="5468" spans="9:9" x14ac:dyDescent="0.25">
      <c r="I5468" s="62" t="str">
        <f t="shared" si="85"/>
        <v/>
      </c>
    </row>
    <row r="5469" spans="9:9" x14ac:dyDescent="0.25">
      <c r="I5469" s="62" t="str">
        <f t="shared" si="85"/>
        <v/>
      </c>
    </row>
    <row r="5470" spans="9:9" x14ac:dyDescent="0.25">
      <c r="I5470" s="62" t="str">
        <f t="shared" si="85"/>
        <v/>
      </c>
    </row>
    <row r="5471" spans="9:9" x14ac:dyDescent="0.25">
      <c r="I5471" s="62" t="str">
        <f t="shared" si="85"/>
        <v/>
      </c>
    </row>
    <row r="5472" spans="9:9" x14ac:dyDescent="0.25">
      <c r="I5472" s="62" t="str">
        <f t="shared" si="85"/>
        <v/>
      </c>
    </row>
    <row r="5473" spans="9:9" x14ac:dyDescent="0.25">
      <c r="I5473" s="62" t="str">
        <f t="shared" si="85"/>
        <v/>
      </c>
    </row>
    <row r="5474" spans="9:9" x14ac:dyDescent="0.25">
      <c r="I5474" s="62" t="str">
        <f t="shared" si="85"/>
        <v/>
      </c>
    </row>
    <row r="5475" spans="9:9" x14ac:dyDescent="0.25">
      <c r="I5475" s="62" t="str">
        <f t="shared" si="85"/>
        <v/>
      </c>
    </row>
    <row r="5476" spans="9:9" x14ac:dyDescent="0.25">
      <c r="I5476" s="62" t="str">
        <f t="shared" si="85"/>
        <v/>
      </c>
    </row>
    <row r="5477" spans="9:9" x14ac:dyDescent="0.25">
      <c r="I5477" s="62" t="str">
        <f t="shared" si="85"/>
        <v/>
      </c>
    </row>
    <row r="5478" spans="9:9" x14ac:dyDescent="0.25">
      <c r="I5478" s="62" t="str">
        <f t="shared" si="85"/>
        <v/>
      </c>
    </row>
    <row r="5479" spans="9:9" x14ac:dyDescent="0.25">
      <c r="I5479" s="62" t="str">
        <f t="shared" si="85"/>
        <v/>
      </c>
    </row>
    <row r="5480" spans="9:9" x14ac:dyDescent="0.25">
      <c r="I5480" s="62" t="str">
        <f t="shared" si="85"/>
        <v/>
      </c>
    </row>
    <row r="5481" spans="9:9" x14ac:dyDescent="0.25">
      <c r="I5481" s="62" t="str">
        <f t="shared" si="85"/>
        <v/>
      </c>
    </row>
    <row r="5482" spans="9:9" x14ac:dyDescent="0.25">
      <c r="I5482" s="62" t="str">
        <f t="shared" si="85"/>
        <v/>
      </c>
    </row>
    <row r="5483" spans="9:9" x14ac:dyDescent="0.25">
      <c r="I5483" s="62" t="str">
        <f t="shared" si="85"/>
        <v/>
      </c>
    </row>
    <row r="5484" spans="9:9" x14ac:dyDescent="0.25">
      <c r="I5484" s="62" t="str">
        <f t="shared" si="85"/>
        <v/>
      </c>
    </row>
    <row r="5485" spans="9:9" x14ac:dyDescent="0.25">
      <c r="I5485" s="62" t="str">
        <f t="shared" si="85"/>
        <v/>
      </c>
    </row>
    <row r="5486" spans="9:9" x14ac:dyDescent="0.25">
      <c r="I5486" s="62" t="str">
        <f t="shared" si="85"/>
        <v/>
      </c>
    </row>
    <row r="5487" spans="9:9" x14ac:dyDescent="0.25">
      <c r="I5487" s="62" t="str">
        <f t="shared" si="85"/>
        <v/>
      </c>
    </row>
    <row r="5488" spans="9:9" x14ac:dyDescent="0.25">
      <c r="I5488" s="62" t="str">
        <f t="shared" si="85"/>
        <v/>
      </c>
    </row>
    <row r="5489" spans="9:9" x14ac:dyDescent="0.25">
      <c r="I5489" s="62" t="str">
        <f t="shared" si="85"/>
        <v/>
      </c>
    </row>
    <row r="5490" spans="9:9" x14ac:dyDescent="0.25">
      <c r="I5490" s="62" t="str">
        <f t="shared" si="85"/>
        <v/>
      </c>
    </row>
    <row r="5491" spans="9:9" x14ac:dyDescent="0.25">
      <c r="I5491" s="62" t="str">
        <f t="shared" si="85"/>
        <v/>
      </c>
    </row>
    <row r="5492" spans="9:9" x14ac:dyDescent="0.25">
      <c r="I5492" s="62" t="str">
        <f t="shared" si="85"/>
        <v/>
      </c>
    </row>
    <row r="5493" spans="9:9" x14ac:dyDescent="0.25">
      <c r="I5493" s="62" t="str">
        <f t="shared" si="85"/>
        <v/>
      </c>
    </row>
    <row r="5494" spans="9:9" x14ac:dyDescent="0.25">
      <c r="I5494" s="62" t="str">
        <f t="shared" si="85"/>
        <v/>
      </c>
    </row>
    <row r="5495" spans="9:9" x14ac:dyDescent="0.25">
      <c r="I5495" s="62" t="str">
        <f t="shared" si="85"/>
        <v/>
      </c>
    </row>
    <row r="5496" spans="9:9" x14ac:dyDescent="0.25">
      <c r="I5496" s="62" t="str">
        <f t="shared" si="85"/>
        <v/>
      </c>
    </row>
    <row r="5497" spans="9:9" x14ac:dyDescent="0.25">
      <c r="I5497" s="62" t="str">
        <f t="shared" si="85"/>
        <v/>
      </c>
    </row>
    <row r="5498" spans="9:9" x14ac:dyDescent="0.25">
      <c r="I5498" s="62" t="str">
        <f t="shared" si="85"/>
        <v/>
      </c>
    </row>
    <row r="5499" spans="9:9" x14ac:dyDescent="0.25">
      <c r="I5499" s="62" t="str">
        <f t="shared" si="85"/>
        <v/>
      </c>
    </row>
    <row r="5500" spans="9:9" x14ac:dyDescent="0.25">
      <c r="I5500" s="62" t="str">
        <f t="shared" si="85"/>
        <v/>
      </c>
    </row>
    <row r="5501" spans="9:9" x14ac:dyDescent="0.25">
      <c r="I5501" s="62" t="str">
        <f t="shared" si="85"/>
        <v/>
      </c>
    </row>
    <row r="5502" spans="9:9" x14ac:dyDescent="0.25">
      <c r="I5502" s="62" t="str">
        <f t="shared" si="85"/>
        <v/>
      </c>
    </row>
    <row r="5503" spans="9:9" x14ac:dyDescent="0.25">
      <c r="I5503" s="62" t="str">
        <f t="shared" si="85"/>
        <v/>
      </c>
    </row>
    <row r="5504" spans="9:9" x14ac:dyDescent="0.25">
      <c r="I5504" s="62" t="str">
        <f t="shared" si="85"/>
        <v/>
      </c>
    </row>
    <row r="5505" spans="9:9" x14ac:dyDescent="0.25">
      <c r="I5505" s="62" t="str">
        <f t="shared" si="85"/>
        <v/>
      </c>
    </row>
    <row r="5506" spans="9:9" x14ac:dyDescent="0.25">
      <c r="I5506" s="62" t="str">
        <f t="shared" si="85"/>
        <v/>
      </c>
    </row>
    <row r="5507" spans="9:9" x14ac:dyDescent="0.25">
      <c r="I5507" s="62" t="str">
        <f t="shared" si="85"/>
        <v/>
      </c>
    </row>
    <row r="5508" spans="9:9" x14ac:dyDescent="0.25">
      <c r="I5508" s="62" t="str">
        <f t="shared" si="85"/>
        <v/>
      </c>
    </row>
    <row r="5509" spans="9:9" x14ac:dyDescent="0.25">
      <c r="I5509" s="62" t="str">
        <f t="shared" ref="I5509:I5572" si="86">IF(H5509&lt;&gt;"",H5509-H5508,"")</f>
        <v/>
      </c>
    </row>
    <row r="5510" spans="9:9" x14ac:dyDescent="0.25">
      <c r="I5510" s="62" t="str">
        <f t="shared" si="86"/>
        <v/>
      </c>
    </row>
    <row r="5511" spans="9:9" x14ac:dyDescent="0.25">
      <c r="I5511" s="62" t="str">
        <f t="shared" si="86"/>
        <v/>
      </c>
    </row>
    <row r="5512" spans="9:9" x14ac:dyDescent="0.25">
      <c r="I5512" s="62" t="str">
        <f t="shared" si="86"/>
        <v/>
      </c>
    </row>
    <row r="5513" spans="9:9" x14ac:dyDescent="0.25">
      <c r="I5513" s="62" t="str">
        <f t="shared" si="86"/>
        <v/>
      </c>
    </row>
    <row r="5514" spans="9:9" x14ac:dyDescent="0.25">
      <c r="I5514" s="62" t="str">
        <f t="shared" si="86"/>
        <v/>
      </c>
    </row>
    <row r="5515" spans="9:9" x14ac:dyDescent="0.25">
      <c r="I5515" s="62" t="str">
        <f t="shared" si="86"/>
        <v/>
      </c>
    </row>
    <row r="5516" spans="9:9" x14ac:dyDescent="0.25">
      <c r="I5516" s="62" t="str">
        <f t="shared" si="86"/>
        <v/>
      </c>
    </row>
    <row r="5517" spans="9:9" x14ac:dyDescent="0.25">
      <c r="I5517" s="62" t="str">
        <f t="shared" si="86"/>
        <v/>
      </c>
    </row>
    <row r="5518" spans="9:9" x14ac:dyDescent="0.25">
      <c r="I5518" s="62" t="str">
        <f t="shared" si="86"/>
        <v/>
      </c>
    </row>
    <row r="5519" spans="9:9" x14ac:dyDescent="0.25">
      <c r="I5519" s="62" t="str">
        <f t="shared" si="86"/>
        <v/>
      </c>
    </row>
    <row r="5520" spans="9:9" x14ac:dyDescent="0.25">
      <c r="I5520" s="62" t="str">
        <f t="shared" si="86"/>
        <v/>
      </c>
    </row>
    <row r="5521" spans="9:9" x14ac:dyDescent="0.25">
      <c r="I5521" s="62" t="str">
        <f t="shared" si="86"/>
        <v/>
      </c>
    </row>
    <row r="5522" spans="9:9" x14ac:dyDescent="0.25">
      <c r="I5522" s="62" t="str">
        <f t="shared" si="86"/>
        <v/>
      </c>
    </row>
    <row r="5523" spans="9:9" x14ac:dyDescent="0.25">
      <c r="I5523" s="62" t="str">
        <f t="shared" si="86"/>
        <v/>
      </c>
    </row>
    <row r="5524" spans="9:9" x14ac:dyDescent="0.25">
      <c r="I5524" s="62" t="str">
        <f t="shared" si="86"/>
        <v/>
      </c>
    </row>
    <row r="5525" spans="9:9" x14ac:dyDescent="0.25">
      <c r="I5525" s="62" t="str">
        <f t="shared" si="86"/>
        <v/>
      </c>
    </row>
    <row r="5526" spans="9:9" x14ac:dyDescent="0.25">
      <c r="I5526" s="62" t="str">
        <f t="shared" si="86"/>
        <v/>
      </c>
    </row>
    <row r="5527" spans="9:9" x14ac:dyDescent="0.25">
      <c r="I5527" s="62" t="str">
        <f t="shared" si="86"/>
        <v/>
      </c>
    </row>
    <row r="5528" spans="9:9" x14ac:dyDescent="0.25">
      <c r="I5528" s="62" t="str">
        <f t="shared" si="86"/>
        <v/>
      </c>
    </row>
    <row r="5529" spans="9:9" x14ac:dyDescent="0.25">
      <c r="I5529" s="62" t="str">
        <f t="shared" si="86"/>
        <v/>
      </c>
    </row>
    <row r="5530" spans="9:9" x14ac:dyDescent="0.25">
      <c r="I5530" s="62" t="str">
        <f t="shared" si="86"/>
        <v/>
      </c>
    </row>
    <row r="5531" spans="9:9" x14ac:dyDescent="0.25">
      <c r="I5531" s="62" t="str">
        <f t="shared" si="86"/>
        <v/>
      </c>
    </row>
    <row r="5532" spans="9:9" x14ac:dyDescent="0.25">
      <c r="I5532" s="62" t="str">
        <f t="shared" si="86"/>
        <v/>
      </c>
    </row>
    <row r="5533" spans="9:9" x14ac:dyDescent="0.25">
      <c r="I5533" s="62" t="str">
        <f t="shared" si="86"/>
        <v/>
      </c>
    </row>
    <row r="5534" spans="9:9" x14ac:dyDescent="0.25">
      <c r="I5534" s="62" t="str">
        <f t="shared" si="86"/>
        <v/>
      </c>
    </row>
    <row r="5535" spans="9:9" x14ac:dyDescent="0.25">
      <c r="I5535" s="62" t="str">
        <f t="shared" si="86"/>
        <v/>
      </c>
    </row>
    <row r="5536" spans="9:9" x14ac:dyDescent="0.25">
      <c r="I5536" s="62" t="str">
        <f t="shared" si="86"/>
        <v/>
      </c>
    </row>
    <row r="5537" spans="9:9" x14ac:dyDescent="0.25">
      <c r="I5537" s="62" t="str">
        <f t="shared" si="86"/>
        <v/>
      </c>
    </row>
    <row r="5538" spans="9:9" x14ac:dyDescent="0.25">
      <c r="I5538" s="62" t="str">
        <f t="shared" si="86"/>
        <v/>
      </c>
    </row>
    <row r="5539" spans="9:9" x14ac:dyDescent="0.25">
      <c r="I5539" s="62" t="str">
        <f t="shared" si="86"/>
        <v/>
      </c>
    </row>
    <row r="5540" spans="9:9" x14ac:dyDescent="0.25">
      <c r="I5540" s="62" t="str">
        <f t="shared" si="86"/>
        <v/>
      </c>
    </row>
    <row r="5541" spans="9:9" x14ac:dyDescent="0.25">
      <c r="I5541" s="62" t="str">
        <f t="shared" si="86"/>
        <v/>
      </c>
    </row>
    <row r="5542" spans="9:9" x14ac:dyDescent="0.25">
      <c r="I5542" s="62" t="str">
        <f t="shared" si="86"/>
        <v/>
      </c>
    </row>
    <row r="5543" spans="9:9" x14ac:dyDescent="0.25">
      <c r="I5543" s="62" t="str">
        <f t="shared" si="86"/>
        <v/>
      </c>
    </row>
    <row r="5544" spans="9:9" x14ac:dyDescent="0.25">
      <c r="I5544" s="62" t="str">
        <f t="shared" si="86"/>
        <v/>
      </c>
    </row>
    <row r="5545" spans="9:9" x14ac:dyDescent="0.25">
      <c r="I5545" s="62" t="str">
        <f t="shared" si="86"/>
        <v/>
      </c>
    </row>
    <row r="5546" spans="9:9" x14ac:dyDescent="0.25">
      <c r="I5546" s="62" t="str">
        <f t="shared" si="86"/>
        <v/>
      </c>
    </row>
    <row r="5547" spans="9:9" x14ac:dyDescent="0.25">
      <c r="I5547" s="62" t="str">
        <f t="shared" si="86"/>
        <v/>
      </c>
    </row>
    <row r="5548" spans="9:9" x14ac:dyDescent="0.25">
      <c r="I5548" s="62" t="str">
        <f t="shared" si="86"/>
        <v/>
      </c>
    </row>
    <row r="5549" spans="9:9" x14ac:dyDescent="0.25">
      <c r="I5549" s="62" t="str">
        <f t="shared" si="86"/>
        <v/>
      </c>
    </row>
    <row r="5550" spans="9:9" x14ac:dyDescent="0.25">
      <c r="I5550" s="62" t="str">
        <f t="shared" si="86"/>
        <v/>
      </c>
    </row>
    <row r="5551" spans="9:9" x14ac:dyDescent="0.25">
      <c r="I5551" s="62" t="str">
        <f t="shared" si="86"/>
        <v/>
      </c>
    </row>
    <row r="5552" spans="9:9" x14ac:dyDescent="0.25">
      <c r="I5552" s="62" t="str">
        <f t="shared" si="86"/>
        <v/>
      </c>
    </row>
    <row r="5553" spans="9:9" x14ac:dyDescent="0.25">
      <c r="I5553" s="62" t="str">
        <f t="shared" si="86"/>
        <v/>
      </c>
    </row>
    <row r="5554" spans="9:9" x14ac:dyDescent="0.25">
      <c r="I5554" s="62" t="str">
        <f t="shared" si="86"/>
        <v/>
      </c>
    </row>
    <row r="5555" spans="9:9" x14ac:dyDescent="0.25">
      <c r="I5555" s="62" t="str">
        <f t="shared" si="86"/>
        <v/>
      </c>
    </row>
    <row r="5556" spans="9:9" x14ac:dyDescent="0.25">
      <c r="I5556" s="62" t="str">
        <f t="shared" si="86"/>
        <v/>
      </c>
    </row>
    <row r="5557" spans="9:9" x14ac:dyDescent="0.25">
      <c r="I5557" s="62" t="str">
        <f t="shared" si="86"/>
        <v/>
      </c>
    </row>
    <row r="5558" spans="9:9" x14ac:dyDescent="0.25">
      <c r="I5558" s="62" t="str">
        <f t="shared" si="86"/>
        <v/>
      </c>
    </row>
    <row r="5559" spans="9:9" x14ac:dyDescent="0.25">
      <c r="I5559" s="62" t="str">
        <f t="shared" si="86"/>
        <v/>
      </c>
    </row>
    <row r="5560" spans="9:9" x14ac:dyDescent="0.25">
      <c r="I5560" s="62" t="str">
        <f t="shared" si="86"/>
        <v/>
      </c>
    </row>
    <row r="5561" spans="9:9" x14ac:dyDescent="0.25">
      <c r="I5561" s="62" t="str">
        <f t="shared" si="86"/>
        <v/>
      </c>
    </row>
    <row r="5562" spans="9:9" x14ac:dyDescent="0.25">
      <c r="I5562" s="62" t="str">
        <f t="shared" si="86"/>
        <v/>
      </c>
    </row>
    <row r="5563" spans="9:9" x14ac:dyDescent="0.25">
      <c r="I5563" s="62" t="str">
        <f t="shared" si="86"/>
        <v/>
      </c>
    </row>
    <row r="5564" spans="9:9" x14ac:dyDescent="0.25">
      <c r="I5564" s="62" t="str">
        <f t="shared" si="86"/>
        <v/>
      </c>
    </row>
    <row r="5565" spans="9:9" x14ac:dyDescent="0.25">
      <c r="I5565" s="62" t="str">
        <f t="shared" si="86"/>
        <v/>
      </c>
    </row>
    <row r="5566" spans="9:9" x14ac:dyDescent="0.25">
      <c r="I5566" s="62" t="str">
        <f t="shared" si="86"/>
        <v/>
      </c>
    </row>
    <row r="5567" spans="9:9" x14ac:dyDescent="0.25">
      <c r="I5567" s="62" t="str">
        <f t="shared" si="86"/>
        <v/>
      </c>
    </row>
    <row r="5568" spans="9:9" x14ac:dyDescent="0.25">
      <c r="I5568" s="62" t="str">
        <f t="shared" si="86"/>
        <v/>
      </c>
    </row>
    <row r="5569" spans="9:9" x14ac:dyDescent="0.25">
      <c r="I5569" s="62" t="str">
        <f t="shared" si="86"/>
        <v/>
      </c>
    </row>
    <row r="5570" spans="9:9" x14ac:dyDescent="0.25">
      <c r="I5570" s="62" t="str">
        <f t="shared" si="86"/>
        <v/>
      </c>
    </row>
    <row r="5571" spans="9:9" x14ac:dyDescent="0.25">
      <c r="I5571" s="62" t="str">
        <f t="shared" si="86"/>
        <v/>
      </c>
    </row>
    <row r="5572" spans="9:9" x14ac:dyDescent="0.25">
      <c r="I5572" s="62" t="str">
        <f t="shared" si="86"/>
        <v/>
      </c>
    </row>
    <row r="5573" spans="9:9" x14ac:dyDescent="0.25">
      <c r="I5573" s="62" t="str">
        <f t="shared" ref="I5573:I5636" si="87">IF(H5573&lt;&gt;"",H5573-H5572,"")</f>
        <v/>
      </c>
    </row>
    <row r="5574" spans="9:9" x14ac:dyDescent="0.25">
      <c r="I5574" s="62" t="str">
        <f t="shared" si="87"/>
        <v/>
      </c>
    </row>
    <row r="5575" spans="9:9" x14ac:dyDescent="0.25">
      <c r="I5575" s="62" t="str">
        <f t="shared" si="87"/>
        <v/>
      </c>
    </row>
    <row r="5576" spans="9:9" x14ac:dyDescent="0.25">
      <c r="I5576" s="62" t="str">
        <f t="shared" si="87"/>
        <v/>
      </c>
    </row>
    <row r="5577" spans="9:9" x14ac:dyDescent="0.25">
      <c r="I5577" s="62" t="str">
        <f t="shared" si="87"/>
        <v/>
      </c>
    </row>
    <row r="5578" spans="9:9" x14ac:dyDescent="0.25">
      <c r="I5578" s="62" t="str">
        <f t="shared" si="87"/>
        <v/>
      </c>
    </row>
    <row r="5579" spans="9:9" x14ac:dyDescent="0.25">
      <c r="I5579" s="62" t="str">
        <f t="shared" si="87"/>
        <v/>
      </c>
    </row>
    <row r="5580" spans="9:9" x14ac:dyDescent="0.25">
      <c r="I5580" s="62" t="str">
        <f t="shared" si="87"/>
        <v/>
      </c>
    </row>
    <row r="5581" spans="9:9" x14ac:dyDescent="0.25">
      <c r="I5581" s="62" t="str">
        <f t="shared" si="87"/>
        <v/>
      </c>
    </row>
    <row r="5582" spans="9:9" x14ac:dyDescent="0.25">
      <c r="I5582" s="62" t="str">
        <f t="shared" si="87"/>
        <v/>
      </c>
    </row>
    <row r="5583" spans="9:9" x14ac:dyDescent="0.25">
      <c r="I5583" s="62" t="str">
        <f t="shared" si="87"/>
        <v/>
      </c>
    </row>
    <row r="5584" spans="9:9" x14ac:dyDescent="0.25">
      <c r="I5584" s="62" t="str">
        <f t="shared" si="87"/>
        <v/>
      </c>
    </row>
    <row r="5585" spans="9:9" x14ac:dyDescent="0.25">
      <c r="I5585" s="62" t="str">
        <f t="shared" si="87"/>
        <v/>
      </c>
    </row>
    <row r="5586" spans="9:9" x14ac:dyDescent="0.25">
      <c r="I5586" s="62" t="str">
        <f t="shared" si="87"/>
        <v/>
      </c>
    </row>
    <row r="5587" spans="9:9" x14ac:dyDescent="0.25">
      <c r="I5587" s="62" t="str">
        <f t="shared" si="87"/>
        <v/>
      </c>
    </row>
    <row r="5588" spans="9:9" x14ac:dyDescent="0.25">
      <c r="I5588" s="62" t="str">
        <f t="shared" si="87"/>
        <v/>
      </c>
    </row>
    <row r="5589" spans="9:9" x14ac:dyDescent="0.25">
      <c r="I5589" s="62" t="str">
        <f t="shared" si="87"/>
        <v/>
      </c>
    </row>
    <row r="5590" spans="9:9" x14ac:dyDescent="0.25">
      <c r="I5590" s="62" t="str">
        <f t="shared" si="87"/>
        <v/>
      </c>
    </row>
    <row r="5591" spans="9:9" x14ac:dyDescent="0.25">
      <c r="I5591" s="62" t="str">
        <f t="shared" si="87"/>
        <v/>
      </c>
    </row>
    <row r="5592" spans="9:9" x14ac:dyDescent="0.25">
      <c r="I5592" s="62" t="str">
        <f t="shared" si="87"/>
        <v/>
      </c>
    </row>
    <row r="5593" spans="9:9" x14ac:dyDescent="0.25">
      <c r="I5593" s="62" t="str">
        <f t="shared" si="87"/>
        <v/>
      </c>
    </row>
    <row r="5594" spans="9:9" x14ac:dyDescent="0.25">
      <c r="I5594" s="62" t="str">
        <f t="shared" si="87"/>
        <v/>
      </c>
    </row>
    <row r="5595" spans="9:9" x14ac:dyDescent="0.25">
      <c r="I5595" s="62" t="str">
        <f t="shared" si="87"/>
        <v/>
      </c>
    </row>
    <row r="5596" spans="9:9" x14ac:dyDescent="0.25">
      <c r="I5596" s="62" t="str">
        <f t="shared" si="87"/>
        <v/>
      </c>
    </row>
    <row r="5597" spans="9:9" x14ac:dyDescent="0.25">
      <c r="I5597" s="62" t="str">
        <f t="shared" si="87"/>
        <v/>
      </c>
    </row>
    <row r="5598" spans="9:9" x14ac:dyDescent="0.25">
      <c r="I5598" s="62" t="str">
        <f t="shared" si="87"/>
        <v/>
      </c>
    </row>
    <row r="5599" spans="9:9" x14ac:dyDescent="0.25">
      <c r="I5599" s="62" t="str">
        <f t="shared" si="87"/>
        <v/>
      </c>
    </row>
    <row r="5600" spans="9:9" x14ac:dyDescent="0.25">
      <c r="I5600" s="62" t="str">
        <f t="shared" si="87"/>
        <v/>
      </c>
    </row>
    <row r="5601" spans="9:9" x14ac:dyDescent="0.25">
      <c r="I5601" s="62" t="str">
        <f t="shared" si="87"/>
        <v/>
      </c>
    </row>
    <row r="5602" spans="9:9" x14ac:dyDescent="0.25">
      <c r="I5602" s="62" t="str">
        <f t="shared" si="87"/>
        <v/>
      </c>
    </row>
    <row r="5603" spans="9:9" x14ac:dyDescent="0.25">
      <c r="I5603" s="62" t="str">
        <f t="shared" si="87"/>
        <v/>
      </c>
    </row>
    <row r="5604" spans="9:9" x14ac:dyDescent="0.25">
      <c r="I5604" s="62" t="str">
        <f t="shared" si="87"/>
        <v/>
      </c>
    </row>
    <row r="5605" spans="9:9" x14ac:dyDescent="0.25">
      <c r="I5605" s="62" t="str">
        <f t="shared" si="87"/>
        <v/>
      </c>
    </row>
    <row r="5606" spans="9:9" x14ac:dyDescent="0.25">
      <c r="I5606" s="62" t="str">
        <f t="shared" si="87"/>
        <v/>
      </c>
    </row>
    <row r="5607" spans="9:9" x14ac:dyDescent="0.25">
      <c r="I5607" s="62" t="str">
        <f t="shared" si="87"/>
        <v/>
      </c>
    </row>
    <row r="5608" spans="9:9" x14ac:dyDescent="0.25">
      <c r="I5608" s="62" t="str">
        <f t="shared" si="87"/>
        <v/>
      </c>
    </row>
    <row r="5609" spans="9:9" x14ac:dyDescent="0.25">
      <c r="I5609" s="62" t="str">
        <f t="shared" si="87"/>
        <v/>
      </c>
    </row>
    <row r="5610" spans="9:9" x14ac:dyDescent="0.25">
      <c r="I5610" s="62" t="str">
        <f t="shared" si="87"/>
        <v/>
      </c>
    </row>
    <row r="5611" spans="9:9" x14ac:dyDescent="0.25">
      <c r="I5611" s="62" t="str">
        <f t="shared" si="87"/>
        <v/>
      </c>
    </row>
    <row r="5612" spans="9:9" x14ac:dyDescent="0.25">
      <c r="I5612" s="62" t="str">
        <f t="shared" si="87"/>
        <v/>
      </c>
    </row>
    <row r="5613" spans="9:9" x14ac:dyDescent="0.25">
      <c r="I5613" s="62" t="str">
        <f t="shared" si="87"/>
        <v/>
      </c>
    </row>
    <row r="5614" spans="9:9" x14ac:dyDescent="0.25">
      <c r="I5614" s="62" t="str">
        <f t="shared" si="87"/>
        <v/>
      </c>
    </row>
    <row r="5615" spans="9:9" x14ac:dyDescent="0.25">
      <c r="I5615" s="62" t="str">
        <f t="shared" si="87"/>
        <v/>
      </c>
    </row>
    <row r="5616" spans="9:9" x14ac:dyDescent="0.25">
      <c r="I5616" s="62" t="str">
        <f t="shared" si="87"/>
        <v/>
      </c>
    </row>
    <row r="5617" spans="9:9" x14ac:dyDescent="0.25">
      <c r="I5617" s="62" t="str">
        <f t="shared" si="87"/>
        <v/>
      </c>
    </row>
    <row r="5618" spans="9:9" x14ac:dyDescent="0.25">
      <c r="I5618" s="62" t="str">
        <f t="shared" si="87"/>
        <v/>
      </c>
    </row>
    <row r="5619" spans="9:9" x14ac:dyDescent="0.25">
      <c r="I5619" s="62" t="str">
        <f t="shared" si="87"/>
        <v/>
      </c>
    </row>
    <row r="5620" spans="9:9" x14ac:dyDescent="0.25">
      <c r="I5620" s="62" t="str">
        <f t="shared" si="87"/>
        <v/>
      </c>
    </row>
    <row r="5621" spans="9:9" x14ac:dyDescent="0.25">
      <c r="I5621" s="62" t="str">
        <f t="shared" si="87"/>
        <v/>
      </c>
    </row>
    <row r="5622" spans="9:9" x14ac:dyDescent="0.25">
      <c r="I5622" s="62" t="str">
        <f t="shared" si="87"/>
        <v/>
      </c>
    </row>
    <row r="5623" spans="9:9" x14ac:dyDescent="0.25">
      <c r="I5623" s="62" t="str">
        <f t="shared" si="87"/>
        <v/>
      </c>
    </row>
    <row r="5624" spans="9:9" x14ac:dyDescent="0.25">
      <c r="I5624" s="62" t="str">
        <f t="shared" si="87"/>
        <v/>
      </c>
    </row>
    <row r="5625" spans="9:9" x14ac:dyDescent="0.25">
      <c r="I5625" s="62" t="str">
        <f t="shared" si="87"/>
        <v/>
      </c>
    </row>
    <row r="5626" spans="9:9" x14ac:dyDescent="0.25">
      <c r="I5626" s="62" t="str">
        <f t="shared" si="87"/>
        <v/>
      </c>
    </row>
    <row r="5627" spans="9:9" x14ac:dyDescent="0.25">
      <c r="I5627" s="62" t="str">
        <f t="shared" si="87"/>
        <v/>
      </c>
    </row>
    <row r="5628" spans="9:9" x14ac:dyDescent="0.25">
      <c r="I5628" s="62" t="str">
        <f t="shared" si="87"/>
        <v/>
      </c>
    </row>
    <row r="5629" spans="9:9" x14ac:dyDescent="0.25">
      <c r="I5629" s="62" t="str">
        <f t="shared" si="87"/>
        <v/>
      </c>
    </row>
    <row r="5630" spans="9:9" x14ac:dyDescent="0.25">
      <c r="I5630" s="62" t="str">
        <f t="shared" si="87"/>
        <v/>
      </c>
    </row>
    <row r="5631" spans="9:9" x14ac:dyDescent="0.25">
      <c r="I5631" s="62" t="str">
        <f t="shared" si="87"/>
        <v/>
      </c>
    </row>
    <row r="5632" spans="9:9" x14ac:dyDescent="0.25">
      <c r="I5632" s="62" t="str">
        <f t="shared" si="87"/>
        <v/>
      </c>
    </row>
    <row r="5633" spans="9:9" x14ac:dyDescent="0.25">
      <c r="I5633" s="62" t="str">
        <f t="shared" si="87"/>
        <v/>
      </c>
    </row>
    <row r="5634" spans="9:9" x14ac:dyDescent="0.25">
      <c r="I5634" s="62" t="str">
        <f t="shared" si="87"/>
        <v/>
      </c>
    </row>
    <row r="5635" spans="9:9" x14ac:dyDescent="0.25">
      <c r="I5635" s="62" t="str">
        <f t="shared" si="87"/>
        <v/>
      </c>
    </row>
    <row r="5636" spans="9:9" x14ac:dyDescent="0.25">
      <c r="I5636" s="62" t="str">
        <f t="shared" si="87"/>
        <v/>
      </c>
    </row>
    <row r="5637" spans="9:9" x14ac:dyDescent="0.25">
      <c r="I5637" s="62" t="str">
        <f t="shared" ref="I5637:I5700" si="88">IF(H5637&lt;&gt;"",H5637-H5636,"")</f>
        <v/>
      </c>
    </row>
    <row r="5638" spans="9:9" x14ac:dyDescent="0.25">
      <c r="I5638" s="62" t="str">
        <f t="shared" si="88"/>
        <v/>
      </c>
    </row>
    <row r="5639" spans="9:9" x14ac:dyDescent="0.25">
      <c r="I5639" s="62" t="str">
        <f t="shared" si="88"/>
        <v/>
      </c>
    </row>
    <row r="5640" spans="9:9" x14ac:dyDescent="0.25">
      <c r="I5640" s="62" t="str">
        <f t="shared" si="88"/>
        <v/>
      </c>
    </row>
    <row r="5641" spans="9:9" x14ac:dyDescent="0.25">
      <c r="I5641" s="62" t="str">
        <f t="shared" si="88"/>
        <v/>
      </c>
    </row>
    <row r="5642" spans="9:9" x14ac:dyDescent="0.25">
      <c r="I5642" s="62" t="str">
        <f t="shared" si="88"/>
        <v/>
      </c>
    </row>
    <row r="5643" spans="9:9" x14ac:dyDescent="0.25">
      <c r="I5643" s="62" t="str">
        <f t="shared" si="88"/>
        <v/>
      </c>
    </row>
    <row r="5644" spans="9:9" x14ac:dyDescent="0.25">
      <c r="I5644" s="62" t="str">
        <f t="shared" si="88"/>
        <v/>
      </c>
    </row>
    <row r="5645" spans="9:9" x14ac:dyDescent="0.25">
      <c r="I5645" s="62" t="str">
        <f t="shared" si="88"/>
        <v/>
      </c>
    </row>
    <row r="5646" spans="9:9" x14ac:dyDescent="0.25">
      <c r="I5646" s="62" t="str">
        <f t="shared" si="88"/>
        <v/>
      </c>
    </row>
    <row r="5647" spans="9:9" x14ac:dyDescent="0.25">
      <c r="I5647" s="62" t="str">
        <f t="shared" si="88"/>
        <v/>
      </c>
    </row>
    <row r="5648" spans="9:9" x14ac:dyDescent="0.25">
      <c r="I5648" s="62" t="str">
        <f t="shared" si="88"/>
        <v/>
      </c>
    </row>
    <row r="5649" spans="9:9" x14ac:dyDescent="0.25">
      <c r="I5649" s="62" t="str">
        <f t="shared" si="88"/>
        <v/>
      </c>
    </row>
    <row r="5650" spans="9:9" x14ac:dyDescent="0.25">
      <c r="I5650" s="62" t="str">
        <f t="shared" si="88"/>
        <v/>
      </c>
    </row>
    <row r="5651" spans="9:9" x14ac:dyDescent="0.25">
      <c r="I5651" s="62" t="str">
        <f t="shared" si="88"/>
        <v/>
      </c>
    </row>
    <row r="5652" spans="9:9" x14ac:dyDescent="0.25">
      <c r="I5652" s="62" t="str">
        <f t="shared" si="88"/>
        <v/>
      </c>
    </row>
    <row r="5653" spans="9:9" x14ac:dyDescent="0.25">
      <c r="I5653" s="62" t="str">
        <f t="shared" si="88"/>
        <v/>
      </c>
    </row>
    <row r="5654" spans="9:9" x14ac:dyDescent="0.25">
      <c r="I5654" s="62" t="str">
        <f t="shared" si="88"/>
        <v/>
      </c>
    </row>
    <row r="5655" spans="9:9" x14ac:dyDescent="0.25">
      <c r="I5655" s="62" t="str">
        <f t="shared" si="88"/>
        <v/>
      </c>
    </row>
    <row r="5656" spans="9:9" x14ac:dyDescent="0.25">
      <c r="I5656" s="62" t="str">
        <f t="shared" si="88"/>
        <v/>
      </c>
    </row>
    <row r="5657" spans="9:9" x14ac:dyDescent="0.25">
      <c r="I5657" s="62" t="str">
        <f t="shared" si="88"/>
        <v/>
      </c>
    </row>
    <row r="5658" spans="9:9" x14ac:dyDescent="0.25">
      <c r="I5658" s="62" t="str">
        <f t="shared" si="88"/>
        <v/>
      </c>
    </row>
    <row r="5659" spans="9:9" x14ac:dyDescent="0.25">
      <c r="I5659" s="62" t="str">
        <f t="shared" si="88"/>
        <v/>
      </c>
    </row>
    <row r="5660" spans="9:9" x14ac:dyDescent="0.25">
      <c r="I5660" s="62" t="str">
        <f t="shared" si="88"/>
        <v/>
      </c>
    </row>
    <row r="5661" spans="9:9" x14ac:dyDescent="0.25">
      <c r="I5661" s="62" t="str">
        <f t="shared" si="88"/>
        <v/>
      </c>
    </row>
    <row r="5662" spans="9:9" x14ac:dyDescent="0.25">
      <c r="I5662" s="62" t="str">
        <f t="shared" si="88"/>
        <v/>
      </c>
    </row>
    <row r="5663" spans="9:9" x14ac:dyDescent="0.25">
      <c r="I5663" s="62" t="str">
        <f t="shared" si="88"/>
        <v/>
      </c>
    </row>
    <row r="5664" spans="9:9" x14ac:dyDescent="0.25">
      <c r="I5664" s="62" t="str">
        <f t="shared" si="88"/>
        <v/>
      </c>
    </row>
    <row r="5665" spans="9:9" x14ac:dyDescent="0.25">
      <c r="I5665" s="62" t="str">
        <f t="shared" si="88"/>
        <v/>
      </c>
    </row>
    <row r="5666" spans="9:9" x14ac:dyDescent="0.25">
      <c r="I5666" s="62" t="str">
        <f t="shared" si="88"/>
        <v/>
      </c>
    </row>
    <row r="5667" spans="9:9" x14ac:dyDescent="0.25">
      <c r="I5667" s="62" t="str">
        <f t="shared" si="88"/>
        <v/>
      </c>
    </row>
    <row r="5668" spans="9:9" x14ac:dyDescent="0.25">
      <c r="I5668" s="62" t="str">
        <f t="shared" si="88"/>
        <v/>
      </c>
    </row>
    <row r="5669" spans="9:9" x14ac:dyDescent="0.25">
      <c r="I5669" s="62" t="str">
        <f t="shared" si="88"/>
        <v/>
      </c>
    </row>
    <row r="5670" spans="9:9" x14ac:dyDescent="0.25">
      <c r="I5670" s="62" t="str">
        <f t="shared" si="88"/>
        <v/>
      </c>
    </row>
    <row r="5671" spans="9:9" x14ac:dyDescent="0.25">
      <c r="I5671" s="62" t="str">
        <f t="shared" si="88"/>
        <v/>
      </c>
    </row>
    <row r="5672" spans="9:9" x14ac:dyDescent="0.25">
      <c r="I5672" s="62" t="str">
        <f t="shared" si="88"/>
        <v/>
      </c>
    </row>
    <row r="5673" spans="9:9" x14ac:dyDescent="0.25">
      <c r="I5673" s="62" t="str">
        <f t="shared" si="88"/>
        <v/>
      </c>
    </row>
    <row r="5674" spans="9:9" x14ac:dyDescent="0.25">
      <c r="I5674" s="62" t="str">
        <f t="shared" si="88"/>
        <v/>
      </c>
    </row>
    <row r="5675" spans="9:9" x14ac:dyDescent="0.25">
      <c r="I5675" s="62" t="str">
        <f t="shared" si="88"/>
        <v/>
      </c>
    </row>
    <row r="5676" spans="9:9" x14ac:dyDescent="0.25">
      <c r="I5676" s="62" t="str">
        <f t="shared" si="88"/>
        <v/>
      </c>
    </row>
    <row r="5677" spans="9:9" x14ac:dyDescent="0.25">
      <c r="I5677" s="62" t="str">
        <f t="shared" si="88"/>
        <v/>
      </c>
    </row>
    <row r="5678" spans="9:9" x14ac:dyDescent="0.25">
      <c r="I5678" s="62" t="str">
        <f t="shared" si="88"/>
        <v/>
      </c>
    </row>
    <row r="5679" spans="9:9" x14ac:dyDescent="0.25">
      <c r="I5679" s="62" t="str">
        <f t="shared" si="88"/>
        <v/>
      </c>
    </row>
    <row r="5680" spans="9:9" x14ac:dyDescent="0.25">
      <c r="I5680" s="62" t="str">
        <f t="shared" si="88"/>
        <v/>
      </c>
    </row>
    <row r="5681" spans="9:9" x14ac:dyDescent="0.25">
      <c r="I5681" s="62" t="str">
        <f t="shared" si="88"/>
        <v/>
      </c>
    </row>
    <row r="5682" spans="9:9" x14ac:dyDescent="0.25">
      <c r="I5682" s="62" t="str">
        <f t="shared" si="88"/>
        <v/>
      </c>
    </row>
    <row r="5683" spans="9:9" x14ac:dyDescent="0.25">
      <c r="I5683" s="62" t="str">
        <f t="shared" si="88"/>
        <v/>
      </c>
    </row>
    <row r="5684" spans="9:9" x14ac:dyDescent="0.25">
      <c r="I5684" s="62" t="str">
        <f t="shared" si="88"/>
        <v/>
      </c>
    </row>
    <row r="5685" spans="9:9" x14ac:dyDescent="0.25">
      <c r="I5685" s="62" t="str">
        <f t="shared" si="88"/>
        <v/>
      </c>
    </row>
    <row r="5686" spans="9:9" x14ac:dyDescent="0.25">
      <c r="I5686" s="62" t="str">
        <f t="shared" si="88"/>
        <v/>
      </c>
    </row>
    <row r="5687" spans="9:9" x14ac:dyDescent="0.25">
      <c r="I5687" s="62" t="str">
        <f t="shared" si="88"/>
        <v/>
      </c>
    </row>
    <row r="5688" spans="9:9" x14ac:dyDescent="0.25">
      <c r="I5688" s="62" t="str">
        <f t="shared" si="88"/>
        <v/>
      </c>
    </row>
    <row r="5689" spans="9:9" x14ac:dyDescent="0.25">
      <c r="I5689" s="62" t="str">
        <f t="shared" si="88"/>
        <v/>
      </c>
    </row>
    <row r="5690" spans="9:9" x14ac:dyDescent="0.25">
      <c r="I5690" s="62" t="str">
        <f t="shared" si="88"/>
        <v/>
      </c>
    </row>
    <row r="5691" spans="9:9" x14ac:dyDescent="0.25">
      <c r="I5691" s="62" t="str">
        <f t="shared" si="88"/>
        <v/>
      </c>
    </row>
    <row r="5692" spans="9:9" x14ac:dyDescent="0.25">
      <c r="I5692" s="62" t="str">
        <f t="shared" si="88"/>
        <v/>
      </c>
    </row>
    <row r="5693" spans="9:9" x14ac:dyDescent="0.25">
      <c r="I5693" s="62" t="str">
        <f t="shared" si="88"/>
        <v/>
      </c>
    </row>
    <row r="5694" spans="9:9" x14ac:dyDescent="0.25">
      <c r="I5694" s="62" t="str">
        <f t="shared" si="88"/>
        <v/>
      </c>
    </row>
    <row r="5695" spans="9:9" x14ac:dyDescent="0.25">
      <c r="I5695" s="62" t="str">
        <f t="shared" si="88"/>
        <v/>
      </c>
    </row>
    <row r="5696" spans="9:9" x14ac:dyDescent="0.25">
      <c r="I5696" s="62" t="str">
        <f t="shared" si="88"/>
        <v/>
      </c>
    </row>
    <row r="5697" spans="9:9" x14ac:dyDescent="0.25">
      <c r="I5697" s="62" t="str">
        <f t="shared" si="88"/>
        <v/>
      </c>
    </row>
    <row r="5698" spans="9:9" x14ac:dyDescent="0.25">
      <c r="I5698" s="62" t="str">
        <f t="shared" si="88"/>
        <v/>
      </c>
    </row>
    <row r="5699" spans="9:9" x14ac:dyDescent="0.25">
      <c r="I5699" s="62" t="str">
        <f t="shared" si="88"/>
        <v/>
      </c>
    </row>
    <row r="5700" spans="9:9" x14ac:dyDescent="0.25">
      <c r="I5700" s="62" t="str">
        <f t="shared" si="88"/>
        <v/>
      </c>
    </row>
    <row r="5701" spans="9:9" x14ac:dyDescent="0.25">
      <c r="I5701" s="62" t="str">
        <f t="shared" ref="I5701:I5764" si="89">IF(H5701&lt;&gt;"",H5701-H5700,"")</f>
        <v/>
      </c>
    </row>
    <row r="5702" spans="9:9" x14ac:dyDescent="0.25">
      <c r="I5702" s="62" t="str">
        <f t="shared" si="89"/>
        <v/>
      </c>
    </row>
    <row r="5703" spans="9:9" x14ac:dyDescent="0.25">
      <c r="I5703" s="62" t="str">
        <f t="shared" si="89"/>
        <v/>
      </c>
    </row>
    <row r="5704" spans="9:9" x14ac:dyDescent="0.25">
      <c r="I5704" s="62" t="str">
        <f t="shared" si="89"/>
        <v/>
      </c>
    </row>
    <row r="5705" spans="9:9" x14ac:dyDescent="0.25">
      <c r="I5705" s="62" t="str">
        <f t="shared" si="89"/>
        <v/>
      </c>
    </row>
    <row r="5706" spans="9:9" x14ac:dyDescent="0.25">
      <c r="I5706" s="62" t="str">
        <f t="shared" si="89"/>
        <v/>
      </c>
    </row>
    <row r="5707" spans="9:9" x14ac:dyDescent="0.25">
      <c r="I5707" s="62" t="str">
        <f t="shared" si="89"/>
        <v/>
      </c>
    </row>
    <row r="5708" spans="9:9" x14ac:dyDescent="0.25">
      <c r="I5708" s="62" t="str">
        <f t="shared" si="89"/>
        <v/>
      </c>
    </row>
    <row r="5709" spans="9:9" x14ac:dyDescent="0.25">
      <c r="I5709" s="62" t="str">
        <f t="shared" si="89"/>
        <v/>
      </c>
    </row>
    <row r="5710" spans="9:9" x14ac:dyDescent="0.25">
      <c r="I5710" s="62" t="str">
        <f t="shared" si="89"/>
        <v/>
      </c>
    </row>
    <row r="5711" spans="9:9" x14ac:dyDescent="0.25">
      <c r="I5711" s="62" t="str">
        <f t="shared" si="89"/>
        <v/>
      </c>
    </row>
    <row r="5712" spans="9:9" x14ac:dyDescent="0.25">
      <c r="I5712" s="62" t="str">
        <f t="shared" si="89"/>
        <v/>
      </c>
    </row>
    <row r="5713" spans="9:9" x14ac:dyDescent="0.25">
      <c r="I5713" s="62" t="str">
        <f t="shared" si="89"/>
        <v/>
      </c>
    </row>
    <row r="5714" spans="9:9" x14ac:dyDescent="0.25">
      <c r="I5714" s="62" t="str">
        <f t="shared" si="89"/>
        <v/>
      </c>
    </row>
    <row r="5715" spans="9:9" x14ac:dyDescent="0.25">
      <c r="I5715" s="62" t="str">
        <f t="shared" si="89"/>
        <v/>
      </c>
    </row>
    <row r="5716" spans="9:9" x14ac:dyDescent="0.25">
      <c r="I5716" s="62" t="str">
        <f t="shared" si="89"/>
        <v/>
      </c>
    </row>
    <row r="5717" spans="9:9" x14ac:dyDescent="0.25">
      <c r="I5717" s="62" t="str">
        <f t="shared" si="89"/>
        <v/>
      </c>
    </row>
    <row r="5718" spans="9:9" x14ac:dyDescent="0.25">
      <c r="I5718" s="62" t="str">
        <f t="shared" si="89"/>
        <v/>
      </c>
    </row>
    <row r="5719" spans="9:9" x14ac:dyDescent="0.25">
      <c r="I5719" s="62" t="str">
        <f t="shared" si="89"/>
        <v/>
      </c>
    </row>
    <row r="5720" spans="9:9" x14ac:dyDescent="0.25">
      <c r="I5720" s="62" t="str">
        <f t="shared" si="89"/>
        <v/>
      </c>
    </row>
    <row r="5721" spans="9:9" x14ac:dyDescent="0.25">
      <c r="I5721" s="62" t="str">
        <f t="shared" si="89"/>
        <v/>
      </c>
    </row>
    <row r="5722" spans="9:9" x14ac:dyDescent="0.25">
      <c r="I5722" s="62" t="str">
        <f t="shared" si="89"/>
        <v/>
      </c>
    </row>
    <row r="5723" spans="9:9" x14ac:dyDescent="0.25">
      <c r="I5723" s="62" t="str">
        <f t="shared" si="89"/>
        <v/>
      </c>
    </row>
    <row r="5724" spans="9:9" x14ac:dyDescent="0.25">
      <c r="I5724" s="62" t="str">
        <f t="shared" si="89"/>
        <v/>
      </c>
    </row>
    <row r="5725" spans="9:9" x14ac:dyDescent="0.25">
      <c r="I5725" s="62" t="str">
        <f t="shared" si="89"/>
        <v/>
      </c>
    </row>
    <row r="5726" spans="9:9" x14ac:dyDescent="0.25">
      <c r="I5726" s="62" t="str">
        <f t="shared" si="89"/>
        <v/>
      </c>
    </row>
    <row r="5727" spans="9:9" x14ac:dyDescent="0.25">
      <c r="I5727" s="62" t="str">
        <f t="shared" si="89"/>
        <v/>
      </c>
    </row>
    <row r="5728" spans="9:9" x14ac:dyDescent="0.25">
      <c r="I5728" s="62" t="str">
        <f t="shared" si="89"/>
        <v/>
      </c>
    </row>
    <row r="5729" spans="9:9" x14ac:dyDescent="0.25">
      <c r="I5729" s="62" t="str">
        <f t="shared" si="89"/>
        <v/>
      </c>
    </row>
    <row r="5730" spans="9:9" x14ac:dyDescent="0.25">
      <c r="I5730" s="62" t="str">
        <f t="shared" si="89"/>
        <v/>
      </c>
    </row>
    <row r="5731" spans="9:9" x14ac:dyDescent="0.25">
      <c r="I5731" s="62" t="str">
        <f t="shared" si="89"/>
        <v/>
      </c>
    </row>
    <row r="5732" spans="9:9" x14ac:dyDescent="0.25">
      <c r="I5732" s="62" t="str">
        <f t="shared" si="89"/>
        <v/>
      </c>
    </row>
    <row r="5733" spans="9:9" x14ac:dyDescent="0.25">
      <c r="I5733" s="62" t="str">
        <f t="shared" si="89"/>
        <v/>
      </c>
    </row>
    <row r="5734" spans="9:9" x14ac:dyDescent="0.25">
      <c r="I5734" s="62" t="str">
        <f t="shared" si="89"/>
        <v/>
      </c>
    </row>
    <row r="5735" spans="9:9" x14ac:dyDescent="0.25">
      <c r="I5735" s="62" t="str">
        <f t="shared" si="89"/>
        <v/>
      </c>
    </row>
    <row r="5736" spans="9:9" x14ac:dyDescent="0.25">
      <c r="I5736" s="62" t="str">
        <f t="shared" si="89"/>
        <v/>
      </c>
    </row>
    <row r="5737" spans="9:9" x14ac:dyDescent="0.25">
      <c r="I5737" s="62" t="str">
        <f t="shared" si="89"/>
        <v/>
      </c>
    </row>
    <row r="5738" spans="9:9" x14ac:dyDescent="0.25">
      <c r="I5738" s="62" t="str">
        <f t="shared" si="89"/>
        <v/>
      </c>
    </row>
    <row r="5739" spans="9:9" x14ac:dyDescent="0.25">
      <c r="I5739" s="62" t="str">
        <f t="shared" si="89"/>
        <v/>
      </c>
    </row>
    <row r="5740" spans="9:9" x14ac:dyDescent="0.25">
      <c r="I5740" s="62" t="str">
        <f t="shared" si="89"/>
        <v/>
      </c>
    </row>
    <row r="5741" spans="9:9" x14ac:dyDescent="0.25">
      <c r="I5741" s="62" t="str">
        <f t="shared" si="89"/>
        <v/>
      </c>
    </row>
    <row r="5742" spans="9:9" x14ac:dyDescent="0.25">
      <c r="I5742" s="62" t="str">
        <f t="shared" si="89"/>
        <v/>
      </c>
    </row>
    <row r="5743" spans="9:9" x14ac:dyDescent="0.25">
      <c r="I5743" s="62" t="str">
        <f t="shared" si="89"/>
        <v/>
      </c>
    </row>
    <row r="5744" spans="9:9" x14ac:dyDescent="0.25">
      <c r="I5744" s="62" t="str">
        <f t="shared" si="89"/>
        <v/>
      </c>
    </row>
    <row r="5745" spans="9:9" x14ac:dyDescent="0.25">
      <c r="I5745" s="62" t="str">
        <f t="shared" si="89"/>
        <v/>
      </c>
    </row>
    <row r="5746" spans="9:9" x14ac:dyDescent="0.25">
      <c r="I5746" s="62" t="str">
        <f t="shared" si="89"/>
        <v/>
      </c>
    </row>
    <row r="5747" spans="9:9" x14ac:dyDescent="0.25">
      <c r="I5747" s="62" t="str">
        <f t="shared" si="89"/>
        <v/>
      </c>
    </row>
    <row r="5748" spans="9:9" x14ac:dyDescent="0.25">
      <c r="I5748" s="62" t="str">
        <f t="shared" si="89"/>
        <v/>
      </c>
    </row>
    <row r="5749" spans="9:9" x14ac:dyDescent="0.25">
      <c r="I5749" s="62" t="str">
        <f t="shared" si="89"/>
        <v/>
      </c>
    </row>
    <row r="5750" spans="9:9" x14ac:dyDescent="0.25">
      <c r="I5750" s="62" t="str">
        <f t="shared" si="89"/>
        <v/>
      </c>
    </row>
    <row r="5751" spans="9:9" x14ac:dyDescent="0.25">
      <c r="I5751" s="62" t="str">
        <f t="shared" si="89"/>
        <v/>
      </c>
    </row>
    <row r="5752" spans="9:9" x14ac:dyDescent="0.25">
      <c r="I5752" s="62" t="str">
        <f t="shared" si="89"/>
        <v/>
      </c>
    </row>
    <row r="5753" spans="9:9" x14ac:dyDescent="0.25">
      <c r="I5753" s="62" t="str">
        <f t="shared" si="89"/>
        <v/>
      </c>
    </row>
    <row r="5754" spans="9:9" x14ac:dyDescent="0.25">
      <c r="I5754" s="62" t="str">
        <f t="shared" si="89"/>
        <v/>
      </c>
    </row>
    <row r="5755" spans="9:9" x14ac:dyDescent="0.25">
      <c r="I5755" s="62" t="str">
        <f t="shared" si="89"/>
        <v/>
      </c>
    </row>
    <row r="5756" spans="9:9" x14ac:dyDescent="0.25">
      <c r="I5756" s="62" t="str">
        <f t="shared" si="89"/>
        <v/>
      </c>
    </row>
    <row r="5757" spans="9:9" x14ac:dyDescent="0.25">
      <c r="I5757" s="62" t="str">
        <f t="shared" si="89"/>
        <v/>
      </c>
    </row>
    <row r="5758" spans="9:9" x14ac:dyDescent="0.25">
      <c r="I5758" s="62" t="str">
        <f t="shared" si="89"/>
        <v/>
      </c>
    </row>
    <row r="5759" spans="9:9" x14ac:dyDescent="0.25">
      <c r="I5759" s="62" t="str">
        <f t="shared" si="89"/>
        <v/>
      </c>
    </row>
    <row r="5760" spans="9:9" x14ac:dyDescent="0.25">
      <c r="I5760" s="62" t="str">
        <f t="shared" si="89"/>
        <v/>
      </c>
    </row>
    <row r="5761" spans="9:9" x14ac:dyDescent="0.25">
      <c r="I5761" s="62" t="str">
        <f t="shared" si="89"/>
        <v/>
      </c>
    </row>
    <row r="5762" spans="9:9" x14ac:dyDescent="0.25">
      <c r="I5762" s="62" t="str">
        <f t="shared" si="89"/>
        <v/>
      </c>
    </row>
    <row r="5763" spans="9:9" x14ac:dyDescent="0.25">
      <c r="I5763" s="62" t="str">
        <f t="shared" si="89"/>
        <v/>
      </c>
    </row>
    <row r="5764" spans="9:9" x14ac:dyDescent="0.25">
      <c r="I5764" s="62" t="str">
        <f t="shared" si="89"/>
        <v/>
      </c>
    </row>
    <row r="5765" spans="9:9" x14ac:dyDescent="0.25">
      <c r="I5765" s="62" t="str">
        <f t="shared" ref="I5765:I5828" si="90">IF(H5765&lt;&gt;"",H5765-H5764,"")</f>
        <v/>
      </c>
    </row>
    <row r="5766" spans="9:9" x14ac:dyDescent="0.25">
      <c r="I5766" s="62" t="str">
        <f t="shared" si="90"/>
        <v/>
      </c>
    </row>
    <row r="5767" spans="9:9" x14ac:dyDescent="0.25">
      <c r="I5767" s="62" t="str">
        <f t="shared" si="90"/>
        <v/>
      </c>
    </row>
    <row r="5768" spans="9:9" x14ac:dyDescent="0.25">
      <c r="I5768" s="62" t="str">
        <f t="shared" si="90"/>
        <v/>
      </c>
    </row>
    <row r="5769" spans="9:9" x14ac:dyDescent="0.25">
      <c r="I5769" s="62" t="str">
        <f t="shared" si="90"/>
        <v/>
      </c>
    </row>
    <row r="5770" spans="9:9" x14ac:dyDescent="0.25">
      <c r="I5770" s="62" t="str">
        <f t="shared" si="90"/>
        <v/>
      </c>
    </row>
    <row r="5771" spans="9:9" x14ac:dyDescent="0.25">
      <c r="I5771" s="62" t="str">
        <f t="shared" si="90"/>
        <v/>
      </c>
    </row>
    <row r="5772" spans="9:9" x14ac:dyDescent="0.25">
      <c r="I5772" s="62" t="str">
        <f t="shared" si="90"/>
        <v/>
      </c>
    </row>
    <row r="5773" spans="9:9" x14ac:dyDescent="0.25">
      <c r="I5773" s="62" t="str">
        <f t="shared" si="90"/>
        <v/>
      </c>
    </row>
    <row r="5774" spans="9:9" x14ac:dyDescent="0.25">
      <c r="I5774" s="62" t="str">
        <f t="shared" si="90"/>
        <v/>
      </c>
    </row>
    <row r="5775" spans="9:9" x14ac:dyDescent="0.25">
      <c r="I5775" s="62" t="str">
        <f t="shared" si="90"/>
        <v/>
      </c>
    </row>
    <row r="5776" spans="9:9" x14ac:dyDescent="0.25">
      <c r="I5776" s="62" t="str">
        <f t="shared" si="90"/>
        <v/>
      </c>
    </row>
    <row r="5777" spans="9:9" x14ac:dyDescent="0.25">
      <c r="I5777" s="62" t="str">
        <f t="shared" si="90"/>
        <v/>
      </c>
    </row>
    <row r="5778" spans="9:9" x14ac:dyDescent="0.25">
      <c r="I5778" s="62" t="str">
        <f t="shared" si="90"/>
        <v/>
      </c>
    </row>
    <row r="5779" spans="9:9" x14ac:dyDescent="0.25">
      <c r="I5779" s="62" t="str">
        <f t="shared" si="90"/>
        <v/>
      </c>
    </row>
    <row r="5780" spans="9:9" x14ac:dyDescent="0.25">
      <c r="I5780" s="62" t="str">
        <f t="shared" si="90"/>
        <v/>
      </c>
    </row>
    <row r="5781" spans="9:9" x14ac:dyDescent="0.25">
      <c r="I5781" s="62" t="str">
        <f t="shared" si="90"/>
        <v/>
      </c>
    </row>
    <row r="5782" spans="9:9" x14ac:dyDescent="0.25">
      <c r="I5782" s="62" t="str">
        <f t="shared" si="90"/>
        <v/>
      </c>
    </row>
    <row r="5783" spans="9:9" x14ac:dyDescent="0.25">
      <c r="I5783" s="62" t="str">
        <f t="shared" si="90"/>
        <v/>
      </c>
    </row>
    <row r="5784" spans="9:9" x14ac:dyDescent="0.25">
      <c r="I5784" s="62" t="str">
        <f t="shared" si="90"/>
        <v/>
      </c>
    </row>
    <row r="5785" spans="9:9" x14ac:dyDescent="0.25">
      <c r="I5785" s="62" t="str">
        <f t="shared" si="90"/>
        <v/>
      </c>
    </row>
    <row r="5786" spans="9:9" x14ac:dyDescent="0.25">
      <c r="I5786" s="62" t="str">
        <f t="shared" si="90"/>
        <v/>
      </c>
    </row>
    <row r="5787" spans="9:9" x14ac:dyDescent="0.25">
      <c r="I5787" s="62" t="str">
        <f t="shared" si="90"/>
        <v/>
      </c>
    </row>
    <row r="5788" spans="9:9" x14ac:dyDescent="0.25">
      <c r="I5788" s="62" t="str">
        <f t="shared" si="90"/>
        <v/>
      </c>
    </row>
    <row r="5789" spans="9:9" x14ac:dyDescent="0.25">
      <c r="I5789" s="62" t="str">
        <f t="shared" si="90"/>
        <v/>
      </c>
    </row>
    <row r="5790" spans="9:9" x14ac:dyDescent="0.25">
      <c r="I5790" s="62" t="str">
        <f t="shared" si="90"/>
        <v/>
      </c>
    </row>
    <row r="5791" spans="9:9" x14ac:dyDescent="0.25">
      <c r="I5791" s="62" t="str">
        <f t="shared" si="90"/>
        <v/>
      </c>
    </row>
    <row r="5792" spans="9:9" x14ac:dyDescent="0.25">
      <c r="I5792" s="62" t="str">
        <f t="shared" si="90"/>
        <v/>
      </c>
    </row>
    <row r="5793" spans="9:9" x14ac:dyDescent="0.25">
      <c r="I5793" s="62" t="str">
        <f t="shared" si="90"/>
        <v/>
      </c>
    </row>
    <row r="5794" spans="9:9" x14ac:dyDescent="0.25">
      <c r="I5794" s="62" t="str">
        <f t="shared" si="90"/>
        <v/>
      </c>
    </row>
    <row r="5795" spans="9:9" x14ac:dyDescent="0.25">
      <c r="I5795" s="62" t="str">
        <f t="shared" si="90"/>
        <v/>
      </c>
    </row>
    <row r="5796" spans="9:9" x14ac:dyDescent="0.25">
      <c r="I5796" s="62" t="str">
        <f t="shared" si="90"/>
        <v/>
      </c>
    </row>
    <row r="5797" spans="9:9" x14ac:dyDescent="0.25">
      <c r="I5797" s="62" t="str">
        <f t="shared" si="90"/>
        <v/>
      </c>
    </row>
    <row r="5798" spans="9:9" x14ac:dyDescent="0.25">
      <c r="I5798" s="62" t="str">
        <f t="shared" si="90"/>
        <v/>
      </c>
    </row>
    <row r="5799" spans="9:9" x14ac:dyDescent="0.25">
      <c r="I5799" s="62" t="str">
        <f t="shared" si="90"/>
        <v/>
      </c>
    </row>
    <row r="5800" spans="9:9" x14ac:dyDescent="0.25">
      <c r="I5800" s="62" t="str">
        <f t="shared" si="90"/>
        <v/>
      </c>
    </row>
    <row r="5801" spans="9:9" x14ac:dyDescent="0.25">
      <c r="I5801" s="62" t="str">
        <f t="shared" si="90"/>
        <v/>
      </c>
    </row>
    <row r="5802" spans="9:9" x14ac:dyDescent="0.25">
      <c r="I5802" s="62" t="str">
        <f t="shared" si="90"/>
        <v/>
      </c>
    </row>
    <row r="5803" spans="9:9" x14ac:dyDescent="0.25">
      <c r="I5803" s="62" t="str">
        <f t="shared" si="90"/>
        <v/>
      </c>
    </row>
    <row r="5804" spans="9:9" x14ac:dyDescent="0.25">
      <c r="I5804" s="62" t="str">
        <f t="shared" si="90"/>
        <v/>
      </c>
    </row>
    <row r="5805" spans="9:9" x14ac:dyDescent="0.25">
      <c r="I5805" s="62" t="str">
        <f t="shared" si="90"/>
        <v/>
      </c>
    </row>
    <row r="5806" spans="9:9" x14ac:dyDescent="0.25">
      <c r="I5806" s="62" t="str">
        <f t="shared" si="90"/>
        <v/>
      </c>
    </row>
    <row r="5807" spans="9:9" x14ac:dyDescent="0.25">
      <c r="I5807" s="62" t="str">
        <f t="shared" si="90"/>
        <v/>
      </c>
    </row>
    <row r="5808" spans="9:9" x14ac:dyDescent="0.25">
      <c r="I5808" s="62" t="str">
        <f t="shared" si="90"/>
        <v/>
      </c>
    </row>
    <row r="5809" spans="9:9" x14ac:dyDescent="0.25">
      <c r="I5809" s="62" t="str">
        <f t="shared" si="90"/>
        <v/>
      </c>
    </row>
    <row r="5810" spans="9:9" x14ac:dyDescent="0.25">
      <c r="I5810" s="62" t="str">
        <f t="shared" si="90"/>
        <v/>
      </c>
    </row>
    <row r="5811" spans="9:9" x14ac:dyDescent="0.25">
      <c r="I5811" s="62" t="str">
        <f t="shared" si="90"/>
        <v/>
      </c>
    </row>
    <row r="5812" spans="9:9" x14ac:dyDescent="0.25">
      <c r="I5812" s="62" t="str">
        <f t="shared" si="90"/>
        <v/>
      </c>
    </row>
    <row r="5813" spans="9:9" x14ac:dyDescent="0.25">
      <c r="I5813" s="62" t="str">
        <f t="shared" si="90"/>
        <v/>
      </c>
    </row>
    <row r="5814" spans="9:9" x14ac:dyDescent="0.25">
      <c r="I5814" s="62" t="str">
        <f t="shared" si="90"/>
        <v/>
      </c>
    </row>
    <row r="5815" spans="9:9" x14ac:dyDescent="0.25">
      <c r="I5815" s="62" t="str">
        <f t="shared" si="90"/>
        <v/>
      </c>
    </row>
    <row r="5816" spans="9:9" x14ac:dyDescent="0.25">
      <c r="I5816" s="62" t="str">
        <f t="shared" si="90"/>
        <v/>
      </c>
    </row>
    <row r="5817" spans="9:9" x14ac:dyDescent="0.25">
      <c r="I5817" s="62" t="str">
        <f t="shared" si="90"/>
        <v/>
      </c>
    </row>
    <row r="5818" spans="9:9" x14ac:dyDescent="0.25">
      <c r="I5818" s="62" t="str">
        <f t="shared" si="90"/>
        <v/>
      </c>
    </row>
    <row r="5819" spans="9:9" x14ac:dyDescent="0.25">
      <c r="I5819" s="62" t="str">
        <f t="shared" si="90"/>
        <v/>
      </c>
    </row>
    <row r="5820" spans="9:9" x14ac:dyDescent="0.25">
      <c r="I5820" s="62" t="str">
        <f t="shared" si="90"/>
        <v/>
      </c>
    </row>
    <row r="5821" spans="9:9" x14ac:dyDescent="0.25">
      <c r="I5821" s="62" t="str">
        <f t="shared" si="90"/>
        <v/>
      </c>
    </row>
    <row r="5822" spans="9:9" x14ac:dyDescent="0.25">
      <c r="I5822" s="62" t="str">
        <f t="shared" si="90"/>
        <v/>
      </c>
    </row>
    <row r="5823" spans="9:9" x14ac:dyDescent="0.25">
      <c r="I5823" s="62" t="str">
        <f t="shared" si="90"/>
        <v/>
      </c>
    </row>
    <row r="5824" spans="9:9" x14ac:dyDescent="0.25">
      <c r="I5824" s="62" t="str">
        <f t="shared" si="90"/>
        <v/>
      </c>
    </row>
    <row r="5825" spans="9:9" x14ac:dyDescent="0.25">
      <c r="I5825" s="62" t="str">
        <f t="shared" si="90"/>
        <v/>
      </c>
    </row>
    <row r="5826" spans="9:9" x14ac:dyDescent="0.25">
      <c r="I5826" s="62" t="str">
        <f t="shared" si="90"/>
        <v/>
      </c>
    </row>
    <row r="5827" spans="9:9" x14ac:dyDescent="0.25">
      <c r="I5827" s="62" t="str">
        <f t="shared" si="90"/>
        <v/>
      </c>
    </row>
    <row r="5828" spans="9:9" x14ac:dyDescent="0.25">
      <c r="I5828" s="62" t="str">
        <f t="shared" si="90"/>
        <v/>
      </c>
    </row>
    <row r="5829" spans="9:9" x14ac:dyDescent="0.25">
      <c r="I5829" s="62" t="str">
        <f t="shared" ref="I5829:I5892" si="91">IF(H5829&lt;&gt;"",H5829-H5828,"")</f>
        <v/>
      </c>
    </row>
    <row r="5830" spans="9:9" x14ac:dyDescent="0.25">
      <c r="I5830" s="62" t="str">
        <f t="shared" si="91"/>
        <v/>
      </c>
    </row>
    <row r="5831" spans="9:9" x14ac:dyDescent="0.25">
      <c r="I5831" s="62" t="str">
        <f t="shared" si="91"/>
        <v/>
      </c>
    </row>
    <row r="5832" spans="9:9" x14ac:dyDescent="0.25">
      <c r="I5832" s="62" t="str">
        <f t="shared" si="91"/>
        <v/>
      </c>
    </row>
    <row r="5833" spans="9:9" x14ac:dyDescent="0.25">
      <c r="I5833" s="62" t="str">
        <f t="shared" si="91"/>
        <v/>
      </c>
    </row>
    <row r="5834" spans="9:9" x14ac:dyDescent="0.25">
      <c r="I5834" s="62" t="str">
        <f t="shared" si="91"/>
        <v/>
      </c>
    </row>
    <row r="5835" spans="9:9" x14ac:dyDescent="0.25">
      <c r="I5835" s="62" t="str">
        <f t="shared" si="91"/>
        <v/>
      </c>
    </row>
    <row r="5836" spans="9:9" x14ac:dyDescent="0.25">
      <c r="I5836" s="62" t="str">
        <f t="shared" si="91"/>
        <v/>
      </c>
    </row>
    <row r="5837" spans="9:9" x14ac:dyDescent="0.25">
      <c r="I5837" s="62" t="str">
        <f t="shared" si="91"/>
        <v/>
      </c>
    </row>
    <row r="5838" spans="9:9" x14ac:dyDescent="0.25">
      <c r="I5838" s="62" t="str">
        <f t="shared" si="91"/>
        <v/>
      </c>
    </row>
    <row r="5839" spans="9:9" x14ac:dyDescent="0.25">
      <c r="I5839" s="62" t="str">
        <f t="shared" si="91"/>
        <v/>
      </c>
    </row>
    <row r="5840" spans="9:9" x14ac:dyDescent="0.25">
      <c r="I5840" s="62" t="str">
        <f t="shared" si="91"/>
        <v/>
      </c>
    </row>
    <row r="5841" spans="9:9" x14ac:dyDescent="0.25">
      <c r="I5841" s="62" t="str">
        <f t="shared" si="91"/>
        <v/>
      </c>
    </row>
    <row r="5842" spans="9:9" x14ac:dyDescent="0.25">
      <c r="I5842" s="62" t="str">
        <f t="shared" si="91"/>
        <v/>
      </c>
    </row>
    <row r="5843" spans="9:9" x14ac:dyDescent="0.25">
      <c r="I5843" s="62" t="str">
        <f t="shared" si="91"/>
        <v/>
      </c>
    </row>
    <row r="5844" spans="9:9" x14ac:dyDescent="0.25">
      <c r="I5844" s="62" t="str">
        <f t="shared" si="91"/>
        <v/>
      </c>
    </row>
    <row r="5845" spans="9:9" x14ac:dyDescent="0.25">
      <c r="I5845" s="62" t="str">
        <f t="shared" si="91"/>
        <v/>
      </c>
    </row>
    <row r="5846" spans="9:9" x14ac:dyDescent="0.25">
      <c r="I5846" s="62" t="str">
        <f t="shared" si="91"/>
        <v/>
      </c>
    </row>
    <row r="5847" spans="9:9" x14ac:dyDescent="0.25">
      <c r="I5847" s="62" t="str">
        <f t="shared" si="91"/>
        <v/>
      </c>
    </row>
    <row r="5848" spans="9:9" x14ac:dyDescent="0.25">
      <c r="I5848" s="62" t="str">
        <f t="shared" si="91"/>
        <v/>
      </c>
    </row>
    <row r="5849" spans="9:9" x14ac:dyDescent="0.25">
      <c r="I5849" s="62" t="str">
        <f t="shared" si="91"/>
        <v/>
      </c>
    </row>
    <row r="5850" spans="9:9" x14ac:dyDescent="0.25">
      <c r="I5850" s="62" t="str">
        <f t="shared" si="91"/>
        <v/>
      </c>
    </row>
    <row r="5851" spans="9:9" x14ac:dyDescent="0.25">
      <c r="I5851" s="62" t="str">
        <f t="shared" si="91"/>
        <v/>
      </c>
    </row>
    <row r="5852" spans="9:9" x14ac:dyDescent="0.25">
      <c r="I5852" s="62" t="str">
        <f t="shared" si="91"/>
        <v/>
      </c>
    </row>
    <row r="5853" spans="9:9" x14ac:dyDescent="0.25">
      <c r="I5853" s="62" t="str">
        <f t="shared" si="91"/>
        <v/>
      </c>
    </row>
    <row r="5854" spans="9:9" x14ac:dyDescent="0.25">
      <c r="I5854" s="62" t="str">
        <f t="shared" si="91"/>
        <v/>
      </c>
    </row>
    <row r="5855" spans="9:9" x14ac:dyDescent="0.25">
      <c r="I5855" s="62" t="str">
        <f t="shared" si="91"/>
        <v/>
      </c>
    </row>
    <row r="5856" spans="9:9" x14ac:dyDescent="0.25">
      <c r="I5856" s="62" t="str">
        <f t="shared" si="91"/>
        <v/>
      </c>
    </row>
    <row r="5857" spans="9:9" x14ac:dyDescent="0.25">
      <c r="I5857" s="62" t="str">
        <f t="shared" si="91"/>
        <v/>
      </c>
    </row>
    <row r="5858" spans="9:9" x14ac:dyDescent="0.25">
      <c r="I5858" s="62" t="str">
        <f t="shared" si="91"/>
        <v/>
      </c>
    </row>
    <row r="5859" spans="9:9" x14ac:dyDescent="0.25">
      <c r="I5859" s="62" t="str">
        <f t="shared" si="91"/>
        <v/>
      </c>
    </row>
    <row r="5860" spans="9:9" x14ac:dyDescent="0.25">
      <c r="I5860" s="62" t="str">
        <f t="shared" si="91"/>
        <v/>
      </c>
    </row>
    <row r="5861" spans="9:9" x14ac:dyDescent="0.25">
      <c r="I5861" s="62" t="str">
        <f t="shared" si="91"/>
        <v/>
      </c>
    </row>
    <row r="5862" spans="9:9" x14ac:dyDescent="0.25">
      <c r="I5862" s="62" t="str">
        <f t="shared" si="91"/>
        <v/>
      </c>
    </row>
    <row r="5863" spans="9:9" x14ac:dyDescent="0.25">
      <c r="I5863" s="62" t="str">
        <f t="shared" si="91"/>
        <v/>
      </c>
    </row>
    <row r="5864" spans="9:9" x14ac:dyDescent="0.25">
      <c r="I5864" s="62" t="str">
        <f t="shared" si="91"/>
        <v/>
      </c>
    </row>
    <row r="5865" spans="9:9" x14ac:dyDescent="0.25">
      <c r="I5865" s="62" t="str">
        <f t="shared" si="91"/>
        <v/>
      </c>
    </row>
    <row r="5866" spans="9:9" x14ac:dyDescent="0.25">
      <c r="I5866" s="62" t="str">
        <f t="shared" si="91"/>
        <v/>
      </c>
    </row>
    <row r="5867" spans="9:9" x14ac:dyDescent="0.25">
      <c r="I5867" s="62" t="str">
        <f t="shared" si="91"/>
        <v/>
      </c>
    </row>
    <row r="5868" spans="9:9" x14ac:dyDescent="0.25">
      <c r="I5868" s="62" t="str">
        <f t="shared" si="91"/>
        <v/>
      </c>
    </row>
    <row r="5869" spans="9:9" x14ac:dyDescent="0.25">
      <c r="I5869" s="62" t="str">
        <f t="shared" si="91"/>
        <v/>
      </c>
    </row>
    <row r="5870" spans="9:9" x14ac:dyDescent="0.25">
      <c r="I5870" s="62" t="str">
        <f t="shared" si="91"/>
        <v/>
      </c>
    </row>
    <row r="5871" spans="9:9" x14ac:dyDescent="0.25">
      <c r="I5871" s="62" t="str">
        <f t="shared" si="91"/>
        <v/>
      </c>
    </row>
    <row r="5872" spans="9:9" x14ac:dyDescent="0.25">
      <c r="I5872" s="62" t="str">
        <f t="shared" si="91"/>
        <v/>
      </c>
    </row>
    <row r="5873" spans="9:9" x14ac:dyDescent="0.25">
      <c r="I5873" s="62" t="str">
        <f t="shared" si="91"/>
        <v/>
      </c>
    </row>
    <row r="5874" spans="9:9" x14ac:dyDescent="0.25">
      <c r="I5874" s="62" t="str">
        <f t="shared" si="91"/>
        <v/>
      </c>
    </row>
    <row r="5875" spans="9:9" x14ac:dyDescent="0.25">
      <c r="I5875" s="62" t="str">
        <f t="shared" si="91"/>
        <v/>
      </c>
    </row>
    <row r="5876" spans="9:9" x14ac:dyDescent="0.25">
      <c r="I5876" s="62" t="str">
        <f t="shared" si="91"/>
        <v/>
      </c>
    </row>
    <row r="5877" spans="9:9" x14ac:dyDescent="0.25">
      <c r="I5877" s="62" t="str">
        <f t="shared" si="91"/>
        <v/>
      </c>
    </row>
    <row r="5878" spans="9:9" x14ac:dyDescent="0.25">
      <c r="I5878" s="62" t="str">
        <f t="shared" si="91"/>
        <v/>
      </c>
    </row>
    <row r="5879" spans="9:9" x14ac:dyDescent="0.25">
      <c r="I5879" s="62" t="str">
        <f t="shared" si="91"/>
        <v/>
      </c>
    </row>
    <row r="5880" spans="9:9" x14ac:dyDescent="0.25">
      <c r="I5880" s="62" t="str">
        <f t="shared" si="91"/>
        <v/>
      </c>
    </row>
    <row r="5881" spans="9:9" x14ac:dyDescent="0.25">
      <c r="I5881" s="62" t="str">
        <f t="shared" si="91"/>
        <v/>
      </c>
    </row>
    <row r="5882" spans="9:9" x14ac:dyDescent="0.25">
      <c r="I5882" s="62" t="str">
        <f t="shared" si="91"/>
        <v/>
      </c>
    </row>
    <row r="5883" spans="9:9" x14ac:dyDescent="0.25">
      <c r="I5883" s="62" t="str">
        <f t="shared" si="91"/>
        <v/>
      </c>
    </row>
    <row r="5884" spans="9:9" x14ac:dyDescent="0.25">
      <c r="I5884" s="62" t="str">
        <f t="shared" si="91"/>
        <v/>
      </c>
    </row>
    <row r="5885" spans="9:9" x14ac:dyDescent="0.25">
      <c r="I5885" s="62" t="str">
        <f t="shared" si="91"/>
        <v/>
      </c>
    </row>
    <row r="5886" spans="9:9" x14ac:dyDescent="0.25">
      <c r="I5886" s="62" t="str">
        <f t="shared" si="91"/>
        <v/>
      </c>
    </row>
    <row r="5887" spans="9:9" x14ac:dyDescent="0.25">
      <c r="I5887" s="62" t="str">
        <f t="shared" si="91"/>
        <v/>
      </c>
    </row>
    <row r="5888" spans="9:9" x14ac:dyDescent="0.25">
      <c r="I5888" s="62" t="str">
        <f t="shared" si="91"/>
        <v/>
      </c>
    </row>
    <row r="5889" spans="9:9" x14ac:dyDescent="0.25">
      <c r="I5889" s="62" t="str">
        <f t="shared" si="91"/>
        <v/>
      </c>
    </row>
    <row r="5890" spans="9:9" x14ac:dyDescent="0.25">
      <c r="I5890" s="62" t="str">
        <f t="shared" si="91"/>
        <v/>
      </c>
    </row>
    <row r="5891" spans="9:9" x14ac:dyDescent="0.25">
      <c r="I5891" s="62" t="str">
        <f t="shared" si="91"/>
        <v/>
      </c>
    </row>
    <row r="5892" spans="9:9" x14ac:dyDescent="0.25">
      <c r="I5892" s="62" t="str">
        <f t="shared" si="91"/>
        <v/>
      </c>
    </row>
    <row r="5893" spans="9:9" x14ac:dyDescent="0.25">
      <c r="I5893" s="62" t="str">
        <f t="shared" ref="I5893:I5956" si="92">IF(H5893&lt;&gt;"",H5893-H5892,"")</f>
        <v/>
      </c>
    </row>
    <row r="5894" spans="9:9" x14ac:dyDescent="0.25">
      <c r="I5894" s="62" t="str">
        <f t="shared" si="92"/>
        <v/>
      </c>
    </row>
    <row r="5895" spans="9:9" x14ac:dyDescent="0.25">
      <c r="I5895" s="62" t="str">
        <f t="shared" si="92"/>
        <v/>
      </c>
    </row>
    <row r="5896" spans="9:9" x14ac:dyDescent="0.25">
      <c r="I5896" s="62" t="str">
        <f t="shared" si="92"/>
        <v/>
      </c>
    </row>
    <row r="5897" spans="9:9" x14ac:dyDescent="0.25">
      <c r="I5897" s="62" t="str">
        <f t="shared" si="92"/>
        <v/>
      </c>
    </row>
    <row r="5898" spans="9:9" x14ac:dyDescent="0.25">
      <c r="I5898" s="62" t="str">
        <f t="shared" si="92"/>
        <v/>
      </c>
    </row>
    <row r="5899" spans="9:9" x14ac:dyDescent="0.25">
      <c r="I5899" s="62" t="str">
        <f t="shared" si="92"/>
        <v/>
      </c>
    </row>
    <row r="5900" spans="9:9" x14ac:dyDescent="0.25">
      <c r="I5900" s="62" t="str">
        <f t="shared" si="92"/>
        <v/>
      </c>
    </row>
    <row r="5901" spans="9:9" x14ac:dyDescent="0.25">
      <c r="I5901" s="62" t="str">
        <f t="shared" si="92"/>
        <v/>
      </c>
    </row>
    <row r="5902" spans="9:9" x14ac:dyDescent="0.25">
      <c r="I5902" s="62" t="str">
        <f t="shared" si="92"/>
        <v/>
      </c>
    </row>
    <row r="5903" spans="9:9" x14ac:dyDescent="0.25">
      <c r="I5903" s="62" t="str">
        <f t="shared" si="92"/>
        <v/>
      </c>
    </row>
    <row r="5904" spans="9:9" x14ac:dyDescent="0.25">
      <c r="I5904" s="62" t="str">
        <f t="shared" si="92"/>
        <v/>
      </c>
    </row>
    <row r="5905" spans="9:9" x14ac:dyDescent="0.25">
      <c r="I5905" s="62" t="str">
        <f t="shared" si="92"/>
        <v/>
      </c>
    </row>
    <row r="5906" spans="9:9" x14ac:dyDescent="0.25">
      <c r="I5906" s="62" t="str">
        <f t="shared" si="92"/>
        <v/>
      </c>
    </row>
    <row r="5907" spans="9:9" x14ac:dyDescent="0.25">
      <c r="I5907" s="62" t="str">
        <f t="shared" si="92"/>
        <v/>
      </c>
    </row>
    <row r="5908" spans="9:9" x14ac:dyDescent="0.25">
      <c r="I5908" s="62" t="str">
        <f t="shared" si="92"/>
        <v/>
      </c>
    </row>
    <row r="5909" spans="9:9" x14ac:dyDescent="0.25">
      <c r="I5909" s="62" t="str">
        <f t="shared" si="92"/>
        <v/>
      </c>
    </row>
    <row r="5910" spans="9:9" x14ac:dyDescent="0.25">
      <c r="I5910" s="62" t="str">
        <f t="shared" si="92"/>
        <v/>
      </c>
    </row>
    <row r="5911" spans="9:9" x14ac:dyDescent="0.25">
      <c r="I5911" s="62" t="str">
        <f t="shared" si="92"/>
        <v/>
      </c>
    </row>
    <row r="5912" spans="9:9" x14ac:dyDescent="0.25">
      <c r="I5912" s="62" t="str">
        <f t="shared" si="92"/>
        <v/>
      </c>
    </row>
    <row r="5913" spans="9:9" x14ac:dyDescent="0.25">
      <c r="I5913" s="62" t="str">
        <f t="shared" si="92"/>
        <v/>
      </c>
    </row>
    <row r="5914" spans="9:9" x14ac:dyDescent="0.25">
      <c r="I5914" s="62" t="str">
        <f t="shared" si="92"/>
        <v/>
      </c>
    </row>
    <row r="5915" spans="9:9" x14ac:dyDescent="0.25">
      <c r="I5915" s="62" t="str">
        <f t="shared" si="92"/>
        <v/>
      </c>
    </row>
    <row r="5916" spans="9:9" x14ac:dyDescent="0.25">
      <c r="I5916" s="62" t="str">
        <f t="shared" si="92"/>
        <v/>
      </c>
    </row>
    <row r="5917" spans="9:9" x14ac:dyDescent="0.25">
      <c r="I5917" s="62" t="str">
        <f t="shared" si="92"/>
        <v/>
      </c>
    </row>
    <row r="5918" spans="9:9" x14ac:dyDescent="0.25">
      <c r="I5918" s="62" t="str">
        <f t="shared" si="92"/>
        <v/>
      </c>
    </row>
    <row r="5919" spans="9:9" x14ac:dyDescent="0.25">
      <c r="I5919" s="62" t="str">
        <f t="shared" si="92"/>
        <v/>
      </c>
    </row>
    <row r="5920" spans="9:9" x14ac:dyDescent="0.25">
      <c r="I5920" s="62" t="str">
        <f t="shared" si="92"/>
        <v/>
      </c>
    </row>
    <row r="5921" spans="9:9" x14ac:dyDescent="0.25">
      <c r="I5921" s="62" t="str">
        <f t="shared" si="92"/>
        <v/>
      </c>
    </row>
    <row r="5922" spans="9:9" x14ac:dyDescent="0.25">
      <c r="I5922" s="62" t="str">
        <f t="shared" si="92"/>
        <v/>
      </c>
    </row>
    <row r="5923" spans="9:9" x14ac:dyDescent="0.25">
      <c r="I5923" s="62" t="str">
        <f t="shared" si="92"/>
        <v/>
      </c>
    </row>
    <row r="5924" spans="9:9" x14ac:dyDescent="0.25">
      <c r="I5924" s="62" t="str">
        <f t="shared" si="92"/>
        <v/>
      </c>
    </row>
    <row r="5925" spans="9:9" x14ac:dyDescent="0.25">
      <c r="I5925" s="62" t="str">
        <f t="shared" si="92"/>
        <v/>
      </c>
    </row>
    <row r="5926" spans="9:9" x14ac:dyDescent="0.25">
      <c r="I5926" s="62" t="str">
        <f t="shared" si="92"/>
        <v/>
      </c>
    </row>
    <row r="5927" spans="9:9" x14ac:dyDescent="0.25">
      <c r="I5927" s="62" t="str">
        <f t="shared" si="92"/>
        <v/>
      </c>
    </row>
    <row r="5928" spans="9:9" x14ac:dyDescent="0.25">
      <c r="I5928" s="62" t="str">
        <f t="shared" si="92"/>
        <v/>
      </c>
    </row>
    <row r="5929" spans="9:9" x14ac:dyDescent="0.25">
      <c r="I5929" s="62" t="str">
        <f t="shared" si="92"/>
        <v/>
      </c>
    </row>
    <row r="5930" spans="9:9" x14ac:dyDescent="0.25">
      <c r="I5930" s="62" t="str">
        <f t="shared" si="92"/>
        <v/>
      </c>
    </row>
    <row r="5931" spans="9:9" x14ac:dyDescent="0.25">
      <c r="I5931" s="62" t="str">
        <f t="shared" si="92"/>
        <v/>
      </c>
    </row>
    <row r="5932" spans="9:9" x14ac:dyDescent="0.25">
      <c r="I5932" s="62" t="str">
        <f t="shared" si="92"/>
        <v/>
      </c>
    </row>
    <row r="5933" spans="9:9" x14ac:dyDescent="0.25">
      <c r="I5933" s="62" t="str">
        <f t="shared" si="92"/>
        <v/>
      </c>
    </row>
    <row r="5934" spans="9:9" x14ac:dyDescent="0.25">
      <c r="I5934" s="62" t="str">
        <f t="shared" si="92"/>
        <v/>
      </c>
    </row>
    <row r="5935" spans="9:9" x14ac:dyDescent="0.25">
      <c r="I5935" s="62" t="str">
        <f t="shared" si="92"/>
        <v/>
      </c>
    </row>
    <row r="5936" spans="9:9" x14ac:dyDescent="0.25">
      <c r="I5936" s="62" t="str">
        <f t="shared" si="92"/>
        <v/>
      </c>
    </row>
    <row r="5937" spans="9:9" x14ac:dyDescent="0.25">
      <c r="I5937" s="62" t="str">
        <f t="shared" si="92"/>
        <v/>
      </c>
    </row>
    <row r="5938" spans="9:9" x14ac:dyDescent="0.25">
      <c r="I5938" s="62" t="str">
        <f t="shared" si="92"/>
        <v/>
      </c>
    </row>
    <row r="5939" spans="9:9" x14ac:dyDescent="0.25">
      <c r="I5939" s="62" t="str">
        <f t="shared" si="92"/>
        <v/>
      </c>
    </row>
    <row r="5940" spans="9:9" x14ac:dyDescent="0.25">
      <c r="I5940" s="62" t="str">
        <f t="shared" si="92"/>
        <v/>
      </c>
    </row>
    <row r="5941" spans="9:9" x14ac:dyDescent="0.25">
      <c r="I5941" s="62" t="str">
        <f t="shared" si="92"/>
        <v/>
      </c>
    </row>
    <row r="5942" spans="9:9" x14ac:dyDescent="0.25">
      <c r="I5942" s="62" t="str">
        <f t="shared" si="92"/>
        <v/>
      </c>
    </row>
    <row r="5943" spans="9:9" x14ac:dyDescent="0.25">
      <c r="I5943" s="62" t="str">
        <f t="shared" si="92"/>
        <v/>
      </c>
    </row>
    <row r="5944" spans="9:9" x14ac:dyDescent="0.25">
      <c r="I5944" s="62" t="str">
        <f t="shared" si="92"/>
        <v/>
      </c>
    </row>
    <row r="5945" spans="9:9" x14ac:dyDescent="0.25">
      <c r="I5945" s="62" t="str">
        <f t="shared" si="92"/>
        <v/>
      </c>
    </row>
    <row r="5946" spans="9:9" x14ac:dyDescent="0.25">
      <c r="I5946" s="62" t="str">
        <f t="shared" si="92"/>
        <v/>
      </c>
    </row>
    <row r="5947" spans="9:9" x14ac:dyDescent="0.25">
      <c r="I5947" s="62" t="str">
        <f t="shared" si="92"/>
        <v/>
      </c>
    </row>
    <row r="5948" spans="9:9" x14ac:dyDescent="0.25">
      <c r="I5948" s="62" t="str">
        <f t="shared" si="92"/>
        <v/>
      </c>
    </row>
    <row r="5949" spans="9:9" x14ac:dyDescent="0.25">
      <c r="I5949" s="62" t="str">
        <f t="shared" si="92"/>
        <v/>
      </c>
    </row>
    <row r="5950" spans="9:9" x14ac:dyDescent="0.25">
      <c r="I5950" s="62" t="str">
        <f t="shared" si="92"/>
        <v/>
      </c>
    </row>
    <row r="5951" spans="9:9" x14ac:dyDescent="0.25">
      <c r="I5951" s="62" t="str">
        <f t="shared" si="92"/>
        <v/>
      </c>
    </row>
    <row r="5952" spans="9:9" x14ac:dyDescent="0.25">
      <c r="I5952" s="62" t="str">
        <f t="shared" si="92"/>
        <v/>
      </c>
    </row>
    <row r="5953" spans="9:9" x14ac:dyDescent="0.25">
      <c r="I5953" s="62" t="str">
        <f t="shared" si="92"/>
        <v/>
      </c>
    </row>
    <row r="5954" spans="9:9" x14ac:dyDescent="0.25">
      <c r="I5954" s="62" t="str">
        <f t="shared" si="92"/>
        <v/>
      </c>
    </row>
    <row r="5955" spans="9:9" x14ac:dyDescent="0.25">
      <c r="I5955" s="62" t="str">
        <f t="shared" si="92"/>
        <v/>
      </c>
    </row>
    <row r="5956" spans="9:9" x14ac:dyDescent="0.25">
      <c r="I5956" s="62" t="str">
        <f t="shared" si="92"/>
        <v/>
      </c>
    </row>
    <row r="5957" spans="9:9" x14ac:dyDescent="0.25">
      <c r="I5957" s="62" t="str">
        <f t="shared" ref="I5957:I6020" si="93">IF(H5957&lt;&gt;"",H5957-H5956,"")</f>
        <v/>
      </c>
    </row>
    <row r="5958" spans="9:9" x14ac:dyDescent="0.25">
      <c r="I5958" s="62" t="str">
        <f t="shared" si="93"/>
        <v/>
      </c>
    </row>
    <row r="5959" spans="9:9" x14ac:dyDescent="0.25">
      <c r="I5959" s="62" t="str">
        <f t="shared" si="93"/>
        <v/>
      </c>
    </row>
    <row r="5960" spans="9:9" x14ac:dyDescent="0.25">
      <c r="I5960" s="62" t="str">
        <f t="shared" si="93"/>
        <v/>
      </c>
    </row>
    <row r="5961" spans="9:9" x14ac:dyDescent="0.25">
      <c r="I5961" s="62" t="str">
        <f t="shared" si="93"/>
        <v/>
      </c>
    </row>
    <row r="5962" spans="9:9" x14ac:dyDescent="0.25">
      <c r="I5962" s="62" t="str">
        <f t="shared" si="93"/>
        <v/>
      </c>
    </row>
    <row r="5963" spans="9:9" x14ac:dyDescent="0.25">
      <c r="I5963" s="62" t="str">
        <f t="shared" si="93"/>
        <v/>
      </c>
    </row>
    <row r="5964" spans="9:9" x14ac:dyDescent="0.25">
      <c r="I5964" s="62" t="str">
        <f t="shared" si="93"/>
        <v/>
      </c>
    </row>
    <row r="5965" spans="9:9" x14ac:dyDescent="0.25">
      <c r="I5965" s="62" t="str">
        <f t="shared" si="93"/>
        <v/>
      </c>
    </row>
    <row r="5966" spans="9:9" x14ac:dyDescent="0.25">
      <c r="I5966" s="62" t="str">
        <f t="shared" si="93"/>
        <v/>
      </c>
    </row>
    <row r="5967" spans="9:9" x14ac:dyDescent="0.25">
      <c r="I5967" s="62" t="str">
        <f t="shared" si="93"/>
        <v/>
      </c>
    </row>
    <row r="5968" spans="9:9" x14ac:dyDescent="0.25">
      <c r="I5968" s="62" t="str">
        <f t="shared" si="93"/>
        <v/>
      </c>
    </row>
    <row r="5969" spans="9:9" x14ac:dyDescent="0.25">
      <c r="I5969" s="62" t="str">
        <f t="shared" si="93"/>
        <v/>
      </c>
    </row>
    <row r="5970" spans="9:9" x14ac:dyDescent="0.25">
      <c r="I5970" s="62" t="str">
        <f t="shared" si="93"/>
        <v/>
      </c>
    </row>
    <row r="5971" spans="9:9" x14ac:dyDescent="0.25">
      <c r="I5971" s="62" t="str">
        <f t="shared" si="93"/>
        <v/>
      </c>
    </row>
    <row r="5972" spans="9:9" x14ac:dyDescent="0.25">
      <c r="I5972" s="62" t="str">
        <f t="shared" si="93"/>
        <v/>
      </c>
    </row>
    <row r="5973" spans="9:9" x14ac:dyDescent="0.25">
      <c r="I5973" s="62" t="str">
        <f t="shared" si="93"/>
        <v/>
      </c>
    </row>
    <row r="5974" spans="9:9" x14ac:dyDescent="0.25">
      <c r="I5974" s="62" t="str">
        <f t="shared" si="93"/>
        <v/>
      </c>
    </row>
    <row r="5975" spans="9:9" x14ac:dyDescent="0.25">
      <c r="I5975" s="62" t="str">
        <f t="shared" si="93"/>
        <v/>
      </c>
    </row>
    <row r="5976" spans="9:9" x14ac:dyDescent="0.25">
      <c r="I5976" s="62" t="str">
        <f t="shared" si="93"/>
        <v/>
      </c>
    </row>
    <row r="5977" spans="9:9" x14ac:dyDescent="0.25">
      <c r="I5977" s="62" t="str">
        <f t="shared" si="93"/>
        <v/>
      </c>
    </row>
    <row r="5978" spans="9:9" x14ac:dyDescent="0.25">
      <c r="I5978" s="62" t="str">
        <f t="shared" si="93"/>
        <v/>
      </c>
    </row>
    <row r="5979" spans="9:9" x14ac:dyDescent="0.25">
      <c r="I5979" s="62" t="str">
        <f t="shared" si="93"/>
        <v/>
      </c>
    </row>
    <row r="5980" spans="9:9" x14ac:dyDescent="0.25">
      <c r="I5980" s="62" t="str">
        <f t="shared" si="93"/>
        <v/>
      </c>
    </row>
    <row r="5981" spans="9:9" x14ac:dyDescent="0.25">
      <c r="I5981" s="62" t="str">
        <f t="shared" si="93"/>
        <v/>
      </c>
    </row>
    <row r="5982" spans="9:9" x14ac:dyDescent="0.25">
      <c r="I5982" s="62" t="str">
        <f t="shared" si="93"/>
        <v/>
      </c>
    </row>
    <row r="5983" spans="9:9" x14ac:dyDescent="0.25">
      <c r="I5983" s="62" t="str">
        <f t="shared" si="93"/>
        <v/>
      </c>
    </row>
    <row r="5984" spans="9:9" x14ac:dyDescent="0.25">
      <c r="I5984" s="62" t="str">
        <f t="shared" si="93"/>
        <v/>
      </c>
    </row>
    <row r="5985" spans="9:9" x14ac:dyDescent="0.25">
      <c r="I5985" s="62" t="str">
        <f t="shared" si="93"/>
        <v/>
      </c>
    </row>
    <row r="5986" spans="9:9" x14ac:dyDescent="0.25">
      <c r="I5986" s="62" t="str">
        <f t="shared" si="93"/>
        <v/>
      </c>
    </row>
    <row r="5987" spans="9:9" x14ac:dyDescent="0.25">
      <c r="I5987" s="62" t="str">
        <f t="shared" si="93"/>
        <v/>
      </c>
    </row>
    <row r="5988" spans="9:9" x14ac:dyDescent="0.25">
      <c r="I5988" s="62" t="str">
        <f t="shared" si="93"/>
        <v/>
      </c>
    </row>
    <row r="5989" spans="9:9" x14ac:dyDescent="0.25">
      <c r="I5989" s="62" t="str">
        <f t="shared" si="93"/>
        <v/>
      </c>
    </row>
    <row r="5990" spans="9:9" x14ac:dyDescent="0.25">
      <c r="I5990" s="62" t="str">
        <f t="shared" si="93"/>
        <v/>
      </c>
    </row>
    <row r="5991" spans="9:9" x14ac:dyDescent="0.25">
      <c r="I5991" s="62" t="str">
        <f t="shared" si="93"/>
        <v/>
      </c>
    </row>
    <row r="5992" spans="9:9" x14ac:dyDescent="0.25">
      <c r="I5992" s="62" t="str">
        <f t="shared" si="93"/>
        <v/>
      </c>
    </row>
    <row r="5993" spans="9:9" x14ac:dyDescent="0.25">
      <c r="I5993" s="62" t="str">
        <f t="shared" si="93"/>
        <v/>
      </c>
    </row>
    <row r="5994" spans="9:9" x14ac:dyDescent="0.25">
      <c r="I5994" s="62" t="str">
        <f t="shared" si="93"/>
        <v/>
      </c>
    </row>
    <row r="5995" spans="9:9" x14ac:dyDescent="0.25">
      <c r="I5995" s="62" t="str">
        <f t="shared" si="93"/>
        <v/>
      </c>
    </row>
    <row r="5996" spans="9:9" x14ac:dyDescent="0.25">
      <c r="I5996" s="62" t="str">
        <f t="shared" si="93"/>
        <v/>
      </c>
    </row>
    <row r="5997" spans="9:9" x14ac:dyDescent="0.25">
      <c r="I5997" s="62" t="str">
        <f t="shared" si="93"/>
        <v/>
      </c>
    </row>
    <row r="5998" spans="9:9" x14ac:dyDescent="0.25">
      <c r="I5998" s="62" t="str">
        <f t="shared" si="93"/>
        <v/>
      </c>
    </row>
    <row r="5999" spans="9:9" x14ac:dyDescent="0.25">
      <c r="I5999" s="62" t="str">
        <f t="shared" si="93"/>
        <v/>
      </c>
    </row>
    <row r="6000" spans="9:9" x14ac:dyDescent="0.25">
      <c r="I6000" s="62" t="str">
        <f t="shared" si="93"/>
        <v/>
      </c>
    </row>
    <row r="6001" spans="9:9" x14ac:dyDescent="0.25">
      <c r="I6001" s="62" t="str">
        <f t="shared" si="93"/>
        <v/>
      </c>
    </row>
    <row r="6002" spans="9:9" x14ac:dyDescent="0.25">
      <c r="I6002" s="62" t="str">
        <f t="shared" si="93"/>
        <v/>
      </c>
    </row>
    <row r="6003" spans="9:9" x14ac:dyDescent="0.25">
      <c r="I6003" s="62" t="str">
        <f t="shared" si="93"/>
        <v/>
      </c>
    </row>
    <row r="6004" spans="9:9" x14ac:dyDescent="0.25">
      <c r="I6004" s="62" t="str">
        <f t="shared" si="93"/>
        <v/>
      </c>
    </row>
    <row r="6005" spans="9:9" x14ac:dyDescent="0.25">
      <c r="I6005" s="62" t="str">
        <f t="shared" si="93"/>
        <v/>
      </c>
    </row>
    <row r="6006" spans="9:9" x14ac:dyDescent="0.25">
      <c r="I6006" s="62" t="str">
        <f t="shared" si="93"/>
        <v/>
      </c>
    </row>
    <row r="6007" spans="9:9" x14ac:dyDescent="0.25">
      <c r="I6007" s="62" t="str">
        <f t="shared" si="93"/>
        <v/>
      </c>
    </row>
    <row r="6008" spans="9:9" x14ac:dyDescent="0.25">
      <c r="I6008" s="62" t="str">
        <f t="shared" si="93"/>
        <v/>
      </c>
    </row>
    <row r="6009" spans="9:9" x14ac:dyDescent="0.25">
      <c r="I6009" s="62" t="str">
        <f t="shared" si="93"/>
        <v/>
      </c>
    </row>
    <row r="6010" spans="9:9" x14ac:dyDescent="0.25">
      <c r="I6010" s="62" t="str">
        <f t="shared" si="93"/>
        <v/>
      </c>
    </row>
    <row r="6011" spans="9:9" x14ac:dyDescent="0.25">
      <c r="I6011" s="62" t="str">
        <f t="shared" si="93"/>
        <v/>
      </c>
    </row>
    <row r="6012" spans="9:9" x14ac:dyDescent="0.25">
      <c r="I6012" s="62" t="str">
        <f t="shared" si="93"/>
        <v/>
      </c>
    </row>
    <row r="6013" spans="9:9" x14ac:dyDescent="0.25">
      <c r="I6013" s="62" t="str">
        <f t="shared" si="93"/>
        <v/>
      </c>
    </row>
    <row r="6014" spans="9:9" x14ac:dyDescent="0.25">
      <c r="I6014" s="62" t="str">
        <f t="shared" si="93"/>
        <v/>
      </c>
    </row>
    <row r="6015" spans="9:9" x14ac:dyDescent="0.25">
      <c r="I6015" s="62" t="str">
        <f t="shared" si="93"/>
        <v/>
      </c>
    </row>
    <row r="6016" spans="9:9" x14ac:dyDescent="0.25">
      <c r="I6016" s="62" t="str">
        <f t="shared" si="93"/>
        <v/>
      </c>
    </row>
    <row r="6017" spans="9:9" x14ac:dyDescent="0.25">
      <c r="I6017" s="62" t="str">
        <f t="shared" si="93"/>
        <v/>
      </c>
    </row>
    <row r="6018" spans="9:9" x14ac:dyDescent="0.25">
      <c r="I6018" s="62" t="str">
        <f t="shared" si="93"/>
        <v/>
      </c>
    </row>
    <row r="6019" spans="9:9" x14ac:dyDescent="0.25">
      <c r="I6019" s="62" t="str">
        <f t="shared" si="93"/>
        <v/>
      </c>
    </row>
    <row r="6020" spans="9:9" x14ac:dyDescent="0.25">
      <c r="I6020" s="62" t="str">
        <f t="shared" si="93"/>
        <v/>
      </c>
    </row>
    <row r="6021" spans="9:9" x14ac:dyDescent="0.25">
      <c r="I6021" s="62" t="str">
        <f t="shared" ref="I6021:I6084" si="94">IF(H6021&lt;&gt;"",H6021-H6020,"")</f>
        <v/>
      </c>
    </row>
    <row r="6022" spans="9:9" x14ac:dyDescent="0.25">
      <c r="I6022" s="62" t="str">
        <f t="shared" si="94"/>
        <v/>
      </c>
    </row>
    <row r="6023" spans="9:9" x14ac:dyDescent="0.25">
      <c r="I6023" s="62" t="str">
        <f t="shared" si="94"/>
        <v/>
      </c>
    </row>
    <row r="6024" spans="9:9" x14ac:dyDescent="0.25">
      <c r="I6024" s="62" t="str">
        <f t="shared" si="94"/>
        <v/>
      </c>
    </row>
    <row r="6025" spans="9:9" x14ac:dyDescent="0.25">
      <c r="I6025" s="62" t="str">
        <f t="shared" si="94"/>
        <v/>
      </c>
    </row>
    <row r="6026" spans="9:9" x14ac:dyDescent="0.25">
      <c r="I6026" s="62" t="str">
        <f t="shared" si="94"/>
        <v/>
      </c>
    </row>
    <row r="6027" spans="9:9" x14ac:dyDescent="0.25">
      <c r="I6027" s="62" t="str">
        <f t="shared" si="94"/>
        <v/>
      </c>
    </row>
    <row r="6028" spans="9:9" x14ac:dyDescent="0.25">
      <c r="I6028" s="62" t="str">
        <f t="shared" si="94"/>
        <v/>
      </c>
    </row>
    <row r="6029" spans="9:9" x14ac:dyDescent="0.25">
      <c r="I6029" s="62" t="str">
        <f t="shared" si="94"/>
        <v/>
      </c>
    </row>
    <row r="6030" spans="9:9" x14ac:dyDescent="0.25">
      <c r="I6030" s="62" t="str">
        <f t="shared" si="94"/>
        <v/>
      </c>
    </row>
    <row r="6031" spans="9:9" x14ac:dyDescent="0.25">
      <c r="I6031" s="62" t="str">
        <f t="shared" si="94"/>
        <v/>
      </c>
    </row>
    <row r="6032" spans="9:9" x14ac:dyDescent="0.25">
      <c r="I6032" s="62" t="str">
        <f t="shared" si="94"/>
        <v/>
      </c>
    </row>
    <row r="6033" spans="9:9" x14ac:dyDescent="0.25">
      <c r="I6033" s="62" t="str">
        <f t="shared" si="94"/>
        <v/>
      </c>
    </row>
    <row r="6034" spans="9:9" x14ac:dyDescent="0.25">
      <c r="I6034" s="62" t="str">
        <f t="shared" si="94"/>
        <v/>
      </c>
    </row>
    <row r="6035" spans="9:9" x14ac:dyDescent="0.25">
      <c r="I6035" s="62" t="str">
        <f t="shared" si="94"/>
        <v/>
      </c>
    </row>
    <row r="6036" spans="9:9" x14ac:dyDescent="0.25">
      <c r="I6036" s="62" t="str">
        <f t="shared" si="94"/>
        <v/>
      </c>
    </row>
    <row r="6037" spans="9:9" x14ac:dyDescent="0.25">
      <c r="I6037" s="62" t="str">
        <f t="shared" si="94"/>
        <v/>
      </c>
    </row>
    <row r="6038" spans="9:9" x14ac:dyDescent="0.25">
      <c r="I6038" s="62" t="str">
        <f t="shared" si="94"/>
        <v/>
      </c>
    </row>
    <row r="6039" spans="9:9" x14ac:dyDescent="0.25">
      <c r="I6039" s="62" t="str">
        <f t="shared" si="94"/>
        <v/>
      </c>
    </row>
    <row r="6040" spans="9:9" x14ac:dyDescent="0.25">
      <c r="I6040" s="62" t="str">
        <f t="shared" si="94"/>
        <v/>
      </c>
    </row>
    <row r="6041" spans="9:9" x14ac:dyDescent="0.25">
      <c r="I6041" s="62" t="str">
        <f t="shared" si="94"/>
        <v/>
      </c>
    </row>
    <row r="6042" spans="9:9" x14ac:dyDescent="0.25">
      <c r="I6042" s="62" t="str">
        <f t="shared" si="94"/>
        <v/>
      </c>
    </row>
    <row r="6043" spans="9:9" x14ac:dyDescent="0.25">
      <c r="I6043" s="62" t="str">
        <f t="shared" si="94"/>
        <v/>
      </c>
    </row>
    <row r="6044" spans="9:9" x14ac:dyDescent="0.25">
      <c r="I6044" s="62" t="str">
        <f t="shared" si="94"/>
        <v/>
      </c>
    </row>
    <row r="6045" spans="9:9" x14ac:dyDescent="0.25">
      <c r="I6045" s="62" t="str">
        <f t="shared" si="94"/>
        <v/>
      </c>
    </row>
    <row r="6046" spans="9:9" x14ac:dyDescent="0.25">
      <c r="I6046" s="62" t="str">
        <f t="shared" si="94"/>
        <v/>
      </c>
    </row>
    <row r="6047" spans="9:9" x14ac:dyDescent="0.25">
      <c r="I6047" s="62" t="str">
        <f t="shared" si="94"/>
        <v/>
      </c>
    </row>
    <row r="6048" spans="9:9" x14ac:dyDescent="0.25">
      <c r="I6048" s="62" t="str">
        <f t="shared" si="94"/>
        <v/>
      </c>
    </row>
    <row r="6049" spans="9:9" x14ac:dyDescent="0.25">
      <c r="I6049" s="62" t="str">
        <f t="shared" si="94"/>
        <v/>
      </c>
    </row>
    <row r="6050" spans="9:9" x14ac:dyDescent="0.25">
      <c r="I6050" s="62" t="str">
        <f t="shared" si="94"/>
        <v/>
      </c>
    </row>
    <row r="6051" spans="9:9" x14ac:dyDescent="0.25">
      <c r="I6051" s="62" t="str">
        <f t="shared" si="94"/>
        <v/>
      </c>
    </row>
    <row r="6052" spans="9:9" x14ac:dyDescent="0.25">
      <c r="I6052" s="62" t="str">
        <f t="shared" si="94"/>
        <v/>
      </c>
    </row>
    <row r="6053" spans="9:9" x14ac:dyDescent="0.25">
      <c r="I6053" s="62" t="str">
        <f t="shared" si="94"/>
        <v/>
      </c>
    </row>
    <row r="6054" spans="9:9" x14ac:dyDescent="0.25">
      <c r="I6054" s="62" t="str">
        <f t="shared" si="94"/>
        <v/>
      </c>
    </row>
    <row r="6055" spans="9:9" x14ac:dyDescent="0.25">
      <c r="I6055" s="62" t="str">
        <f t="shared" si="94"/>
        <v/>
      </c>
    </row>
    <row r="6056" spans="9:9" x14ac:dyDescent="0.25">
      <c r="I6056" s="62" t="str">
        <f t="shared" si="94"/>
        <v/>
      </c>
    </row>
    <row r="6057" spans="9:9" x14ac:dyDescent="0.25">
      <c r="I6057" s="62" t="str">
        <f t="shared" si="94"/>
        <v/>
      </c>
    </row>
    <row r="6058" spans="9:9" x14ac:dyDescent="0.25">
      <c r="I6058" s="62" t="str">
        <f t="shared" si="94"/>
        <v/>
      </c>
    </row>
    <row r="6059" spans="9:9" x14ac:dyDescent="0.25">
      <c r="I6059" s="62" t="str">
        <f t="shared" si="94"/>
        <v/>
      </c>
    </row>
    <row r="6060" spans="9:9" x14ac:dyDescent="0.25">
      <c r="I6060" s="62" t="str">
        <f t="shared" si="94"/>
        <v/>
      </c>
    </row>
    <row r="6061" spans="9:9" x14ac:dyDescent="0.25">
      <c r="I6061" s="62" t="str">
        <f t="shared" si="94"/>
        <v/>
      </c>
    </row>
    <row r="6062" spans="9:9" x14ac:dyDescent="0.25">
      <c r="I6062" s="62" t="str">
        <f t="shared" si="94"/>
        <v/>
      </c>
    </row>
    <row r="6063" spans="9:9" x14ac:dyDescent="0.25">
      <c r="I6063" s="62" t="str">
        <f t="shared" si="94"/>
        <v/>
      </c>
    </row>
    <row r="6064" spans="9:9" x14ac:dyDescent="0.25">
      <c r="I6064" s="62" t="str">
        <f t="shared" si="94"/>
        <v/>
      </c>
    </row>
    <row r="6065" spans="9:9" x14ac:dyDescent="0.25">
      <c r="I6065" s="62" t="str">
        <f t="shared" si="94"/>
        <v/>
      </c>
    </row>
    <row r="6066" spans="9:9" x14ac:dyDescent="0.25">
      <c r="I6066" s="62" t="str">
        <f t="shared" si="94"/>
        <v/>
      </c>
    </row>
    <row r="6067" spans="9:9" x14ac:dyDescent="0.25">
      <c r="I6067" s="62" t="str">
        <f t="shared" si="94"/>
        <v/>
      </c>
    </row>
    <row r="6068" spans="9:9" x14ac:dyDescent="0.25">
      <c r="I6068" s="62" t="str">
        <f t="shared" si="94"/>
        <v/>
      </c>
    </row>
    <row r="6069" spans="9:9" x14ac:dyDescent="0.25">
      <c r="I6069" s="62" t="str">
        <f t="shared" si="94"/>
        <v/>
      </c>
    </row>
    <row r="6070" spans="9:9" x14ac:dyDescent="0.25">
      <c r="I6070" s="62" t="str">
        <f t="shared" si="94"/>
        <v/>
      </c>
    </row>
    <row r="6071" spans="9:9" x14ac:dyDescent="0.25">
      <c r="I6071" s="62" t="str">
        <f t="shared" si="94"/>
        <v/>
      </c>
    </row>
    <row r="6072" spans="9:9" x14ac:dyDescent="0.25">
      <c r="I6072" s="62" t="str">
        <f t="shared" si="94"/>
        <v/>
      </c>
    </row>
    <row r="6073" spans="9:9" x14ac:dyDescent="0.25">
      <c r="I6073" s="62" t="str">
        <f t="shared" si="94"/>
        <v/>
      </c>
    </row>
    <row r="6074" spans="9:9" x14ac:dyDescent="0.25">
      <c r="I6074" s="62" t="str">
        <f t="shared" si="94"/>
        <v/>
      </c>
    </row>
    <row r="6075" spans="9:9" x14ac:dyDescent="0.25">
      <c r="I6075" s="62" t="str">
        <f t="shared" si="94"/>
        <v/>
      </c>
    </row>
    <row r="6076" spans="9:9" x14ac:dyDescent="0.25">
      <c r="I6076" s="62" t="str">
        <f t="shared" si="94"/>
        <v/>
      </c>
    </row>
    <row r="6077" spans="9:9" x14ac:dyDescent="0.25">
      <c r="I6077" s="62" t="str">
        <f t="shared" si="94"/>
        <v/>
      </c>
    </row>
    <row r="6078" spans="9:9" x14ac:dyDescent="0.25">
      <c r="I6078" s="62" t="str">
        <f t="shared" si="94"/>
        <v/>
      </c>
    </row>
    <row r="6079" spans="9:9" x14ac:dyDescent="0.25">
      <c r="I6079" s="62" t="str">
        <f t="shared" si="94"/>
        <v/>
      </c>
    </row>
    <row r="6080" spans="9:9" x14ac:dyDescent="0.25">
      <c r="I6080" s="62" t="str">
        <f t="shared" si="94"/>
        <v/>
      </c>
    </row>
    <row r="6081" spans="9:9" x14ac:dyDescent="0.25">
      <c r="I6081" s="62" t="str">
        <f t="shared" si="94"/>
        <v/>
      </c>
    </row>
    <row r="6082" spans="9:9" x14ac:dyDescent="0.25">
      <c r="I6082" s="62" t="str">
        <f t="shared" si="94"/>
        <v/>
      </c>
    </row>
    <row r="6083" spans="9:9" x14ac:dyDescent="0.25">
      <c r="I6083" s="62" t="str">
        <f t="shared" si="94"/>
        <v/>
      </c>
    </row>
    <row r="6084" spans="9:9" x14ac:dyDescent="0.25">
      <c r="I6084" s="62" t="str">
        <f t="shared" si="94"/>
        <v/>
      </c>
    </row>
    <row r="6085" spans="9:9" x14ac:dyDescent="0.25">
      <c r="I6085" s="62" t="str">
        <f t="shared" ref="I6085:I6148" si="95">IF(H6085&lt;&gt;"",H6085-H6084,"")</f>
        <v/>
      </c>
    </row>
    <row r="6086" spans="9:9" x14ac:dyDescent="0.25">
      <c r="I6086" s="62" t="str">
        <f t="shared" si="95"/>
        <v/>
      </c>
    </row>
    <row r="6087" spans="9:9" x14ac:dyDescent="0.25">
      <c r="I6087" s="62" t="str">
        <f t="shared" si="95"/>
        <v/>
      </c>
    </row>
    <row r="6088" spans="9:9" x14ac:dyDescent="0.25">
      <c r="I6088" s="62" t="str">
        <f t="shared" si="95"/>
        <v/>
      </c>
    </row>
    <row r="6089" spans="9:9" x14ac:dyDescent="0.25">
      <c r="I6089" s="62" t="str">
        <f t="shared" si="95"/>
        <v/>
      </c>
    </row>
    <row r="6090" spans="9:9" x14ac:dyDescent="0.25">
      <c r="I6090" s="62" t="str">
        <f t="shared" si="95"/>
        <v/>
      </c>
    </row>
    <row r="6091" spans="9:9" x14ac:dyDescent="0.25">
      <c r="I6091" s="62" t="str">
        <f t="shared" si="95"/>
        <v/>
      </c>
    </row>
    <row r="6092" spans="9:9" x14ac:dyDescent="0.25">
      <c r="I6092" s="62" t="str">
        <f t="shared" si="95"/>
        <v/>
      </c>
    </row>
    <row r="6093" spans="9:9" x14ac:dyDescent="0.25">
      <c r="I6093" s="62" t="str">
        <f t="shared" si="95"/>
        <v/>
      </c>
    </row>
    <row r="6094" spans="9:9" x14ac:dyDescent="0.25">
      <c r="I6094" s="62" t="str">
        <f t="shared" si="95"/>
        <v/>
      </c>
    </row>
    <row r="6095" spans="9:9" x14ac:dyDescent="0.25">
      <c r="I6095" s="62" t="str">
        <f t="shared" si="95"/>
        <v/>
      </c>
    </row>
    <row r="6096" spans="9:9" x14ac:dyDescent="0.25">
      <c r="I6096" s="62" t="str">
        <f t="shared" si="95"/>
        <v/>
      </c>
    </row>
    <row r="6097" spans="9:9" x14ac:dyDescent="0.25">
      <c r="I6097" s="62" t="str">
        <f t="shared" si="95"/>
        <v/>
      </c>
    </row>
    <row r="6098" spans="9:9" x14ac:dyDescent="0.25">
      <c r="I6098" s="62" t="str">
        <f t="shared" si="95"/>
        <v/>
      </c>
    </row>
    <row r="6099" spans="9:9" x14ac:dyDescent="0.25">
      <c r="I6099" s="62" t="str">
        <f t="shared" si="95"/>
        <v/>
      </c>
    </row>
    <row r="6100" spans="9:9" x14ac:dyDescent="0.25">
      <c r="I6100" s="62" t="str">
        <f t="shared" si="95"/>
        <v/>
      </c>
    </row>
    <row r="6101" spans="9:9" x14ac:dyDescent="0.25">
      <c r="I6101" s="62" t="str">
        <f t="shared" si="95"/>
        <v/>
      </c>
    </row>
    <row r="6102" spans="9:9" x14ac:dyDescent="0.25">
      <c r="I6102" s="62" t="str">
        <f t="shared" si="95"/>
        <v/>
      </c>
    </row>
    <row r="6103" spans="9:9" x14ac:dyDescent="0.25">
      <c r="I6103" s="62" t="str">
        <f t="shared" si="95"/>
        <v/>
      </c>
    </row>
    <row r="6104" spans="9:9" x14ac:dyDescent="0.25">
      <c r="I6104" s="62" t="str">
        <f t="shared" si="95"/>
        <v/>
      </c>
    </row>
    <row r="6105" spans="9:9" x14ac:dyDescent="0.25">
      <c r="I6105" s="62" t="str">
        <f t="shared" si="95"/>
        <v/>
      </c>
    </row>
    <row r="6106" spans="9:9" x14ac:dyDescent="0.25">
      <c r="I6106" s="62" t="str">
        <f t="shared" si="95"/>
        <v/>
      </c>
    </row>
    <row r="6107" spans="9:9" x14ac:dyDescent="0.25">
      <c r="I6107" s="62" t="str">
        <f t="shared" si="95"/>
        <v/>
      </c>
    </row>
    <row r="6108" spans="9:9" x14ac:dyDescent="0.25">
      <c r="I6108" s="62" t="str">
        <f t="shared" si="95"/>
        <v/>
      </c>
    </row>
    <row r="6109" spans="9:9" x14ac:dyDescent="0.25">
      <c r="I6109" s="62" t="str">
        <f t="shared" si="95"/>
        <v/>
      </c>
    </row>
    <row r="6110" spans="9:9" x14ac:dyDescent="0.25">
      <c r="I6110" s="62" t="str">
        <f t="shared" si="95"/>
        <v/>
      </c>
    </row>
    <row r="6111" spans="9:9" x14ac:dyDescent="0.25">
      <c r="I6111" s="62" t="str">
        <f t="shared" si="95"/>
        <v/>
      </c>
    </row>
    <row r="6112" spans="9:9" x14ac:dyDescent="0.25">
      <c r="I6112" s="62" t="str">
        <f t="shared" si="95"/>
        <v/>
      </c>
    </row>
    <row r="6113" spans="9:9" x14ac:dyDescent="0.25">
      <c r="I6113" s="62" t="str">
        <f t="shared" si="95"/>
        <v/>
      </c>
    </row>
    <row r="6114" spans="9:9" x14ac:dyDescent="0.25">
      <c r="I6114" s="62" t="str">
        <f t="shared" si="95"/>
        <v/>
      </c>
    </row>
    <row r="6115" spans="9:9" x14ac:dyDescent="0.25">
      <c r="I6115" s="62" t="str">
        <f t="shared" si="95"/>
        <v/>
      </c>
    </row>
    <row r="6116" spans="9:9" x14ac:dyDescent="0.25">
      <c r="I6116" s="62" t="str">
        <f t="shared" si="95"/>
        <v/>
      </c>
    </row>
    <row r="6117" spans="9:9" x14ac:dyDescent="0.25">
      <c r="I6117" s="62" t="str">
        <f t="shared" si="95"/>
        <v/>
      </c>
    </row>
    <row r="6118" spans="9:9" x14ac:dyDescent="0.25">
      <c r="I6118" s="62" t="str">
        <f t="shared" si="95"/>
        <v/>
      </c>
    </row>
    <row r="6119" spans="9:9" x14ac:dyDescent="0.25">
      <c r="I6119" s="62" t="str">
        <f t="shared" si="95"/>
        <v/>
      </c>
    </row>
    <row r="6120" spans="9:9" x14ac:dyDescent="0.25">
      <c r="I6120" s="62" t="str">
        <f t="shared" si="95"/>
        <v/>
      </c>
    </row>
    <row r="6121" spans="9:9" x14ac:dyDescent="0.25">
      <c r="I6121" s="62" t="str">
        <f t="shared" si="95"/>
        <v/>
      </c>
    </row>
    <row r="6122" spans="9:9" x14ac:dyDescent="0.25">
      <c r="I6122" s="62" t="str">
        <f t="shared" si="95"/>
        <v/>
      </c>
    </row>
    <row r="6123" spans="9:9" x14ac:dyDescent="0.25">
      <c r="I6123" s="62" t="str">
        <f t="shared" si="95"/>
        <v/>
      </c>
    </row>
    <row r="6124" spans="9:9" x14ac:dyDescent="0.25">
      <c r="I6124" s="62" t="str">
        <f t="shared" si="95"/>
        <v/>
      </c>
    </row>
    <row r="6125" spans="9:9" x14ac:dyDescent="0.25">
      <c r="I6125" s="62" t="str">
        <f t="shared" si="95"/>
        <v/>
      </c>
    </row>
    <row r="6126" spans="9:9" x14ac:dyDescent="0.25">
      <c r="I6126" s="62" t="str">
        <f t="shared" si="95"/>
        <v/>
      </c>
    </row>
    <row r="6127" spans="9:9" x14ac:dyDescent="0.25">
      <c r="I6127" s="62" t="str">
        <f t="shared" si="95"/>
        <v/>
      </c>
    </row>
    <row r="6128" spans="9:9" x14ac:dyDescent="0.25">
      <c r="I6128" s="62" t="str">
        <f t="shared" si="95"/>
        <v/>
      </c>
    </row>
    <row r="6129" spans="9:9" x14ac:dyDescent="0.25">
      <c r="I6129" s="62" t="str">
        <f t="shared" si="95"/>
        <v/>
      </c>
    </row>
    <row r="6130" spans="9:9" x14ac:dyDescent="0.25">
      <c r="I6130" s="62" t="str">
        <f t="shared" si="95"/>
        <v/>
      </c>
    </row>
    <row r="6131" spans="9:9" x14ac:dyDescent="0.25">
      <c r="I6131" s="62" t="str">
        <f t="shared" si="95"/>
        <v/>
      </c>
    </row>
    <row r="6132" spans="9:9" x14ac:dyDescent="0.25">
      <c r="I6132" s="62" t="str">
        <f t="shared" si="95"/>
        <v/>
      </c>
    </row>
    <row r="6133" spans="9:9" x14ac:dyDescent="0.25">
      <c r="I6133" s="62" t="str">
        <f t="shared" si="95"/>
        <v/>
      </c>
    </row>
    <row r="6134" spans="9:9" x14ac:dyDescent="0.25">
      <c r="I6134" s="62" t="str">
        <f t="shared" si="95"/>
        <v/>
      </c>
    </row>
    <row r="6135" spans="9:9" x14ac:dyDescent="0.25">
      <c r="I6135" s="62" t="str">
        <f t="shared" si="95"/>
        <v/>
      </c>
    </row>
    <row r="6136" spans="9:9" x14ac:dyDescent="0.25">
      <c r="I6136" s="62" t="str">
        <f t="shared" si="95"/>
        <v/>
      </c>
    </row>
    <row r="6137" spans="9:9" x14ac:dyDescent="0.25">
      <c r="I6137" s="62" t="str">
        <f t="shared" si="95"/>
        <v/>
      </c>
    </row>
    <row r="6138" spans="9:9" x14ac:dyDescent="0.25">
      <c r="I6138" s="62" t="str">
        <f t="shared" si="95"/>
        <v/>
      </c>
    </row>
    <row r="6139" spans="9:9" x14ac:dyDescent="0.25">
      <c r="I6139" s="62" t="str">
        <f t="shared" si="95"/>
        <v/>
      </c>
    </row>
    <row r="6140" spans="9:9" x14ac:dyDescent="0.25">
      <c r="I6140" s="62" t="str">
        <f t="shared" si="95"/>
        <v/>
      </c>
    </row>
    <row r="6141" spans="9:9" x14ac:dyDescent="0.25">
      <c r="I6141" s="62" t="str">
        <f t="shared" si="95"/>
        <v/>
      </c>
    </row>
    <row r="6142" spans="9:9" x14ac:dyDescent="0.25">
      <c r="I6142" s="62" t="str">
        <f t="shared" si="95"/>
        <v/>
      </c>
    </row>
    <row r="6143" spans="9:9" x14ac:dyDescent="0.25">
      <c r="I6143" s="62" t="str">
        <f t="shared" si="95"/>
        <v/>
      </c>
    </row>
    <row r="6144" spans="9:9" x14ac:dyDescent="0.25">
      <c r="I6144" s="62" t="str">
        <f t="shared" si="95"/>
        <v/>
      </c>
    </row>
    <row r="6145" spans="9:9" x14ac:dyDescent="0.25">
      <c r="I6145" s="62" t="str">
        <f t="shared" si="95"/>
        <v/>
      </c>
    </row>
    <row r="6146" spans="9:9" x14ac:dyDescent="0.25">
      <c r="I6146" s="62" t="str">
        <f t="shared" si="95"/>
        <v/>
      </c>
    </row>
    <row r="6147" spans="9:9" x14ac:dyDescent="0.25">
      <c r="I6147" s="62" t="str">
        <f t="shared" si="95"/>
        <v/>
      </c>
    </row>
    <row r="6148" spans="9:9" x14ac:dyDescent="0.25">
      <c r="I6148" s="62" t="str">
        <f t="shared" si="95"/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MyPortfolio</vt:lpstr>
      <vt:lpstr>DataSource</vt:lpstr>
      <vt:lpstr>Tracker_History</vt:lpstr>
    </vt:vector>
  </TitlesOfParts>
  <Company>CryptoMarqz Enterprise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Crypto Currency Manager</dc:title>
  <dc:creator>CryptoMarqz</dc:creator>
  <cp:lastModifiedBy>CryptoMarqz</cp:lastModifiedBy>
  <dcterms:created xsi:type="dcterms:W3CDTF">2017-09-01T04:49:25Z</dcterms:created>
  <dcterms:modified xsi:type="dcterms:W3CDTF">2017-12-27T18:01:14Z</dcterms:modified>
</cp:coreProperties>
</file>