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ryptoMarqz\Downloads\"/>
    </mc:Choice>
  </mc:AlternateContent>
  <bookViews>
    <workbookView xWindow="0" yWindow="0" windowWidth="28800" windowHeight="12435"/>
  </bookViews>
  <sheets>
    <sheet name="MyPortfolio" sheetId="2" r:id="rId1"/>
    <sheet name="DataSource" sheetId="1" r:id="rId2"/>
    <sheet name="Tracker_History" sheetId="3" r:id="rId3"/>
  </sheets>
  <definedNames>
    <definedName name="_xlnm._FilterDatabase" localSheetId="1" hidden="1">DataSource!$B$4:$O$1173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2" l="1"/>
  <c r="S11" i="2" l="1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10" i="2"/>
  <c r="R25" i="2"/>
  <c r="R26" i="2"/>
  <c r="R27" i="2"/>
  <c r="R28" i="2"/>
  <c r="R29" i="2"/>
  <c r="N25" i="2"/>
  <c r="O25" i="2"/>
  <c r="P25" i="2"/>
  <c r="N26" i="2"/>
  <c r="O26" i="2"/>
  <c r="P26" i="2"/>
  <c r="N27" i="2"/>
  <c r="O27" i="2"/>
  <c r="P27" i="2"/>
  <c r="N28" i="2"/>
  <c r="O28" i="2"/>
  <c r="P28" i="2"/>
  <c r="N29" i="2"/>
  <c r="O29" i="2"/>
  <c r="P29" i="2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I4213" i="3"/>
  <c r="I4214" i="3"/>
  <c r="I4215" i="3"/>
  <c r="I4216" i="3"/>
  <c r="I4217" i="3"/>
  <c r="I4218" i="3"/>
  <c r="I4219" i="3"/>
  <c r="I4220" i="3"/>
  <c r="I4221" i="3"/>
  <c r="I4222" i="3"/>
  <c r="I4223" i="3"/>
  <c r="I4224" i="3"/>
  <c r="I4225" i="3"/>
  <c r="I4226" i="3"/>
  <c r="I4227" i="3"/>
  <c r="I4228" i="3"/>
  <c r="I4229" i="3"/>
  <c r="I4230" i="3"/>
  <c r="I4231" i="3"/>
  <c r="I4232" i="3"/>
  <c r="I4233" i="3"/>
  <c r="I4234" i="3"/>
  <c r="I4235" i="3"/>
  <c r="I4236" i="3"/>
  <c r="I4237" i="3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52" i="3"/>
  <c r="I4253" i="3"/>
  <c r="I4254" i="3"/>
  <c r="I4255" i="3"/>
  <c r="I4256" i="3"/>
  <c r="I4257" i="3"/>
  <c r="I4258" i="3"/>
  <c r="I4259" i="3"/>
  <c r="I4260" i="3"/>
  <c r="I4261" i="3"/>
  <c r="I4262" i="3"/>
  <c r="I4263" i="3"/>
  <c r="I4264" i="3"/>
  <c r="I4265" i="3"/>
  <c r="I4266" i="3"/>
  <c r="I4267" i="3"/>
  <c r="I4268" i="3"/>
  <c r="I4269" i="3"/>
  <c r="I4270" i="3"/>
  <c r="I4271" i="3"/>
  <c r="I4272" i="3"/>
  <c r="I4273" i="3"/>
  <c r="I4274" i="3"/>
  <c r="I4275" i="3"/>
  <c r="I4276" i="3"/>
  <c r="I4277" i="3"/>
  <c r="I4278" i="3"/>
  <c r="I4279" i="3"/>
  <c r="I4280" i="3"/>
  <c r="I4281" i="3"/>
  <c r="I4282" i="3"/>
  <c r="I4283" i="3"/>
  <c r="I4284" i="3"/>
  <c r="I4285" i="3"/>
  <c r="I4286" i="3"/>
  <c r="I4287" i="3"/>
  <c r="I4288" i="3"/>
  <c r="I4289" i="3"/>
  <c r="I4290" i="3"/>
  <c r="I4291" i="3"/>
  <c r="I4292" i="3"/>
  <c r="I4293" i="3"/>
  <c r="I4294" i="3"/>
  <c r="I4295" i="3"/>
  <c r="I4296" i="3"/>
  <c r="I4297" i="3"/>
  <c r="I4298" i="3"/>
  <c r="I4299" i="3"/>
  <c r="I4300" i="3"/>
  <c r="I4301" i="3"/>
  <c r="I4302" i="3"/>
  <c r="I4303" i="3"/>
  <c r="I4304" i="3"/>
  <c r="I4305" i="3"/>
  <c r="I4306" i="3"/>
  <c r="I4307" i="3"/>
  <c r="I4308" i="3"/>
  <c r="I4309" i="3"/>
  <c r="I4310" i="3"/>
  <c r="I4311" i="3"/>
  <c r="I4312" i="3"/>
  <c r="I4313" i="3"/>
  <c r="I4314" i="3"/>
  <c r="I4315" i="3"/>
  <c r="I4316" i="3"/>
  <c r="I4317" i="3"/>
  <c r="I4318" i="3"/>
  <c r="I4319" i="3"/>
  <c r="I4320" i="3"/>
  <c r="I4321" i="3"/>
  <c r="I4322" i="3"/>
  <c r="I4323" i="3"/>
  <c r="I4324" i="3"/>
  <c r="I4325" i="3"/>
  <c r="I4326" i="3"/>
  <c r="I4327" i="3"/>
  <c r="I4328" i="3"/>
  <c r="I4329" i="3"/>
  <c r="I4330" i="3"/>
  <c r="I4331" i="3"/>
  <c r="I4332" i="3"/>
  <c r="I4333" i="3"/>
  <c r="I4334" i="3"/>
  <c r="I4335" i="3"/>
  <c r="I4336" i="3"/>
  <c r="I4337" i="3"/>
  <c r="I4338" i="3"/>
  <c r="I4339" i="3"/>
  <c r="I4340" i="3"/>
  <c r="I4341" i="3"/>
  <c r="I4342" i="3"/>
  <c r="I4343" i="3"/>
  <c r="I4344" i="3"/>
  <c r="I4345" i="3"/>
  <c r="I4346" i="3"/>
  <c r="I4347" i="3"/>
  <c r="I4348" i="3"/>
  <c r="I4349" i="3"/>
  <c r="I4350" i="3"/>
  <c r="I4351" i="3"/>
  <c r="I4352" i="3"/>
  <c r="I4353" i="3"/>
  <c r="I4354" i="3"/>
  <c r="I4355" i="3"/>
  <c r="I4356" i="3"/>
  <c r="I4357" i="3"/>
  <c r="I4358" i="3"/>
  <c r="I4359" i="3"/>
  <c r="I4360" i="3"/>
  <c r="I4361" i="3"/>
  <c r="I4362" i="3"/>
  <c r="I4363" i="3"/>
  <c r="I4364" i="3"/>
  <c r="I4365" i="3"/>
  <c r="I4366" i="3"/>
  <c r="I4367" i="3"/>
  <c r="I4368" i="3"/>
  <c r="I4369" i="3"/>
  <c r="I4370" i="3"/>
  <c r="I4371" i="3"/>
  <c r="I4372" i="3"/>
  <c r="I4373" i="3"/>
  <c r="I4374" i="3"/>
  <c r="I4375" i="3"/>
  <c r="I4376" i="3"/>
  <c r="I4377" i="3"/>
  <c r="I4378" i="3"/>
  <c r="I4379" i="3"/>
  <c r="I4380" i="3"/>
  <c r="I4381" i="3"/>
  <c r="I4382" i="3"/>
  <c r="I4383" i="3"/>
  <c r="I4384" i="3"/>
  <c r="I4385" i="3"/>
  <c r="I4386" i="3"/>
  <c r="I4387" i="3"/>
  <c r="I4388" i="3"/>
  <c r="I4389" i="3"/>
  <c r="I4390" i="3"/>
  <c r="I4391" i="3"/>
  <c r="I4392" i="3"/>
  <c r="I4393" i="3"/>
  <c r="I4394" i="3"/>
  <c r="I4395" i="3"/>
  <c r="I4396" i="3"/>
  <c r="I4397" i="3"/>
  <c r="I4398" i="3"/>
  <c r="I4399" i="3"/>
  <c r="I4400" i="3"/>
  <c r="I4401" i="3"/>
  <c r="I4402" i="3"/>
  <c r="I4403" i="3"/>
  <c r="I4404" i="3"/>
  <c r="I4405" i="3"/>
  <c r="I4406" i="3"/>
  <c r="I4407" i="3"/>
  <c r="I4408" i="3"/>
  <c r="I4409" i="3"/>
  <c r="I4410" i="3"/>
  <c r="I4411" i="3"/>
  <c r="I4412" i="3"/>
  <c r="I4413" i="3"/>
  <c r="I4414" i="3"/>
  <c r="I4415" i="3"/>
  <c r="I4416" i="3"/>
  <c r="I4417" i="3"/>
  <c r="I4418" i="3"/>
  <c r="I4419" i="3"/>
  <c r="I4420" i="3"/>
  <c r="I4421" i="3"/>
  <c r="I4422" i="3"/>
  <c r="I4423" i="3"/>
  <c r="I4424" i="3"/>
  <c r="I4425" i="3"/>
  <c r="I4426" i="3"/>
  <c r="I4427" i="3"/>
  <c r="I4428" i="3"/>
  <c r="I4429" i="3"/>
  <c r="I4430" i="3"/>
  <c r="I4431" i="3"/>
  <c r="I4432" i="3"/>
  <c r="I4433" i="3"/>
  <c r="I4434" i="3"/>
  <c r="I4435" i="3"/>
  <c r="I4436" i="3"/>
  <c r="I4437" i="3"/>
  <c r="I4438" i="3"/>
  <c r="I4439" i="3"/>
  <c r="I4440" i="3"/>
  <c r="I4441" i="3"/>
  <c r="I4442" i="3"/>
  <c r="I4443" i="3"/>
  <c r="I4444" i="3"/>
  <c r="I4445" i="3"/>
  <c r="I4446" i="3"/>
  <c r="I4447" i="3"/>
  <c r="I4448" i="3"/>
  <c r="I4449" i="3"/>
  <c r="I4450" i="3"/>
  <c r="I4451" i="3"/>
  <c r="I4452" i="3"/>
  <c r="I4453" i="3"/>
  <c r="I4454" i="3"/>
  <c r="I4455" i="3"/>
  <c r="I4456" i="3"/>
  <c r="I4457" i="3"/>
  <c r="I4458" i="3"/>
  <c r="I4459" i="3"/>
  <c r="I4460" i="3"/>
  <c r="I4461" i="3"/>
  <c r="I4462" i="3"/>
  <c r="I4463" i="3"/>
  <c r="I4464" i="3"/>
  <c r="I4465" i="3"/>
  <c r="I4466" i="3"/>
  <c r="I4467" i="3"/>
  <c r="I4468" i="3"/>
  <c r="I4469" i="3"/>
  <c r="I4470" i="3"/>
  <c r="I4471" i="3"/>
  <c r="I4472" i="3"/>
  <c r="I4473" i="3"/>
  <c r="I4474" i="3"/>
  <c r="I4475" i="3"/>
  <c r="I4476" i="3"/>
  <c r="I4477" i="3"/>
  <c r="I4478" i="3"/>
  <c r="I4479" i="3"/>
  <c r="I4480" i="3"/>
  <c r="I4481" i="3"/>
  <c r="I4482" i="3"/>
  <c r="I4483" i="3"/>
  <c r="I4484" i="3"/>
  <c r="I4485" i="3"/>
  <c r="I4486" i="3"/>
  <c r="I4487" i="3"/>
  <c r="I4488" i="3"/>
  <c r="I4489" i="3"/>
  <c r="I4490" i="3"/>
  <c r="I4491" i="3"/>
  <c r="I4492" i="3"/>
  <c r="I4493" i="3"/>
  <c r="I4494" i="3"/>
  <c r="I4495" i="3"/>
  <c r="I4496" i="3"/>
  <c r="I4497" i="3"/>
  <c r="I4498" i="3"/>
  <c r="I4499" i="3"/>
  <c r="I4500" i="3"/>
  <c r="I4501" i="3"/>
  <c r="I4502" i="3"/>
  <c r="I4503" i="3"/>
  <c r="I4504" i="3"/>
  <c r="I4505" i="3"/>
  <c r="I4506" i="3"/>
  <c r="I4507" i="3"/>
  <c r="I4508" i="3"/>
  <c r="I4509" i="3"/>
  <c r="I4510" i="3"/>
  <c r="I4511" i="3"/>
  <c r="I4512" i="3"/>
  <c r="I4513" i="3"/>
  <c r="I4514" i="3"/>
  <c r="I4515" i="3"/>
  <c r="I4516" i="3"/>
  <c r="I4517" i="3"/>
  <c r="I4518" i="3"/>
  <c r="I4519" i="3"/>
  <c r="I4520" i="3"/>
  <c r="I4521" i="3"/>
  <c r="I4522" i="3"/>
  <c r="I4523" i="3"/>
  <c r="I4524" i="3"/>
  <c r="I4525" i="3"/>
  <c r="I4526" i="3"/>
  <c r="I4527" i="3"/>
  <c r="I4528" i="3"/>
  <c r="I4529" i="3"/>
  <c r="I4530" i="3"/>
  <c r="I4531" i="3"/>
  <c r="I4532" i="3"/>
  <c r="I4533" i="3"/>
  <c r="I4534" i="3"/>
  <c r="I4535" i="3"/>
  <c r="I4536" i="3"/>
  <c r="I4537" i="3"/>
  <c r="I4538" i="3"/>
  <c r="I4539" i="3"/>
  <c r="I4540" i="3"/>
  <c r="I4541" i="3"/>
  <c r="I4542" i="3"/>
  <c r="I4543" i="3"/>
  <c r="I4544" i="3"/>
  <c r="I4545" i="3"/>
  <c r="I4546" i="3"/>
  <c r="I4547" i="3"/>
  <c r="I4548" i="3"/>
  <c r="I4549" i="3"/>
  <c r="I4550" i="3"/>
  <c r="I4551" i="3"/>
  <c r="I4552" i="3"/>
  <c r="I4553" i="3"/>
  <c r="I4554" i="3"/>
  <c r="I4555" i="3"/>
  <c r="I4556" i="3"/>
  <c r="I4557" i="3"/>
  <c r="I4558" i="3"/>
  <c r="I4559" i="3"/>
  <c r="I4560" i="3"/>
  <c r="I4561" i="3"/>
  <c r="I4562" i="3"/>
  <c r="I4563" i="3"/>
  <c r="I4564" i="3"/>
  <c r="I4565" i="3"/>
  <c r="I4566" i="3"/>
  <c r="I4567" i="3"/>
  <c r="I4568" i="3"/>
  <c r="I4569" i="3"/>
  <c r="I4570" i="3"/>
  <c r="I4571" i="3"/>
  <c r="I4572" i="3"/>
  <c r="I4573" i="3"/>
  <c r="I4574" i="3"/>
  <c r="I4575" i="3"/>
  <c r="I4576" i="3"/>
  <c r="I4577" i="3"/>
  <c r="I4578" i="3"/>
  <c r="I4579" i="3"/>
  <c r="I4580" i="3"/>
  <c r="I4581" i="3"/>
  <c r="I4582" i="3"/>
  <c r="I4583" i="3"/>
  <c r="I4584" i="3"/>
  <c r="I4585" i="3"/>
  <c r="I4586" i="3"/>
  <c r="I4587" i="3"/>
  <c r="I4588" i="3"/>
  <c r="I4589" i="3"/>
  <c r="I4590" i="3"/>
  <c r="I4591" i="3"/>
  <c r="I4592" i="3"/>
  <c r="I4593" i="3"/>
  <c r="I4594" i="3"/>
  <c r="I4595" i="3"/>
  <c r="I4596" i="3"/>
  <c r="I4597" i="3"/>
  <c r="I4598" i="3"/>
  <c r="I4599" i="3"/>
  <c r="I4600" i="3"/>
  <c r="I4601" i="3"/>
  <c r="I4602" i="3"/>
  <c r="I4603" i="3"/>
  <c r="I4604" i="3"/>
  <c r="I4605" i="3"/>
  <c r="I4606" i="3"/>
  <c r="I4607" i="3"/>
  <c r="I4608" i="3"/>
  <c r="I4609" i="3"/>
  <c r="I4610" i="3"/>
  <c r="I4611" i="3"/>
  <c r="I4612" i="3"/>
  <c r="I4613" i="3"/>
  <c r="I4614" i="3"/>
  <c r="I4615" i="3"/>
  <c r="I4616" i="3"/>
  <c r="I4617" i="3"/>
  <c r="I4618" i="3"/>
  <c r="I4619" i="3"/>
  <c r="I4620" i="3"/>
  <c r="I4621" i="3"/>
  <c r="I4622" i="3"/>
  <c r="I4623" i="3"/>
  <c r="I4624" i="3"/>
  <c r="I4625" i="3"/>
  <c r="I4626" i="3"/>
  <c r="I4627" i="3"/>
  <c r="I4628" i="3"/>
  <c r="I4629" i="3"/>
  <c r="I4630" i="3"/>
  <c r="I4631" i="3"/>
  <c r="I4632" i="3"/>
  <c r="I4633" i="3"/>
  <c r="I4634" i="3"/>
  <c r="I4635" i="3"/>
  <c r="I4636" i="3"/>
  <c r="I4637" i="3"/>
  <c r="I4638" i="3"/>
  <c r="I4639" i="3"/>
  <c r="I4640" i="3"/>
  <c r="I4641" i="3"/>
  <c r="I4642" i="3"/>
  <c r="I4643" i="3"/>
  <c r="I4644" i="3"/>
  <c r="I4645" i="3"/>
  <c r="I4646" i="3"/>
  <c r="I4647" i="3"/>
  <c r="I4648" i="3"/>
  <c r="I4649" i="3"/>
  <c r="I4650" i="3"/>
  <c r="I4651" i="3"/>
  <c r="I4652" i="3"/>
  <c r="I4653" i="3"/>
  <c r="I4654" i="3"/>
  <c r="I4655" i="3"/>
  <c r="I4656" i="3"/>
  <c r="I4657" i="3"/>
  <c r="I4658" i="3"/>
  <c r="I4659" i="3"/>
  <c r="I4660" i="3"/>
  <c r="I4661" i="3"/>
  <c r="I4662" i="3"/>
  <c r="I4663" i="3"/>
  <c r="I4664" i="3"/>
  <c r="I4665" i="3"/>
  <c r="I4666" i="3"/>
  <c r="I4667" i="3"/>
  <c r="I4668" i="3"/>
  <c r="I4669" i="3"/>
  <c r="I4670" i="3"/>
  <c r="I4671" i="3"/>
  <c r="I4672" i="3"/>
  <c r="I4673" i="3"/>
  <c r="I4674" i="3"/>
  <c r="I4675" i="3"/>
  <c r="I4676" i="3"/>
  <c r="I4677" i="3"/>
  <c r="I4678" i="3"/>
  <c r="I4679" i="3"/>
  <c r="I4680" i="3"/>
  <c r="I4681" i="3"/>
  <c r="I4682" i="3"/>
  <c r="I4683" i="3"/>
  <c r="I4684" i="3"/>
  <c r="I4685" i="3"/>
  <c r="I4686" i="3"/>
  <c r="I4687" i="3"/>
  <c r="I4688" i="3"/>
  <c r="I4689" i="3"/>
  <c r="I4690" i="3"/>
  <c r="I4691" i="3"/>
  <c r="I4692" i="3"/>
  <c r="I4693" i="3"/>
  <c r="I4694" i="3"/>
  <c r="I4695" i="3"/>
  <c r="I4696" i="3"/>
  <c r="I4697" i="3"/>
  <c r="I4698" i="3"/>
  <c r="I4699" i="3"/>
  <c r="I4700" i="3"/>
  <c r="I4701" i="3"/>
  <c r="I4702" i="3"/>
  <c r="I4703" i="3"/>
  <c r="I4704" i="3"/>
  <c r="I4705" i="3"/>
  <c r="I4706" i="3"/>
  <c r="I4707" i="3"/>
  <c r="I4708" i="3"/>
  <c r="I4709" i="3"/>
  <c r="I4710" i="3"/>
  <c r="I4711" i="3"/>
  <c r="I4712" i="3"/>
  <c r="I4713" i="3"/>
  <c r="I4714" i="3"/>
  <c r="I4715" i="3"/>
  <c r="I4716" i="3"/>
  <c r="I4717" i="3"/>
  <c r="I4718" i="3"/>
  <c r="I4719" i="3"/>
  <c r="I4720" i="3"/>
  <c r="I4721" i="3"/>
  <c r="I4722" i="3"/>
  <c r="I4723" i="3"/>
  <c r="I4724" i="3"/>
  <c r="I4725" i="3"/>
  <c r="I4726" i="3"/>
  <c r="I4727" i="3"/>
  <c r="I4728" i="3"/>
  <c r="I4729" i="3"/>
  <c r="I4730" i="3"/>
  <c r="I4731" i="3"/>
  <c r="I4732" i="3"/>
  <c r="I4733" i="3"/>
  <c r="I4734" i="3"/>
  <c r="I4735" i="3"/>
  <c r="I4736" i="3"/>
  <c r="I4737" i="3"/>
  <c r="I4738" i="3"/>
  <c r="I4739" i="3"/>
  <c r="I4740" i="3"/>
  <c r="I4741" i="3"/>
  <c r="I4742" i="3"/>
  <c r="I4743" i="3"/>
  <c r="I4744" i="3"/>
  <c r="I4745" i="3"/>
  <c r="I4746" i="3"/>
  <c r="I4747" i="3"/>
  <c r="I4748" i="3"/>
  <c r="I4749" i="3"/>
  <c r="I4750" i="3"/>
  <c r="I4751" i="3"/>
  <c r="I4752" i="3"/>
  <c r="I4753" i="3"/>
  <c r="I4754" i="3"/>
  <c r="I4755" i="3"/>
  <c r="I4756" i="3"/>
  <c r="I4757" i="3"/>
  <c r="I4758" i="3"/>
  <c r="I4759" i="3"/>
  <c r="I4760" i="3"/>
  <c r="I4761" i="3"/>
  <c r="I4762" i="3"/>
  <c r="I4763" i="3"/>
  <c r="I4764" i="3"/>
  <c r="I4765" i="3"/>
  <c r="I4766" i="3"/>
  <c r="I4767" i="3"/>
  <c r="I4768" i="3"/>
  <c r="I4769" i="3"/>
  <c r="I4770" i="3"/>
  <c r="I4771" i="3"/>
  <c r="I4772" i="3"/>
  <c r="I4773" i="3"/>
  <c r="I4774" i="3"/>
  <c r="I4775" i="3"/>
  <c r="I4776" i="3"/>
  <c r="I4777" i="3"/>
  <c r="I4778" i="3"/>
  <c r="I4779" i="3"/>
  <c r="I4780" i="3"/>
  <c r="I4781" i="3"/>
  <c r="I4782" i="3"/>
  <c r="I4783" i="3"/>
  <c r="I4784" i="3"/>
  <c r="I4785" i="3"/>
  <c r="I4786" i="3"/>
  <c r="I4787" i="3"/>
  <c r="I4788" i="3"/>
  <c r="I4789" i="3"/>
  <c r="I4790" i="3"/>
  <c r="I4791" i="3"/>
  <c r="I4792" i="3"/>
  <c r="I4793" i="3"/>
  <c r="I4794" i="3"/>
  <c r="I4795" i="3"/>
  <c r="I4796" i="3"/>
  <c r="I4797" i="3"/>
  <c r="I4798" i="3"/>
  <c r="I4799" i="3"/>
  <c r="I4800" i="3"/>
  <c r="I4801" i="3"/>
  <c r="I4802" i="3"/>
  <c r="I4803" i="3"/>
  <c r="I4804" i="3"/>
  <c r="I4805" i="3"/>
  <c r="I4806" i="3"/>
  <c r="I4807" i="3"/>
  <c r="I4808" i="3"/>
  <c r="I4809" i="3"/>
  <c r="I4810" i="3"/>
  <c r="I4811" i="3"/>
  <c r="I4812" i="3"/>
  <c r="I4813" i="3"/>
  <c r="I4814" i="3"/>
  <c r="I4815" i="3"/>
  <c r="I4816" i="3"/>
  <c r="I4817" i="3"/>
  <c r="I4818" i="3"/>
  <c r="I4819" i="3"/>
  <c r="I4820" i="3"/>
  <c r="I4821" i="3"/>
  <c r="I4822" i="3"/>
  <c r="I4823" i="3"/>
  <c r="I4824" i="3"/>
  <c r="I4825" i="3"/>
  <c r="I4826" i="3"/>
  <c r="I4827" i="3"/>
  <c r="I4828" i="3"/>
  <c r="I4829" i="3"/>
  <c r="I4830" i="3"/>
  <c r="I4831" i="3"/>
  <c r="I4832" i="3"/>
  <c r="I4833" i="3"/>
  <c r="I4834" i="3"/>
  <c r="I4835" i="3"/>
  <c r="I4836" i="3"/>
  <c r="I4837" i="3"/>
  <c r="I4838" i="3"/>
  <c r="I4839" i="3"/>
  <c r="I4840" i="3"/>
  <c r="I4841" i="3"/>
  <c r="I4842" i="3"/>
  <c r="I4843" i="3"/>
  <c r="I4844" i="3"/>
  <c r="I4845" i="3"/>
  <c r="I4846" i="3"/>
  <c r="I4847" i="3"/>
  <c r="I4848" i="3"/>
  <c r="I4849" i="3"/>
  <c r="I4850" i="3"/>
  <c r="I4851" i="3"/>
  <c r="I4852" i="3"/>
  <c r="I4853" i="3"/>
  <c r="I4854" i="3"/>
  <c r="I4855" i="3"/>
  <c r="I4856" i="3"/>
  <c r="I4857" i="3"/>
  <c r="I4858" i="3"/>
  <c r="I4859" i="3"/>
  <c r="I4860" i="3"/>
  <c r="I4861" i="3"/>
  <c r="I4862" i="3"/>
  <c r="I4863" i="3"/>
  <c r="I4864" i="3"/>
  <c r="I4865" i="3"/>
  <c r="I4866" i="3"/>
  <c r="I4867" i="3"/>
  <c r="I4868" i="3"/>
  <c r="I4869" i="3"/>
  <c r="I4870" i="3"/>
  <c r="I4871" i="3"/>
  <c r="I4872" i="3"/>
  <c r="I4873" i="3"/>
  <c r="I4874" i="3"/>
  <c r="I4875" i="3"/>
  <c r="I4876" i="3"/>
  <c r="I4877" i="3"/>
  <c r="I4878" i="3"/>
  <c r="I4879" i="3"/>
  <c r="I4880" i="3"/>
  <c r="I4881" i="3"/>
  <c r="I4882" i="3"/>
  <c r="I4883" i="3"/>
  <c r="I4884" i="3"/>
  <c r="I4885" i="3"/>
  <c r="I4886" i="3"/>
  <c r="I4887" i="3"/>
  <c r="I4888" i="3"/>
  <c r="I4889" i="3"/>
  <c r="I4890" i="3"/>
  <c r="I4891" i="3"/>
  <c r="I4892" i="3"/>
  <c r="I4893" i="3"/>
  <c r="I4894" i="3"/>
  <c r="I4895" i="3"/>
  <c r="I4896" i="3"/>
  <c r="I4897" i="3"/>
  <c r="I4898" i="3"/>
  <c r="I4899" i="3"/>
  <c r="I4900" i="3"/>
  <c r="I4901" i="3"/>
  <c r="I4902" i="3"/>
  <c r="I4903" i="3"/>
  <c r="I4904" i="3"/>
  <c r="I4905" i="3"/>
  <c r="I4906" i="3"/>
  <c r="I4907" i="3"/>
  <c r="I4908" i="3"/>
  <c r="I4909" i="3"/>
  <c r="I4910" i="3"/>
  <c r="I4911" i="3"/>
  <c r="I4912" i="3"/>
  <c r="I4913" i="3"/>
  <c r="I4914" i="3"/>
  <c r="I4915" i="3"/>
  <c r="I4916" i="3"/>
  <c r="I4917" i="3"/>
  <c r="I4918" i="3"/>
  <c r="I4919" i="3"/>
  <c r="I4920" i="3"/>
  <c r="I4921" i="3"/>
  <c r="I4922" i="3"/>
  <c r="I4923" i="3"/>
  <c r="I4924" i="3"/>
  <c r="I4925" i="3"/>
  <c r="I4926" i="3"/>
  <c r="I4927" i="3"/>
  <c r="I4928" i="3"/>
  <c r="I4929" i="3"/>
  <c r="I4930" i="3"/>
  <c r="I4931" i="3"/>
  <c r="I4932" i="3"/>
  <c r="I4933" i="3"/>
  <c r="I4934" i="3"/>
  <c r="I4935" i="3"/>
  <c r="I4936" i="3"/>
  <c r="I4937" i="3"/>
  <c r="I4938" i="3"/>
  <c r="I4939" i="3"/>
  <c r="I4940" i="3"/>
  <c r="I4941" i="3"/>
  <c r="I4942" i="3"/>
  <c r="I4943" i="3"/>
  <c r="I4944" i="3"/>
  <c r="I4945" i="3"/>
  <c r="I4946" i="3"/>
  <c r="I4947" i="3"/>
  <c r="I4948" i="3"/>
  <c r="I4949" i="3"/>
  <c r="I4950" i="3"/>
  <c r="I4951" i="3"/>
  <c r="I4952" i="3"/>
  <c r="I4953" i="3"/>
  <c r="I4954" i="3"/>
  <c r="I4955" i="3"/>
  <c r="I4956" i="3"/>
  <c r="I4957" i="3"/>
  <c r="I4958" i="3"/>
  <c r="I4959" i="3"/>
  <c r="I4960" i="3"/>
  <c r="I4961" i="3"/>
  <c r="I4962" i="3"/>
  <c r="I4963" i="3"/>
  <c r="I4964" i="3"/>
  <c r="I4965" i="3"/>
  <c r="I4966" i="3"/>
  <c r="I4967" i="3"/>
  <c r="I4968" i="3"/>
  <c r="I4969" i="3"/>
  <c r="I4970" i="3"/>
  <c r="I4971" i="3"/>
  <c r="I4972" i="3"/>
  <c r="I4973" i="3"/>
  <c r="I4974" i="3"/>
  <c r="I4975" i="3"/>
  <c r="I4976" i="3"/>
  <c r="I4977" i="3"/>
  <c r="I4978" i="3"/>
  <c r="I4979" i="3"/>
  <c r="I4980" i="3"/>
  <c r="I4981" i="3"/>
  <c r="I4982" i="3"/>
  <c r="I4983" i="3"/>
  <c r="I4984" i="3"/>
  <c r="I4985" i="3"/>
  <c r="I4986" i="3"/>
  <c r="I4987" i="3"/>
  <c r="I4988" i="3"/>
  <c r="I4989" i="3"/>
  <c r="I4990" i="3"/>
  <c r="I4991" i="3"/>
  <c r="I4992" i="3"/>
  <c r="I4993" i="3"/>
  <c r="I4994" i="3"/>
  <c r="I4995" i="3"/>
  <c r="I4996" i="3"/>
  <c r="I4997" i="3"/>
  <c r="I4998" i="3"/>
  <c r="I4999" i="3"/>
  <c r="I5000" i="3"/>
  <c r="I5001" i="3"/>
  <c r="I5002" i="3"/>
  <c r="I5003" i="3"/>
  <c r="I5004" i="3"/>
  <c r="I5005" i="3"/>
  <c r="I5006" i="3"/>
  <c r="I5007" i="3"/>
  <c r="I5008" i="3"/>
  <c r="I5009" i="3"/>
  <c r="I5010" i="3"/>
  <c r="I5011" i="3"/>
  <c r="I5012" i="3"/>
  <c r="I5013" i="3"/>
  <c r="I5014" i="3"/>
  <c r="I5015" i="3"/>
  <c r="I5016" i="3"/>
  <c r="I5017" i="3"/>
  <c r="I5018" i="3"/>
  <c r="I5019" i="3"/>
  <c r="I5020" i="3"/>
  <c r="I5021" i="3"/>
  <c r="I5022" i="3"/>
  <c r="I5023" i="3"/>
  <c r="I5024" i="3"/>
  <c r="I5025" i="3"/>
  <c r="I5026" i="3"/>
  <c r="I5027" i="3"/>
  <c r="I5028" i="3"/>
  <c r="I5029" i="3"/>
  <c r="I5030" i="3"/>
  <c r="I5031" i="3"/>
  <c r="I5032" i="3"/>
  <c r="I5033" i="3"/>
  <c r="I5034" i="3"/>
  <c r="I5035" i="3"/>
  <c r="I5036" i="3"/>
  <c r="I5037" i="3"/>
  <c r="I5038" i="3"/>
  <c r="I5039" i="3"/>
  <c r="I5040" i="3"/>
  <c r="I5041" i="3"/>
  <c r="I5042" i="3"/>
  <c r="I5043" i="3"/>
  <c r="I5044" i="3"/>
  <c r="I5045" i="3"/>
  <c r="I5046" i="3"/>
  <c r="I5047" i="3"/>
  <c r="I5048" i="3"/>
  <c r="I5049" i="3"/>
  <c r="I5050" i="3"/>
  <c r="I5051" i="3"/>
  <c r="I5052" i="3"/>
  <c r="I5053" i="3"/>
  <c r="I5054" i="3"/>
  <c r="I5055" i="3"/>
  <c r="I5056" i="3"/>
  <c r="I5057" i="3"/>
  <c r="I5058" i="3"/>
  <c r="I5059" i="3"/>
  <c r="I5060" i="3"/>
  <c r="I5061" i="3"/>
  <c r="I5062" i="3"/>
  <c r="I5063" i="3"/>
  <c r="I5064" i="3"/>
  <c r="I5065" i="3"/>
  <c r="I5066" i="3"/>
  <c r="I5067" i="3"/>
  <c r="I5068" i="3"/>
  <c r="I5069" i="3"/>
  <c r="I5070" i="3"/>
  <c r="I5071" i="3"/>
  <c r="I5072" i="3"/>
  <c r="I5073" i="3"/>
  <c r="I5074" i="3"/>
  <c r="I5075" i="3"/>
  <c r="I5076" i="3"/>
  <c r="I5077" i="3"/>
  <c r="I5078" i="3"/>
  <c r="I5079" i="3"/>
  <c r="I5080" i="3"/>
  <c r="I5081" i="3"/>
  <c r="I5082" i="3"/>
  <c r="I5083" i="3"/>
  <c r="I5084" i="3"/>
  <c r="I5085" i="3"/>
  <c r="I5086" i="3"/>
  <c r="I5087" i="3"/>
  <c r="I5088" i="3"/>
  <c r="I5089" i="3"/>
  <c r="I5090" i="3"/>
  <c r="I5091" i="3"/>
  <c r="I5092" i="3"/>
  <c r="I5093" i="3"/>
  <c r="I5094" i="3"/>
  <c r="I5095" i="3"/>
  <c r="I5096" i="3"/>
  <c r="I5097" i="3"/>
  <c r="I5098" i="3"/>
  <c r="I5099" i="3"/>
  <c r="I5100" i="3"/>
  <c r="I5101" i="3"/>
  <c r="I5102" i="3"/>
  <c r="I5103" i="3"/>
  <c r="I5104" i="3"/>
  <c r="I5105" i="3"/>
  <c r="I5106" i="3"/>
  <c r="I5107" i="3"/>
  <c r="I5108" i="3"/>
  <c r="I5109" i="3"/>
  <c r="I5110" i="3"/>
  <c r="I5111" i="3"/>
  <c r="I5112" i="3"/>
  <c r="I5113" i="3"/>
  <c r="I5114" i="3"/>
  <c r="I5115" i="3"/>
  <c r="I5116" i="3"/>
  <c r="I5117" i="3"/>
  <c r="I5118" i="3"/>
  <c r="I5119" i="3"/>
  <c r="I5120" i="3"/>
  <c r="I5121" i="3"/>
  <c r="I5122" i="3"/>
  <c r="I5123" i="3"/>
  <c r="I5124" i="3"/>
  <c r="I5125" i="3"/>
  <c r="I5126" i="3"/>
  <c r="I5127" i="3"/>
  <c r="I5128" i="3"/>
  <c r="I5129" i="3"/>
  <c r="I5130" i="3"/>
  <c r="I5131" i="3"/>
  <c r="I5132" i="3"/>
  <c r="I5133" i="3"/>
  <c r="I5134" i="3"/>
  <c r="I5135" i="3"/>
  <c r="I5136" i="3"/>
  <c r="I5137" i="3"/>
  <c r="I5138" i="3"/>
  <c r="I5139" i="3"/>
  <c r="I5140" i="3"/>
  <c r="I5141" i="3"/>
  <c r="I5142" i="3"/>
  <c r="I5143" i="3"/>
  <c r="I5144" i="3"/>
  <c r="I5145" i="3"/>
  <c r="I5146" i="3"/>
  <c r="I5147" i="3"/>
  <c r="I5148" i="3"/>
  <c r="I5149" i="3"/>
  <c r="I5150" i="3"/>
  <c r="I5151" i="3"/>
  <c r="I5152" i="3"/>
  <c r="I5153" i="3"/>
  <c r="I5154" i="3"/>
  <c r="I5155" i="3"/>
  <c r="I5156" i="3"/>
  <c r="I5157" i="3"/>
  <c r="I5158" i="3"/>
  <c r="I5159" i="3"/>
  <c r="I5160" i="3"/>
  <c r="I5161" i="3"/>
  <c r="I5162" i="3"/>
  <c r="I5163" i="3"/>
  <c r="I5164" i="3"/>
  <c r="I5165" i="3"/>
  <c r="I5166" i="3"/>
  <c r="I5167" i="3"/>
  <c r="I5168" i="3"/>
  <c r="I5169" i="3"/>
  <c r="I5170" i="3"/>
  <c r="I5171" i="3"/>
  <c r="I5172" i="3"/>
  <c r="I5173" i="3"/>
  <c r="I5174" i="3"/>
  <c r="I5175" i="3"/>
  <c r="I5176" i="3"/>
  <c r="I5177" i="3"/>
  <c r="I5178" i="3"/>
  <c r="I5179" i="3"/>
  <c r="I5180" i="3"/>
  <c r="I5181" i="3"/>
  <c r="I5182" i="3"/>
  <c r="I5183" i="3"/>
  <c r="I5184" i="3"/>
  <c r="I5185" i="3"/>
  <c r="I5186" i="3"/>
  <c r="I5187" i="3"/>
  <c r="I5188" i="3"/>
  <c r="I5189" i="3"/>
  <c r="I5190" i="3"/>
  <c r="I5191" i="3"/>
  <c r="I5192" i="3"/>
  <c r="I5193" i="3"/>
  <c r="I5194" i="3"/>
  <c r="I5195" i="3"/>
  <c r="I5196" i="3"/>
  <c r="I5197" i="3"/>
  <c r="I5198" i="3"/>
  <c r="I5199" i="3"/>
  <c r="I5200" i="3"/>
  <c r="I5201" i="3"/>
  <c r="I5202" i="3"/>
  <c r="I5203" i="3"/>
  <c r="I5204" i="3"/>
  <c r="I5205" i="3"/>
  <c r="I5206" i="3"/>
  <c r="I5207" i="3"/>
  <c r="I5208" i="3"/>
  <c r="I5209" i="3"/>
  <c r="I5210" i="3"/>
  <c r="I5211" i="3"/>
  <c r="I5212" i="3"/>
  <c r="I5213" i="3"/>
  <c r="I5214" i="3"/>
  <c r="I5215" i="3"/>
  <c r="I5216" i="3"/>
  <c r="I5217" i="3"/>
  <c r="I5218" i="3"/>
  <c r="I5219" i="3"/>
  <c r="I5220" i="3"/>
  <c r="I5221" i="3"/>
  <c r="I5222" i="3"/>
  <c r="I5223" i="3"/>
  <c r="I5224" i="3"/>
  <c r="I5225" i="3"/>
  <c r="I5226" i="3"/>
  <c r="I5227" i="3"/>
  <c r="I5228" i="3"/>
  <c r="I5229" i="3"/>
  <c r="I5230" i="3"/>
  <c r="I5231" i="3"/>
  <c r="I5232" i="3"/>
  <c r="I5233" i="3"/>
  <c r="I5234" i="3"/>
  <c r="I5235" i="3"/>
  <c r="I5236" i="3"/>
  <c r="I5237" i="3"/>
  <c r="I5238" i="3"/>
  <c r="I5239" i="3"/>
  <c r="I5240" i="3"/>
  <c r="I5241" i="3"/>
  <c r="I5242" i="3"/>
  <c r="I5243" i="3"/>
  <c r="I5244" i="3"/>
  <c r="I5245" i="3"/>
  <c r="I5246" i="3"/>
  <c r="I5247" i="3"/>
  <c r="I5248" i="3"/>
  <c r="I5249" i="3"/>
  <c r="I5250" i="3"/>
  <c r="I5251" i="3"/>
  <c r="I5252" i="3"/>
  <c r="I5253" i="3"/>
  <c r="I5254" i="3"/>
  <c r="I5255" i="3"/>
  <c r="I5256" i="3"/>
  <c r="I5257" i="3"/>
  <c r="I5258" i="3"/>
  <c r="I5259" i="3"/>
  <c r="I5260" i="3"/>
  <c r="I5261" i="3"/>
  <c r="I5262" i="3"/>
  <c r="I5263" i="3"/>
  <c r="I5264" i="3"/>
  <c r="I5265" i="3"/>
  <c r="I5266" i="3"/>
  <c r="I5267" i="3"/>
  <c r="I5268" i="3"/>
  <c r="I5269" i="3"/>
  <c r="I5270" i="3"/>
  <c r="I5271" i="3"/>
  <c r="I5272" i="3"/>
  <c r="I5273" i="3"/>
  <c r="I5274" i="3"/>
  <c r="I5275" i="3"/>
  <c r="I5276" i="3"/>
  <c r="I5277" i="3"/>
  <c r="I5278" i="3"/>
  <c r="I5279" i="3"/>
  <c r="I5280" i="3"/>
  <c r="I5281" i="3"/>
  <c r="I5282" i="3"/>
  <c r="I5283" i="3"/>
  <c r="I5284" i="3"/>
  <c r="I5285" i="3"/>
  <c r="I5286" i="3"/>
  <c r="I5287" i="3"/>
  <c r="I5288" i="3"/>
  <c r="I5289" i="3"/>
  <c r="I5290" i="3"/>
  <c r="I5291" i="3"/>
  <c r="I5292" i="3"/>
  <c r="I5293" i="3"/>
  <c r="I5294" i="3"/>
  <c r="I5295" i="3"/>
  <c r="I5296" i="3"/>
  <c r="I5297" i="3"/>
  <c r="I5298" i="3"/>
  <c r="I5299" i="3"/>
  <c r="I5300" i="3"/>
  <c r="I5301" i="3"/>
  <c r="I5302" i="3"/>
  <c r="I5303" i="3"/>
  <c r="I5304" i="3"/>
  <c r="I5305" i="3"/>
  <c r="I5306" i="3"/>
  <c r="I5307" i="3"/>
  <c r="I5308" i="3"/>
  <c r="I5309" i="3"/>
  <c r="I5310" i="3"/>
  <c r="I5311" i="3"/>
  <c r="I5312" i="3"/>
  <c r="I5313" i="3"/>
  <c r="I5314" i="3"/>
  <c r="I5315" i="3"/>
  <c r="I5316" i="3"/>
  <c r="I5317" i="3"/>
  <c r="I5318" i="3"/>
  <c r="I5319" i="3"/>
  <c r="I5320" i="3"/>
  <c r="I5321" i="3"/>
  <c r="I5322" i="3"/>
  <c r="I5323" i="3"/>
  <c r="I5324" i="3"/>
  <c r="I5325" i="3"/>
  <c r="I5326" i="3"/>
  <c r="I5327" i="3"/>
  <c r="I5328" i="3"/>
  <c r="I5329" i="3"/>
  <c r="I5330" i="3"/>
  <c r="I5331" i="3"/>
  <c r="I5332" i="3"/>
  <c r="I5333" i="3"/>
  <c r="I5334" i="3"/>
  <c r="I5335" i="3"/>
  <c r="I5336" i="3"/>
  <c r="I5337" i="3"/>
  <c r="I5338" i="3"/>
  <c r="I5339" i="3"/>
  <c r="I5340" i="3"/>
  <c r="I5341" i="3"/>
  <c r="I5342" i="3"/>
  <c r="I5343" i="3"/>
  <c r="I5344" i="3"/>
  <c r="I5345" i="3"/>
  <c r="I5346" i="3"/>
  <c r="I5347" i="3"/>
  <c r="I5348" i="3"/>
  <c r="I5349" i="3"/>
  <c r="I5350" i="3"/>
  <c r="I5351" i="3"/>
  <c r="I5352" i="3"/>
  <c r="I5353" i="3"/>
  <c r="I5354" i="3"/>
  <c r="I5355" i="3"/>
  <c r="I5356" i="3"/>
  <c r="I5357" i="3"/>
  <c r="I5358" i="3"/>
  <c r="I5359" i="3"/>
  <c r="I5360" i="3"/>
  <c r="I5361" i="3"/>
  <c r="I5362" i="3"/>
  <c r="I5363" i="3"/>
  <c r="I5364" i="3"/>
  <c r="I5365" i="3"/>
  <c r="I5366" i="3"/>
  <c r="I5367" i="3"/>
  <c r="I5368" i="3"/>
  <c r="I5369" i="3"/>
  <c r="I5370" i="3"/>
  <c r="I5371" i="3"/>
  <c r="I5372" i="3"/>
  <c r="I5373" i="3"/>
  <c r="I5374" i="3"/>
  <c r="I5375" i="3"/>
  <c r="I5376" i="3"/>
  <c r="I5377" i="3"/>
  <c r="I5378" i="3"/>
  <c r="I5379" i="3"/>
  <c r="I5380" i="3"/>
  <c r="I5381" i="3"/>
  <c r="I5382" i="3"/>
  <c r="I5383" i="3"/>
  <c r="I5384" i="3"/>
  <c r="I5385" i="3"/>
  <c r="I5386" i="3"/>
  <c r="I5387" i="3"/>
  <c r="I5388" i="3"/>
  <c r="I5389" i="3"/>
  <c r="I5390" i="3"/>
  <c r="I5391" i="3"/>
  <c r="I5392" i="3"/>
  <c r="I5393" i="3"/>
  <c r="I5394" i="3"/>
  <c r="I5395" i="3"/>
  <c r="I5396" i="3"/>
  <c r="I5397" i="3"/>
  <c r="I5398" i="3"/>
  <c r="I5399" i="3"/>
  <c r="I5400" i="3"/>
  <c r="I5401" i="3"/>
  <c r="I5402" i="3"/>
  <c r="I5403" i="3"/>
  <c r="I5404" i="3"/>
  <c r="I5405" i="3"/>
  <c r="I5406" i="3"/>
  <c r="I5407" i="3"/>
  <c r="I5408" i="3"/>
  <c r="I5409" i="3"/>
  <c r="I5410" i="3"/>
  <c r="I5411" i="3"/>
  <c r="I5412" i="3"/>
  <c r="I5413" i="3"/>
  <c r="I5414" i="3"/>
  <c r="I5415" i="3"/>
  <c r="I5416" i="3"/>
  <c r="I5417" i="3"/>
  <c r="I5418" i="3"/>
  <c r="I5419" i="3"/>
  <c r="I5420" i="3"/>
  <c r="I5421" i="3"/>
  <c r="I5422" i="3"/>
  <c r="I5423" i="3"/>
  <c r="I5424" i="3"/>
  <c r="I5425" i="3"/>
  <c r="I5426" i="3"/>
  <c r="I5427" i="3"/>
  <c r="I5428" i="3"/>
  <c r="I5429" i="3"/>
  <c r="I5430" i="3"/>
  <c r="I5431" i="3"/>
  <c r="I5432" i="3"/>
  <c r="I5433" i="3"/>
  <c r="I5434" i="3"/>
  <c r="I5435" i="3"/>
  <c r="I5436" i="3"/>
  <c r="I5437" i="3"/>
  <c r="I5438" i="3"/>
  <c r="I5439" i="3"/>
  <c r="I5440" i="3"/>
  <c r="I5441" i="3"/>
  <c r="I5442" i="3"/>
  <c r="I5443" i="3"/>
  <c r="I5444" i="3"/>
  <c r="I5445" i="3"/>
  <c r="I5446" i="3"/>
  <c r="I5447" i="3"/>
  <c r="I5448" i="3"/>
  <c r="I5449" i="3"/>
  <c r="I5450" i="3"/>
  <c r="I5451" i="3"/>
  <c r="I5452" i="3"/>
  <c r="I5453" i="3"/>
  <c r="I5454" i="3"/>
  <c r="I5455" i="3"/>
  <c r="I5456" i="3"/>
  <c r="I5457" i="3"/>
  <c r="I5458" i="3"/>
  <c r="I5459" i="3"/>
  <c r="I5460" i="3"/>
  <c r="I5461" i="3"/>
  <c r="I5462" i="3"/>
  <c r="I5463" i="3"/>
  <c r="I5464" i="3"/>
  <c r="I5465" i="3"/>
  <c r="I5466" i="3"/>
  <c r="I5467" i="3"/>
  <c r="I5468" i="3"/>
  <c r="I5469" i="3"/>
  <c r="I5470" i="3"/>
  <c r="I5471" i="3"/>
  <c r="I5472" i="3"/>
  <c r="I5473" i="3"/>
  <c r="I5474" i="3"/>
  <c r="I5475" i="3"/>
  <c r="I5476" i="3"/>
  <c r="I5477" i="3"/>
  <c r="I5478" i="3"/>
  <c r="I5479" i="3"/>
  <c r="I5480" i="3"/>
  <c r="I5481" i="3"/>
  <c r="I5482" i="3"/>
  <c r="I5483" i="3"/>
  <c r="I5484" i="3"/>
  <c r="I5485" i="3"/>
  <c r="I5486" i="3"/>
  <c r="I5487" i="3"/>
  <c r="I5488" i="3"/>
  <c r="I5489" i="3"/>
  <c r="I5490" i="3"/>
  <c r="I5491" i="3"/>
  <c r="I5492" i="3"/>
  <c r="I5493" i="3"/>
  <c r="I5494" i="3"/>
  <c r="I5495" i="3"/>
  <c r="I5496" i="3"/>
  <c r="I5497" i="3"/>
  <c r="I5498" i="3"/>
  <c r="I5499" i="3"/>
  <c r="I5500" i="3"/>
  <c r="I5501" i="3"/>
  <c r="I5502" i="3"/>
  <c r="I5503" i="3"/>
  <c r="I5504" i="3"/>
  <c r="I5505" i="3"/>
  <c r="I5506" i="3"/>
  <c r="I5507" i="3"/>
  <c r="I5508" i="3"/>
  <c r="I5509" i="3"/>
  <c r="I5510" i="3"/>
  <c r="I5511" i="3"/>
  <c r="I5512" i="3"/>
  <c r="I5513" i="3"/>
  <c r="I5514" i="3"/>
  <c r="I5515" i="3"/>
  <c r="I5516" i="3"/>
  <c r="I5517" i="3"/>
  <c r="I5518" i="3"/>
  <c r="I5519" i="3"/>
  <c r="I5520" i="3"/>
  <c r="I5521" i="3"/>
  <c r="I5522" i="3"/>
  <c r="I5523" i="3"/>
  <c r="I5524" i="3"/>
  <c r="I5525" i="3"/>
  <c r="I5526" i="3"/>
  <c r="I5527" i="3"/>
  <c r="I5528" i="3"/>
  <c r="I5529" i="3"/>
  <c r="I5530" i="3"/>
  <c r="I5531" i="3"/>
  <c r="I5532" i="3"/>
  <c r="I5533" i="3"/>
  <c r="I5534" i="3"/>
  <c r="I5535" i="3"/>
  <c r="I5536" i="3"/>
  <c r="I5537" i="3"/>
  <c r="I5538" i="3"/>
  <c r="I5539" i="3"/>
  <c r="I5540" i="3"/>
  <c r="I5541" i="3"/>
  <c r="I5542" i="3"/>
  <c r="I5543" i="3"/>
  <c r="I5544" i="3"/>
  <c r="I5545" i="3"/>
  <c r="I5546" i="3"/>
  <c r="I5547" i="3"/>
  <c r="I5548" i="3"/>
  <c r="I5549" i="3"/>
  <c r="I5550" i="3"/>
  <c r="I5551" i="3"/>
  <c r="I5552" i="3"/>
  <c r="I5553" i="3"/>
  <c r="I5554" i="3"/>
  <c r="I5555" i="3"/>
  <c r="I5556" i="3"/>
  <c r="I5557" i="3"/>
  <c r="I5558" i="3"/>
  <c r="I5559" i="3"/>
  <c r="I5560" i="3"/>
  <c r="I5561" i="3"/>
  <c r="I5562" i="3"/>
  <c r="I5563" i="3"/>
  <c r="I5564" i="3"/>
  <c r="I5565" i="3"/>
  <c r="I5566" i="3"/>
  <c r="I5567" i="3"/>
  <c r="I5568" i="3"/>
  <c r="I5569" i="3"/>
  <c r="I5570" i="3"/>
  <c r="I5571" i="3"/>
  <c r="I5572" i="3"/>
  <c r="I5573" i="3"/>
  <c r="I5574" i="3"/>
  <c r="I5575" i="3"/>
  <c r="I5576" i="3"/>
  <c r="I5577" i="3"/>
  <c r="I5578" i="3"/>
  <c r="I5579" i="3"/>
  <c r="I5580" i="3"/>
  <c r="I5581" i="3"/>
  <c r="I5582" i="3"/>
  <c r="I5583" i="3"/>
  <c r="I5584" i="3"/>
  <c r="I5585" i="3"/>
  <c r="I5586" i="3"/>
  <c r="I5587" i="3"/>
  <c r="I5588" i="3"/>
  <c r="I5589" i="3"/>
  <c r="I5590" i="3"/>
  <c r="I5591" i="3"/>
  <c r="I5592" i="3"/>
  <c r="I5593" i="3"/>
  <c r="I5594" i="3"/>
  <c r="I5595" i="3"/>
  <c r="I5596" i="3"/>
  <c r="I5597" i="3"/>
  <c r="I5598" i="3"/>
  <c r="I5599" i="3"/>
  <c r="I5600" i="3"/>
  <c r="I5601" i="3"/>
  <c r="I5602" i="3"/>
  <c r="I5603" i="3"/>
  <c r="I5604" i="3"/>
  <c r="I5605" i="3"/>
  <c r="I5606" i="3"/>
  <c r="I5607" i="3"/>
  <c r="I5608" i="3"/>
  <c r="I5609" i="3"/>
  <c r="I5610" i="3"/>
  <c r="I5611" i="3"/>
  <c r="I5612" i="3"/>
  <c r="I5613" i="3"/>
  <c r="I5614" i="3"/>
  <c r="I5615" i="3"/>
  <c r="I5616" i="3"/>
  <c r="I5617" i="3"/>
  <c r="I5618" i="3"/>
  <c r="I5619" i="3"/>
  <c r="I5620" i="3"/>
  <c r="I5621" i="3"/>
  <c r="I5622" i="3"/>
  <c r="I5623" i="3"/>
  <c r="I5624" i="3"/>
  <c r="I5625" i="3"/>
  <c r="I5626" i="3"/>
  <c r="I5627" i="3"/>
  <c r="I5628" i="3"/>
  <c r="I5629" i="3"/>
  <c r="I5630" i="3"/>
  <c r="I5631" i="3"/>
  <c r="I5632" i="3"/>
  <c r="I5633" i="3"/>
  <c r="I5634" i="3"/>
  <c r="I5635" i="3"/>
  <c r="I5636" i="3"/>
  <c r="I5637" i="3"/>
  <c r="I5638" i="3"/>
  <c r="I5639" i="3"/>
  <c r="I5640" i="3"/>
  <c r="I5641" i="3"/>
  <c r="I5642" i="3"/>
  <c r="I5643" i="3"/>
  <c r="I5644" i="3"/>
  <c r="I5645" i="3"/>
  <c r="I5646" i="3"/>
  <c r="I5647" i="3"/>
  <c r="I5648" i="3"/>
  <c r="I5649" i="3"/>
  <c r="I5650" i="3"/>
  <c r="I5651" i="3"/>
  <c r="I5652" i="3"/>
  <c r="I5653" i="3"/>
  <c r="I5654" i="3"/>
  <c r="I5655" i="3"/>
  <c r="I5656" i="3"/>
  <c r="I5657" i="3"/>
  <c r="I5658" i="3"/>
  <c r="I5659" i="3"/>
  <c r="I5660" i="3"/>
  <c r="I5661" i="3"/>
  <c r="I5662" i="3"/>
  <c r="I5663" i="3"/>
  <c r="I5664" i="3"/>
  <c r="I5665" i="3"/>
  <c r="I5666" i="3"/>
  <c r="I5667" i="3"/>
  <c r="I5668" i="3"/>
  <c r="I5669" i="3"/>
  <c r="I5670" i="3"/>
  <c r="I5671" i="3"/>
  <c r="I5672" i="3"/>
  <c r="I5673" i="3"/>
  <c r="I5674" i="3"/>
  <c r="I5675" i="3"/>
  <c r="I5676" i="3"/>
  <c r="I5677" i="3"/>
  <c r="I5678" i="3"/>
  <c r="I5679" i="3"/>
  <c r="I5680" i="3"/>
  <c r="I5681" i="3"/>
  <c r="I5682" i="3"/>
  <c r="I5683" i="3"/>
  <c r="I5684" i="3"/>
  <c r="I5685" i="3"/>
  <c r="I5686" i="3"/>
  <c r="I5687" i="3"/>
  <c r="I5688" i="3"/>
  <c r="I5689" i="3"/>
  <c r="I5690" i="3"/>
  <c r="I5691" i="3"/>
  <c r="I5692" i="3"/>
  <c r="I5693" i="3"/>
  <c r="I5694" i="3"/>
  <c r="I5695" i="3"/>
  <c r="I5696" i="3"/>
  <c r="I5697" i="3"/>
  <c r="I5698" i="3"/>
  <c r="I5699" i="3"/>
  <c r="I5700" i="3"/>
  <c r="I5701" i="3"/>
  <c r="I5702" i="3"/>
  <c r="I5703" i="3"/>
  <c r="I5704" i="3"/>
  <c r="I5705" i="3"/>
  <c r="I5706" i="3"/>
  <c r="I5707" i="3"/>
  <c r="I5708" i="3"/>
  <c r="I5709" i="3"/>
  <c r="I5710" i="3"/>
  <c r="I5711" i="3"/>
  <c r="I5712" i="3"/>
  <c r="I5713" i="3"/>
  <c r="I5714" i="3"/>
  <c r="I5715" i="3"/>
  <c r="I5716" i="3"/>
  <c r="I5717" i="3"/>
  <c r="I5718" i="3"/>
  <c r="I5719" i="3"/>
  <c r="I5720" i="3"/>
  <c r="I5721" i="3"/>
  <c r="I5722" i="3"/>
  <c r="I5723" i="3"/>
  <c r="I5724" i="3"/>
  <c r="I5725" i="3"/>
  <c r="I5726" i="3"/>
  <c r="I5727" i="3"/>
  <c r="I5728" i="3"/>
  <c r="I5729" i="3"/>
  <c r="I5730" i="3"/>
  <c r="I5731" i="3"/>
  <c r="I5732" i="3"/>
  <c r="I5733" i="3"/>
  <c r="I5734" i="3"/>
  <c r="I5735" i="3"/>
  <c r="I5736" i="3"/>
  <c r="I5737" i="3"/>
  <c r="I5738" i="3"/>
  <c r="I5739" i="3"/>
  <c r="I5740" i="3"/>
  <c r="I5741" i="3"/>
  <c r="I5742" i="3"/>
  <c r="I5743" i="3"/>
  <c r="I5744" i="3"/>
  <c r="I5745" i="3"/>
  <c r="I5746" i="3"/>
  <c r="I5747" i="3"/>
  <c r="I5748" i="3"/>
  <c r="I5749" i="3"/>
  <c r="I5750" i="3"/>
  <c r="I5751" i="3"/>
  <c r="I5752" i="3"/>
  <c r="I5753" i="3"/>
  <c r="I5754" i="3"/>
  <c r="I5755" i="3"/>
  <c r="I5756" i="3"/>
  <c r="I5757" i="3"/>
  <c r="I5758" i="3"/>
  <c r="I5759" i="3"/>
  <c r="I5760" i="3"/>
  <c r="I5761" i="3"/>
  <c r="I5762" i="3"/>
  <c r="I5763" i="3"/>
  <c r="I5764" i="3"/>
  <c r="I5765" i="3"/>
  <c r="I5766" i="3"/>
  <c r="I5767" i="3"/>
  <c r="I5768" i="3"/>
  <c r="I5769" i="3"/>
  <c r="I5770" i="3"/>
  <c r="I5771" i="3"/>
  <c r="I5772" i="3"/>
  <c r="I5773" i="3"/>
  <c r="I5774" i="3"/>
  <c r="I5775" i="3"/>
  <c r="I5776" i="3"/>
  <c r="I5777" i="3"/>
  <c r="I5778" i="3"/>
  <c r="I5779" i="3"/>
  <c r="I5780" i="3"/>
  <c r="I5781" i="3"/>
  <c r="I5782" i="3"/>
  <c r="I5783" i="3"/>
  <c r="I5784" i="3"/>
  <c r="I5785" i="3"/>
  <c r="I5786" i="3"/>
  <c r="I5787" i="3"/>
  <c r="I5788" i="3"/>
  <c r="I5789" i="3"/>
  <c r="I5790" i="3"/>
  <c r="I5791" i="3"/>
  <c r="I5792" i="3"/>
  <c r="I5793" i="3"/>
  <c r="I5794" i="3"/>
  <c r="I5795" i="3"/>
  <c r="I5796" i="3"/>
  <c r="I5797" i="3"/>
  <c r="I5798" i="3"/>
  <c r="I5799" i="3"/>
  <c r="I5800" i="3"/>
  <c r="I5801" i="3"/>
  <c r="I5802" i="3"/>
  <c r="I5803" i="3"/>
  <c r="I5804" i="3"/>
  <c r="I5805" i="3"/>
  <c r="I5806" i="3"/>
  <c r="I5807" i="3"/>
  <c r="I5808" i="3"/>
  <c r="I5809" i="3"/>
  <c r="I5810" i="3"/>
  <c r="I5811" i="3"/>
  <c r="I5812" i="3"/>
  <c r="I5813" i="3"/>
  <c r="I5814" i="3"/>
  <c r="I5815" i="3"/>
  <c r="I5816" i="3"/>
  <c r="I5817" i="3"/>
  <c r="I5818" i="3"/>
  <c r="I5819" i="3"/>
  <c r="I5820" i="3"/>
  <c r="I5821" i="3"/>
  <c r="I5822" i="3"/>
  <c r="I5823" i="3"/>
  <c r="I5824" i="3"/>
  <c r="I5825" i="3"/>
  <c r="I5826" i="3"/>
  <c r="I5827" i="3"/>
  <c r="I5828" i="3"/>
  <c r="I5829" i="3"/>
  <c r="I5830" i="3"/>
  <c r="I5831" i="3"/>
  <c r="I5832" i="3"/>
  <c r="I5833" i="3"/>
  <c r="I5834" i="3"/>
  <c r="I5835" i="3"/>
  <c r="I5836" i="3"/>
  <c r="I5837" i="3"/>
  <c r="I5838" i="3"/>
  <c r="I5839" i="3"/>
  <c r="I5840" i="3"/>
  <c r="I5841" i="3"/>
  <c r="I5842" i="3"/>
  <c r="I5843" i="3"/>
  <c r="I5844" i="3"/>
  <c r="I5845" i="3"/>
  <c r="I5846" i="3"/>
  <c r="I5847" i="3"/>
  <c r="I5848" i="3"/>
  <c r="I5849" i="3"/>
  <c r="I5850" i="3"/>
  <c r="I5851" i="3"/>
  <c r="I5852" i="3"/>
  <c r="I5853" i="3"/>
  <c r="I5854" i="3"/>
  <c r="I5855" i="3"/>
  <c r="I5856" i="3"/>
  <c r="I5857" i="3"/>
  <c r="I5858" i="3"/>
  <c r="I5859" i="3"/>
  <c r="I5860" i="3"/>
  <c r="I5861" i="3"/>
  <c r="I5862" i="3"/>
  <c r="I5863" i="3"/>
  <c r="I5864" i="3"/>
  <c r="I5865" i="3"/>
  <c r="I5866" i="3"/>
  <c r="I5867" i="3"/>
  <c r="I5868" i="3"/>
  <c r="I5869" i="3"/>
  <c r="I5870" i="3"/>
  <c r="I5871" i="3"/>
  <c r="I5872" i="3"/>
  <c r="I5873" i="3"/>
  <c r="I5874" i="3"/>
  <c r="I5875" i="3"/>
  <c r="I5876" i="3"/>
  <c r="I5877" i="3"/>
  <c r="I5878" i="3"/>
  <c r="I5879" i="3"/>
  <c r="I5880" i="3"/>
  <c r="I5881" i="3"/>
  <c r="I5882" i="3"/>
  <c r="I5883" i="3"/>
  <c r="I5884" i="3"/>
  <c r="I5885" i="3"/>
  <c r="I5886" i="3"/>
  <c r="I5887" i="3"/>
  <c r="I5888" i="3"/>
  <c r="I5889" i="3"/>
  <c r="I5890" i="3"/>
  <c r="I5891" i="3"/>
  <c r="I5892" i="3"/>
  <c r="I5893" i="3"/>
  <c r="I5894" i="3"/>
  <c r="I5895" i="3"/>
  <c r="I5896" i="3"/>
  <c r="I5897" i="3"/>
  <c r="I5898" i="3"/>
  <c r="I5899" i="3"/>
  <c r="I5900" i="3"/>
  <c r="I5901" i="3"/>
  <c r="I5902" i="3"/>
  <c r="I5903" i="3"/>
  <c r="I5904" i="3"/>
  <c r="I5905" i="3"/>
  <c r="I5906" i="3"/>
  <c r="I5907" i="3"/>
  <c r="I5908" i="3"/>
  <c r="I5909" i="3"/>
  <c r="I5910" i="3"/>
  <c r="I5911" i="3"/>
  <c r="I5912" i="3"/>
  <c r="I5913" i="3"/>
  <c r="I5914" i="3"/>
  <c r="I5915" i="3"/>
  <c r="I5916" i="3"/>
  <c r="I5917" i="3"/>
  <c r="I5918" i="3"/>
  <c r="I5919" i="3"/>
  <c r="I5920" i="3"/>
  <c r="I5921" i="3"/>
  <c r="I5922" i="3"/>
  <c r="I5923" i="3"/>
  <c r="I5924" i="3"/>
  <c r="I5925" i="3"/>
  <c r="I5926" i="3"/>
  <c r="I5927" i="3"/>
  <c r="I5928" i="3"/>
  <c r="I5929" i="3"/>
  <c r="I5930" i="3"/>
  <c r="I5931" i="3"/>
  <c r="I5932" i="3"/>
  <c r="I5933" i="3"/>
  <c r="I5934" i="3"/>
  <c r="I5935" i="3"/>
  <c r="I5936" i="3"/>
  <c r="I5937" i="3"/>
  <c r="I5938" i="3"/>
  <c r="I5939" i="3"/>
  <c r="I5940" i="3"/>
  <c r="I5941" i="3"/>
  <c r="I5942" i="3"/>
  <c r="I5943" i="3"/>
  <c r="I5944" i="3"/>
  <c r="I5945" i="3"/>
  <c r="I5946" i="3"/>
  <c r="I5947" i="3"/>
  <c r="I5948" i="3"/>
  <c r="I5949" i="3"/>
  <c r="I5950" i="3"/>
  <c r="I5951" i="3"/>
  <c r="I5952" i="3"/>
  <c r="I5953" i="3"/>
  <c r="I5954" i="3"/>
  <c r="I5955" i="3"/>
  <c r="I5956" i="3"/>
  <c r="I5957" i="3"/>
  <c r="I5958" i="3"/>
  <c r="I5959" i="3"/>
  <c r="I5960" i="3"/>
  <c r="I5961" i="3"/>
  <c r="I5962" i="3"/>
  <c r="I5963" i="3"/>
  <c r="I5964" i="3"/>
  <c r="I5965" i="3"/>
  <c r="I5966" i="3"/>
  <c r="I5967" i="3"/>
  <c r="I5968" i="3"/>
  <c r="I5969" i="3"/>
  <c r="I5970" i="3"/>
  <c r="I5971" i="3"/>
  <c r="I5972" i="3"/>
  <c r="I5973" i="3"/>
  <c r="I5974" i="3"/>
  <c r="I5975" i="3"/>
  <c r="I5976" i="3"/>
  <c r="I5977" i="3"/>
  <c r="I5978" i="3"/>
  <c r="I5979" i="3"/>
  <c r="I5980" i="3"/>
  <c r="I5981" i="3"/>
  <c r="I5982" i="3"/>
  <c r="I5983" i="3"/>
  <c r="I5984" i="3"/>
  <c r="I5985" i="3"/>
  <c r="I5986" i="3"/>
  <c r="I5987" i="3"/>
  <c r="I5988" i="3"/>
  <c r="I5989" i="3"/>
  <c r="I5990" i="3"/>
  <c r="I5991" i="3"/>
  <c r="I5992" i="3"/>
  <c r="I5993" i="3"/>
  <c r="I5994" i="3"/>
  <c r="I5995" i="3"/>
  <c r="I5996" i="3"/>
  <c r="I5997" i="3"/>
  <c r="I5998" i="3"/>
  <c r="I5999" i="3"/>
  <c r="I6000" i="3"/>
  <c r="I6001" i="3"/>
  <c r="I6002" i="3"/>
  <c r="I6003" i="3"/>
  <c r="I6004" i="3"/>
  <c r="I6005" i="3"/>
  <c r="I6006" i="3"/>
  <c r="I6007" i="3"/>
  <c r="I6008" i="3"/>
  <c r="I6009" i="3"/>
  <c r="I6010" i="3"/>
  <c r="I6011" i="3"/>
  <c r="I6012" i="3"/>
  <c r="I6013" i="3"/>
  <c r="I6014" i="3"/>
  <c r="I6015" i="3"/>
  <c r="I6016" i="3"/>
  <c r="I6017" i="3"/>
  <c r="I6018" i="3"/>
  <c r="I6019" i="3"/>
  <c r="I6020" i="3"/>
  <c r="I6021" i="3"/>
  <c r="I6022" i="3"/>
  <c r="I6023" i="3"/>
  <c r="I6024" i="3"/>
  <c r="I6025" i="3"/>
  <c r="I6026" i="3"/>
  <c r="I6027" i="3"/>
  <c r="I6028" i="3"/>
  <c r="I6029" i="3"/>
  <c r="I6030" i="3"/>
  <c r="I6031" i="3"/>
  <c r="I6032" i="3"/>
  <c r="I6033" i="3"/>
  <c r="I6034" i="3"/>
  <c r="I6035" i="3"/>
  <c r="I6036" i="3"/>
  <c r="I6037" i="3"/>
  <c r="I6038" i="3"/>
  <c r="I6039" i="3"/>
  <c r="I6040" i="3"/>
  <c r="I6041" i="3"/>
  <c r="I6042" i="3"/>
  <c r="I6043" i="3"/>
  <c r="I6044" i="3"/>
  <c r="I6045" i="3"/>
  <c r="I6046" i="3"/>
  <c r="I6047" i="3"/>
  <c r="I6048" i="3"/>
  <c r="I6049" i="3"/>
  <c r="I6050" i="3"/>
  <c r="I6051" i="3"/>
  <c r="I6052" i="3"/>
  <c r="I6053" i="3"/>
  <c r="I6054" i="3"/>
  <c r="I6055" i="3"/>
  <c r="I6056" i="3"/>
  <c r="I6057" i="3"/>
  <c r="I6058" i="3"/>
  <c r="I6059" i="3"/>
  <c r="I6060" i="3"/>
  <c r="I6061" i="3"/>
  <c r="I6062" i="3"/>
  <c r="I6063" i="3"/>
  <c r="I6064" i="3"/>
  <c r="I6065" i="3"/>
  <c r="I6066" i="3"/>
  <c r="I6067" i="3"/>
  <c r="I6068" i="3"/>
  <c r="I6069" i="3"/>
  <c r="I6070" i="3"/>
  <c r="I6071" i="3"/>
  <c r="I6072" i="3"/>
  <c r="I6073" i="3"/>
  <c r="I6074" i="3"/>
  <c r="I6075" i="3"/>
  <c r="I6076" i="3"/>
  <c r="I6077" i="3"/>
  <c r="I6078" i="3"/>
  <c r="I6079" i="3"/>
  <c r="I6080" i="3"/>
  <c r="I6081" i="3"/>
  <c r="I6082" i="3"/>
  <c r="I6083" i="3"/>
  <c r="I6084" i="3"/>
  <c r="I6085" i="3"/>
  <c r="I6086" i="3"/>
  <c r="I6087" i="3"/>
  <c r="I6088" i="3"/>
  <c r="I6089" i="3"/>
  <c r="I6090" i="3"/>
  <c r="I6091" i="3"/>
  <c r="I6092" i="3"/>
  <c r="I6093" i="3"/>
  <c r="I6094" i="3"/>
  <c r="I6095" i="3"/>
  <c r="I6096" i="3"/>
  <c r="I6097" i="3"/>
  <c r="I6098" i="3"/>
  <c r="I6099" i="3"/>
  <c r="I6100" i="3"/>
  <c r="I6101" i="3"/>
  <c r="I6102" i="3"/>
  <c r="I6103" i="3"/>
  <c r="I6104" i="3"/>
  <c r="I6105" i="3"/>
  <c r="I6106" i="3"/>
  <c r="I6107" i="3"/>
  <c r="I6108" i="3"/>
  <c r="I6109" i="3"/>
  <c r="I6110" i="3"/>
  <c r="I6111" i="3"/>
  <c r="I6112" i="3"/>
  <c r="I6113" i="3"/>
  <c r="I6114" i="3"/>
  <c r="I6115" i="3"/>
  <c r="I6116" i="3"/>
  <c r="I6117" i="3"/>
  <c r="I6118" i="3"/>
  <c r="I6119" i="3"/>
  <c r="I6120" i="3"/>
  <c r="I6121" i="3"/>
  <c r="I6122" i="3"/>
  <c r="I6123" i="3"/>
  <c r="I6124" i="3"/>
  <c r="I6125" i="3"/>
  <c r="I6126" i="3"/>
  <c r="I6127" i="3"/>
  <c r="I6128" i="3"/>
  <c r="I6129" i="3"/>
  <c r="I6130" i="3"/>
  <c r="I6131" i="3"/>
  <c r="I6132" i="3"/>
  <c r="I6133" i="3"/>
  <c r="I6134" i="3"/>
  <c r="I6135" i="3"/>
  <c r="I6136" i="3"/>
  <c r="I6137" i="3"/>
  <c r="I6138" i="3"/>
  <c r="I6139" i="3"/>
  <c r="I6140" i="3"/>
  <c r="I6141" i="3"/>
  <c r="I6142" i="3"/>
  <c r="I6143" i="3"/>
  <c r="K23" i="2" l="1"/>
  <c r="K30" i="2"/>
  <c r="K31" i="2"/>
  <c r="K32" i="2"/>
  <c r="K33" i="2"/>
  <c r="K34" i="2"/>
  <c r="M63" i="2" l="1"/>
  <c r="M64" i="2"/>
  <c r="M65" i="2"/>
  <c r="M66" i="2"/>
  <c r="M67" i="2"/>
  <c r="M68" i="2"/>
  <c r="M69" i="2"/>
  <c r="M70" i="2"/>
  <c r="L63" i="2"/>
  <c r="L64" i="2"/>
  <c r="L65" i="2"/>
  <c r="L66" i="2"/>
  <c r="L67" i="2"/>
  <c r="L68" i="2"/>
  <c r="L69" i="2"/>
  <c r="L70" i="2"/>
  <c r="K60" i="2"/>
  <c r="K61" i="2"/>
  <c r="K62" i="2"/>
  <c r="K63" i="2"/>
  <c r="K64" i="2"/>
  <c r="K65" i="2"/>
  <c r="K66" i="2"/>
  <c r="K67" i="2"/>
  <c r="K68" i="2"/>
  <c r="K69" i="2"/>
  <c r="K70" i="2"/>
  <c r="J41" i="2" l="1"/>
  <c r="J61" i="2"/>
  <c r="J62" i="2"/>
  <c r="J63" i="2"/>
  <c r="J64" i="2"/>
  <c r="J65" i="2"/>
  <c r="J66" i="2"/>
  <c r="J67" i="2"/>
  <c r="J68" i="2"/>
  <c r="J69" i="2"/>
  <c r="J70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N66" i="2" l="1"/>
  <c r="O66" i="2"/>
  <c r="P66" i="2"/>
  <c r="Q66" i="2"/>
  <c r="N67" i="2"/>
  <c r="O67" i="2"/>
  <c r="P67" i="2"/>
  <c r="Q67" i="2"/>
  <c r="N68" i="2"/>
  <c r="O68" i="2"/>
  <c r="P68" i="2"/>
  <c r="Q68" i="2"/>
  <c r="N69" i="2"/>
  <c r="O69" i="2"/>
  <c r="P69" i="2"/>
  <c r="Q69" i="2"/>
  <c r="N70" i="2"/>
  <c r="O70" i="2"/>
  <c r="P70" i="2"/>
  <c r="Q70" i="2"/>
  <c r="Q65" i="2"/>
  <c r="P65" i="2"/>
  <c r="O65" i="2"/>
  <c r="N65" i="2"/>
  <c r="Q64" i="2"/>
  <c r="P64" i="2"/>
  <c r="O64" i="2"/>
  <c r="N64" i="2"/>
  <c r="Q63" i="2"/>
  <c r="P63" i="2"/>
  <c r="O63" i="2"/>
  <c r="N63" i="2"/>
  <c r="Q62" i="2"/>
  <c r="P62" i="2"/>
  <c r="O62" i="2"/>
  <c r="N62" i="2"/>
  <c r="M62" i="2"/>
  <c r="L62" i="2"/>
  <c r="Q61" i="2"/>
  <c r="P61" i="2"/>
  <c r="O61" i="2"/>
  <c r="N61" i="2"/>
  <c r="M61" i="2"/>
  <c r="L61" i="2"/>
  <c r="Q60" i="2"/>
  <c r="P60" i="2"/>
  <c r="O60" i="2"/>
  <c r="N60" i="2"/>
  <c r="M60" i="2"/>
  <c r="L60" i="2"/>
  <c r="Q59" i="2"/>
  <c r="P59" i="2"/>
  <c r="O59" i="2"/>
  <c r="N59" i="2"/>
  <c r="M59" i="2"/>
  <c r="L59" i="2"/>
  <c r="K59" i="2"/>
  <c r="Q58" i="2"/>
  <c r="P58" i="2"/>
  <c r="O58" i="2"/>
  <c r="N58" i="2"/>
  <c r="M58" i="2"/>
  <c r="L58" i="2"/>
  <c r="K58" i="2"/>
  <c r="Q57" i="2"/>
  <c r="P57" i="2"/>
  <c r="O57" i="2"/>
  <c r="N57" i="2"/>
  <c r="M57" i="2"/>
  <c r="L57" i="2"/>
  <c r="K57" i="2"/>
  <c r="Q56" i="2"/>
  <c r="P56" i="2"/>
  <c r="O56" i="2"/>
  <c r="N56" i="2"/>
  <c r="M56" i="2"/>
  <c r="L56" i="2"/>
  <c r="K56" i="2"/>
  <c r="Q55" i="2"/>
  <c r="P55" i="2"/>
  <c r="O55" i="2"/>
  <c r="N55" i="2"/>
  <c r="M55" i="2"/>
  <c r="L55" i="2"/>
  <c r="K55" i="2"/>
  <c r="Q54" i="2"/>
  <c r="P54" i="2"/>
  <c r="O54" i="2"/>
  <c r="N54" i="2"/>
  <c r="M54" i="2"/>
  <c r="L54" i="2"/>
  <c r="K54" i="2"/>
  <c r="Q53" i="2"/>
  <c r="P53" i="2"/>
  <c r="O53" i="2"/>
  <c r="N53" i="2"/>
  <c r="M53" i="2"/>
  <c r="L53" i="2"/>
  <c r="K53" i="2"/>
  <c r="Q52" i="2"/>
  <c r="P52" i="2"/>
  <c r="O52" i="2"/>
  <c r="N52" i="2"/>
  <c r="M52" i="2"/>
  <c r="L52" i="2"/>
  <c r="K52" i="2"/>
  <c r="Q51" i="2"/>
  <c r="P51" i="2"/>
  <c r="O51" i="2"/>
  <c r="N51" i="2"/>
  <c r="M51" i="2"/>
  <c r="L51" i="2"/>
  <c r="K51" i="2"/>
  <c r="Q50" i="2"/>
  <c r="P50" i="2"/>
  <c r="O50" i="2"/>
  <c r="N50" i="2"/>
  <c r="M50" i="2"/>
  <c r="L50" i="2"/>
  <c r="K50" i="2"/>
  <c r="Q49" i="2"/>
  <c r="P49" i="2"/>
  <c r="O49" i="2"/>
  <c r="N49" i="2"/>
  <c r="M49" i="2"/>
  <c r="L49" i="2"/>
  <c r="K49" i="2"/>
  <c r="Q48" i="2"/>
  <c r="P48" i="2"/>
  <c r="O48" i="2"/>
  <c r="N48" i="2"/>
  <c r="M48" i="2"/>
  <c r="L48" i="2"/>
  <c r="K48" i="2"/>
  <c r="Q47" i="2"/>
  <c r="P47" i="2"/>
  <c r="O47" i="2"/>
  <c r="N47" i="2"/>
  <c r="M47" i="2"/>
  <c r="L47" i="2"/>
  <c r="K47" i="2"/>
  <c r="Q46" i="2"/>
  <c r="P46" i="2"/>
  <c r="O46" i="2"/>
  <c r="N46" i="2"/>
  <c r="M46" i="2"/>
  <c r="L46" i="2"/>
  <c r="K46" i="2"/>
  <c r="Q45" i="2"/>
  <c r="P45" i="2"/>
  <c r="O45" i="2"/>
  <c r="N45" i="2"/>
  <c r="M45" i="2"/>
  <c r="L45" i="2"/>
  <c r="K45" i="2"/>
  <c r="Q44" i="2"/>
  <c r="P44" i="2"/>
  <c r="O44" i="2"/>
  <c r="N44" i="2"/>
  <c r="M44" i="2"/>
  <c r="L44" i="2"/>
  <c r="K44" i="2"/>
  <c r="Q43" i="2"/>
  <c r="P43" i="2"/>
  <c r="O43" i="2"/>
  <c r="N43" i="2"/>
  <c r="M43" i="2"/>
  <c r="L43" i="2"/>
  <c r="K43" i="2"/>
  <c r="Q42" i="2"/>
  <c r="P42" i="2"/>
  <c r="O42" i="2"/>
  <c r="N42" i="2"/>
  <c r="M42" i="2"/>
  <c r="L42" i="2"/>
  <c r="K42" i="2"/>
  <c r="Q41" i="2"/>
  <c r="P41" i="2"/>
  <c r="O41" i="2"/>
  <c r="N41" i="2"/>
  <c r="M41" i="2"/>
  <c r="L41" i="2"/>
  <c r="K41" i="2"/>
  <c r="R31" i="2" l="1"/>
  <c r="R32" i="2"/>
  <c r="R33" i="2"/>
  <c r="R34" i="2"/>
  <c r="R35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30" i="2"/>
  <c r="L31" i="2"/>
  <c r="L32" i="2"/>
  <c r="L33" i="2"/>
  <c r="L34" i="2"/>
  <c r="L35" i="2"/>
  <c r="L10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30" i="2"/>
  <c r="M31" i="2"/>
  <c r="M32" i="2"/>
  <c r="M33" i="2"/>
  <c r="M34" i="2"/>
  <c r="M35" i="2"/>
  <c r="J22" i="2" l="1"/>
  <c r="K22" i="2" s="1"/>
  <c r="H22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30" i="2"/>
  <c r="Q31" i="2"/>
  <c r="Q32" i="2"/>
  <c r="Q33" i="2"/>
  <c r="Q34" i="2"/>
  <c r="Q35" i="2"/>
  <c r="Q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30" i="2"/>
  <c r="P31" i="2"/>
  <c r="P32" i="2"/>
  <c r="P33" i="2"/>
  <c r="P34" i="2"/>
  <c r="P35" i="2"/>
  <c r="P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30" i="2"/>
  <c r="O31" i="2"/>
  <c r="O32" i="2"/>
  <c r="O33" i="2"/>
  <c r="O34" i="2"/>
  <c r="O35" i="2"/>
  <c r="O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30" i="2"/>
  <c r="N31" i="2"/>
  <c r="N32" i="2"/>
  <c r="N33" i="2"/>
  <c r="N34" i="2"/>
  <c r="N35" i="2"/>
  <c r="N10" i="2"/>
  <c r="J11" i="2"/>
  <c r="K11" i="2" s="1"/>
  <c r="J12" i="2"/>
  <c r="K12" i="2" s="1"/>
  <c r="J13" i="2"/>
  <c r="K13" i="2" s="1"/>
  <c r="J14" i="2"/>
  <c r="K14" i="2" s="1"/>
  <c r="J15" i="2"/>
  <c r="K15" i="2" s="1"/>
  <c r="J16" i="2"/>
  <c r="K16" i="2" s="1"/>
  <c r="J17" i="2"/>
  <c r="K17" i="2" s="1"/>
  <c r="J18" i="2"/>
  <c r="K18" i="2" s="1"/>
  <c r="J19" i="2"/>
  <c r="K19" i="2" s="1"/>
  <c r="J20" i="2"/>
  <c r="K20" i="2" s="1"/>
  <c r="J21" i="2"/>
  <c r="K21" i="2" s="1"/>
  <c r="J23" i="2"/>
  <c r="J24" i="2"/>
  <c r="K24" i="2" s="1"/>
  <c r="J30" i="2"/>
  <c r="J31" i="2"/>
  <c r="J32" i="2"/>
  <c r="J33" i="2"/>
  <c r="J34" i="2"/>
  <c r="J35" i="2"/>
  <c r="M5" i="2" s="1"/>
  <c r="J10" i="2"/>
  <c r="K10" i="2" s="1"/>
  <c r="H11" i="2"/>
  <c r="R11" i="2" s="1"/>
  <c r="H12" i="2"/>
  <c r="R12" i="2" s="1"/>
  <c r="H13" i="2"/>
  <c r="R13" i="2" s="1"/>
  <c r="H14" i="2"/>
  <c r="R14" i="2" s="1"/>
  <c r="R15" i="2"/>
  <c r="H16" i="2"/>
  <c r="R16" i="2" s="1"/>
  <c r="H17" i="2"/>
  <c r="R17" i="2" s="1"/>
  <c r="H18" i="2"/>
  <c r="R18" i="2" s="1"/>
  <c r="H19" i="2"/>
  <c r="R19" i="2" s="1"/>
  <c r="H20" i="2"/>
  <c r="R20" i="2" s="1"/>
  <c r="H21" i="2"/>
  <c r="H23" i="2"/>
  <c r="H24" i="2"/>
  <c r="I24" i="2" s="1"/>
  <c r="H30" i="2"/>
  <c r="H31" i="2"/>
  <c r="I31" i="2" s="1"/>
  <c r="H32" i="2"/>
  <c r="I32" i="2" s="1"/>
  <c r="H33" i="2"/>
  <c r="I33" i="2" s="1"/>
  <c r="H34" i="2"/>
  <c r="I34" i="2" s="1"/>
  <c r="H35" i="2"/>
  <c r="I35" i="2" s="1"/>
  <c r="H10" i="2"/>
  <c r="R10" i="2" s="1"/>
  <c r="M3" i="2" l="1"/>
  <c r="K35" i="2"/>
  <c r="R24" i="2"/>
  <c r="R21" i="2"/>
  <c r="R23" i="2"/>
  <c r="I30" i="2"/>
  <c r="R30" i="2"/>
  <c r="I23" i="2"/>
  <c r="I22" i="2"/>
  <c r="R22" i="2"/>
  <c r="I20" i="2"/>
  <c r="I19" i="2" l="1"/>
  <c r="I11" i="2"/>
  <c r="I12" i="2"/>
  <c r="I13" i="2"/>
  <c r="I15" i="2"/>
  <c r="I16" i="2"/>
  <c r="I17" i="2"/>
  <c r="I18" i="2"/>
  <c r="I21" i="2" l="1"/>
  <c r="I14" i="2"/>
  <c r="I10" i="2"/>
  <c r="M4" i="2" l="1"/>
  <c r="M7" i="2" s="1"/>
  <c r="M6" i="2" l="1"/>
</calcChain>
</file>

<file path=xl/comments1.xml><?xml version="1.0" encoding="utf-8"?>
<comments xmlns="http://schemas.openxmlformats.org/spreadsheetml/2006/main">
  <authors>
    <author>Ricardo Marquez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If you have Bitcoin in your wallet either for trading or currently in trade, put the amount here. Used as a reference value.</t>
        </r>
      </text>
    </comment>
  </commentList>
</comments>
</file>

<file path=xl/sharedStrings.xml><?xml version="1.0" encoding="utf-8"?>
<sst xmlns="http://schemas.openxmlformats.org/spreadsheetml/2006/main" count="1700" uniqueCount="1644">
  <si>
    <t>Bitcoin</t>
  </si>
  <si>
    <t>Ethereum</t>
  </si>
  <si>
    <t>Bitcoin Cash</t>
  </si>
  <si>
    <t>Ripple</t>
  </si>
  <si>
    <t>Litecoin</t>
  </si>
  <si>
    <t>NEM</t>
  </si>
  <si>
    <t>Dash</t>
  </si>
  <si>
    <t>IOTA</t>
  </si>
  <si>
    <t>Monero</t>
  </si>
  <si>
    <t>NEO</t>
  </si>
  <si>
    <t>Ethereum Classic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</si>
  <si>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</si>
  <si>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</si>
  <si>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</si>
  <si>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</si>
  <si>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</si>
  <si>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</si>
  <si>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</si>
  <si>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</si>
  <si>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</t>
  </si>
  <si>
    <t>EOS</t>
  </si>
  <si>
    <t>BitShares</t>
  </si>
  <si>
    <t>Steem</t>
  </si>
  <si>
    <t>Tether</t>
  </si>
  <si>
    <t>MaidSafeCoin</t>
  </si>
  <si>
    <t>Augur</t>
  </si>
  <si>
    <t>Basic Attention Token</t>
  </si>
  <si>
    <t>Golem</t>
  </si>
  <si>
    <t>Factom</t>
  </si>
  <si>
    <t>Ark</t>
  </si>
  <si>
    <t>Iconomi</t>
  </si>
  <si>
    <t>Siacoin</t>
  </si>
  <si>
    <t>Dogecoin</t>
  </si>
  <si>
    <t>Binance Coin</t>
  </si>
  <si>
    <t>Decred</t>
  </si>
  <si>
    <t>PIVX</t>
  </si>
  <si>
    <t>DigixDAO</t>
  </si>
  <si>
    <t>Gnosis</t>
  </si>
  <si>
    <t>0x</t>
  </si>
  <si>
    <t>Civic</t>
  </si>
  <si>
    <t>Veritaseum</t>
  </si>
  <si>
    <t>DigiByte</t>
  </si>
  <si>
    <t>Status</t>
  </si>
  <si>
    <t>Nexus</t>
  </si>
  <si>
    <t>Populous</t>
  </si>
  <si>
    <t>Komodo</t>
  </si>
  <si>
    <t>Gas</t>
  </si>
  <si>
    <t>GameCredits</t>
  </si>
  <si>
    <t>Ardor</t>
  </si>
  <si>
    <t>GXShares</t>
  </si>
  <si>
    <t>Bancor</t>
  </si>
  <si>
    <t>FunFair</t>
  </si>
  <si>
    <t>Nxt</t>
  </si>
  <si>
    <t>Bytom</t>
  </si>
  <si>
    <t>Syscoin</t>
  </si>
  <si>
    <t>BitcoinDark</t>
  </si>
  <si>
    <t>Verge</t>
  </si>
  <si>
    <t>district0x</t>
  </si>
  <si>
    <t>ReddCoin</t>
  </si>
  <si>
    <t>ZCoin</t>
  </si>
  <si>
    <t>Santiment Network Token</t>
  </si>
  <si>
    <t>MonaCoin</t>
  </si>
  <si>
    <t>DigitalNote</t>
  </si>
  <si>
    <t>RaiBlocks</t>
  </si>
  <si>
    <t>Dent</t>
  </si>
  <si>
    <t>SmartCash</t>
  </si>
  <si>
    <t>ZClassic</t>
  </si>
  <si>
    <t>Dentacoin</t>
  </si>
  <si>
    <t>Janus</t>
  </si>
  <si>
    <t>XP</t>
  </si>
  <si>
    <t>42-coin</t>
  </si>
  <si>
    <t>Enigma</t>
  </si>
  <si>
    <t>VeChain</t>
  </si>
  <si>
    <t>Walton</t>
  </si>
  <si>
    <t>bitqy</t>
  </si>
  <si>
    <t>BTC</t>
  </si>
  <si>
    <t>ETH</t>
  </si>
  <si>
    <t>BCH</t>
  </si>
  <si>
    <t>XRP</t>
  </si>
  <si>
    <t>LTC</t>
  </si>
  <si>
    <t>XEM</t>
  </si>
  <si>
    <t>DASH</t>
  </si>
  <si>
    <t>MIOTA</t>
  </si>
  <si>
    <t>XMR</t>
  </si>
  <si>
    <t>ETC</t>
  </si>
  <si>
    <t>OMG</t>
  </si>
  <si>
    <t>HSR</t>
  </si>
  <si>
    <t>QTUM</t>
  </si>
  <si>
    <t>BCC</t>
  </si>
  <si>
    <t>LSK</t>
  </si>
  <si>
    <t>STRAT</t>
  </si>
  <si>
    <t>ZEC</t>
  </si>
  <si>
    <t>WAVES</t>
  </si>
  <si>
    <t>BCN</t>
  </si>
  <si>
    <t>BTS</t>
  </si>
  <si>
    <t>STEEM</t>
  </si>
  <si>
    <t>XLM</t>
  </si>
  <si>
    <t>USDT</t>
  </si>
  <si>
    <t>MAID</t>
  </si>
  <si>
    <t>REP</t>
  </si>
  <si>
    <t>BAT</t>
  </si>
  <si>
    <t>GNT</t>
  </si>
  <si>
    <t>FCT</t>
  </si>
  <si>
    <t>ARK</t>
  </si>
  <si>
    <t>ICN</t>
  </si>
  <si>
    <t>SC</t>
  </si>
  <si>
    <t>DOGE</t>
  </si>
  <si>
    <t>GBYTE</t>
  </si>
  <si>
    <t>BNB</t>
  </si>
  <si>
    <t>DCR</t>
  </si>
  <si>
    <t>DGD</t>
  </si>
  <si>
    <t>GNO</t>
  </si>
  <si>
    <t>ZRX</t>
  </si>
  <si>
    <t>CVC</t>
  </si>
  <si>
    <t>VERI</t>
  </si>
  <si>
    <t>DGB</t>
  </si>
  <si>
    <t>SNT</t>
  </si>
  <si>
    <t>NXS</t>
  </si>
  <si>
    <t>PPT</t>
  </si>
  <si>
    <t>KMD</t>
  </si>
  <si>
    <t>GAS</t>
  </si>
  <si>
    <t>GAME</t>
  </si>
  <si>
    <t>ARDR</t>
  </si>
  <si>
    <t>GXS</t>
  </si>
  <si>
    <t>BNT</t>
  </si>
  <si>
    <t>FUN</t>
  </si>
  <si>
    <t>NXT</t>
  </si>
  <si>
    <t>BTM</t>
  </si>
  <si>
    <t>SYS</t>
  </si>
  <si>
    <t>BTCD</t>
  </si>
  <si>
    <t>XVG</t>
  </si>
  <si>
    <t>RDD</t>
  </si>
  <si>
    <t>XZC</t>
  </si>
  <si>
    <t>SAN</t>
  </si>
  <si>
    <t>MONA</t>
  </si>
  <si>
    <t>XDN</t>
  </si>
  <si>
    <t>XRB</t>
  </si>
  <si>
    <t>DENT</t>
  </si>
  <si>
    <t>SMART</t>
  </si>
  <si>
    <t>ZCL</t>
  </si>
  <si>
    <t>DCN</t>
  </si>
  <si>
    <t>JNS</t>
  </si>
  <si>
    <t>ICON</t>
  </si>
  <si>
    <t>KNC</t>
  </si>
  <si>
    <t>WTC</t>
  </si>
  <si>
    <t>AE</t>
  </si>
  <si>
    <t>BTG</t>
  </si>
  <si>
    <t>BTC_Price</t>
  </si>
  <si>
    <t>USD_Price</t>
  </si>
  <si>
    <t>Market Cap USD</t>
  </si>
  <si>
    <t>Available Supply</t>
  </si>
  <si>
    <t>Total Supply</t>
  </si>
  <si>
    <t>%Change 1 hour</t>
  </si>
  <si>
    <t>Rank</t>
  </si>
  <si>
    <t>bitcoin</t>
  </si>
  <si>
    <t>ethereum</t>
  </si>
  <si>
    <t>bitcoin-cash</t>
  </si>
  <si>
    <t>ripple</t>
  </si>
  <si>
    <t>litecoin</t>
  </si>
  <si>
    <t>nem</t>
  </si>
  <si>
    <t>dash</t>
  </si>
  <si>
    <t>iota</t>
  </si>
  <si>
    <t>monero</t>
  </si>
  <si>
    <t>ethereum-classic</t>
  </si>
  <si>
    <t>neo</t>
  </si>
  <si>
    <t>omisego</t>
  </si>
  <si>
    <t>hshare</t>
  </si>
  <si>
    <t>qtum</t>
  </si>
  <si>
    <t>bitconnect</t>
  </si>
  <si>
    <t>lisk</t>
  </si>
  <si>
    <t>stratis</t>
  </si>
  <si>
    <t>zcash</t>
  </si>
  <si>
    <t>waves</t>
  </si>
  <si>
    <t>bytecoin-bcn</t>
  </si>
  <si>
    <t>bitshares</t>
  </si>
  <si>
    <t>eos</t>
  </si>
  <si>
    <t>stellar</t>
  </si>
  <si>
    <t>steem</t>
  </si>
  <si>
    <t>tether</t>
  </si>
  <si>
    <t>maidsafecoin</t>
  </si>
  <si>
    <t>iconomi</t>
  </si>
  <si>
    <t>augur</t>
  </si>
  <si>
    <t>golem-network-tokens</t>
  </si>
  <si>
    <t>factom</t>
  </si>
  <si>
    <t>basic-attention-token</t>
  </si>
  <si>
    <t>ark</t>
  </si>
  <si>
    <t>siacoin</t>
  </si>
  <si>
    <t>dogecoin</t>
  </si>
  <si>
    <t>metal</t>
  </si>
  <si>
    <t>decred</t>
  </si>
  <si>
    <t>binance-coin</t>
  </si>
  <si>
    <t>byteball</t>
  </si>
  <si>
    <t>gnosis-gno</t>
  </si>
  <si>
    <t>pivx</t>
  </si>
  <si>
    <t>digibyte</t>
  </si>
  <si>
    <t>digixdao</t>
  </si>
  <si>
    <t>populous</t>
  </si>
  <si>
    <t>status</t>
  </si>
  <si>
    <t>civic</t>
  </si>
  <si>
    <t>veritaseum</t>
  </si>
  <si>
    <t>gamecredits</t>
  </si>
  <si>
    <t>komodo</t>
  </si>
  <si>
    <t>mcap</t>
  </si>
  <si>
    <t>nexus</t>
  </si>
  <si>
    <t>ardor</t>
  </si>
  <si>
    <t>gxshares</t>
  </si>
  <si>
    <t>blocknet</t>
  </si>
  <si>
    <t>funfair</t>
  </si>
  <si>
    <t>bancor</t>
  </si>
  <si>
    <t>gas</t>
  </si>
  <si>
    <t>nxt</t>
  </si>
  <si>
    <t>syscoin</t>
  </si>
  <si>
    <t>bytom</t>
  </si>
  <si>
    <t>monaco</t>
  </si>
  <si>
    <t>nav-coin</t>
  </si>
  <si>
    <t>ubiq</t>
  </si>
  <si>
    <t>particl</t>
  </si>
  <si>
    <t>lykke</t>
  </si>
  <si>
    <t>aragon</t>
  </si>
  <si>
    <t>storj</t>
  </si>
  <si>
    <t>singulardtv</t>
  </si>
  <si>
    <t>bitcoindark</t>
  </si>
  <si>
    <t>cofound-it</t>
  </si>
  <si>
    <t>mobilego</t>
  </si>
  <si>
    <t>wings</t>
  </si>
  <si>
    <t>metaverse</t>
  </si>
  <si>
    <t>verge</t>
  </si>
  <si>
    <t>decent</t>
  </si>
  <si>
    <t>tierion</t>
  </si>
  <si>
    <t>asch</t>
  </si>
  <si>
    <t>adx-net</t>
  </si>
  <si>
    <t>rlc</t>
  </si>
  <si>
    <t>firstblood</t>
  </si>
  <si>
    <t>melon</t>
  </si>
  <si>
    <t>pillar</t>
  </si>
  <si>
    <t>peercoin</t>
  </si>
  <si>
    <t>coindash</t>
  </si>
  <si>
    <t>gulden</t>
  </si>
  <si>
    <t>emercoin</t>
  </si>
  <si>
    <t>elastic</t>
  </si>
  <si>
    <t>rise</t>
  </si>
  <si>
    <t>leocoin</t>
  </si>
  <si>
    <t>firstcoin</t>
  </si>
  <si>
    <t>tokencard</t>
  </si>
  <si>
    <t>trust</t>
  </si>
  <si>
    <t>reddcoin</t>
  </si>
  <si>
    <t>quantum-resistant-ledger</t>
  </si>
  <si>
    <t>zcoin</t>
  </si>
  <si>
    <t>numeraire</t>
  </si>
  <si>
    <t>counterparty</t>
  </si>
  <si>
    <t>viacoin</t>
  </si>
  <si>
    <t>vertcoin</t>
  </si>
  <si>
    <t>stox</t>
  </si>
  <si>
    <t>rialto</t>
  </si>
  <si>
    <t>mysterium</t>
  </si>
  <si>
    <t>cloakcoin</t>
  </si>
  <si>
    <t>vslice</t>
  </si>
  <si>
    <t>adtoken</t>
  </si>
  <si>
    <t>mothership</t>
  </si>
  <si>
    <t>taas</t>
  </si>
  <si>
    <t>triggers</t>
  </si>
  <si>
    <t>faircoin</t>
  </si>
  <si>
    <t>namecoin</t>
  </si>
  <si>
    <t>patientory</t>
  </si>
  <si>
    <t>lunyr</t>
  </si>
  <si>
    <t>expanse</t>
  </si>
  <si>
    <t>library-credit</t>
  </si>
  <si>
    <t>etheroll</t>
  </si>
  <si>
    <t>ion</t>
  </si>
  <si>
    <t>monacoin</t>
  </si>
  <si>
    <t>sonm</t>
  </si>
  <si>
    <t>polybius</t>
  </si>
  <si>
    <t>humaniq</t>
  </si>
  <si>
    <t>santiment</t>
  </si>
  <si>
    <t>zencash</t>
  </si>
  <si>
    <t>safe-exchange-coin</t>
  </si>
  <si>
    <t>the-champcoin</t>
  </si>
  <si>
    <t>shift</t>
  </si>
  <si>
    <t>potcoin</t>
  </si>
  <si>
    <t>bitbay</t>
  </si>
  <si>
    <t>spreadcoin</t>
  </si>
  <si>
    <t>xaurum</t>
  </si>
  <si>
    <t>peerplays-ppy</t>
  </si>
  <si>
    <t>crown</t>
  </si>
  <si>
    <t>supernet-unity</t>
  </si>
  <si>
    <t>primas</t>
  </si>
  <si>
    <t>skycoin</t>
  </si>
  <si>
    <t>clams</t>
  </si>
  <si>
    <t>blackcoin</t>
  </si>
  <si>
    <t>soarcoin</t>
  </si>
  <si>
    <t>radium</t>
  </si>
  <si>
    <t>guppy</t>
  </si>
  <si>
    <t>sprouts</t>
  </si>
  <si>
    <t>golos</t>
  </si>
  <si>
    <t>monetaryunit</t>
  </si>
  <si>
    <t>digitalnote</t>
  </si>
  <si>
    <t>databits</t>
  </si>
  <si>
    <t>nexium</t>
  </si>
  <si>
    <t>chronobank</t>
  </si>
  <si>
    <t>burst</t>
  </si>
  <si>
    <t>unobtanium</t>
  </si>
  <si>
    <t>omni</t>
  </si>
  <si>
    <t>sibcoin</t>
  </si>
  <si>
    <t>raiblocks</t>
  </si>
  <si>
    <t>synereo</t>
  </si>
  <si>
    <t>salus</t>
  </si>
  <si>
    <t>agoras-tokens</t>
  </si>
  <si>
    <t>quantum</t>
  </si>
  <si>
    <t>gridcoin</t>
  </si>
  <si>
    <t>energycoin</t>
  </si>
  <si>
    <t>waves-community-token</t>
  </si>
  <si>
    <t>eccoin</t>
  </si>
  <si>
    <t>ecobit</t>
  </si>
  <si>
    <t>obits</t>
  </si>
  <si>
    <t>wagerr</t>
  </si>
  <si>
    <t>neoscoin</t>
  </si>
  <si>
    <t>aeon</t>
  </si>
  <si>
    <t>pluton</t>
  </si>
  <si>
    <t>e-coin</t>
  </si>
  <si>
    <t>spectrecoin</t>
  </si>
  <si>
    <t>swarm-city</t>
  </si>
  <si>
    <t>rubycoin</t>
  </si>
  <si>
    <t>bcap</t>
  </si>
  <si>
    <t>voxels</t>
  </si>
  <si>
    <t>diamond</t>
  </si>
  <si>
    <t>florincoin</t>
  </si>
  <si>
    <t>bitcny</t>
  </si>
  <si>
    <t>xtrabytes</t>
  </si>
  <si>
    <t>sphere</t>
  </si>
  <si>
    <t>mooncoin</t>
  </si>
  <si>
    <t>blockcat</t>
  </si>
  <si>
    <t>earthcoin</t>
  </si>
  <si>
    <t>dao-casino</t>
  </si>
  <si>
    <t>e-dinar-coin</t>
  </si>
  <si>
    <t>musicoin</t>
  </si>
  <si>
    <t>nimiq</t>
  </si>
  <si>
    <t>feathercoin</t>
  </si>
  <si>
    <t>gambit</t>
  </si>
  <si>
    <t>prizm</t>
  </si>
  <si>
    <t>vericoin</t>
  </si>
  <si>
    <t>lomocoin</t>
  </si>
  <si>
    <t>pinkcoin</t>
  </si>
  <si>
    <t>incent</t>
  </si>
  <si>
    <t>bitcrystals</t>
  </si>
  <si>
    <t>einsteinium</t>
  </si>
  <si>
    <t>toacoin</t>
  </si>
  <si>
    <t>creditbit</t>
  </si>
  <si>
    <t>dnotes</t>
  </si>
  <si>
    <t>encryptotel</t>
  </si>
  <si>
    <t>heat-ledger</t>
  </si>
  <si>
    <t>okcash</t>
  </si>
  <si>
    <t>dent</t>
  </si>
  <si>
    <t>primecoin</t>
  </si>
  <si>
    <t>ethereum-movie-venture</t>
  </si>
  <si>
    <t>neverdie</t>
  </si>
  <si>
    <t>embers</t>
  </si>
  <si>
    <t>foldingcoin</t>
  </si>
  <si>
    <t>sequence</t>
  </si>
  <si>
    <t>bitbean</t>
  </si>
  <si>
    <t>blitzcash</t>
  </si>
  <si>
    <t>bitcoin-plus</t>
  </si>
  <si>
    <t>pepe-cash</t>
  </si>
  <si>
    <t>putincoin</t>
  </si>
  <si>
    <t>apx</t>
  </si>
  <si>
    <t>oraclechain</t>
  </si>
  <si>
    <t>trueflip</t>
  </si>
  <si>
    <t>solarcoin</t>
  </si>
  <si>
    <t>blocktix</t>
  </si>
  <si>
    <t>mybit-token</t>
  </si>
  <si>
    <t>infinitecoin</t>
  </si>
  <si>
    <t>circuits-of-value</t>
  </si>
  <si>
    <t>nvo</t>
  </si>
  <si>
    <t>unity-ingot</t>
  </si>
  <si>
    <t>novacoin</t>
  </si>
  <si>
    <t>project-decorum</t>
  </si>
  <si>
    <t>dubaicoin-dbix</t>
  </si>
  <si>
    <t>bitsend</t>
  </si>
  <si>
    <t>primalbase</t>
  </si>
  <si>
    <t>worldcoin</t>
  </si>
  <si>
    <t>qwark</t>
  </si>
  <si>
    <t>belacoin</t>
  </si>
  <si>
    <t>pascal-coin</t>
  </si>
  <si>
    <t>auroracoin</t>
  </si>
  <si>
    <t>jinn</t>
  </si>
  <si>
    <t>mergecoin</t>
  </si>
  <si>
    <t>curecoin</t>
  </si>
  <si>
    <t>deeponion</t>
  </si>
  <si>
    <t>vpncoin</t>
  </si>
  <si>
    <t>luckchain</t>
  </si>
  <si>
    <t>suncontract</t>
  </si>
  <si>
    <t>cryptocarbon</t>
  </si>
  <si>
    <t>exclusivecoin</t>
  </si>
  <si>
    <t>centurion</t>
  </si>
  <si>
    <t>zclassic</t>
  </si>
  <si>
    <t>htmlcoin</t>
  </si>
  <si>
    <t>zrcoin</t>
  </si>
  <si>
    <t>vcash</t>
  </si>
  <si>
    <t>darcrus</t>
  </si>
  <si>
    <t>global-currency-reserve</t>
  </si>
  <si>
    <t>bitswift</t>
  </si>
  <si>
    <t>synergy</t>
  </si>
  <si>
    <t>quark</t>
  </si>
  <si>
    <t>cvcoin</t>
  </si>
  <si>
    <t>stealthcoin</t>
  </si>
  <si>
    <t>korecoin</t>
  </si>
  <si>
    <t>dynamic</t>
  </si>
  <si>
    <t>daxxcoin</t>
  </si>
  <si>
    <t>goldcoin</t>
  </si>
  <si>
    <t>megacoin</t>
  </si>
  <si>
    <t>signatum</t>
  </si>
  <si>
    <t>colossuscoin-v2</t>
  </si>
  <si>
    <t>smartcash</t>
  </si>
  <si>
    <t>bitmark</t>
  </si>
  <si>
    <t>geocoin</t>
  </si>
  <si>
    <t>wild-beast-block</t>
  </si>
  <si>
    <t>myriad</t>
  </si>
  <si>
    <t>ico-openledger</t>
  </si>
  <si>
    <t>europecoin</t>
  </si>
  <si>
    <t>maxcoin</t>
  </si>
  <si>
    <t>breakout-stake</t>
  </si>
  <si>
    <t>minereum</t>
  </si>
  <si>
    <t>condensate</t>
  </si>
  <si>
    <t>bitusd</t>
  </si>
  <si>
    <t>pesetacoin</t>
  </si>
  <si>
    <t>espers</t>
  </si>
  <si>
    <t>cryptonite</t>
  </si>
  <si>
    <t>embercoin</t>
  </si>
  <si>
    <t>cryptoping</t>
  </si>
  <si>
    <t>mintcoin</t>
  </si>
  <si>
    <t>legends-room</t>
  </si>
  <si>
    <t>zetacoin</t>
  </si>
  <si>
    <t>chaincoin</t>
  </si>
  <si>
    <t>zennies</t>
  </si>
  <si>
    <t>equitrader</t>
  </si>
  <si>
    <t>steem-dollars</t>
  </si>
  <si>
    <t>whitecoin</t>
  </si>
  <si>
    <t>breakout</t>
  </si>
  <si>
    <t>riecoin</t>
  </si>
  <si>
    <t>2give</t>
  </si>
  <si>
    <t>dopecoin</t>
  </si>
  <si>
    <t>bata</t>
  </si>
  <si>
    <t>zeitcoin</t>
  </si>
  <si>
    <t>fedoracoin</t>
  </si>
  <si>
    <t>dentacoin</t>
  </si>
  <si>
    <t>nushares</t>
  </si>
  <si>
    <t>terracoin</t>
  </si>
  <si>
    <t>compcoin</t>
  </si>
  <si>
    <t>veriumreserve</t>
  </si>
  <si>
    <t>transfercoin</t>
  </si>
  <si>
    <t>memetic</t>
  </si>
  <si>
    <t>inpay</t>
  </si>
  <si>
    <t>atmos</t>
  </si>
  <si>
    <t>altcoin-alt</t>
  </si>
  <si>
    <t>linda</t>
  </si>
  <si>
    <t>evergreencoin</t>
  </si>
  <si>
    <t>janus</t>
  </si>
  <si>
    <t>dimecoin</t>
  </si>
  <si>
    <t>syndicate</t>
  </si>
  <si>
    <t>hempcoin</t>
  </si>
  <si>
    <t>cannabiscoin</t>
  </si>
  <si>
    <t>starta</t>
  </si>
  <si>
    <t>neutron</t>
  </si>
  <si>
    <t>crave</t>
  </si>
  <si>
    <t>fundyourselfnow</t>
  </si>
  <si>
    <t>adzcoin</t>
  </si>
  <si>
    <t>visio</t>
  </si>
  <si>
    <t>arcticcoin</t>
  </si>
  <si>
    <t>huntercoin</t>
  </si>
  <si>
    <t>tokes</t>
  </si>
  <si>
    <t>adshares</t>
  </si>
  <si>
    <t>posw-coin</t>
  </si>
  <si>
    <t>insanecoin-insn</t>
  </si>
  <si>
    <t>vtorrent</t>
  </si>
  <si>
    <t>parkbyte</t>
  </si>
  <si>
    <t>hush</t>
  </si>
  <si>
    <t>link-platform</t>
  </si>
  <si>
    <t>creativecoin</t>
  </si>
  <si>
    <t>e-gulden</t>
  </si>
  <si>
    <t>tagcoin</t>
  </si>
  <si>
    <t>smileycoin</t>
  </si>
  <si>
    <t>skincoin</t>
  </si>
  <si>
    <t>startcoin</t>
  </si>
  <si>
    <t>trustplus</t>
  </si>
  <si>
    <t>piecoin</t>
  </si>
  <si>
    <t>mercury</t>
  </si>
  <si>
    <t>magi</t>
  </si>
  <si>
    <t>dotcoin</t>
  </si>
  <si>
    <t>fucktoken</t>
  </si>
  <si>
    <t>happycoin</t>
  </si>
  <si>
    <t>bitcore</t>
  </si>
  <si>
    <t>ultimate-secure-cash</t>
  </si>
  <si>
    <t>hyperstake</t>
  </si>
  <si>
    <t>ixcoin</t>
  </si>
  <si>
    <t>audiocoin</t>
  </si>
  <si>
    <t>adelphoi</t>
  </si>
  <si>
    <t>fincoin</t>
  </si>
  <si>
    <t>pandacoin-pnd</t>
  </si>
  <si>
    <t>808coin</t>
  </si>
  <si>
    <t>blockpay</t>
  </si>
  <si>
    <t>bluecoin</t>
  </si>
  <si>
    <t>eternity</t>
  </si>
  <si>
    <t>litedoge</t>
  </si>
  <si>
    <t>renos</t>
  </si>
  <si>
    <t>etheriya</t>
  </si>
  <si>
    <t>cryptcoin</t>
  </si>
  <si>
    <t>fastcoin</t>
  </si>
  <si>
    <t>tao</t>
  </si>
  <si>
    <t>bytecent</t>
  </si>
  <si>
    <t>helleniccoin</t>
  </si>
  <si>
    <t>fantomcoin</t>
  </si>
  <si>
    <t>sexcoin</t>
  </si>
  <si>
    <t>woodcoin</t>
  </si>
  <si>
    <t>cream</t>
  </si>
  <si>
    <t>unitus</t>
  </si>
  <si>
    <t>miners-reward-token</t>
  </si>
  <si>
    <t>moin</t>
  </si>
  <si>
    <t>capricoin</t>
  </si>
  <si>
    <t>fimkrypto</t>
  </si>
  <si>
    <t>influxcoin</t>
  </si>
  <si>
    <t>eboostcoin</t>
  </si>
  <si>
    <t>cryptogenic-bullion</t>
  </si>
  <si>
    <t>ether-for-the-rest-of-the-world</t>
  </si>
  <si>
    <t>netko</t>
  </si>
  <si>
    <t>bitradio</t>
  </si>
  <si>
    <t>wavesgo</t>
  </si>
  <si>
    <t>ripto-bux</t>
  </si>
  <si>
    <t>greencoin</t>
  </si>
  <si>
    <t>monster-byte</t>
  </si>
  <si>
    <t>dashcoin</t>
  </si>
  <si>
    <t>unify</t>
  </si>
  <si>
    <t>linx</t>
  </si>
  <si>
    <t>unbreakablecoin</t>
  </si>
  <si>
    <t>sovereign-hero</t>
  </si>
  <si>
    <t>noblecoin</t>
  </si>
  <si>
    <t>inflationcoin</t>
  </si>
  <si>
    <t>orbitcoin</t>
  </si>
  <si>
    <t>funcoin</t>
  </si>
  <si>
    <t>canada-ecoin</t>
  </si>
  <si>
    <t>coinonatx</t>
  </si>
  <si>
    <t>virtacoinplus</t>
  </si>
  <si>
    <t>dinastycoin</t>
  </si>
  <si>
    <t>piggycoin</t>
  </si>
  <si>
    <t>idice</t>
  </si>
  <si>
    <t>gcoin</t>
  </si>
  <si>
    <t>teslacoin</t>
  </si>
  <si>
    <t>netcoin</t>
  </si>
  <si>
    <t>procurrency</t>
  </si>
  <si>
    <t>newbium</t>
  </si>
  <si>
    <t>fujicoin</t>
  </si>
  <si>
    <t>postcoin</t>
  </si>
  <si>
    <t>digitalprice</t>
  </si>
  <si>
    <t>scorecoin</t>
  </si>
  <si>
    <t>btsr</t>
  </si>
  <si>
    <t>aurumcoin</t>
  </si>
  <si>
    <t>nubits</t>
  </si>
  <si>
    <t>bitasean</t>
  </si>
  <si>
    <t>iticoin</t>
  </si>
  <si>
    <t>ufo-coin</t>
  </si>
  <si>
    <t>denarius-dnr</t>
  </si>
  <si>
    <t>zoin</t>
  </si>
  <si>
    <t>phoenixcoin</t>
  </si>
  <si>
    <t>bitbar</t>
  </si>
  <si>
    <t>rubies</t>
  </si>
  <si>
    <t>virta-unique-coin</t>
  </si>
  <si>
    <t>karbowanec</t>
  </si>
  <si>
    <t>shadow-token</t>
  </si>
  <si>
    <t>trumpcoin</t>
  </si>
  <si>
    <t>anoncoin</t>
  </si>
  <si>
    <t>kekcoin</t>
  </si>
  <si>
    <t>8bit</t>
  </si>
  <si>
    <t>pakcoin</t>
  </si>
  <si>
    <t>bitcloud</t>
  </si>
  <si>
    <t>zero</t>
  </si>
  <si>
    <t>version</t>
  </si>
  <si>
    <t>roulettetoken</t>
  </si>
  <si>
    <t>elcoin-el</t>
  </si>
  <si>
    <t>deutsche-emark</t>
  </si>
  <si>
    <t>atomic-coin</t>
  </si>
  <si>
    <t>sumokoin</t>
  </si>
  <si>
    <t>triangles</t>
  </si>
  <si>
    <t>machinecoin</t>
  </si>
  <si>
    <t>zurcoin</t>
  </si>
  <si>
    <t>bittokens</t>
  </si>
  <si>
    <t>bunnycoin</t>
  </si>
  <si>
    <t>veltor</t>
  </si>
  <si>
    <t>cachecoin</t>
  </si>
  <si>
    <t>campuscoin</t>
  </si>
  <si>
    <t>futurexe</t>
  </si>
  <si>
    <t>bitbtc</t>
  </si>
  <si>
    <t>bitcoin-scrypt</t>
  </si>
  <si>
    <t>truckcoin</t>
  </si>
  <si>
    <t>lanacoin</t>
  </si>
  <si>
    <t>tekcoin</t>
  </si>
  <si>
    <t>newyorkcoin</t>
  </si>
  <si>
    <t>goldblocks</t>
  </si>
  <si>
    <t>hicoin</t>
  </si>
  <si>
    <t>mojocoin</t>
  </si>
  <si>
    <t>francs</t>
  </si>
  <si>
    <t>rupee</t>
  </si>
  <si>
    <t>eurocoin</t>
  </si>
  <si>
    <t>bitsilver</t>
  </si>
  <si>
    <t>cannation</t>
  </si>
  <si>
    <t>tittiecoin</t>
  </si>
  <si>
    <t>blakestar</t>
  </si>
  <si>
    <t>jetcoin</t>
  </si>
  <si>
    <t>thegcccoin</t>
  </si>
  <si>
    <t>emerald</t>
  </si>
  <si>
    <t>yocoin</t>
  </si>
  <si>
    <t>prototanium</t>
  </si>
  <si>
    <t>flaxscript</t>
  </si>
  <si>
    <t>platinumbar</t>
  </si>
  <si>
    <t>digitalcoin</t>
  </si>
  <si>
    <t>master-swiscoin</t>
  </si>
  <si>
    <t>cryptojacks</t>
  </si>
  <si>
    <t>b3coin</t>
  </si>
  <si>
    <t>swagbucks</t>
  </si>
  <si>
    <t>dibcoin</t>
  </si>
  <si>
    <t>bitgold</t>
  </si>
  <si>
    <t>biteur</t>
  </si>
  <si>
    <t>bitcoinfast</t>
  </si>
  <si>
    <t>kilocoin</t>
  </si>
  <si>
    <t>corgicoin</t>
  </si>
  <si>
    <t>soilcoin</t>
  </si>
  <si>
    <t>mao-zedong</t>
  </si>
  <si>
    <t>quazarcoin</t>
  </si>
  <si>
    <t>dalecoin</t>
  </si>
  <si>
    <t>solaris</t>
  </si>
  <si>
    <t>coinonat</t>
  </si>
  <si>
    <t>money</t>
  </si>
  <si>
    <t>prcoin</t>
  </si>
  <si>
    <t>litecoin-ultra</t>
  </si>
  <si>
    <t>marijuanacoin</t>
  </si>
  <si>
    <t>biblepay</t>
  </si>
  <si>
    <t>kurrent</t>
  </si>
  <si>
    <t>chancoin</t>
  </si>
  <si>
    <t>sojourn</t>
  </si>
  <si>
    <t>aricoin</t>
  </si>
  <si>
    <t>doubloon</t>
  </si>
  <si>
    <t>guccionecoin</t>
  </si>
  <si>
    <t>crevacoin</t>
  </si>
  <si>
    <t>bipcoin</t>
  </si>
  <si>
    <t>compucoin</t>
  </si>
  <si>
    <t>eryllium</t>
  </si>
  <si>
    <t>dix-asset</t>
  </si>
  <si>
    <t>torcoin-tor</t>
  </si>
  <si>
    <t>tristar-coin</t>
  </si>
  <si>
    <t>theresa-may-coin</t>
  </si>
  <si>
    <t>plncoin</t>
  </si>
  <si>
    <t>creatio</t>
  </si>
  <si>
    <t>coimatic-2</t>
  </si>
  <si>
    <t>onix</t>
  </si>
  <si>
    <t>ecocoin</t>
  </si>
  <si>
    <t>frazcoin</t>
  </si>
  <si>
    <t>veros</t>
  </si>
  <si>
    <t>litebitcoin</t>
  </si>
  <si>
    <t>briacoin</t>
  </si>
  <si>
    <t>slevin</t>
  </si>
  <si>
    <t>applecoin-apw</t>
  </si>
  <si>
    <t>californium</t>
  </si>
  <si>
    <t>ebittree-coin</t>
  </si>
  <si>
    <t>levoplus</t>
  </si>
  <si>
    <t>abncoin</t>
  </si>
  <si>
    <t>harmonycoin-hmc</t>
  </si>
  <si>
    <t>ulatech</t>
  </si>
  <si>
    <t>bankcoin</t>
  </si>
  <si>
    <t>asiacoin</t>
  </si>
  <si>
    <t>bitpark-coin</t>
  </si>
  <si>
    <t>arcade-token</t>
  </si>
  <si>
    <t>yashcoin</t>
  </si>
  <si>
    <t>martexcoin</t>
  </si>
  <si>
    <t>incakoin</t>
  </si>
  <si>
    <t>metalcoin</t>
  </si>
  <si>
    <t>rustbits</t>
  </si>
  <si>
    <t>coin</t>
  </si>
  <si>
    <t>globalcoin</t>
  </si>
  <si>
    <t>shadowcash</t>
  </si>
  <si>
    <t>casino</t>
  </si>
  <si>
    <t>carboncoin</t>
  </si>
  <si>
    <t>bitz</t>
  </si>
  <si>
    <t>kobocoin</t>
  </si>
  <si>
    <t>i0coin</t>
  </si>
  <si>
    <t>casinocoin</t>
  </si>
  <si>
    <t>hitcoin</t>
  </si>
  <si>
    <t>btctalkcoin</t>
  </si>
  <si>
    <t>trollcoin</t>
  </si>
  <si>
    <t>russiacoin</t>
  </si>
  <si>
    <t>shorty</t>
  </si>
  <si>
    <t>cryptoforecast</t>
  </si>
  <si>
    <t>hodlcoin</t>
  </si>
  <si>
    <t>ambercoin</t>
  </si>
  <si>
    <t>ultracoin</t>
  </si>
  <si>
    <t>britcoin</t>
  </si>
  <si>
    <t>stress</t>
  </si>
  <si>
    <t>mazacoin</t>
  </si>
  <si>
    <t>supercoin</t>
  </si>
  <si>
    <t>universal-currency</t>
  </si>
  <si>
    <t>gaia</t>
  </si>
  <si>
    <t>smartcoin</t>
  </si>
  <si>
    <t>bitstar</t>
  </si>
  <si>
    <t>lottocoin</t>
  </si>
  <si>
    <t>fuelcoin</t>
  </si>
  <si>
    <t>paycoin2</t>
  </si>
  <si>
    <t>qubitcoin</t>
  </si>
  <si>
    <t>joulecoin</t>
  </si>
  <si>
    <t>flycoin</t>
  </si>
  <si>
    <t>titcoin</t>
  </si>
  <si>
    <t>fluttercoin</t>
  </si>
  <si>
    <t>mineum</t>
  </si>
  <si>
    <t>reecoin</t>
  </si>
  <si>
    <t>chesscoin</t>
  </si>
  <si>
    <t>unicoin</t>
  </si>
  <si>
    <t>purevidz</t>
  </si>
  <si>
    <t>cannacoin</t>
  </si>
  <si>
    <t>octocoin</t>
  </si>
  <si>
    <t>goldreserve</t>
  </si>
  <si>
    <t>ratecoin</t>
  </si>
  <si>
    <t>darsek</t>
  </si>
  <si>
    <t>valorbit</t>
  </si>
  <si>
    <t>universe</t>
  </si>
  <si>
    <t>globalboost-y</t>
  </si>
  <si>
    <t>yacoin</t>
  </si>
  <si>
    <t>pascal-lite</t>
  </si>
  <si>
    <t>rupaya</t>
  </si>
  <si>
    <t>mtmgaming</t>
  </si>
  <si>
    <t>the-cypherfunks</t>
  </si>
  <si>
    <t>cypher</t>
  </si>
  <si>
    <t>bit20</t>
  </si>
  <si>
    <t>wayguide</t>
  </si>
  <si>
    <t>elementrem</t>
  </si>
  <si>
    <t>swing</t>
  </si>
  <si>
    <t>nyancoin</t>
  </si>
  <si>
    <t>blakecoin</t>
  </si>
  <si>
    <t>catcoin</t>
  </si>
  <si>
    <t>coin2-1</t>
  </si>
  <si>
    <t>icoin</t>
  </si>
  <si>
    <t>c-bit</t>
  </si>
  <si>
    <t>parallelcoin</t>
  </si>
  <si>
    <t>petrodollar</t>
  </si>
  <si>
    <t>sproutsextreme</t>
  </si>
  <si>
    <t>kushcoin</t>
  </si>
  <si>
    <t>tigercoin</t>
  </si>
  <si>
    <t>hempcoin-hmp</t>
  </si>
  <si>
    <t>icobid</t>
  </si>
  <si>
    <t>sterlingcoin</t>
  </si>
  <si>
    <t>sativacoin</t>
  </si>
  <si>
    <t>acoin</t>
  </si>
  <si>
    <t>dollarcoin</t>
  </si>
  <si>
    <t>gameunits</t>
  </si>
  <si>
    <t>wmcoin</t>
  </si>
  <si>
    <t>joincoin</t>
  </si>
  <si>
    <t>prime-xi</t>
  </si>
  <si>
    <t>digicube</t>
  </si>
  <si>
    <t>berncash</t>
  </si>
  <si>
    <t>evil-coin</t>
  </si>
  <si>
    <t>freicoin</t>
  </si>
  <si>
    <t>dreamcoin</t>
  </si>
  <si>
    <t>honey</t>
  </si>
  <si>
    <t>bolivarcoin</t>
  </si>
  <si>
    <t>bumbacoin</t>
  </si>
  <si>
    <t>300-token</t>
  </si>
  <si>
    <t>bigup</t>
  </si>
  <si>
    <t>marscoin</t>
  </si>
  <si>
    <t>allion</t>
  </si>
  <si>
    <t>revolvercoin</t>
  </si>
  <si>
    <t>satoshimadness</t>
  </si>
  <si>
    <t>gpu-coin</t>
  </si>
  <si>
    <t>redcoin</t>
  </si>
  <si>
    <t>grantcoin</t>
  </si>
  <si>
    <t>spacecoin</t>
  </si>
  <si>
    <t>bitzeny</t>
  </si>
  <si>
    <t>allsafe</t>
  </si>
  <si>
    <t>macron</t>
  </si>
  <si>
    <t>argentum</t>
  </si>
  <si>
    <t>bitcurrency</t>
  </si>
  <si>
    <t>vector</t>
  </si>
  <si>
    <t>paycon</t>
  </si>
  <si>
    <t>securecoin</t>
  </si>
  <si>
    <t>asiadigicoin</t>
  </si>
  <si>
    <t>boostcoin</t>
  </si>
  <si>
    <t>aquariuscoin</t>
  </si>
  <si>
    <t>philosopher-stones</t>
  </si>
  <si>
    <t>photon</t>
  </si>
  <si>
    <t>x-coin</t>
  </si>
  <si>
    <t>px</t>
  </si>
  <si>
    <t>secretcoin</t>
  </si>
  <si>
    <t>virtualcoin</t>
  </si>
  <si>
    <t>tattoocoin</t>
  </si>
  <si>
    <t>guncoin</t>
  </si>
  <si>
    <t>bitcoin-21</t>
  </si>
  <si>
    <t>milocoin</t>
  </si>
  <si>
    <t>sling</t>
  </si>
  <si>
    <t>useless-ethereum-token</t>
  </si>
  <si>
    <t>jin-coin</t>
  </si>
  <si>
    <t>kittehcoin</t>
  </si>
  <si>
    <t>gapcoin</t>
  </si>
  <si>
    <t>ammo-rewards</t>
  </si>
  <si>
    <t>popularcoin</t>
  </si>
  <si>
    <t>gold-pressed-latinum</t>
  </si>
  <si>
    <t>litebar</t>
  </si>
  <si>
    <t>spots</t>
  </si>
  <si>
    <t>independent-money-system</t>
  </si>
  <si>
    <t>beavercoin</t>
  </si>
  <si>
    <t>evotion</t>
  </si>
  <si>
    <t>globaltoken</t>
  </si>
  <si>
    <t>ponzicoin</t>
  </si>
  <si>
    <t>rimbit</t>
  </si>
  <si>
    <t>chronos</t>
  </si>
  <si>
    <t>healthywormcoin</t>
  </si>
  <si>
    <t>nevacoin</t>
  </si>
  <si>
    <t>franko</t>
  </si>
  <si>
    <t>quatloo</t>
  </si>
  <si>
    <t>sixeleven</t>
  </si>
  <si>
    <t>islacoin</t>
  </si>
  <si>
    <t>bitcoin-planet</t>
  </si>
  <si>
    <t>global-tour-coin</t>
  </si>
  <si>
    <t>debitcoin</t>
  </si>
  <si>
    <t>goldpieces</t>
  </si>
  <si>
    <t>socialcoin-socc</t>
  </si>
  <si>
    <t>songcoin</t>
  </si>
  <si>
    <t>antibitcoin</t>
  </si>
  <si>
    <t>wyvern</t>
  </si>
  <si>
    <t>hexx</t>
  </si>
  <si>
    <t>uro</t>
  </si>
  <si>
    <t>ronpaulcoin</t>
  </si>
  <si>
    <t>digital-rupees</t>
  </si>
  <si>
    <t>genstake</t>
  </si>
  <si>
    <t>artex-coin</t>
  </si>
  <si>
    <t>sooncoin</t>
  </si>
  <si>
    <t>billarycoin</t>
  </si>
  <si>
    <t>halcyon</t>
  </si>
  <si>
    <t>virtacoin</t>
  </si>
  <si>
    <t>arbit</t>
  </si>
  <si>
    <t>vip-tokens</t>
  </si>
  <si>
    <t>bitquark</t>
  </si>
  <si>
    <t>cabbage</t>
  </si>
  <si>
    <t>bios-crypto</t>
  </si>
  <si>
    <t>gbcgoldcoin</t>
  </si>
  <si>
    <t>metal-music-coin</t>
  </si>
  <si>
    <t>firecoin</t>
  </si>
  <si>
    <t>jewels</t>
  </si>
  <si>
    <t>mindcoin</t>
  </si>
  <si>
    <t>benjirolls</t>
  </si>
  <si>
    <t>steps</t>
  </si>
  <si>
    <t>gamebet-coin</t>
  </si>
  <si>
    <t>iconic</t>
  </si>
  <si>
    <t>zayedcoin</t>
  </si>
  <si>
    <t>flavorcoin</t>
  </si>
  <si>
    <t>mustangcoin</t>
  </si>
  <si>
    <t>bnrtxcoin</t>
  </si>
  <si>
    <t>unrealcoin</t>
  </si>
  <si>
    <t>tagrcoin</t>
  </si>
  <si>
    <t>cthulhu-offerings</t>
  </si>
  <si>
    <t>cryptoescudo</t>
  </si>
  <si>
    <t>cryptoworldx-token</t>
  </si>
  <si>
    <t>bitcoal</t>
  </si>
  <si>
    <t>vaperscoin</t>
  </si>
  <si>
    <t>blazecoin</t>
  </si>
  <si>
    <t>neuro</t>
  </si>
  <si>
    <t>destiny</t>
  </si>
  <si>
    <t>solarflarecoin</t>
  </si>
  <si>
    <t>ibank</t>
  </si>
  <si>
    <t>blackstar</t>
  </si>
  <si>
    <t>beatcoin</t>
  </si>
  <si>
    <t>ride-my-car</t>
  </si>
  <si>
    <t>qibuck-asset</t>
  </si>
  <si>
    <t>zetamicron</t>
  </si>
  <si>
    <t>leacoin</t>
  </si>
  <si>
    <t>luna-coin</t>
  </si>
  <si>
    <t>tajcoin</t>
  </si>
  <si>
    <t>dollar-online</t>
  </si>
  <si>
    <t>orlycoin</t>
  </si>
  <si>
    <t>comet</t>
  </si>
  <si>
    <t>kingn-coin</t>
  </si>
  <si>
    <t>pulse</t>
  </si>
  <si>
    <t>warp</t>
  </si>
  <si>
    <t>xonecoin</t>
  </si>
  <si>
    <t>dappster</t>
  </si>
  <si>
    <t>printerium</t>
  </si>
  <si>
    <t>speedcash</t>
  </si>
  <si>
    <t>litecred</t>
  </si>
  <si>
    <t>fuzzballs</t>
  </si>
  <si>
    <t>vault-coin</t>
  </si>
  <si>
    <t>high-voltage</t>
  </si>
  <si>
    <t>osmiumcoin</t>
  </si>
  <si>
    <t>agrolifecoin</t>
  </si>
  <si>
    <t>crypto</t>
  </si>
  <si>
    <t>impact</t>
  </si>
  <si>
    <t>letitride</t>
  </si>
  <si>
    <t>ego</t>
  </si>
  <si>
    <t>bowscoin</t>
  </si>
  <si>
    <t>cashcoin</t>
  </si>
  <si>
    <t>ganjacoin</t>
  </si>
  <si>
    <t>anarchistsprime</t>
  </si>
  <si>
    <t>posex</t>
  </si>
  <si>
    <t>crtcoin</t>
  </si>
  <si>
    <t>ccminer</t>
  </si>
  <si>
    <t>shilling</t>
  </si>
  <si>
    <t>impulsecoin</t>
  </si>
  <si>
    <t>zonecoin</t>
  </si>
  <si>
    <t>jobscoin</t>
  </si>
  <si>
    <t>rsgpcoin</t>
  </si>
  <si>
    <t>argus</t>
  </si>
  <si>
    <t>concoin</t>
  </si>
  <si>
    <t>save-and-gain</t>
  </si>
  <si>
    <t>sydpak</t>
  </si>
  <si>
    <t>antilitecoin</t>
  </si>
  <si>
    <t>burstocean</t>
  </si>
  <si>
    <t>geertcoin</t>
  </si>
  <si>
    <t>rawcoin2</t>
  </si>
  <si>
    <t>biobar</t>
  </si>
  <si>
    <t>bitvolt</t>
  </si>
  <si>
    <t>p7coin</t>
  </si>
  <si>
    <t>ethbits</t>
  </si>
  <si>
    <t>magnum</t>
  </si>
  <si>
    <t>lex4all</t>
  </si>
  <si>
    <t>selfiecoin</t>
  </si>
  <si>
    <t>nodecoin</t>
  </si>
  <si>
    <t>enigma</t>
  </si>
  <si>
    <t>elysium</t>
  </si>
  <si>
    <t>pizzacoin</t>
  </si>
  <si>
    <t>swaptoken</t>
  </si>
  <si>
    <t>digital-credits</t>
  </si>
  <si>
    <t>digital-money-bits</t>
  </si>
  <si>
    <t>caliphcoin</t>
  </si>
  <si>
    <t>walton</t>
  </si>
  <si>
    <t>vechain</t>
  </si>
  <si>
    <t>infchain</t>
  </si>
  <si>
    <t>ug-token</t>
  </si>
  <si>
    <t>bitfid</t>
  </si>
  <si>
    <t>techshares</t>
  </si>
  <si>
    <t>sigmacoin</t>
  </si>
  <si>
    <t>dynamiccoin</t>
  </si>
  <si>
    <t>pura</t>
  </si>
  <si>
    <t>storjcoin-x</t>
  </si>
  <si>
    <t>fargocoin</t>
  </si>
  <si>
    <t>bitok</t>
  </si>
  <si>
    <t>sphre-air</t>
  </si>
  <si>
    <t>poet</t>
  </si>
  <si>
    <t>yoyow</t>
  </si>
  <si>
    <t>centra</t>
  </si>
  <si>
    <t>internet-of-people</t>
  </si>
  <si>
    <t>opus</t>
  </si>
  <si>
    <t>zilbercoin</t>
  </si>
  <si>
    <t>deuscoin</t>
  </si>
  <si>
    <t>investfeed</t>
  </si>
  <si>
    <t>aeternity</t>
  </si>
  <si>
    <t>bitcoin-unlimited</t>
  </si>
  <si>
    <t>digital-developers-fund</t>
  </si>
  <si>
    <t>growers-international</t>
  </si>
  <si>
    <t>tychocoin</t>
  </si>
  <si>
    <t>golos-gold</t>
  </si>
  <si>
    <t>clubcoin</t>
  </si>
  <si>
    <t>bitdeal</t>
  </si>
  <si>
    <t>ox-fina</t>
  </si>
  <si>
    <t>wa-space</t>
  </si>
  <si>
    <t>suretly</t>
  </si>
  <si>
    <t>alphabitcoinfund</t>
  </si>
  <si>
    <t>eot-token</t>
  </si>
  <si>
    <t>brat</t>
  </si>
  <si>
    <t>rublebit</t>
  </si>
  <si>
    <t>bolenum</t>
  </si>
  <si>
    <t>teracoin</t>
  </si>
  <si>
    <t>first-bitcoin-capital</t>
  </si>
  <si>
    <t>universalroyalcoin</t>
  </si>
  <si>
    <t>women</t>
  </si>
  <si>
    <t>aseancoin</t>
  </si>
  <si>
    <t>usde</t>
  </si>
  <si>
    <t>pabyosi-coin-special</t>
  </si>
  <si>
    <t>batcoin</t>
  </si>
  <si>
    <t>flash</t>
  </si>
  <si>
    <t>xtd-coin</t>
  </si>
  <si>
    <t>adcoin</t>
  </si>
  <si>
    <t>ergo</t>
  </si>
  <si>
    <t>turbocoin</t>
  </si>
  <si>
    <t>coupecoin</t>
  </si>
  <si>
    <t>amsterdamcoin</t>
  </si>
  <si>
    <t>monacocoin</t>
  </si>
  <si>
    <t>alpacoin</t>
  </si>
  <si>
    <t>paccoin</t>
  </si>
  <si>
    <t>namocoin</t>
  </si>
  <si>
    <t>peacecoin</t>
  </si>
  <si>
    <t>t-coin</t>
  </si>
  <si>
    <t>president-johnson</t>
  </si>
  <si>
    <t>pirate-blocks</t>
  </si>
  <si>
    <t>halloween-coin</t>
  </si>
  <si>
    <t>moneta2</t>
  </si>
  <si>
    <t>landcoin</t>
  </si>
  <si>
    <t>advanced-internet-blocks</t>
  </si>
  <si>
    <t>stex</t>
  </si>
  <si>
    <t>remicoin</t>
  </si>
  <si>
    <t>9coin</t>
  </si>
  <si>
    <t>sakuracoin</t>
  </si>
  <si>
    <t>fireflycoin</t>
  </si>
  <si>
    <t>gaycoin</t>
  </si>
  <si>
    <t>rabbitcoin</t>
  </si>
  <si>
    <t>terranova</t>
  </si>
  <si>
    <t>avatarcoin</t>
  </si>
  <si>
    <t>stronghands</t>
  </si>
  <si>
    <t>internet-of-things</t>
  </si>
  <si>
    <t>marxcoin</t>
  </si>
  <si>
    <t>aces</t>
  </si>
  <si>
    <t>goldunioncoin</t>
  </si>
  <si>
    <t>karmacoin</t>
  </si>
  <si>
    <t>braincoin</t>
  </si>
  <si>
    <t>project-x</t>
  </si>
  <si>
    <t>protean</t>
  </si>
  <si>
    <t>teslacoilcoin</t>
  </si>
  <si>
    <t>leviarcoin</t>
  </si>
  <si>
    <t>president-trump</t>
  </si>
  <si>
    <t>happy-creator-coin</t>
  </si>
  <si>
    <t>royalties</t>
  </si>
  <si>
    <t>donationcoin</t>
  </si>
  <si>
    <t>voyacoin</t>
  </si>
  <si>
    <t>sharkcoin</t>
  </si>
  <si>
    <t>lepen</t>
  </si>
  <si>
    <t>opal</t>
  </si>
  <si>
    <t>kashhcoin</t>
  </si>
  <si>
    <t>thecreed</t>
  </si>
  <si>
    <t>darklisk</t>
  </si>
  <si>
    <t>x2</t>
  </si>
  <si>
    <t>motocoin</t>
  </si>
  <si>
    <t>pokecoin</t>
  </si>
  <si>
    <t>tellurion</t>
  </si>
  <si>
    <t>frankywillcoin</t>
  </si>
  <si>
    <t>linkedcoin</t>
  </si>
  <si>
    <t>first-bitcoin</t>
  </si>
  <si>
    <t>blazercoin</t>
  </si>
  <si>
    <t>primulon</t>
  </si>
  <si>
    <t>elacoin</t>
  </si>
  <si>
    <t>ocow</t>
  </si>
  <si>
    <t>utacoin</t>
  </si>
  <si>
    <t>snakeeyes</t>
  </si>
  <si>
    <t>sportscoin</t>
  </si>
  <si>
    <t>avoncoin</t>
  </si>
  <si>
    <t>geysercoin</t>
  </si>
  <si>
    <t>hyper</t>
  </si>
  <si>
    <t>bitcedi</t>
  </si>
  <si>
    <t>edrcoin</t>
  </si>
  <si>
    <t>animecoin</t>
  </si>
  <si>
    <t>ur</t>
  </si>
  <si>
    <t>fazzcoin</t>
  </si>
  <si>
    <t>zengold</t>
  </si>
  <si>
    <t>fonziecoin</t>
  </si>
  <si>
    <t>omicron</t>
  </si>
  <si>
    <t>topcoin</t>
  </si>
  <si>
    <t>bitgem</t>
  </si>
  <si>
    <t>quotient</t>
  </si>
  <si>
    <t>cybercoin</t>
  </si>
  <si>
    <t>netbit</t>
  </si>
  <si>
    <t>cbd-crystals</t>
  </si>
  <si>
    <t>lazaruscoin</t>
  </si>
  <si>
    <t>bestchain</t>
  </si>
  <si>
    <t>uncoin</t>
  </si>
  <si>
    <t>digital-bullion-gold</t>
  </si>
  <si>
    <t>wearesatoshi</t>
  </si>
  <si>
    <t>birds</t>
  </si>
  <si>
    <t>rhfcoin</t>
  </si>
  <si>
    <t>draftcoin</t>
  </si>
  <si>
    <t>royalcoin</t>
  </si>
  <si>
    <t>peoplecoin</t>
  </si>
  <si>
    <t>yescoin</t>
  </si>
  <si>
    <t>wowcoin</t>
  </si>
  <si>
    <t>todaycoin</t>
  </si>
  <si>
    <t>cubits</t>
  </si>
  <si>
    <t>topaz</t>
  </si>
  <si>
    <t>axiom</t>
  </si>
  <si>
    <t>irishcoin</t>
  </si>
  <si>
    <t>futcoin</t>
  </si>
  <si>
    <t>cycling-coin</t>
  </si>
  <si>
    <t>qora</t>
  </si>
  <si>
    <t>opescoin</t>
  </si>
  <si>
    <t>wink</t>
  </si>
  <si>
    <t>skeincoin</t>
  </si>
  <si>
    <t>dashs</t>
  </si>
  <si>
    <t>zsecoin</t>
  </si>
  <si>
    <t>moneycoin</t>
  </si>
  <si>
    <t>betacoin</t>
  </si>
  <si>
    <t>golfcoin</t>
  </si>
  <si>
    <t>global-business-revolution</t>
  </si>
  <si>
    <t>pinkdog</t>
  </si>
  <si>
    <t>dubstep</t>
  </si>
  <si>
    <t>mobilecash</t>
  </si>
  <si>
    <t>psilocybin</t>
  </si>
  <si>
    <t>peepcoin</t>
  </si>
  <si>
    <t>international-diamond</t>
  </si>
  <si>
    <t>goldmaxcoin</t>
  </si>
  <si>
    <t>xde-ii</t>
  </si>
  <si>
    <t>quebecoin</t>
  </si>
  <si>
    <t>shacoin</t>
  </si>
  <si>
    <t>antimatter</t>
  </si>
  <si>
    <t>gameleaguecoin</t>
  </si>
  <si>
    <t>paypeer</t>
  </si>
  <si>
    <t>the-vegan-initiative</t>
  </si>
  <si>
    <t>cashme</t>
  </si>
  <si>
    <t>ugain</t>
  </si>
  <si>
    <t>cheapcoin</t>
  </si>
  <si>
    <t>mavro</t>
  </si>
  <si>
    <t>trickycoin</t>
  </si>
  <si>
    <t>rcoin</t>
  </si>
  <si>
    <t>teamup</t>
  </si>
  <si>
    <t>mmxvi</t>
  </si>
  <si>
    <t>deltacredits</t>
  </si>
  <si>
    <t>bitalphacoin</t>
  </si>
  <si>
    <t>regacoin</t>
  </si>
  <si>
    <t>eggcoin</t>
  </si>
  <si>
    <t>operand</t>
  </si>
  <si>
    <t>tattoocoin-limited</t>
  </si>
  <si>
    <t>coexistcoin</t>
  </si>
  <si>
    <t>huncoin</t>
  </si>
  <si>
    <t>invisiblecoin</t>
  </si>
  <si>
    <t>xaucoin</t>
  </si>
  <si>
    <t>safe-trade-coin</t>
  </si>
  <si>
    <t>safecoin</t>
  </si>
  <si>
    <t>richcoin</t>
  </si>
  <si>
    <t>shellcoin</t>
  </si>
  <si>
    <t>lathaan</t>
  </si>
  <si>
    <t>prismchain</t>
  </si>
  <si>
    <t>ID</t>
  </si>
  <si>
    <t>Symbol</t>
  </si>
  <si>
    <t>24 Hour Volume</t>
  </si>
  <si>
    <t>%Change 24 hours</t>
  </si>
  <si>
    <t>%Change 7 Days</t>
  </si>
  <si>
    <t>Last Update DateTime(UTC)</t>
  </si>
  <si>
    <t>Coin Name</t>
  </si>
  <si>
    <t>fujinto</t>
  </si>
  <si>
    <t>giga-watt-token</t>
  </si>
  <si>
    <t>blockchain-index</t>
  </si>
  <si>
    <t>ixledger</t>
  </si>
  <si>
    <t>#</t>
  </si>
  <si>
    <t>Target Sell Price (BTC)</t>
  </si>
  <si>
    <t>monetha</t>
  </si>
  <si>
    <t>starcredits</t>
  </si>
  <si>
    <t>Aeternity</t>
  </si>
  <si>
    <t>aventus</t>
  </si>
  <si>
    <t>masternodecoin</t>
  </si>
  <si>
    <t>kronecoin</t>
  </si>
  <si>
    <t>goodomy</t>
  </si>
  <si>
    <t>sacoin</t>
  </si>
  <si>
    <t>Byteball Bytes</t>
  </si>
  <si>
    <t>hive</t>
  </si>
  <si>
    <t>magnetcoin</t>
  </si>
  <si>
    <t>vsync-vsx</t>
  </si>
  <si>
    <t>facecoin</t>
  </si>
  <si>
    <t>Total Holdings</t>
  </si>
  <si>
    <t>Average Buy Price (BTC)</t>
  </si>
  <si>
    <t>Current BTC_Price</t>
  </si>
  <si>
    <t>Current USD_Price</t>
  </si>
  <si>
    <t>Current Total BTC Value</t>
  </si>
  <si>
    <t>neblio</t>
  </si>
  <si>
    <t>Neblio</t>
  </si>
  <si>
    <t>NEBL</t>
  </si>
  <si>
    <t>real-estate-tokens</t>
  </si>
  <si>
    <t>vivo</t>
  </si>
  <si>
    <t>oceanlab</t>
  </si>
  <si>
    <t>litecoin-plus</t>
  </si>
  <si>
    <t>moeda-loyalty-points</t>
  </si>
  <si>
    <t>droxne</t>
  </si>
  <si>
    <t>buzzcoin</t>
  </si>
  <si>
    <t>TRX</t>
  </si>
  <si>
    <t>credo</t>
  </si>
  <si>
    <t>cyder</t>
  </si>
  <si>
    <t>bowhead</t>
  </si>
  <si>
    <t>decentraland</t>
  </si>
  <si>
    <t>Current Invesment Value in USD:</t>
  </si>
  <si>
    <t>bubble</t>
  </si>
  <si>
    <t>Total Investment in USD:</t>
  </si>
  <si>
    <t>xplay</t>
  </si>
  <si>
    <t>propy</t>
  </si>
  <si>
    <t>ethereum-dark</t>
  </si>
  <si>
    <t>atbcoin</t>
  </si>
  <si>
    <t>iquant</t>
  </si>
  <si>
    <t>morningstar-payments</t>
  </si>
  <si>
    <t>indorse-token</t>
  </si>
  <si>
    <t>agrello-delta</t>
  </si>
  <si>
    <t>aidos-kuneen</t>
  </si>
  <si>
    <t>1337coin</t>
  </si>
  <si>
    <t>List of Coins:</t>
  </si>
  <si>
    <t>Editable fields</t>
  </si>
  <si>
    <t>Current Delta (Profitability)</t>
  </si>
  <si>
    <t xml:space="preserve">BTC: </t>
  </si>
  <si>
    <t>ETH:</t>
  </si>
  <si>
    <t>0xd6E960AF1884092d080f42c9DFe6B14A4019a34F</t>
  </si>
  <si>
    <t>chainlink</t>
  </si>
  <si>
    <t>ChainLink</t>
  </si>
  <si>
    <t>LINK</t>
  </si>
  <si>
    <t>blackmoon-crypto</t>
  </si>
  <si>
    <t>granitecoin</t>
  </si>
  <si>
    <t>hobonickels</t>
  </si>
  <si>
    <t>dfscoin</t>
  </si>
  <si>
    <t>wi-coin</t>
  </si>
  <si>
    <t>elixir</t>
  </si>
  <si>
    <t>billionaire-token</t>
  </si>
  <si>
    <t>kyber-network</t>
  </si>
  <si>
    <t>Kyber Network</t>
  </si>
  <si>
    <t>substratum</t>
  </si>
  <si>
    <t>Substratum</t>
  </si>
  <si>
    <t>SUB</t>
  </si>
  <si>
    <t>vibe</t>
  </si>
  <si>
    <t>chronologic</t>
  </si>
  <si>
    <t>chips</t>
  </si>
  <si>
    <t>trackr</t>
  </si>
  <si>
    <t>lampix</t>
  </si>
  <si>
    <t>coss</t>
  </si>
  <si>
    <t>bitdice</t>
  </si>
  <si>
    <t>footy-cash</t>
  </si>
  <si>
    <t>rivetz</t>
  </si>
  <si>
    <t>Profitability Value in USD:</t>
  </si>
  <si>
    <t>Profitability Value in %:</t>
  </si>
  <si>
    <t>kin</t>
  </si>
  <si>
    <t>Kin</t>
  </si>
  <si>
    <t>KIN</t>
  </si>
  <si>
    <t>TRON</t>
  </si>
  <si>
    <t>interzone</t>
  </si>
  <si>
    <t>target-coin</t>
  </si>
  <si>
    <t>salt</t>
  </si>
  <si>
    <t>SALT</t>
  </si>
  <si>
    <t>ormeus-coin</t>
  </si>
  <si>
    <t>trezarcoin</t>
  </si>
  <si>
    <t>smart-investment-fund-token</t>
  </si>
  <si>
    <t>kolion</t>
  </si>
  <si>
    <t>hodl-bucks</t>
  </si>
  <si>
    <t>colossuscoinxt</t>
  </si>
  <si>
    <t>india-coin</t>
  </si>
  <si>
    <t>obsidian</t>
  </si>
  <si>
    <t>tron</t>
  </si>
  <si>
    <t>cobinhood</t>
  </si>
  <si>
    <t>Cobinhood</t>
  </si>
  <si>
    <t>COB</t>
  </si>
  <si>
    <t>kayicoin</t>
  </si>
  <si>
    <t>regalcoin</t>
  </si>
  <si>
    <t>bismuth</t>
  </si>
  <si>
    <t>cardano</t>
  </si>
  <si>
    <t>Cardano</t>
  </si>
  <si>
    <t>ADA</t>
  </si>
  <si>
    <t>msd</t>
  </si>
  <si>
    <t>tezos</t>
  </si>
  <si>
    <t>voisecom</t>
  </si>
  <si>
    <t>infinity-economics</t>
  </si>
  <si>
    <t>attention-token-of-media</t>
  </si>
  <si>
    <t>macro1</t>
  </si>
  <si>
    <t>kickico</t>
  </si>
  <si>
    <t>oax</t>
  </si>
  <si>
    <t>minex</t>
  </si>
  <si>
    <t>social</t>
  </si>
  <si>
    <t>viberate</t>
  </si>
  <si>
    <t>encryptotel-eth</t>
  </si>
  <si>
    <t>cybcsec</t>
  </si>
  <si>
    <t>prospectors-gold</t>
  </si>
  <si>
    <t>internxt</t>
  </si>
  <si>
    <t>rchain</t>
  </si>
  <si>
    <t>RChain</t>
  </si>
  <si>
    <t>RHOC</t>
  </si>
  <si>
    <t>whalecoin</t>
  </si>
  <si>
    <t>ethbet</t>
  </si>
  <si>
    <t>flik</t>
  </si>
  <si>
    <t>real</t>
  </si>
  <si>
    <t>sand-coin</t>
  </si>
  <si>
    <t>wild-crypto</t>
  </si>
  <si>
    <t>hubii-network</t>
  </si>
  <si>
    <t>crystal-clear</t>
  </si>
  <si>
    <t>bridgecoin</t>
  </si>
  <si>
    <t>everex</t>
  </si>
  <si>
    <t>paypie</t>
  </si>
  <si>
    <t>airtoken</t>
  </si>
  <si>
    <t>postoken</t>
  </si>
  <si>
    <t>senderon</t>
  </si>
  <si>
    <t>eltc</t>
  </si>
  <si>
    <t>alis</t>
  </si>
  <si>
    <t>bitcoinz</t>
  </si>
  <si>
    <t>flappycoin</t>
  </si>
  <si>
    <t>hellogold</t>
  </si>
  <si>
    <t>cryptonex</t>
  </si>
  <si>
    <t>enigma-project</t>
  </si>
  <si>
    <t>ENG</t>
  </si>
  <si>
    <t>cindicator</t>
  </si>
  <si>
    <t>bastonet</t>
  </si>
  <si>
    <t>zeusshield</t>
  </si>
  <si>
    <t>corion</t>
  </si>
  <si>
    <t>ethereumcash</t>
  </si>
  <si>
    <t>authorship</t>
  </si>
  <si>
    <t>royal-kingdom-coin</t>
  </si>
  <si>
    <t>exchangen</t>
  </si>
  <si>
    <t>akuya-coin</t>
  </si>
  <si>
    <t>piplcoin</t>
  </si>
  <si>
    <t>airswap</t>
  </si>
  <si>
    <t>eidoo</t>
  </si>
  <si>
    <t>bitsoar</t>
  </si>
  <si>
    <t>change</t>
  </si>
  <si>
    <t>blockmason</t>
  </si>
  <si>
    <t>aion</t>
  </si>
  <si>
    <t>Aion</t>
  </si>
  <si>
    <t>AION</t>
  </si>
  <si>
    <t>maecenas</t>
  </si>
  <si>
    <t>lltoken</t>
  </si>
  <si>
    <t>everus</t>
  </si>
  <si>
    <t>tracto</t>
  </si>
  <si>
    <t>dutch-coin</t>
  </si>
  <si>
    <t>domraider</t>
  </si>
  <si>
    <t>swapcoin</t>
  </si>
  <si>
    <t>request-network</t>
  </si>
  <si>
    <t>Request Network</t>
  </si>
  <si>
    <t>REQ</t>
  </si>
  <si>
    <t>segwit2x</t>
  </si>
  <si>
    <t>ethereum-gold</t>
  </si>
  <si>
    <t>eusd</t>
  </si>
  <si>
    <t>coimatic-3</t>
  </si>
  <si>
    <t>ethereum-blue</t>
  </si>
  <si>
    <t>CryptoCurrencies to Watch</t>
  </si>
  <si>
    <t>=</t>
  </si>
  <si>
    <t>Remarks/Notes</t>
  </si>
  <si>
    <t>life</t>
  </si>
  <si>
    <t>hedge</t>
  </si>
  <si>
    <t>runners</t>
  </si>
  <si>
    <t>Total Investment Value in Bitcoin(Satoshi)</t>
  </si>
  <si>
    <t>Current Bitcoin Value in USD</t>
  </si>
  <si>
    <r>
      <rPr>
        <b/>
        <sz val="20"/>
        <color theme="8" tint="-0.249977111117893"/>
        <rFont val="Calibri"/>
        <family val="2"/>
        <scheme val="minor"/>
      </rPr>
      <t>Excel CryptoCurrency Portfolio Manager</t>
    </r>
    <r>
      <rPr>
        <b/>
        <sz val="18"/>
        <color theme="8" tint="-0.249977111117893"/>
        <rFont val="Calibri"/>
        <family val="2"/>
        <scheme val="minor"/>
      </rPr>
      <t xml:space="preserve"> </t>
    </r>
    <r>
      <rPr>
        <b/>
        <sz val="8"/>
        <color theme="1" tint="0.499984740745262"/>
        <rFont val="Calibri"/>
        <family val="2"/>
        <scheme val="minor"/>
      </rPr>
      <t>by CryptoMarqz</t>
    </r>
  </si>
  <si>
    <t>bitcoin-gold</t>
  </si>
  <si>
    <t>modum</t>
  </si>
  <si>
    <t>amber</t>
  </si>
  <si>
    <t>icos</t>
  </si>
  <si>
    <t>10mtoken</t>
  </si>
  <si>
    <t>litecoin-gold</t>
  </si>
  <si>
    <t>KCS</t>
  </si>
  <si>
    <t>clearpoll</t>
  </si>
  <si>
    <t>bitcoin-red</t>
  </si>
  <si>
    <t>exchange-union</t>
  </si>
  <si>
    <t>latoken</t>
  </si>
  <si>
    <t>open-trading-network</t>
  </si>
  <si>
    <t>exrnchain</t>
  </si>
  <si>
    <t>nuls</t>
  </si>
  <si>
    <t>paragon</t>
  </si>
  <si>
    <t>boscoin</t>
  </si>
  <si>
    <t>power-ledger</t>
  </si>
  <si>
    <t>Power Ledger</t>
  </si>
  <si>
    <t>POWR</t>
  </si>
  <si>
    <t>KuCoin Shares</t>
  </si>
  <si>
    <t>streamr-datacoin</t>
  </si>
  <si>
    <t>red-pulse</t>
  </si>
  <si>
    <t>revain</t>
  </si>
  <si>
    <t>dovu</t>
  </si>
  <si>
    <t>credence-coin</t>
  </si>
  <si>
    <t>xios</t>
  </si>
  <si>
    <t>pirl</t>
  </si>
  <si>
    <t>gimli</t>
  </si>
  <si>
    <t>luxcoin</t>
  </si>
  <si>
    <t>altcommunity-coin</t>
  </si>
  <si>
    <t>ellaism</t>
  </si>
  <si>
    <t>mincoin</t>
  </si>
  <si>
    <t>iethereum</t>
  </si>
  <si>
    <t>playercoin</t>
  </si>
  <si>
    <t>ethgas</t>
  </si>
  <si>
    <t>javascript-token</t>
  </si>
  <si>
    <t>electroneum</t>
  </si>
  <si>
    <t>Electroneum</t>
  </si>
  <si>
    <t>ETN</t>
  </si>
  <si>
    <t>bt2-cst</t>
  </si>
  <si>
    <t>octanox</t>
  </si>
  <si>
    <t>enjin-coin</t>
  </si>
  <si>
    <t>ripio-credit-network</t>
  </si>
  <si>
    <t>icon</t>
  </si>
  <si>
    <t>ICX</t>
  </si>
  <si>
    <t>high-gain</t>
  </si>
  <si>
    <t>bitbase</t>
  </si>
  <si>
    <t>bt1-cst</t>
  </si>
  <si>
    <t>grid</t>
  </si>
  <si>
    <t>unikoin-gold</t>
  </si>
  <si>
    <t>pure</t>
  </si>
  <si>
    <t>force</t>
  </si>
  <si>
    <t>etherparty</t>
  </si>
  <si>
    <t>natcoin</t>
  </si>
  <si>
    <t>minexcoin</t>
  </si>
  <si>
    <t>ibtc</t>
  </si>
  <si>
    <t>bitcoin-silver</t>
  </si>
  <si>
    <t>xenon</t>
  </si>
  <si>
    <t>atlant</t>
  </si>
  <si>
    <t>qvolta</t>
  </si>
  <si>
    <t>russian-mining-coin</t>
  </si>
  <si>
    <t>desire</t>
  </si>
  <si>
    <t>autonio</t>
  </si>
  <si>
    <t>ebtcnew</t>
  </si>
  <si>
    <t>egold</t>
  </si>
  <si>
    <t>ethereum-lite</t>
  </si>
  <si>
    <t>mercury-protocol</t>
  </si>
  <si>
    <t>eltcoin</t>
  </si>
  <si>
    <t>vulcano</t>
  </si>
  <si>
    <t>flypme</t>
  </si>
  <si>
    <t>ebit</t>
  </si>
  <si>
    <t>btcmoon</t>
  </si>
  <si>
    <t>roofs</t>
  </si>
  <si>
    <t>musiconomi</t>
  </si>
  <si>
    <t>cash-poker-pro</t>
  </si>
  <si>
    <t>fapcoin</t>
  </si>
  <si>
    <t>atmcoin</t>
  </si>
  <si>
    <t>ereal</t>
  </si>
  <si>
    <t>network-token</t>
  </si>
  <si>
    <t>intelligent-trading-tech</t>
  </si>
  <si>
    <t>rupaya-old</t>
  </si>
  <si>
    <t>loopring</t>
  </si>
  <si>
    <t>Loopring</t>
  </si>
  <si>
    <t>LRC</t>
  </si>
  <si>
    <t>edgeless</t>
  </si>
  <si>
    <t>groestlcoin</t>
  </si>
  <si>
    <t>nolimitcoin</t>
  </si>
  <si>
    <t>iocoin</t>
  </si>
  <si>
    <t>confido</t>
  </si>
  <si>
    <t>phore</t>
  </si>
  <si>
    <t>farad</t>
  </si>
  <si>
    <t>cartaxi-token</t>
  </si>
  <si>
    <t>starcash-network</t>
  </si>
  <si>
    <t>aeron</t>
  </si>
  <si>
    <t>rasputin-online-coin</t>
  </si>
  <si>
    <t>yellow-token</t>
  </si>
  <si>
    <t>innova</t>
  </si>
  <si>
    <t>zephyr</t>
  </si>
  <si>
    <t>delphy</t>
  </si>
  <si>
    <t>dcorp</t>
  </si>
  <si>
    <t>blockpool</t>
  </si>
  <si>
    <t>ties-network</t>
  </si>
  <si>
    <t>grimcoin</t>
  </si>
  <si>
    <t>erc20</t>
  </si>
  <si>
    <t>zcash-gold</t>
  </si>
  <si>
    <t>kucoin-shares</t>
  </si>
  <si>
    <t>artbyte</t>
  </si>
  <si>
    <t>shield-xsh</t>
  </si>
  <si>
    <t>abjcoin</t>
  </si>
  <si>
    <t>oxycoin</t>
  </si>
  <si>
    <t>interstellar-holdings</t>
  </si>
  <si>
    <t>emphy</t>
  </si>
  <si>
    <t>Bitcoin Gold</t>
  </si>
  <si>
    <t>decision-token</t>
  </si>
  <si>
    <t>neo-gold</t>
  </si>
  <si>
    <t>sharechain</t>
  </si>
  <si>
    <t>upfiring</t>
  </si>
  <si>
    <t>decent-bet</t>
  </si>
  <si>
    <t>student-coin</t>
  </si>
  <si>
    <t>Stellar</t>
  </si>
  <si>
    <t>genesis-vision</t>
  </si>
  <si>
    <t>ea-coin</t>
  </si>
  <si>
    <t>privatix</t>
  </si>
  <si>
    <t>eaglecoin</t>
  </si>
  <si>
    <t>intensecoin</t>
  </si>
  <si>
    <t>astro</t>
  </si>
  <si>
    <t>pluscoin</t>
  </si>
  <si>
    <t>faceblock</t>
  </si>
  <si>
    <t>sisa</t>
  </si>
  <si>
    <t>paypex</t>
  </si>
  <si>
    <t>gold-reward-token</t>
  </si>
  <si>
    <t>xgox</t>
  </si>
  <si>
    <t>aerium</t>
  </si>
  <si>
    <t>ebitcoin-cash</t>
  </si>
  <si>
    <t>bitserial</t>
  </si>
  <si>
    <t>bitboost</t>
  </si>
  <si>
    <t>sugar-exchange</t>
  </si>
  <si>
    <t>corethum</t>
  </si>
  <si>
    <t>viuly</t>
  </si>
  <si>
    <t>ethos</t>
  </si>
  <si>
    <t>Ethos</t>
  </si>
  <si>
    <t>ETHOS</t>
  </si>
  <si>
    <t>alqo</t>
  </si>
  <si>
    <t>gobyte</t>
  </si>
  <si>
    <t>quantstamp</t>
  </si>
  <si>
    <t>Quantstamp</t>
  </si>
  <si>
    <t>QSP</t>
  </si>
  <si>
    <t>win-coin</t>
  </si>
  <si>
    <t>maker</t>
  </si>
  <si>
    <t>bodhi</t>
  </si>
  <si>
    <t>b2bx</t>
  </si>
  <si>
    <t>bitcoin2x</t>
  </si>
  <si>
    <t>infinity-pay</t>
  </si>
  <si>
    <t>copico</t>
  </si>
  <si>
    <t>encrypgen</t>
  </si>
  <si>
    <t>ink</t>
  </si>
  <si>
    <t>oyster-pearl</t>
  </si>
  <si>
    <t>phantomx</t>
  </si>
  <si>
    <t>digipulse</t>
  </si>
  <si>
    <t>qash</t>
  </si>
  <si>
    <t>QASH</t>
  </si>
  <si>
    <t>energo</t>
  </si>
  <si>
    <t>zozocoin</t>
  </si>
  <si>
    <t>publica</t>
  </si>
  <si>
    <t>spankchain</t>
  </si>
  <si>
    <t>magnet</t>
  </si>
  <si>
    <t>mutual-coin</t>
  </si>
  <si>
    <t>smartbillions</t>
  </si>
  <si>
    <t>votecoin</t>
  </si>
  <si>
    <t>bitcoin-diamond</t>
  </si>
  <si>
    <t>poly-ai</t>
  </si>
  <si>
    <t>accelerator-network</t>
  </si>
  <si>
    <t>monkey-project</t>
  </si>
  <si>
    <t>plexcoin</t>
  </si>
  <si>
    <t>flixxo</t>
  </si>
  <si>
    <t>dimoncoin</t>
  </si>
  <si>
    <t>time-new-bank</t>
  </si>
  <si>
    <t>anryze</t>
  </si>
  <si>
    <t>blockv</t>
  </si>
  <si>
    <t>mywish</t>
  </si>
  <si>
    <t>divi</t>
  </si>
  <si>
    <t>hyper-tv</t>
  </si>
  <si>
    <t>boolberry</t>
  </si>
  <si>
    <t>glasscoin</t>
  </si>
  <si>
    <t>uahpay</t>
  </si>
  <si>
    <t>eventchain</t>
  </si>
  <si>
    <t>ethlend</t>
  </si>
  <si>
    <t>ongsocial</t>
  </si>
  <si>
    <t>ccore</t>
  </si>
  <si>
    <t>dragonchain</t>
  </si>
  <si>
    <t>Dragonchain</t>
  </si>
  <si>
    <t>DRGN</t>
  </si>
  <si>
    <t>qbao</t>
  </si>
  <si>
    <t>payfair</t>
  </si>
  <si>
    <t>presearch</t>
  </si>
  <si>
    <t>triaconta</t>
  </si>
  <si>
    <t>cybermiles</t>
  </si>
  <si>
    <t>eroscoin</t>
  </si>
  <si>
    <t>cappasity</t>
  </si>
  <si>
    <t>santa-coin</t>
  </si>
  <si>
    <t>xylo</t>
  </si>
  <si>
    <t>social-send</t>
  </si>
  <si>
    <t>Social Send</t>
  </si>
  <si>
    <t>SEND</t>
  </si>
  <si>
    <t>blockcdn</t>
  </si>
  <si>
    <t>iot-chain</t>
  </si>
  <si>
    <t>nekonium</t>
  </si>
  <si>
    <t>magiccoin</t>
  </si>
  <si>
    <t>bonpay</t>
  </si>
  <si>
    <t>bulwark</t>
  </si>
  <si>
    <t>strikebitclub</t>
  </si>
  <si>
    <t>snovio</t>
  </si>
  <si>
    <t>sagacoin</t>
  </si>
  <si>
    <t>pioneer-coin</t>
  </si>
  <si>
    <t>kubera-coin</t>
  </si>
  <si>
    <t>tokugawa</t>
  </si>
  <si>
    <t>crowdcoin</t>
  </si>
  <si>
    <t>wabi</t>
  </si>
  <si>
    <t>comsa-eth</t>
  </si>
  <si>
    <t>comsa-xem</t>
  </si>
  <si>
    <t>prochain</t>
  </si>
  <si>
    <t>smartmesh</t>
  </si>
  <si>
    <t>hollywoodcoin</t>
  </si>
  <si>
    <t>medishares</t>
  </si>
  <si>
    <t>filecoin</t>
  </si>
  <si>
    <t>uquid-coin</t>
  </si>
  <si>
    <t>sportyfi</t>
  </si>
  <si>
    <t>ignis</t>
  </si>
  <si>
    <t>bitcoinx</t>
  </si>
  <si>
    <t>super-bitcoin</t>
  </si>
  <si>
    <t>verify</t>
  </si>
  <si>
    <t>simple-token</t>
  </si>
  <si>
    <t>lockchain</t>
  </si>
  <si>
    <t>hawala-today</t>
  </si>
  <si>
    <t>aelf</t>
  </si>
  <si>
    <t>ELF</t>
  </si>
  <si>
    <t>wax</t>
  </si>
  <si>
    <t>WAX</t>
  </si>
  <si>
    <t>gifto</t>
  </si>
  <si>
    <t>genaro-network</t>
  </si>
  <si>
    <t>datum</t>
  </si>
  <si>
    <t>united-bitcoin</t>
  </si>
  <si>
    <t>micromoney</t>
  </si>
  <si>
    <t>bitair</t>
  </si>
  <si>
    <t>worldcore</t>
  </si>
  <si>
    <t>dynamic-trading-rights</t>
  </si>
  <si>
    <t>davorcoin</t>
  </si>
  <si>
    <t>playkey</t>
  </si>
  <si>
    <t>starbase</t>
  </si>
  <si>
    <t>soma</t>
  </si>
  <si>
    <t>yenten</t>
  </si>
  <si>
    <t>trident</t>
  </si>
  <si>
    <t>Current USD Value</t>
  </si>
  <si>
    <t>dew</t>
  </si>
  <si>
    <t>medibloc</t>
  </si>
  <si>
    <t>MED</t>
  </si>
  <si>
    <t>naga</t>
  </si>
  <si>
    <t>bread</t>
  </si>
  <si>
    <t>bibox-token</t>
  </si>
  <si>
    <t>Experience Points</t>
  </si>
  <si>
    <t>nebulas-token</t>
  </si>
  <si>
    <t>sophiatx</t>
  </si>
  <si>
    <t>bounty0x</t>
  </si>
  <si>
    <t>dai</t>
  </si>
  <si>
    <t>Date/Time Taken</t>
  </si>
  <si>
    <t>Total Investment in USD</t>
  </si>
  <si>
    <t>Total Investment Value in Satoshi</t>
  </si>
  <si>
    <t>Current Invesment Value in USD</t>
  </si>
  <si>
    <t>Profitability Value in USD</t>
  </si>
  <si>
    <t>Profitability Value in %</t>
  </si>
  <si>
    <t>Investment Snapshot</t>
  </si>
  <si>
    <t>dimcoin</t>
  </si>
  <si>
    <t>Delta</t>
  </si>
  <si>
    <t>1Atr4wRPzge1UWFLZnsKZ7Gayqh47AMA4W</t>
  </si>
  <si>
    <t>Email:</t>
  </si>
  <si>
    <t>cryptomarqz@gmail.com</t>
  </si>
  <si>
    <t>Top 25 CryptoCurrency Portfolio</t>
  </si>
  <si>
    <t>Remarks</t>
  </si>
  <si>
    <t>Please donate for further development.</t>
  </si>
  <si>
    <t>sirin-labs-token</t>
  </si>
  <si>
    <t>cryptopay</t>
  </si>
  <si>
    <t>ace</t>
  </si>
  <si>
    <t>html-coin</t>
  </si>
  <si>
    <t>homeblockcoin</t>
  </si>
  <si>
    <t>VEN</t>
  </si>
  <si>
    <t>utrust</t>
  </si>
  <si>
    <t>wandx</t>
  </si>
  <si>
    <t>experience-points</t>
  </si>
  <si>
    <t>qlink</t>
  </si>
  <si>
    <t>neumark</t>
  </si>
  <si>
    <t>qcash</t>
  </si>
  <si>
    <t>farstcoin</t>
  </si>
  <si>
    <t>herocoin</t>
  </si>
  <si>
    <t>bigone-token</t>
  </si>
  <si>
    <t>entcash</t>
  </si>
  <si>
    <t>hyper-pay</t>
  </si>
  <si>
    <t>olympus-labs</t>
  </si>
  <si>
    <t>madcoin</t>
  </si>
  <si>
    <t>pylon-network</t>
  </si>
  <si>
    <t>straks</t>
  </si>
  <si>
    <t>MNXC</t>
  </si>
  <si>
    <t>bitclave</t>
  </si>
  <si>
    <t>fidentiax</t>
  </si>
  <si>
    <t>matryx</t>
  </si>
  <si>
    <t>lightning-bitcoin</t>
  </si>
  <si>
    <t>game</t>
  </si>
  <si>
    <t>escoro</t>
  </si>
  <si>
    <t>OPC</t>
  </si>
  <si>
    <t>appcoins</t>
  </si>
  <si>
    <t>canyacoin</t>
  </si>
  <si>
    <t>lamden</t>
  </si>
  <si>
    <t>swftcoin</t>
  </si>
  <si>
    <t>high-performance-blockchain</t>
  </si>
  <si>
    <t>measurable-data-token</t>
  </si>
  <si>
    <t>waykichain</t>
  </si>
  <si>
    <t>mixin</t>
  </si>
  <si>
    <t>numus</t>
  </si>
  <si>
    <t>numuscash</t>
  </si>
  <si>
    <t>gamechain</t>
  </si>
  <si>
    <t>leekico</t>
  </si>
  <si>
    <t>coinlancer</t>
  </si>
  <si>
    <t>cryptopiafeeshares</t>
  </si>
  <si>
    <t>op-coin</t>
  </si>
  <si>
    <t>nimfamoney</t>
  </si>
  <si>
    <t>cfun</t>
  </si>
  <si>
    <t>Coinmarket Cap API:</t>
  </si>
  <si>
    <t>https://api.coinmarketcap.com/v1/ticker/</t>
  </si>
  <si>
    <t>MediBloc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</si>
</sst>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7" formatCode="&quot;$&quot;#,##0.00_);\(&quot;$&quot;#,##0.00\)"/>
    <numFmt numFmtId="164" formatCode="_-&quot;$&quot;* #,##0.00000_-;\-&quot;$&quot;* #,##0.00000_-;_-&quot;$&quot;* &quot;-&quot;?????_-;_-@_-"/>
    <numFmt numFmtId="165" formatCode="0.00000000"/>
    <numFmt numFmtId="166" formatCode="&quot;$&quot;#,##0"/>
    <numFmt numFmtId="167" formatCode="yyyy/mm/dd\ hh:mm:ss"/>
    <numFmt numFmtId="168" formatCode="_-&quot;$&quot;* #,##0.0000000_-;\-&quot;$&quot;* #,##0.0000000_-;_-&quot;$&quot;* &quot;-&quot;?????_-;_-@_-"/>
    <numFmt numFmtId="169" formatCode="&quot;$&quot;#,##0.00"/>
    <numFmt numFmtId="170" formatCode="#,##0.000000"/>
    <numFmt numFmtId="171" formatCode="0.000000000"/>
    <numFmt numFmtId="172" formatCode="&quot;$&quot;#,##0.00000"/>
  </numFmts>
  <fonts count="14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8" tint="-0.249977111117893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0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B2B2B2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7F7F7F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7F7F7F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13" fillId="4" borderId="10" applyNumberFormat="0" applyAlignment="0" applyProtection="0"/>
    <xf numFmtId="0" fontId="6" fillId="5" borderId="11" applyNumberFormat="0" applyFont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2" fillId="0" borderId="0" xfId="1" applyAlignment="1">
      <alignment wrapText="1"/>
    </xf>
    <xf numFmtId="0" fontId="4" fillId="0" borderId="3" xfId="0" applyFont="1" applyBorder="1" applyAlignment="1">
      <alignment horizontal="center" vertical="center"/>
    </xf>
    <xf numFmtId="169" fontId="0" fillId="0" borderId="6" xfId="0" applyNumberFormat="1" applyBorder="1" applyAlignment="1">
      <alignment horizontal="center" vertical="center" wrapText="1"/>
    </xf>
    <xf numFmtId="10" fontId="0" fillId="0" borderId="6" xfId="2" applyNumberFormat="1" applyFont="1" applyBorder="1" applyAlignment="1">
      <alignment horizontal="center" vertical="center"/>
    </xf>
    <xf numFmtId="165" fontId="5" fillId="0" borderId="4" xfId="0" applyNumberFormat="1" applyFont="1" applyBorder="1" applyAlignment="1" applyProtection="1">
      <alignment horizontal="center" vertical="center" wrapText="1"/>
      <protection hidden="1"/>
    </xf>
    <xf numFmtId="2" fontId="5" fillId="0" borderId="4" xfId="2" applyNumberFormat="1" applyFont="1" applyBorder="1" applyAlignment="1" applyProtection="1">
      <alignment horizontal="center" vertical="center"/>
      <protection hidden="1"/>
    </xf>
    <xf numFmtId="167" fontId="5" fillId="0" borderId="4" xfId="0" applyNumberFormat="1" applyFont="1" applyBorder="1" applyAlignment="1" applyProtection="1">
      <alignment horizontal="center" vertical="center" wrapText="1"/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166" fontId="5" fillId="0" borderId="4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/>
    <xf numFmtId="0" fontId="0" fillId="0" borderId="0" xfId="0" applyAlignment="1"/>
    <xf numFmtId="0" fontId="2" fillId="0" borderId="0" xfId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3" fontId="0" fillId="0" borderId="0" xfId="0" applyNumberFormat="1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</xf>
    <xf numFmtId="2" fontId="5" fillId="0" borderId="0" xfId="2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Font="1" applyAlignment="1"/>
    <xf numFmtId="169" fontId="0" fillId="0" borderId="6" xfId="2" applyNumberFormat="1" applyFon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165" fontId="5" fillId="0" borderId="5" xfId="0" applyNumberFormat="1" applyFont="1" applyBorder="1" applyAlignment="1" applyProtection="1">
      <alignment horizontal="center" vertical="center" wrapText="1"/>
      <protection hidden="1"/>
    </xf>
    <xf numFmtId="166" fontId="5" fillId="0" borderId="5" xfId="0" applyNumberFormat="1" applyFont="1" applyBorder="1" applyAlignment="1" applyProtection="1">
      <alignment horizontal="center" vertical="center" wrapText="1"/>
      <protection hidden="1"/>
    </xf>
    <xf numFmtId="2" fontId="5" fillId="0" borderId="5" xfId="2" applyNumberFormat="1" applyFont="1" applyBorder="1" applyAlignment="1" applyProtection="1">
      <alignment horizontal="center" vertical="center"/>
      <protection hidden="1"/>
    </xf>
    <xf numFmtId="167" fontId="5" fillId="0" borderId="5" xfId="0" applyNumberFormat="1" applyFont="1" applyBorder="1" applyAlignment="1" applyProtection="1">
      <alignment horizontal="center" vertical="center" wrapText="1"/>
      <protection hidden="1"/>
    </xf>
    <xf numFmtId="10" fontId="5" fillId="0" borderId="5" xfId="2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>
      <alignment horizontal="right"/>
    </xf>
    <xf numFmtId="0" fontId="9" fillId="0" borderId="0" xfId="0" applyFont="1" applyAlignment="1">
      <alignment horizontal="right" wrapText="1"/>
    </xf>
    <xf numFmtId="22" fontId="0" fillId="0" borderId="0" xfId="0" applyNumberFormat="1"/>
    <xf numFmtId="22" fontId="0" fillId="0" borderId="0" xfId="0" applyNumberFormat="1" applyAlignment="1">
      <alignment horizontal="center" vertical="center"/>
    </xf>
    <xf numFmtId="7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2" fillId="0" borderId="0" xfId="1" applyAlignment="1"/>
    <xf numFmtId="0" fontId="2" fillId="0" borderId="0" xfId="1"/>
    <xf numFmtId="172" fontId="5" fillId="0" borderId="4" xfId="0" applyNumberFormat="1" applyFont="1" applyBorder="1" applyAlignment="1" applyProtection="1">
      <alignment horizontal="center" vertical="center" wrapText="1"/>
      <protection hidden="1"/>
    </xf>
    <xf numFmtId="172" fontId="5" fillId="0" borderId="5" xfId="0" applyNumberFormat="1" applyFont="1" applyBorder="1" applyAlignment="1" applyProtection="1">
      <alignment horizontal="center" vertical="center" wrapText="1"/>
      <protection hidden="1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3" fillId="4" borderId="15" xfId="3" applyBorder="1" applyAlignment="1" applyProtection="1">
      <alignment horizontal="center" vertical="center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170" fontId="13" fillId="4" borderId="16" xfId="3" applyNumberFormat="1" applyBorder="1" applyAlignment="1" applyProtection="1">
      <alignment horizontal="center" vertical="center" wrapText="1"/>
      <protection locked="0"/>
    </xf>
    <xf numFmtId="165" fontId="13" fillId="4" borderId="17" xfId="3" applyNumberFormat="1" applyBorder="1" applyAlignment="1" applyProtection="1">
      <alignment horizontal="center" vertical="center" wrapText="1"/>
      <protection locked="0"/>
    </xf>
    <xf numFmtId="0" fontId="2" fillId="5" borderId="18" xfId="4" applyFont="1" applyBorder="1" applyAlignment="1" applyProtection="1">
      <alignment horizontal="center" vertical="center"/>
    </xf>
    <xf numFmtId="0" fontId="5" fillId="5" borderId="19" xfId="4" applyFont="1" applyBorder="1" applyAlignment="1" applyProtection="1">
      <alignment horizontal="center" vertical="center" wrapText="1"/>
    </xf>
    <xf numFmtId="165" fontId="5" fillId="5" borderId="19" xfId="4" applyNumberFormat="1" applyFont="1" applyBorder="1" applyAlignment="1" applyProtection="1">
      <alignment horizontal="center" vertical="center" wrapText="1"/>
    </xf>
    <xf numFmtId="165" fontId="5" fillId="5" borderId="20" xfId="4" applyNumberFormat="1" applyFont="1" applyBorder="1" applyAlignment="1" applyProtection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165" fontId="13" fillId="4" borderId="15" xfId="3" applyNumberFormat="1" applyBorder="1" applyAlignment="1" applyProtection="1">
      <alignment horizontal="center" vertical="center" wrapText="1"/>
      <protection locked="0"/>
    </xf>
    <xf numFmtId="14" fontId="13" fillId="4" borderId="17" xfId="3" applyNumberFormat="1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 wrapText="1"/>
      <protection locked="0"/>
    </xf>
    <xf numFmtId="14" fontId="13" fillId="4" borderId="23" xfId="3" applyNumberFormat="1" applyBorder="1" applyAlignment="1" applyProtection="1">
      <alignment horizontal="center" vertical="center" wrapText="1"/>
      <protection locked="0"/>
    </xf>
    <xf numFmtId="0" fontId="13" fillId="4" borderId="22" xfId="3" applyBorder="1" applyAlignment="1" applyProtection="1">
      <alignment horizontal="center" vertical="center"/>
      <protection locked="0"/>
    </xf>
    <xf numFmtId="0" fontId="13" fillId="4" borderId="19" xfId="3" applyBorder="1" applyAlignment="1" applyProtection="1">
      <alignment horizontal="center" vertical="center" wrapText="1"/>
      <protection locked="0"/>
    </xf>
    <xf numFmtId="0" fontId="2" fillId="4" borderId="15" xfId="1" applyFill="1" applyBorder="1" applyAlignment="1" applyProtection="1">
      <alignment horizontal="center" vertical="center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6" xfId="3" applyBorder="1" applyAlignment="1" applyProtection="1">
      <alignment horizontal="center" vertical="center" wrapText="1"/>
      <protection locked="0"/>
    </xf>
    <xf numFmtId="0" fontId="13" fillId="4" borderId="17" xfId="3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left" vertical="center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3" fillId="4" borderId="19" xfId="3" applyBorder="1" applyAlignment="1" applyProtection="1">
      <alignment horizontal="center" vertical="center" wrapText="1"/>
      <protection locked="0"/>
    </xf>
    <xf numFmtId="0" fontId="13" fillId="4" borderId="23" xfId="3" applyBorder="1" applyAlignment="1" applyProtection="1">
      <alignment horizontal="center" vertical="center" wrapText="1"/>
      <protection locked="0"/>
    </xf>
    <xf numFmtId="0" fontId="0" fillId="7" borderId="6" xfId="0" applyFill="1" applyBorder="1" applyAlignment="1">
      <alignment horizontal="center" wrapText="1"/>
    </xf>
    <xf numFmtId="169" fontId="13" fillId="4" borderId="6" xfId="3" applyNumberFormat="1" applyBorder="1" applyAlignment="1" applyProtection="1">
      <alignment horizontal="left" vertical="top" wrapText="1"/>
      <protection locked="0"/>
    </xf>
    <xf numFmtId="169" fontId="13" fillId="4" borderId="6" xfId="3" applyNumberFormat="1" applyBorder="1" applyAlignment="1" applyProtection="1">
      <alignment horizontal="center" vertical="center" wrapText="1"/>
      <protection locked="0"/>
    </xf>
    <xf numFmtId="0" fontId="0" fillId="6" borderId="8" xfId="0" applyFill="1" applyBorder="1" applyAlignment="1">
      <alignment horizontal="right"/>
    </xf>
    <xf numFmtId="0" fontId="0" fillId="6" borderId="9" xfId="0" applyFill="1" applyBorder="1" applyAlignment="1">
      <alignment horizontal="right"/>
    </xf>
    <xf numFmtId="0" fontId="0" fillId="6" borderId="24" xfId="0" applyFill="1" applyBorder="1" applyAlignment="1">
      <alignment horizontal="right"/>
    </xf>
    <xf numFmtId="0" fontId="2" fillId="0" borderId="0" xfId="1" applyAlignment="1">
      <alignment horizontal="right" wrapText="1"/>
    </xf>
  </cellXfs>
  <cellStyles count="5">
    <cellStyle name="Hyperlink" xfId="1" builtinId="8"/>
    <cellStyle name="Input" xfId="3" builtinId="20"/>
    <cellStyle name="Normal" xfId="0" builtinId="0"/>
    <cellStyle name="Note" xfId="4" builtinId="10"/>
    <cellStyle name="Percent" xfId="2" builtinId="5"/>
  </cellStyles>
  <dxfs count="1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9525</xdr:rowOff>
        </xdr:from>
        <xdr:to>
          <xdr:col>5</xdr:col>
          <xdr:colOff>419100</xdr:colOff>
          <xdr:row>6</xdr:row>
          <xdr:rowOff>66675</xdr:rowOff>
        </xdr:to>
        <xdr:sp macro="" textlink="">
          <xdr:nvSpPr>
            <xdr:cNvPr id="1027" name="cmbCoin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438150</xdr:colOff>
          <xdr:row>4</xdr:row>
          <xdr:rowOff>47625</xdr:rowOff>
        </xdr:from>
        <xdr:to>
          <xdr:col>6</xdr:col>
          <xdr:colOff>590550</xdr:colOff>
          <xdr:row>6</xdr:row>
          <xdr:rowOff>57150</xdr:rowOff>
        </xdr:to>
        <xdr:sp macro="" textlink="">
          <xdr:nvSpPr>
            <xdr:cNvPr id="1028" name="cmdAddCoi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666750</xdr:colOff>
      <xdr:row>4</xdr:row>
      <xdr:rowOff>28575</xdr:rowOff>
    </xdr:from>
    <xdr:to>
      <xdr:col>7</xdr:col>
      <xdr:colOff>895350</xdr:colOff>
      <xdr:row>6</xdr:row>
      <xdr:rowOff>57150</xdr:rowOff>
    </xdr:to>
    <xdr:sp macro="[0]!RefreshData" textlink="">
      <xdr:nvSpPr>
        <xdr:cNvPr id="4" name="Rounded Rectangle 3"/>
        <xdr:cNvSpPr/>
      </xdr:nvSpPr>
      <xdr:spPr>
        <a:xfrm>
          <a:off x="5181600" y="895350"/>
          <a:ext cx="1190625" cy="4095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Refresh</a:t>
          </a:r>
          <a:r>
            <a:rPr lang="en-CA" sz="1200" baseline="0"/>
            <a:t>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36</xdr:row>
          <xdr:rowOff>28575</xdr:rowOff>
        </xdr:from>
        <xdr:to>
          <xdr:col>7</xdr:col>
          <xdr:colOff>571500</xdr:colOff>
          <xdr:row>38</xdr:row>
          <xdr:rowOff>38100</xdr:rowOff>
        </xdr:to>
        <xdr:sp macro="" textlink="">
          <xdr:nvSpPr>
            <xdr:cNvPr id="1032" name="cmdAddWat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952500</xdr:colOff>
      <xdr:row>4</xdr:row>
      <xdr:rowOff>28575</xdr:rowOff>
    </xdr:from>
    <xdr:to>
      <xdr:col>8</xdr:col>
      <xdr:colOff>914400</xdr:colOff>
      <xdr:row>6</xdr:row>
      <xdr:rowOff>57150</xdr:rowOff>
    </xdr:to>
    <xdr:sp macro="[0]!ClearTable.ClearTable" textlink="">
      <xdr:nvSpPr>
        <xdr:cNvPr id="7" name="Rounded Rectangle 6"/>
        <xdr:cNvSpPr/>
      </xdr:nvSpPr>
      <xdr:spPr>
        <a:xfrm>
          <a:off x="6429375" y="895350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xdr:twoCellAnchor>
    <xdr:from>
      <xdr:col>7</xdr:col>
      <xdr:colOff>704850</xdr:colOff>
      <xdr:row>36</xdr:row>
      <xdr:rowOff>19050</xdr:rowOff>
    </xdr:from>
    <xdr:to>
      <xdr:col>8</xdr:col>
      <xdr:colOff>666750</xdr:colOff>
      <xdr:row>38</xdr:row>
      <xdr:rowOff>47625</xdr:rowOff>
    </xdr:to>
    <xdr:sp macro="[0]!ClearWatchTable" textlink="">
      <xdr:nvSpPr>
        <xdr:cNvPr id="8" name="Rounded Rectangle 7"/>
        <xdr:cNvSpPr/>
      </xdr:nvSpPr>
      <xdr:spPr>
        <a:xfrm>
          <a:off x="6181725" y="7172325"/>
          <a:ext cx="923925" cy="4095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/>
            <a:t>Clear Table</a:t>
          </a:r>
          <a:endParaRPr lang="en-CA" sz="1200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171450</xdr:rowOff>
        </xdr:from>
        <xdr:to>
          <xdr:col>5</xdr:col>
          <xdr:colOff>390525</xdr:colOff>
          <xdr:row>38</xdr:row>
          <xdr:rowOff>38100</xdr:rowOff>
        </xdr:to>
        <xdr:sp macro="" textlink="">
          <xdr:nvSpPr>
            <xdr:cNvPr id="1035" name="cmbCryptoWatch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76200</xdr:rowOff>
    </xdr:from>
    <xdr:to>
      <xdr:col>3</xdr:col>
      <xdr:colOff>523875</xdr:colOff>
      <xdr:row>2</xdr:row>
      <xdr:rowOff>142875</xdr:rowOff>
    </xdr:to>
    <xdr:sp macro="[0]!getData" textlink="">
      <xdr:nvSpPr>
        <xdr:cNvPr id="2" name="Rounded Rectangle 1"/>
        <xdr:cNvSpPr/>
      </xdr:nvSpPr>
      <xdr:spPr>
        <a:xfrm>
          <a:off x="647700" y="76200"/>
          <a:ext cx="2314575" cy="44767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800"/>
            <a:t>Refresh</a:t>
          </a:r>
          <a:r>
            <a:rPr lang="en-CA" sz="1800" baseline="0"/>
            <a:t> Table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coinmarketcap.com/currencies/verge" TargetMode="External"/><Relationship Id="rId13" Type="http://schemas.openxmlformats.org/officeDocument/2006/relationships/hyperlink" Target="https://coinmarketcap.com/currencies/ripple" TargetMode="External"/><Relationship Id="rId18" Type="http://schemas.openxmlformats.org/officeDocument/2006/relationships/image" Target="../media/image1.emf"/><Relationship Id="rId3" Type="http://schemas.openxmlformats.org/officeDocument/2006/relationships/hyperlink" Target="https://coinmarketcap.com/currencies/bitcoin" TargetMode="External"/><Relationship Id="rId21" Type="http://schemas.openxmlformats.org/officeDocument/2006/relationships/control" Target="../activeX/activeX3.xml"/><Relationship Id="rId7" Type="http://schemas.openxmlformats.org/officeDocument/2006/relationships/hyperlink" Target="https://coinmarketcap.com/currencies/social-send" TargetMode="External"/><Relationship Id="rId12" Type="http://schemas.openxmlformats.org/officeDocument/2006/relationships/hyperlink" Target="https://coinmarketcap.com/currencies/litecoin" TargetMode="External"/><Relationship Id="rId17" Type="http://schemas.openxmlformats.org/officeDocument/2006/relationships/control" Target="../activeX/activeX1.xml"/><Relationship Id="rId2" Type="http://schemas.openxmlformats.org/officeDocument/2006/relationships/hyperlink" Target="mailto:cryptomarqz@gmail.com" TargetMode="External"/><Relationship Id="rId16" Type="http://schemas.openxmlformats.org/officeDocument/2006/relationships/vmlDrawing" Target="../drawings/vmlDrawing1.vml"/><Relationship Id="rId20" Type="http://schemas.openxmlformats.org/officeDocument/2006/relationships/image" Target="../media/image2.emf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ripple" TargetMode="External"/><Relationship Id="rId11" Type="http://schemas.openxmlformats.org/officeDocument/2006/relationships/hyperlink" Target="https://coinmarketcap.com/currencies/bitcoin" TargetMode="External"/><Relationship Id="rId24" Type="http://schemas.openxmlformats.org/officeDocument/2006/relationships/comments" Target="../comments1.xml"/><Relationship Id="rId5" Type="http://schemas.openxmlformats.org/officeDocument/2006/relationships/hyperlink" Target="https://coinmarketcap.com/currencies/litecoin" TargetMode="External"/><Relationship Id="rId15" Type="http://schemas.openxmlformats.org/officeDocument/2006/relationships/drawing" Target="../drawings/drawing1.xml"/><Relationship Id="rId23" Type="http://schemas.openxmlformats.org/officeDocument/2006/relationships/image" Target="../media/image3.emf"/><Relationship Id="rId10" Type="http://schemas.openxmlformats.org/officeDocument/2006/relationships/hyperlink" Target="https://coinmarketcap.com/currencies/ethereum" TargetMode="External"/><Relationship Id="rId19" Type="http://schemas.openxmlformats.org/officeDocument/2006/relationships/control" Target="../activeX/activeX2.xml"/><Relationship Id="rId4" Type="http://schemas.openxmlformats.org/officeDocument/2006/relationships/hyperlink" Target="https://coinmarketcap.com/currencies/ethereum" TargetMode="External"/><Relationship Id="rId9" Type="http://schemas.openxmlformats.org/officeDocument/2006/relationships/hyperlink" Target="https://coinmarketcap.com/currencies/stratis" TargetMode="External"/><Relationship Id="rId14" Type="http://schemas.openxmlformats.org/officeDocument/2006/relationships/printerSettings" Target="../printerSettings/printerSettings1.bin"/><Relationship Id="rId22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coinmarketcap.com/currencies/siacoin" TargetMode="External"/><Relationship Id="rId21" Type="http://schemas.openxmlformats.org/officeDocument/2006/relationships/hyperlink" Target="https://coinmarketcap.com/currencies/omisego" TargetMode="External"/><Relationship Id="rId34" Type="http://schemas.openxmlformats.org/officeDocument/2006/relationships/hyperlink" Target="https://coinmarketcap.com/currencies/tether" TargetMode="External"/><Relationship Id="rId42" Type="http://schemas.openxmlformats.org/officeDocument/2006/relationships/hyperlink" Target="https://coinmarketcap.com/currencies/dragonchain" TargetMode="External"/><Relationship Id="rId47" Type="http://schemas.openxmlformats.org/officeDocument/2006/relationships/hyperlink" Target="https://coinmarketcap.com/currencies/veritaseum" TargetMode="External"/><Relationship Id="rId50" Type="http://schemas.openxmlformats.org/officeDocument/2006/relationships/hyperlink" Target="https://coinmarketcap.com/currencies/hshare" TargetMode="External"/><Relationship Id="rId55" Type="http://schemas.openxmlformats.org/officeDocument/2006/relationships/hyperlink" Target="https://coinmarketcap.com/currencies/basic-attention-token" TargetMode="External"/><Relationship Id="rId63" Type="http://schemas.openxmlformats.org/officeDocument/2006/relationships/hyperlink" Target="https://coinmarketcap.com/currencies/ethos" TargetMode="External"/><Relationship Id="rId68" Type="http://schemas.openxmlformats.org/officeDocument/2006/relationships/hyperlink" Target="https://coinmarketcap.com/currencies/gxshares" TargetMode="External"/><Relationship Id="rId76" Type="http://schemas.openxmlformats.org/officeDocument/2006/relationships/hyperlink" Target="https://coinmarketcap.com/currencies/nexus" TargetMode="External"/><Relationship Id="rId84" Type="http://schemas.openxmlformats.org/officeDocument/2006/relationships/hyperlink" Target="https://coinmarketcap.com/currencies/neblio" TargetMode="External"/><Relationship Id="rId89" Type="http://schemas.openxmlformats.org/officeDocument/2006/relationships/hyperlink" Target="https://coinmarketcap.com/currencies/gnosis-gno" TargetMode="External"/><Relationship Id="rId97" Type="http://schemas.openxmlformats.org/officeDocument/2006/relationships/hyperlink" Target="https://coinmarketcap.com/currencies/bancor" TargetMode="External"/><Relationship Id="rId7" Type="http://schemas.openxmlformats.org/officeDocument/2006/relationships/hyperlink" Target="https://coinmarketcap.com/currencies/nem" TargetMode="External"/><Relationship Id="rId71" Type="http://schemas.openxmlformats.org/officeDocument/2006/relationships/hyperlink" Target="https://coinmarketcap.com/currencies/aeternity" TargetMode="External"/><Relationship Id="rId92" Type="http://schemas.openxmlformats.org/officeDocument/2006/relationships/hyperlink" Target="https://coinmarketcap.com/currencies/bitcoindark" TargetMode="External"/><Relationship Id="rId2" Type="http://schemas.openxmlformats.org/officeDocument/2006/relationships/hyperlink" Target="https://coinmarketcap.com/currencies/ethereum" TargetMode="External"/><Relationship Id="rId16" Type="http://schemas.openxmlformats.org/officeDocument/2006/relationships/hyperlink" Target="https://coinmarketcap.com/currencies/bitcoin-gold" TargetMode="External"/><Relationship Id="rId29" Type="http://schemas.openxmlformats.org/officeDocument/2006/relationships/hyperlink" Target="https://coinmarketcap.com/currencies/populous" TargetMode="External"/><Relationship Id="rId11" Type="http://schemas.openxmlformats.org/officeDocument/2006/relationships/hyperlink" Target="https://coinmarketcap.com/currencies/dash" TargetMode="External"/><Relationship Id="rId24" Type="http://schemas.openxmlformats.org/officeDocument/2006/relationships/hyperlink" Target="https://coinmarketcap.com/currencies/zcash" TargetMode="External"/><Relationship Id="rId32" Type="http://schemas.openxmlformats.org/officeDocument/2006/relationships/hyperlink" Target="https://coinmarketcap.com/currencies/bitshares" TargetMode="External"/><Relationship Id="rId37" Type="http://schemas.openxmlformats.org/officeDocument/2006/relationships/hyperlink" Target="https://coinmarketcap.com/currencies/steem" TargetMode="External"/><Relationship Id="rId40" Type="http://schemas.openxmlformats.org/officeDocument/2006/relationships/hyperlink" Target="https://coinmarketcap.com/currencies/waves" TargetMode="External"/><Relationship Id="rId45" Type="http://schemas.openxmlformats.org/officeDocument/2006/relationships/hyperlink" Target="https://coinmarketcap.com/currencies/wax" TargetMode="External"/><Relationship Id="rId53" Type="http://schemas.openxmlformats.org/officeDocument/2006/relationships/hyperlink" Target="https://coinmarketcap.com/currencies/decred" TargetMode="External"/><Relationship Id="rId58" Type="http://schemas.openxmlformats.org/officeDocument/2006/relationships/hyperlink" Target="https://coinmarketcap.com/currencies/byteball" TargetMode="External"/><Relationship Id="rId66" Type="http://schemas.openxmlformats.org/officeDocument/2006/relationships/hyperlink" Target="https://coinmarketcap.com/currencies/reddcoin" TargetMode="External"/><Relationship Id="rId74" Type="http://schemas.openxmlformats.org/officeDocument/2006/relationships/hyperlink" Target="https://coinmarketcap.com/currencies/enigma-project" TargetMode="External"/><Relationship Id="rId79" Type="http://schemas.openxmlformats.org/officeDocument/2006/relationships/hyperlink" Target="https://coinmarketcap.com/currencies/gas" TargetMode="External"/><Relationship Id="rId87" Type="http://schemas.openxmlformats.org/officeDocument/2006/relationships/hyperlink" Target="https://coinmarketcap.com/currencies/maidsafecoin" TargetMode="External"/><Relationship Id="rId102" Type="http://schemas.openxmlformats.org/officeDocument/2006/relationships/drawing" Target="../drawings/drawing2.xml"/><Relationship Id="rId5" Type="http://schemas.openxmlformats.org/officeDocument/2006/relationships/hyperlink" Target="https://coinmarketcap.com/currencies/cardano" TargetMode="External"/><Relationship Id="rId61" Type="http://schemas.openxmlformats.org/officeDocument/2006/relationships/hyperlink" Target="https://coinmarketcap.com/currencies/bytom" TargetMode="External"/><Relationship Id="rId82" Type="http://schemas.openxmlformats.org/officeDocument/2006/relationships/hyperlink" Target="https://coinmarketcap.com/currencies/kin" TargetMode="External"/><Relationship Id="rId90" Type="http://schemas.openxmlformats.org/officeDocument/2006/relationships/hyperlink" Target="https://coinmarketcap.com/currencies/digixdao" TargetMode="External"/><Relationship Id="rId95" Type="http://schemas.openxmlformats.org/officeDocument/2006/relationships/hyperlink" Target="https://coinmarketcap.com/currencies/iconomi" TargetMode="External"/><Relationship Id="rId19" Type="http://schemas.openxmlformats.org/officeDocument/2006/relationships/hyperlink" Target="https://coinmarketcap.com/currencies/lisk" TargetMode="External"/><Relationship Id="rId14" Type="http://schemas.openxmlformats.org/officeDocument/2006/relationships/hyperlink" Target="https://coinmarketcap.com/currencies/monero" TargetMode="External"/><Relationship Id="rId22" Type="http://schemas.openxmlformats.org/officeDocument/2006/relationships/hyperlink" Target="https://coinmarketcap.com/currencies/verge" TargetMode="External"/><Relationship Id="rId27" Type="http://schemas.openxmlformats.org/officeDocument/2006/relationships/hyperlink" Target="https://coinmarketcap.com/currencies/bitconnect" TargetMode="External"/><Relationship Id="rId30" Type="http://schemas.openxmlformats.org/officeDocument/2006/relationships/hyperlink" Target="https://coinmarketcap.com/currencies/kucoin-shares" TargetMode="External"/><Relationship Id="rId35" Type="http://schemas.openxmlformats.org/officeDocument/2006/relationships/hyperlink" Target="https://coinmarketcap.com/currencies/dogecoin" TargetMode="External"/><Relationship Id="rId43" Type="http://schemas.openxmlformats.org/officeDocument/2006/relationships/hyperlink" Target="https://coinmarketcap.com/currencies/digibyte" TargetMode="External"/><Relationship Id="rId48" Type="http://schemas.openxmlformats.org/officeDocument/2006/relationships/hyperlink" Target="https://coinmarketcap.com/currencies/komodo" TargetMode="External"/><Relationship Id="rId56" Type="http://schemas.openxmlformats.org/officeDocument/2006/relationships/hyperlink" Target="https://coinmarketcap.com/currencies/pivx" TargetMode="External"/><Relationship Id="rId64" Type="http://schemas.openxmlformats.org/officeDocument/2006/relationships/hyperlink" Target="https://coinmarketcap.com/currencies/experience-points" TargetMode="External"/><Relationship Id="rId69" Type="http://schemas.openxmlformats.org/officeDocument/2006/relationships/hyperlink" Target="https://coinmarketcap.com/currencies/walton" TargetMode="External"/><Relationship Id="rId77" Type="http://schemas.openxmlformats.org/officeDocument/2006/relationships/hyperlink" Target="https://coinmarketcap.com/currencies/aelf" TargetMode="External"/><Relationship Id="rId100" Type="http://schemas.openxmlformats.org/officeDocument/2006/relationships/hyperlink" Target="https://coinmarketcap.com/currencies/quantstamp" TargetMode="External"/><Relationship Id="rId8" Type="http://schemas.openxmlformats.org/officeDocument/2006/relationships/hyperlink" Target="https://coinmarketcap.com/currencies/stellar" TargetMode="External"/><Relationship Id="rId51" Type="http://schemas.openxmlformats.org/officeDocument/2006/relationships/hyperlink" Target="https://coinmarketcap.com/currencies/golem-network-tokens" TargetMode="External"/><Relationship Id="rId72" Type="http://schemas.openxmlformats.org/officeDocument/2006/relationships/hyperlink" Target="https://coinmarketcap.com/currencies/zclassic" TargetMode="External"/><Relationship Id="rId80" Type="http://schemas.openxmlformats.org/officeDocument/2006/relationships/hyperlink" Target="https://coinmarketcap.com/currencies/nxt" TargetMode="External"/><Relationship Id="rId85" Type="http://schemas.openxmlformats.org/officeDocument/2006/relationships/hyperlink" Target="https://coinmarketcap.com/currencies/monacoin" TargetMode="External"/><Relationship Id="rId93" Type="http://schemas.openxmlformats.org/officeDocument/2006/relationships/hyperlink" Target="https://coinmarketcap.com/currencies/santiment" TargetMode="External"/><Relationship Id="rId98" Type="http://schemas.openxmlformats.org/officeDocument/2006/relationships/hyperlink" Target="https://coinmarketcap.com/currencies/civic" TargetMode="External"/><Relationship Id="rId3" Type="http://schemas.openxmlformats.org/officeDocument/2006/relationships/hyperlink" Target="https://coinmarketcap.com/currencies/ripple" TargetMode="External"/><Relationship Id="rId12" Type="http://schemas.openxmlformats.org/officeDocument/2006/relationships/hyperlink" Target="https://coinmarketcap.com/currencies/neo" TargetMode="External"/><Relationship Id="rId17" Type="http://schemas.openxmlformats.org/officeDocument/2006/relationships/hyperlink" Target="https://coinmarketcap.com/currencies/qtum" TargetMode="External"/><Relationship Id="rId25" Type="http://schemas.openxmlformats.org/officeDocument/2006/relationships/hyperlink" Target="https://coinmarketcap.com/currencies/bytecoin-bcn" TargetMode="External"/><Relationship Id="rId33" Type="http://schemas.openxmlformats.org/officeDocument/2006/relationships/hyperlink" Target="https://coinmarketcap.com/currencies/status" TargetMode="External"/><Relationship Id="rId38" Type="http://schemas.openxmlformats.org/officeDocument/2006/relationships/hyperlink" Target="https://coinmarketcap.com/currencies/dentacoin" TargetMode="External"/><Relationship Id="rId46" Type="http://schemas.openxmlformats.org/officeDocument/2006/relationships/hyperlink" Target="https://coinmarketcap.com/currencies/ark" TargetMode="External"/><Relationship Id="rId59" Type="http://schemas.openxmlformats.org/officeDocument/2006/relationships/hyperlink" Target="https://coinmarketcap.com/currencies/salt" TargetMode="External"/><Relationship Id="rId67" Type="http://schemas.openxmlformats.org/officeDocument/2006/relationships/hyperlink" Target="https://coinmarketcap.com/currencies/power-ledger" TargetMode="External"/><Relationship Id="rId20" Type="http://schemas.openxmlformats.org/officeDocument/2006/relationships/hyperlink" Target="https://coinmarketcap.com/currencies/raiblocks" TargetMode="External"/><Relationship Id="rId41" Type="http://schemas.openxmlformats.org/officeDocument/2006/relationships/hyperlink" Target="https://coinmarketcap.com/currencies/0x" TargetMode="External"/><Relationship Id="rId54" Type="http://schemas.openxmlformats.org/officeDocument/2006/relationships/hyperlink" Target="https://coinmarketcap.com/currencies/dent" TargetMode="External"/><Relationship Id="rId62" Type="http://schemas.openxmlformats.org/officeDocument/2006/relationships/hyperlink" Target="https://coinmarketcap.com/currencies/kyber-network" TargetMode="External"/><Relationship Id="rId70" Type="http://schemas.openxmlformats.org/officeDocument/2006/relationships/hyperlink" Target="https://coinmarketcap.com/currencies/factom" TargetMode="External"/><Relationship Id="rId75" Type="http://schemas.openxmlformats.org/officeDocument/2006/relationships/hyperlink" Target="https://coinmarketcap.com/currencies/request-network" TargetMode="External"/><Relationship Id="rId83" Type="http://schemas.openxmlformats.org/officeDocument/2006/relationships/hyperlink" Target="https://coinmarketcap.com/currencies/rchain" TargetMode="External"/><Relationship Id="rId88" Type="http://schemas.openxmlformats.org/officeDocument/2006/relationships/hyperlink" Target="https://coinmarketcap.com/currencies/cobinhood" TargetMode="External"/><Relationship Id="rId91" Type="http://schemas.openxmlformats.org/officeDocument/2006/relationships/hyperlink" Target="https://coinmarketcap.com/currencies/digitalnote" TargetMode="External"/><Relationship Id="rId96" Type="http://schemas.openxmlformats.org/officeDocument/2006/relationships/hyperlink" Target="https://coinmarketcap.com/currencies/zcoin" TargetMode="External"/><Relationship Id="rId1" Type="http://schemas.openxmlformats.org/officeDocument/2006/relationships/hyperlink" Target="https://coinmarketcap.com/currencies/bitcoin" TargetMode="External"/><Relationship Id="rId6" Type="http://schemas.openxmlformats.org/officeDocument/2006/relationships/hyperlink" Target="https://coinmarketcap.com/currencies/litecoin" TargetMode="External"/><Relationship Id="rId15" Type="http://schemas.openxmlformats.org/officeDocument/2006/relationships/hyperlink" Target="https://coinmarketcap.com/currencies/icon" TargetMode="External"/><Relationship Id="rId23" Type="http://schemas.openxmlformats.org/officeDocument/2006/relationships/hyperlink" Target="https://coinmarketcap.com/currencies/binance-coin" TargetMode="External"/><Relationship Id="rId28" Type="http://schemas.openxmlformats.org/officeDocument/2006/relationships/hyperlink" Target="https://coinmarketcap.com/currencies/stratis" TargetMode="External"/><Relationship Id="rId36" Type="http://schemas.openxmlformats.org/officeDocument/2006/relationships/hyperlink" Target="https://coinmarketcap.com/currencies/ardor" TargetMode="External"/><Relationship Id="rId49" Type="http://schemas.openxmlformats.org/officeDocument/2006/relationships/hyperlink" Target="https://coinmarketcap.com/currencies/smartcash" TargetMode="External"/><Relationship Id="rId57" Type="http://schemas.openxmlformats.org/officeDocument/2006/relationships/hyperlink" Target="https://coinmarketcap.com/currencies/qash" TargetMode="External"/><Relationship Id="rId10" Type="http://schemas.openxmlformats.org/officeDocument/2006/relationships/hyperlink" Target="https://coinmarketcap.com/currencies/eos" TargetMode="External"/><Relationship Id="rId31" Type="http://schemas.openxmlformats.org/officeDocument/2006/relationships/hyperlink" Target="https://coinmarketcap.com/currencies/vechain" TargetMode="External"/><Relationship Id="rId44" Type="http://schemas.openxmlformats.org/officeDocument/2006/relationships/hyperlink" Target="https://coinmarketcap.com/currencies/loopring" TargetMode="External"/><Relationship Id="rId52" Type="http://schemas.openxmlformats.org/officeDocument/2006/relationships/hyperlink" Target="https://coinmarketcap.com/currencies/electroneum" TargetMode="External"/><Relationship Id="rId60" Type="http://schemas.openxmlformats.org/officeDocument/2006/relationships/hyperlink" Target="https://coinmarketcap.com/currencies/medibloc" TargetMode="External"/><Relationship Id="rId65" Type="http://schemas.openxmlformats.org/officeDocument/2006/relationships/hyperlink" Target="https://coinmarketcap.com/currencies/funfair" TargetMode="External"/><Relationship Id="rId73" Type="http://schemas.openxmlformats.org/officeDocument/2006/relationships/hyperlink" Target="https://coinmarketcap.com/currencies/janus" TargetMode="External"/><Relationship Id="rId78" Type="http://schemas.openxmlformats.org/officeDocument/2006/relationships/hyperlink" Target="https://coinmarketcap.com/currencies/aion" TargetMode="External"/><Relationship Id="rId81" Type="http://schemas.openxmlformats.org/officeDocument/2006/relationships/hyperlink" Target="https://coinmarketcap.com/currencies/substratum" TargetMode="External"/><Relationship Id="rId86" Type="http://schemas.openxmlformats.org/officeDocument/2006/relationships/hyperlink" Target="https://coinmarketcap.com/currencies/syscoin" TargetMode="External"/><Relationship Id="rId94" Type="http://schemas.openxmlformats.org/officeDocument/2006/relationships/hyperlink" Target="https://coinmarketcap.com/currencies/gamecredits" TargetMode="External"/><Relationship Id="rId99" Type="http://schemas.openxmlformats.org/officeDocument/2006/relationships/hyperlink" Target="https://coinmarketcap.com/currencies/chainlink" TargetMode="External"/><Relationship Id="rId101" Type="http://schemas.openxmlformats.org/officeDocument/2006/relationships/printerSettings" Target="../printerSettings/printerSettings2.bin"/><Relationship Id="rId4" Type="http://schemas.openxmlformats.org/officeDocument/2006/relationships/hyperlink" Target="https://coinmarketcap.com/currencies/bitcoin-cash" TargetMode="External"/><Relationship Id="rId9" Type="http://schemas.openxmlformats.org/officeDocument/2006/relationships/hyperlink" Target="https://coinmarketcap.com/currencies/iota" TargetMode="External"/><Relationship Id="rId13" Type="http://schemas.openxmlformats.org/officeDocument/2006/relationships/hyperlink" Target="https://coinmarketcap.com/currencies/tron" TargetMode="External"/><Relationship Id="rId18" Type="http://schemas.openxmlformats.org/officeDocument/2006/relationships/hyperlink" Target="https://coinmarketcap.com/currencies/ethereum-classic" TargetMode="External"/><Relationship Id="rId39" Type="http://schemas.openxmlformats.org/officeDocument/2006/relationships/hyperlink" Target="https://coinmarketcap.com/currencies/augu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T70"/>
  <sheetViews>
    <sheetView showGridLines="0" tabSelected="1" zoomScaleNormal="100" workbookViewId="0">
      <selection activeCell="F15" sqref="F15:F16"/>
    </sheetView>
  </sheetViews>
  <sheetFormatPr defaultRowHeight="15" x14ac:dyDescent="0.25"/>
  <cols>
    <col min="1" max="1" width="2" customWidth="1"/>
    <col min="2" max="2" width="1.140625" hidden="1" customWidth="1"/>
    <col min="3" max="3" width="5.42578125" customWidth="1"/>
    <col min="4" max="4" width="30.5703125" customWidth="1"/>
    <col min="5" max="5" width="10.28515625" style="2" customWidth="1"/>
    <col min="6" max="6" width="19.42578125" style="2" customWidth="1"/>
    <col min="7" max="9" width="14.42578125" style="2" customWidth="1"/>
    <col min="10" max="11" width="14" style="2" customWidth="1"/>
    <col min="12" max="12" width="19.42578125" style="2" customWidth="1"/>
    <col min="13" max="13" width="16.42578125" style="2" customWidth="1"/>
    <col min="14" max="16" width="10.85546875" style="2" customWidth="1"/>
    <col min="17" max="17" width="21.5703125" style="2" customWidth="1"/>
    <col min="18" max="18" width="14" style="2" customWidth="1"/>
    <col min="19" max="19" width="16.140625" style="2" customWidth="1"/>
    <col min="20" max="20" width="28" style="2" customWidth="1"/>
  </cols>
  <sheetData>
    <row r="1" spans="3:20" ht="23.25" customHeight="1" x14ac:dyDescent="0.25">
      <c r="C1" s="74" t="s">
        <v>1315</v>
      </c>
      <c r="D1" s="74"/>
      <c r="E1" s="74"/>
      <c r="F1" s="74"/>
      <c r="G1" s="74"/>
    </row>
    <row r="2" spans="3:20" ht="15" customHeight="1" x14ac:dyDescent="0.25">
      <c r="C2" s="74"/>
      <c r="D2" s="74"/>
      <c r="E2" s="74"/>
      <c r="F2" s="74"/>
      <c r="G2" s="74"/>
      <c r="J2" s="82" t="s">
        <v>1165</v>
      </c>
      <c r="K2" s="83"/>
      <c r="L2" s="84"/>
      <c r="M2" s="81">
        <v>50000</v>
      </c>
      <c r="O2" s="79" t="s">
        <v>1641</v>
      </c>
      <c r="P2" s="79"/>
      <c r="Q2" s="80" t="s">
        <v>1642</v>
      </c>
      <c r="R2" s="80"/>
      <c r="S2" s="80"/>
      <c r="T2" s="80"/>
    </row>
    <row r="3" spans="3:20" ht="15" customHeight="1" x14ac:dyDescent="0.25">
      <c r="C3" s="74"/>
      <c r="D3" s="74"/>
      <c r="E3" s="74"/>
      <c r="F3" s="74"/>
      <c r="G3" s="74"/>
      <c r="J3" s="82" t="s">
        <v>1163</v>
      </c>
      <c r="K3" s="83"/>
      <c r="L3" s="84"/>
      <c r="M3" s="7">
        <f>SUM(K10:K34)</f>
        <v>538403.25263</v>
      </c>
      <c r="O3" s="15" t="s">
        <v>1594</v>
      </c>
    </row>
    <row r="4" spans="3:20" x14ac:dyDescent="0.25">
      <c r="E4" s="55"/>
      <c r="F4" s="15" t="s">
        <v>1177</v>
      </c>
      <c r="J4" s="82" t="s">
        <v>1313</v>
      </c>
      <c r="K4" s="83"/>
      <c r="L4" s="84"/>
      <c r="M4" s="29">
        <f>SUM(I10:I35)</f>
        <v>38.484736400000003</v>
      </c>
      <c r="N4" s="36" t="s">
        <v>1179</v>
      </c>
      <c r="O4" s="27" t="s">
        <v>1589</v>
      </c>
    </row>
    <row r="5" spans="3:20" x14ac:dyDescent="0.25">
      <c r="C5" s="14" t="s">
        <v>1176</v>
      </c>
      <c r="J5" s="82" t="s">
        <v>1314</v>
      </c>
      <c r="K5" s="83"/>
      <c r="L5" s="84"/>
      <c r="M5" s="28">
        <f>J35</f>
        <v>14001.3</v>
      </c>
      <c r="N5" s="37" t="s">
        <v>1180</v>
      </c>
      <c r="O5" s="27" t="s">
        <v>1181</v>
      </c>
    </row>
    <row r="6" spans="3:20" x14ac:dyDescent="0.25">
      <c r="J6" s="82" t="s">
        <v>1206</v>
      </c>
      <c r="K6" s="83"/>
      <c r="L6" s="84"/>
      <c r="M6" s="28">
        <f>IF(M2&lt;&gt;"", M3-M2,"")</f>
        <v>488403.25263</v>
      </c>
      <c r="N6" s="37"/>
      <c r="O6" s="27"/>
    </row>
    <row r="7" spans="3:20" x14ac:dyDescent="0.25">
      <c r="J7" s="82" t="s">
        <v>1207</v>
      </c>
      <c r="K7" s="83"/>
      <c r="L7" s="84"/>
      <c r="M7" s="8">
        <f>IF(M2&lt;&gt;"",((M3-M2)/M2),"")</f>
        <v>9.7680650526000008</v>
      </c>
      <c r="N7" s="37" t="s">
        <v>1590</v>
      </c>
      <c r="O7" s="46" t="s">
        <v>1591</v>
      </c>
    </row>
    <row r="8" spans="3:20" x14ac:dyDescent="0.25">
      <c r="C8" s="14" t="s">
        <v>1592</v>
      </c>
      <c r="J8" s="85"/>
      <c r="K8" s="85"/>
      <c r="L8" s="85"/>
      <c r="M8" s="5"/>
    </row>
    <row r="9" spans="3:20" ht="30" x14ac:dyDescent="0.25">
      <c r="C9" s="3" t="s">
        <v>1128</v>
      </c>
      <c r="D9" s="50" t="s">
        <v>1123</v>
      </c>
      <c r="E9" s="51" t="s">
        <v>1118</v>
      </c>
      <c r="F9" s="51" t="s">
        <v>1143</v>
      </c>
      <c r="G9" s="52" t="s">
        <v>1144</v>
      </c>
      <c r="H9" s="4" t="s">
        <v>1145</v>
      </c>
      <c r="I9" s="4" t="s">
        <v>1147</v>
      </c>
      <c r="J9" s="4" t="s">
        <v>1146</v>
      </c>
      <c r="K9" s="4" t="s">
        <v>1568</v>
      </c>
      <c r="L9" s="4" t="s">
        <v>149</v>
      </c>
      <c r="M9" s="4" t="s">
        <v>1119</v>
      </c>
      <c r="N9" s="4" t="s">
        <v>152</v>
      </c>
      <c r="O9" s="4" t="s">
        <v>1120</v>
      </c>
      <c r="P9" s="4" t="s">
        <v>1121</v>
      </c>
      <c r="Q9" s="4" t="s">
        <v>1122</v>
      </c>
      <c r="R9" s="4" t="s">
        <v>1178</v>
      </c>
      <c r="S9" s="61" t="s">
        <v>1129</v>
      </c>
      <c r="T9" s="62" t="s">
        <v>1593</v>
      </c>
    </row>
    <row r="10" spans="3:20" x14ac:dyDescent="0.25">
      <c r="C10" s="6">
        <v>1</v>
      </c>
      <c r="D10" s="69" t="s">
        <v>0</v>
      </c>
      <c r="E10" s="54" t="s">
        <v>75</v>
      </c>
      <c r="F10" s="55">
        <v>24</v>
      </c>
      <c r="G10" s="56"/>
      <c r="H10" s="9">
        <f>IF(D10&lt;&gt;"",VLOOKUP(E10,DataSource!$D$5:$O$5000,2,FALSE),"")</f>
        <v>1</v>
      </c>
      <c r="I10" s="9">
        <f>IF(D10&lt;&gt;"",F10*H10,"")</f>
        <v>24</v>
      </c>
      <c r="J10" s="48">
        <f>IF(E10&lt;&gt;"",VLOOKUP(E10,DataSource!$D$5:$O$5000,3,FALSE),"")</f>
        <v>14001.3</v>
      </c>
      <c r="K10" s="48">
        <f>IF(F10&lt;&gt;"",F10*J10,"")</f>
        <v>336031.19999999995</v>
      </c>
      <c r="L10" s="13">
        <f>IF(E10&lt;&gt;"",VLOOKUP(E10,DataSource!$D$5:$O$5000,5,FALSE),"")</f>
        <v>235208706781</v>
      </c>
      <c r="M10" s="13">
        <f>IF(E10&lt;&gt;"",VLOOKUP(E10,DataSource!$D$5:$O$5000,4,FALSE),"")</f>
        <v>12494400000</v>
      </c>
      <c r="N10" s="10">
        <f>IF(E10&lt;&gt;"",VLOOKUP(E10,DataSource!$D$5:$O$5000,8,FALSE),"")</f>
        <v>0.63</v>
      </c>
      <c r="O10" s="10">
        <f>IF(E10&lt;&gt;"",VLOOKUP(E10,DataSource!$D$5:$O$5000,9,FALSE),"")</f>
        <v>2.97</v>
      </c>
      <c r="P10" s="10">
        <f>IF(E10&lt;&gt;"",VLOOKUP(E10,DataSource!$D$5:$O$5000,10,FALSE),"")</f>
        <v>-18.16</v>
      </c>
      <c r="Q10" s="11">
        <f>IF(E10&lt;&gt;"",VLOOKUP(E10,DataSource!$D$5:$O$5000,12,FALSE),"")</f>
        <v>43112.874583333331</v>
      </c>
      <c r="R10" s="12" t="str">
        <f>IF(G10&lt;&gt;"",(H10-G10)/G10,"")</f>
        <v/>
      </c>
      <c r="S10" s="63" t="str">
        <f t="shared" ref="S10:S34" si="0">IF(G10&lt;&gt;"",G10*2,"")</f>
        <v/>
      </c>
      <c r="T10" s="64"/>
    </row>
    <row r="11" spans="3:20" x14ac:dyDescent="0.25">
      <c r="C11" s="6">
        <v>2</v>
      </c>
      <c r="D11" s="69" t="s">
        <v>4</v>
      </c>
      <c r="E11" s="54" t="s">
        <v>79</v>
      </c>
      <c r="F11" s="55">
        <v>121</v>
      </c>
      <c r="G11" s="56"/>
      <c r="H11" s="9">
        <f>IF(D11&lt;&gt;"",VLOOKUP(E11,DataSource!$D$5:$O$5000,2,FALSE),"")</f>
        <v>1.6951999999999998E-2</v>
      </c>
      <c r="I11" s="9">
        <f t="shared" ref="I11:I35" si="1">IF(D11&lt;&gt;"",F11*H11,"")</f>
        <v>2.0511919999999999</v>
      </c>
      <c r="J11" s="48">
        <f>IF(E11&lt;&gt;"",VLOOKUP(E11,DataSource!$D$5:$O$5000,3,FALSE),"")</f>
        <v>236.84299999999999</v>
      </c>
      <c r="K11" s="48">
        <f t="shared" ref="K11:K35" si="2">IF(F11&lt;&gt;"",F11*J11,"")</f>
        <v>28658.002999999997</v>
      </c>
      <c r="L11" s="13">
        <f>IF(E11&lt;&gt;"",VLOOKUP(E11,DataSource!$D$5:$O$5000,5,FALSE),"")</f>
        <v>12961779845</v>
      </c>
      <c r="M11" s="13">
        <f>IF(E11&lt;&gt;"",VLOOKUP(E11,DataSource!$D$5:$O$5000,4,FALSE),"")</f>
        <v>737643000</v>
      </c>
      <c r="N11" s="10">
        <f>IF(E11&lt;&gt;"",VLOOKUP(E11,DataSource!$D$5:$O$5000,8,FALSE),"")</f>
        <v>0.39</v>
      </c>
      <c r="O11" s="10">
        <f>IF(E11&lt;&gt;"",VLOOKUP(E11,DataSource!$D$5:$O$5000,9,FALSE),"")</f>
        <v>1.64</v>
      </c>
      <c r="P11" s="10">
        <f>IF(E11&lt;&gt;"",VLOOKUP(E11,DataSource!$D$5:$O$5000,10,FALSE),"")</f>
        <v>-6.39</v>
      </c>
      <c r="Q11" s="11">
        <f>IF(E11&lt;&gt;"",VLOOKUP(E11,DataSource!$D$5:$O$5000,12,FALSE),"")</f>
        <v>43112.87431712963</v>
      </c>
      <c r="R11" s="12" t="str">
        <f t="shared" ref="R11:R35" si="3">IF(G11&lt;&gt;"",(H11-G11)/G11,"")</f>
        <v/>
      </c>
      <c r="S11" s="63" t="str">
        <f t="shared" si="0"/>
        <v/>
      </c>
      <c r="T11" s="64"/>
    </row>
    <row r="12" spans="3:20" x14ac:dyDescent="0.25">
      <c r="C12" s="6">
        <v>3</v>
      </c>
      <c r="D12" s="69" t="s">
        <v>1</v>
      </c>
      <c r="E12" s="54" t="s">
        <v>76</v>
      </c>
      <c r="F12" s="55">
        <v>114</v>
      </c>
      <c r="G12" s="56"/>
      <c r="H12" s="9">
        <f>IF(D12&lt;&gt;"",VLOOKUP(E12,DataSource!$D$5:$O$5000,2,FALSE),"")</f>
        <v>9.0741299999999997E-2</v>
      </c>
      <c r="I12" s="9">
        <f t="shared" si="1"/>
        <v>10.3445082</v>
      </c>
      <c r="J12" s="48">
        <f>IF(E12&lt;&gt;"",VLOOKUP(E12,DataSource!$D$5:$O$5000,3,FALSE),"")</f>
        <v>1267.78</v>
      </c>
      <c r="K12" s="48">
        <f t="shared" si="2"/>
        <v>144526.91999999998</v>
      </c>
      <c r="L12" s="13">
        <f>IF(E12&lt;&gt;"",VLOOKUP(E12,DataSource!$D$5:$O$5000,5,FALSE),"")</f>
        <v>122898046073</v>
      </c>
      <c r="M12" s="13">
        <f>IF(E12&lt;&gt;"",VLOOKUP(E12,DataSource!$D$5:$O$5000,4,FALSE),"")</f>
        <v>5482690000</v>
      </c>
      <c r="N12" s="10">
        <f>IF(E12&lt;&gt;"",VLOOKUP(E12,DataSource!$D$5:$O$5000,8,FALSE),"")</f>
        <v>0.28999999999999998</v>
      </c>
      <c r="O12" s="10">
        <f>IF(E12&lt;&gt;"",VLOOKUP(E12,DataSource!$D$5:$O$5000,9,FALSE),"")</f>
        <v>6.49</v>
      </c>
      <c r="P12" s="10">
        <f>IF(E12&lt;&gt;"",VLOOKUP(E12,DataSource!$D$5:$O$5000,10,FALSE),"")</f>
        <v>27.33</v>
      </c>
      <c r="Q12" s="11">
        <f>IF(E12&lt;&gt;"",VLOOKUP(E12,DataSource!$D$5:$O$5000,12,FALSE),"")</f>
        <v>43112.874421296299</v>
      </c>
      <c r="R12" s="12" t="str">
        <f t="shared" si="3"/>
        <v/>
      </c>
      <c r="S12" s="63" t="str">
        <f t="shared" si="0"/>
        <v/>
      </c>
      <c r="T12" s="64"/>
    </row>
    <row r="13" spans="3:20" x14ac:dyDescent="0.25">
      <c r="C13" s="6">
        <v>4</v>
      </c>
      <c r="D13" s="69" t="s">
        <v>3</v>
      </c>
      <c r="E13" s="54" t="s">
        <v>78</v>
      </c>
      <c r="F13" s="55">
        <v>14447</v>
      </c>
      <c r="G13" s="56"/>
      <c r="H13" s="9">
        <f>IF(D13&lt;&gt;"",VLOOKUP(E13,DataSource!$D$5:$O$5000,2,FALSE),"")</f>
        <v>1.4459999999999999E-4</v>
      </c>
      <c r="I13" s="9">
        <f t="shared" si="1"/>
        <v>2.0890361999999998</v>
      </c>
      <c r="J13" s="48">
        <f>IF(E13&lt;&gt;"",VLOOKUP(E13,DataSource!$D$5:$O$5000,3,FALSE),"")</f>
        <v>2.0202900000000001</v>
      </c>
      <c r="K13" s="48">
        <f t="shared" si="2"/>
        <v>29187.129630000003</v>
      </c>
      <c r="L13" s="13">
        <f>IF(E13&lt;&gt;"",VLOOKUP(E13,DataSource!$D$5:$O$5000,5,FALSE),"")</f>
        <v>78264302830</v>
      </c>
      <c r="M13" s="13">
        <f>IF(E13&lt;&gt;"",VLOOKUP(E13,DataSource!$D$5:$O$5000,4,FALSE),"")</f>
        <v>3640220000</v>
      </c>
      <c r="N13" s="10">
        <f>IF(E13&lt;&gt;"",VLOOKUP(E13,DataSource!$D$5:$O$5000,8,FALSE),"")</f>
        <v>1.35</v>
      </c>
      <c r="O13" s="10">
        <f>IF(E13&lt;&gt;"",VLOOKUP(E13,DataSource!$D$5:$O$5000,9,FALSE),"")</f>
        <v>0.06</v>
      </c>
      <c r="P13" s="10">
        <f>IF(E13&lt;&gt;"",VLOOKUP(E13,DataSource!$D$5:$O$5000,10,FALSE),"")</f>
        <v>-33.479999999999997</v>
      </c>
      <c r="Q13" s="11">
        <f>IF(E13&lt;&gt;"",VLOOKUP(E13,DataSource!$D$5:$O$5000,12,FALSE),"")</f>
        <v>43112.87431712963</v>
      </c>
      <c r="R13" s="12" t="str">
        <f t="shared" si="3"/>
        <v/>
      </c>
      <c r="S13" s="63" t="str">
        <f t="shared" si="0"/>
        <v/>
      </c>
      <c r="T13" s="64"/>
    </row>
    <row r="14" spans="3:20" x14ac:dyDescent="0.25">
      <c r="C14" s="6">
        <v>5</v>
      </c>
      <c r="D14" s="69"/>
      <c r="E14" s="54"/>
      <c r="F14" s="55"/>
      <c r="G14" s="56"/>
      <c r="H14" s="9" t="str">
        <f>IF(D14&lt;&gt;"",VLOOKUP(E14,DataSource!$D$5:$O$5000,2,FALSE),"")</f>
        <v/>
      </c>
      <c r="I14" s="9" t="str">
        <f t="shared" si="1"/>
        <v/>
      </c>
      <c r="J14" s="48" t="str">
        <f>IF(E14&lt;&gt;"",VLOOKUP(E14,DataSource!$D$5:$O$5000,3,FALSE),"")</f>
        <v/>
      </c>
      <c r="K14" s="48" t="str">
        <f t="shared" si="2"/>
        <v/>
      </c>
      <c r="L14" s="13" t="str">
        <f>IF(E14&lt;&gt;"",VLOOKUP(E14,DataSource!$D$5:$O$5000,5,FALSE),"")</f>
        <v/>
      </c>
      <c r="M14" s="13" t="str">
        <f>IF(E14&lt;&gt;"",VLOOKUP(E14,DataSource!$D$5:$O$5000,4,FALSE),"")</f>
        <v/>
      </c>
      <c r="N14" s="10" t="str">
        <f>IF(E14&lt;&gt;"",VLOOKUP(E14,DataSource!$D$5:$O$5000,8,FALSE),"")</f>
        <v/>
      </c>
      <c r="O14" s="10" t="str">
        <f>IF(E14&lt;&gt;"",VLOOKUP(E14,DataSource!$D$5:$O$5000,9,FALSE),"")</f>
        <v/>
      </c>
      <c r="P14" s="10" t="str">
        <f>IF(E14&lt;&gt;"",VLOOKUP(E14,DataSource!$D$5:$O$5000,10,FALSE),"")</f>
        <v/>
      </c>
      <c r="Q14" s="11" t="str">
        <f>IF(E14&lt;&gt;"",VLOOKUP(E14,DataSource!$D$5:$O$5000,12,FALSE),"")</f>
        <v/>
      </c>
      <c r="R14" s="12" t="str">
        <f t="shared" si="3"/>
        <v/>
      </c>
      <c r="S14" s="63" t="str">
        <f t="shared" si="0"/>
        <v/>
      </c>
      <c r="T14" s="64"/>
    </row>
    <row r="15" spans="3:20" x14ac:dyDescent="0.25">
      <c r="C15" s="6">
        <v>6</v>
      </c>
      <c r="D15" s="69"/>
      <c r="E15" s="54"/>
      <c r="F15" s="55"/>
      <c r="G15" s="56"/>
      <c r="H15" s="9" t="str">
        <f>IF(D15&lt;&gt;"",VLOOKUP(E15,DataSource!$D$5:$O$5000,2,FALSE),"")</f>
        <v/>
      </c>
      <c r="I15" s="9" t="str">
        <f t="shared" si="1"/>
        <v/>
      </c>
      <c r="J15" s="48" t="str">
        <f>IF(E15&lt;&gt;"",VLOOKUP(E15,DataSource!$D$5:$O$5000,3,FALSE),"")</f>
        <v/>
      </c>
      <c r="K15" s="48" t="str">
        <f t="shared" si="2"/>
        <v/>
      </c>
      <c r="L15" s="13" t="str">
        <f>IF(E15&lt;&gt;"",VLOOKUP(E15,DataSource!$D$5:$O$5000,5,FALSE),"")</f>
        <v/>
      </c>
      <c r="M15" s="13" t="str">
        <f>IF(E15&lt;&gt;"",VLOOKUP(E15,DataSource!$D$5:$O$5000,4,FALSE),"")</f>
        <v/>
      </c>
      <c r="N15" s="10" t="str">
        <f>IF(E15&lt;&gt;"",VLOOKUP(E15,DataSource!$D$5:$O$5000,8,FALSE),"")</f>
        <v/>
      </c>
      <c r="O15" s="10" t="str">
        <f>IF(E15&lt;&gt;"",VLOOKUP(E15,DataSource!$D$5:$O$5000,9,FALSE),"")</f>
        <v/>
      </c>
      <c r="P15" s="10" t="str">
        <f>IF(E15&lt;&gt;"",VLOOKUP(E15,DataSource!$D$5:$O$5000,10,FALSE),"")</f>
        <v/>
      </c>
      <c r="Q15" s="11" t="str">
        <f>IF(E15&lt;&gt;"",VLOOKUP(E15,DataSource!$D$5:$O$5000,12,FALSE),"")</f>
        <v/>
      </c>
      <c r="R15" s="12" t="str">
        <f t="shared" si="3"/>
        <v/>
      </c>
      <c r="S15" s="63" t="str">
        <f t="shared" si="0"/>
        <v/>
      </c>
      <c r="T15" s="64"/>
    </row>
    <row r="16" spans="3:20" x14ac:dyDescent="0.25">
      <c r="C16" s="6">
        <v>7</v>
      </c>
      <c r="D16" s="69"/>
      <c r="E16" s="70"/>
      <c r="F16" s="55"/>
      <c r="G16" s="56"/>
      <c r="H16" s="9" t="str">
        <f>IF(D16&lt;&gt;"",VLOOKUP(E16,DataSource!$D$5:$O$5000,2,FALSE),"")</f>
        <v/>
      </c>
      <c r="I16" s="9" t="str">
        <f t="shared" si="1"/>
        <v/>
      </c>
      <c r="J16" s="48" t="str">
        <f>IF(E16&lt;&gt;"",VLOOKUP(E16,DataSource!$D$5:$O$5000,3,FALSE),"")</f>
        <v/>
      </c>
      <c r="K16" s="48" t="str">
        <f t="shared" si="2"/>
        <v/>
      </c>
      <c r="L16" s="13" t="str">
        <f>IF(E16&lt;&gt;"",VLOOKUP(E16,DataSource!$D$5:$O$5000,5,FALSE),"")</f>
        <v/>
      </c>
      <c r="M16" s="13" t="str">
        <f>IF(E16&lt;&gt;"",VLOOKUP(E16,DataSource!$D$5:$O$5000,4,FALSE),"")</f>
        <v/>
      </c>
      <c r="N16" s="10" t="str">
        <f>IF(E16&lt;&gt;"",VLOOKUP(E16,DataSource!$D$5:$O$5000,8,FALSE),"")</f>
        <v/>
      </c>
      <c r="O16" s="10" t="str">
        <f>IF(E16&lt;&gt;"",VLOOKUP(E16,DataSource!$D$5:$O$5000,9,FALSE),"")</f>
        <v/>
      </c>
      <c r="P16" s="10" t="str">
        <f>IF(E16&lt;&gt;"",VLOOKUP(E16,DataSource!$D$5:$O$5000,10,FALSE),"")</f>
        <v/>
      </c>
      <c r="Q16" s="11" t="str">
        <f>IF(E16&lt;&gt;"",VLOOKUP(E16,DataSource!$D$5:$O$5000,12,FALSE),"")</f>
        <v/>
      </c>
      <c r="R16" s="12" t="str">
        <f t="shared" si="3"/>
        <v/>
      </c>
      <c r="S16" s="63" t="str">
        <f t="shared" si="0"/>
        <v/>
      </c>
      <c r="T16" s="64"/>
    </row>
    <row r="17" spans="3:20" x14ac:dyDescent="0.25">
      <c r="C17" s="6">
        <v>8</v>
      </c>
      <c r="D17" s="69"/>
      <c r="E17" s="54"/>
      <c r="F17" s="55"/>
      <c r="G17" s="56"/>
      <c r="H17" s="9" t="str">
        <f>IF(D17&lt;&gt;"",VLOOKUP(E17,DataSource!$D$5:$O$5000,2,FALSE),"")</f>
        <v/>
      </c>
      <c r="I17" s="9" t="str">
        <f t="shared" si="1"/>
        <v/>
      </c>
      <c r="J17" s="48" t="str">
        <f>IF(E17&lt;&gt;"",VLOOKUP(E17,DataSource!$D$5:$O$5000,3,FALSE),"")</f>
        <v/>
      </c>
      <c r="K17" s="48" t="str">
        <f t="shared" si="2"/>
        <v/>
      </c>
      <c r="L17" s="13" t="str">
        <f>IF(E17&lt;&gt;"",VLOOKUP(E17,DataSource!$D$5:$O$5000,5,FALSE),"")</f>
        <v/>
      </c>
      <c r="M17" s="13" t="str">
        <f>IF(E17&lt;&gt;"",VLOOKUP(E17,DataSource!$D$5:$O$5000,4,FALSE),"")</f>
        <v/>
      </c>
      <c r="N17" s="10" t="str">
        <f>IF(E17&lt;&gt;"",VLOOKUP(E17,DataSource!$D$5:$O$5000,8,FALSE),"")</f>
        <v/>
      </c>
      <c r="O17" s="10" t="str">
        <f>IF(E17&lt;&gt;"",VLOOKUP(E17,DataSource!$D$5:$O$5000,9,FALSE),"")</f>
        <v/>
      </c>
      <c r="P17" s="10" t="str">
        <f>IF(E17&lt;&gt;"",VLOOKUP(E17,DataSource!$D$5:$O$5000,10,FALSE),"")</f>
        <v/>
      </c>
      <c r="Q17" s="11" t="str">
        <f>IF(E17&lt;&gt;"",VLOOKUP(E17,DataSource!$D$5:$O$5000,12,FALSE),"")</f>
        <v/>
      </c>
      <c r="R17" s="12" t="str">
        <f t="shared" si="3"/>
        <v/>
      </c>
      <c r="S17" s="63" t="str">
        <f t="shared" si="0"/>
        <v/>
      </c>
      <c r="T17" s="64"/>
    </row>
    <row r="18" spans="3:20" x14ac:dyDescent="0.25">
      <c r="C18" s="6">
        <v>9</v>
      </c>
      <c r="D18" s="69"/>
      <c r="E18" s="54"/>
      <c r="F18" s="55"/>
      <c r="G18" s="56"/>
      <c r="H18" s="9" t="str">
        <f>IF(D18&lt;&gt;"",VLOOKUP(E18,DataSource!$D$5:$O$5000,2,FALSE),"")</f>
        <v/>
      </c>
      <c r="I18" s="9" t="str">
        <f t="shared" si="1"/>
        <v/>
      </c>
      <c r="J18" s="48" t="str">
        <f>IF(E18&lt;&gt;"",VLOOKUP(E18,DataSource!$D$5:$O$5000,3,FALSE),"")</f>
        <v/>
      </c>
      <c r="K18" s="48" t="str">
        <f t="shared" si="2"/>
        <v/>
      </c>
      <c r="L18" s="13" t="str">
        <f>IF(E18&lt;&gt;"",VLOOKUP(E18,DataSource!$D$5:$O$5000,5,FALSE),"")</f>
        <v/>
      </c>
      <c r="M18" s="13" t="str">
        <f>IF(E18&lt;&gt;"",VLOOKUP(E18,DataSource!$D$5:$O$5000,4,FALSE),"")</f>
        <v/>
      </c>
      <c r="N18" s="10" t="str">
        <f>IF(E18&lt;&gt;"",VLOOKUP(E18,DataSource!$D$5:$O$5000,8,FALSE),"")</f>
        <v/>
      </c>
      <c r="O18" s="10" t="str">
        <f>IF(E18&lt;&gt;"",VLOOKUP(E18,DataSource!$D$5:$O$5000,9,FALSE),"")</f>
        <v/>
      </c>
      <c r="P18" s="10" t="str">
        <f>IF(E18&lt;&gt;"",VLOOKUP(E18,DataSource!$D$5:$O$5000,10,FALSE),"")</f>
        <v/>
      </c>
      <c r="Q18" s="11" t="str">
        <f>IF(E18&lt;&gt;"",VLOOKUP(E18,DataSource!$D$5:$O$5000,12,FALSE),"")</f>
        <v/>
      </c>
      <c r="R18" s="12" t="str">
        <f t="shared" si="3"/>
        <v/>
      </c>
      <c r="S18" s="63" t="str">
        <f t="shared" si="0"/>
        <v/>
      </c>
      <c r="T18" s="64"/>
    </row>
    <row r="19" spans="3:20" x14ac:dyDescent="0.25">
      <c r="C19" s="6">
        <v>10</v>
      </c>
      <c r="D19" s="69"/>
      <c r="E19" s="54"/>
      <c r="F19" s="55"/>
      <c r="G19" s="56"/>
      <c r="H19" s="9" t="str">
        <f>IF(D19&lt;&gt;"",VLOOKUP(E19,DataSource!$D$5:$O$5000,2,FALSE),"")</f>
        <v/>
      </c>
      <c r="I19" s="9" t="str">
        <f t="shared" si="1"/>
        <v/>
      </c>
      <c r="J19" s="48" t="str">
        <f>IF(E19&lt;&gt;"",VLOOKUP(E19,DataSource!$D$5:$O$5000,3,FALSE),"")</f>
        <v/>
      </c>
      <c r="K19" s="48" t="str">
        <f t="shared" si="2"/>
        <v/>
      </c>
      <c r="L19" s="13" t="str">
        <f>IF(E19&lt;&gt;"",VLOOKUP(E19,DataSource!$D$5:$O$5000,5,FALSE),"")</f>
        <v/>
      </c>
      <c r="M19" s="13" t="str">
        <f>IF(E19&lt;&gt;"",VLOOKUP(E19,DataSource!$D$5:$O$5000,4,FALSE),"")</f>
        <v/>
      </c>
      <c r="N19" s="10" t="str">
        <f>IF(E19&lt;&gt;"",VLOOKUP(E19,DataSource!$D$5:$O$5000,8,FALSE),"")</f>
        <v/>
      </c>
      <c r="O19" s="10" t="str">
        <f>IF(E19&lt;&gt;"",VLOOKUP(E19,DataSource!$D$5:$O$5000,9,FALSE),"")</f>
        <v/>
      </c>
      <c r="P19" s="10" t="str">
        <f>IF(E19&lt;&gt;"",VLOOKUP(E19,DataSource!$D$5:$O$5000,10,FALSE),"")</f>
        <v/>
      </c>
      <c r="Q19" s="11" t="str">
        <f>IF(E19&lt;&gt;"",VLOOKUP(E19,DataSource!$D$5:$O$5000,12,FALSE),"")</f>
        <v/>
      </c>
      <c r="R19" s="12" t="str">
        <f t="shared" si="3"/>
        <v/>
      </c>
      <c r="S19" s="63" t="str">
        <f t="shared" si="0"/>
        <v/>
      </c>
      <c r="T19" s="64"/>
    </row>
    <row r="20" spans="3:20" x14ac:dyDescent="0.25">
      <c r="C20" s="6">
        <v>11</v>
      </c>
      <c r="D20" s="69"/>
      <c r="E20" s="54"/>
      <c r="F20" s="55"/>
      <c r="G20" s="56"/>
      <c r="H20" s="9" t="str">
        <f>IF(D20&lt;&gt;"",VLOOKUP(E20,DataSource!$D$5:$O$5000,2,FALSE),"")</f>
        <v/>
      </c>
      <c r="I20" s="9" t="str">
        <f>IF(D20&lt;&gt;"",F20*H20,"")</f>
        <v/>
      </c>
      <c r="J20" s="48" t="str">
        <f>IF(E20&lt;&gt;"",VLOOKUP(E20,DataSource!$D$5:$O$5000,3,FALSE),"")</f>
        <v/>
      </c>
      <c r="K20" s="48" t="str">
        <f t="shared" si="2"/>
        <v/>
      </c>
      <c r="L20" s="13" t="str">
        <f>IF(E20&lt;&gt;"",VLOOKUP(E20,DataSource!$D$5:$O$5000,5,FALSE),"")</f>
        <v/>
      </c>
      <c r="M20" s="13" t="str">
        <f>IF(E20&lt;&gt;"",VLOOKUP(E20,DataSource!$D$5:$O$5000,4,FALSE),"")</f>
        <v/>
      </c>
      <c r="N20" s="10" t="str">
        <f>IF(E20&lt;&gt;"",VLOOKUP(E20,DataSource!$D$5:$O$5000,8,FALSE),"")</f>
        <v/>
      </c>
      <c r="O20" s="10" t="str">
        <f>IF(E20&lt;&gt;"",VLOOKUP(E20,DataSource!$D$5:$O$5000,9,FALSE),"")</f>
        <v/>
      </c>
      <c r="P20" s="10" t="str">
        <f>IF(E20&lt;&gt;"",VLOOKUP(E20,DataSource!$D$5:$O$5000,10,FALSE),"")</f>
        <v/>
      </c>
      <c r="Q20" s="11" t="str">
        <f>IF(E20&lt;&gt;"",VLOOKUP(E20,DataSource!$D$5:$O$5000,12,FALSE),"")</f>
        <v/>
      </c>
      <c r="R20" s="12" t="str">
        <f>IF(G20&lt;&gt;"",(H20-G20)/G20,"")</f>
        <v/>
      </c>
      <c r="S20" s="63" t="str">
        <f t="shared" si="0"/>
        <v/>
      </c>
      <c r="T20" s="64"/>
    </row>
    <row r="21" spans="3:20" x14ac:dyDescent="0.25">
      <c r="C21" s="6">
        <v>12</v>
      </c>
      <c r="D21" s="71"/>
      <c r="E21" s="54"/>
      <c r="F21" s="55"/>
      <c r="G21" s="56"/>
      <c r="H21" s="9" t="str">
        <f>IF(D21&lt;&gt;"",VLOOKUP(E21,DataSource!$D$5:$O$5000,2,FALSE),"")</f>
        <v/>
      </c>
      <c r="I21" s="9" t="str">
        <f>IF(D21&lt;&gt;"",F21*H21,"")</f>
        <v/>
      </c>
      <c r="J21" s="48" t="str">
        <f>IF(E21&lt;&gt;"",VLOOKUP(E21,DataSource!$D$5:$O$5000,3,FALSE),"")</f>
        <v/>
      </c>
      <c r="K21" s="48" t="str">
        <f t="shared" si="2"/>
        <v/>
      </c>
      <c r="L21" s="13" t="str">
        <f>IF(E21&lt;&gt;"",VLOOKUP(E21,DataSource!$D$5:$O$5000,5,FALSE),"")</f>
        <v/>
      </c>
      <c r="M21" s="13" t="str">
        <f>IF(E21&lt;&gt;"",VLOOKUP(E21,DataSource!$D$5:$O$5000,4,FALSE),"")</f>
        <v/>
      </c>
      <c r="N21" s="10" t="str">
        <f>IF(E21&lt;&gt;"",VLOOKUP(E21,DataSource!$D$5:$O$5000,8,FALSE),"")</f>
        <v/>
      </c>
      <c r="O21" s="10" t="str">
        <f>IF(E21&lt;&gt;"",VLOOKUP(E21,DataSource!$D$5:$O$5000,9,FALSE),"")</f>
        <v/>
      </c>
      <c r="P21" s="10" t="str">
        <f>IF(E21&lt;&gt;"",VLOOKUP(E21,DataSource!$D$5:$O$5000,10,FALSE),"")</f>
        <v/>
      </c>
      <c r="Q21" s="11" t="str">
        <f>IF(E21&lt;&gt;"",VLOOKUP(E21,DataSource!$D$5:$O$5000,12,FALSE),"")</f>
        <v/>
      </c>
      <c r="R21" s="12" t="str">
        <f>IF(G21&lt;&gt;"",(H21-G21)/G21,"")</f>
        <v/>
      </c>
      <c r="S21" s="63" t="str">
        <f t="shared" si="0"/>
        <v/>
      </c>
      <c r="T21" s="64"/>
    </row>
    <row r="22" spans="3:20" x14ac:dyDescent="0.25">
      <c r="C22" s="6">
        <v>13</v>
      </c>
      <c r="D22" s="53"/>
      <c r="E22" s="54"/>
      <c r="F22" s="55"/>
      <c r="G22" s="56"/>
      <c r="H22" s="9" t="str">
        <f>IF(D22&lt;&gt;"",VLOOKUP(E22,DataSource!$D$5:$O$5000,2,FALSE),"")</f>
        <v/>
      </c>
      <c r="I22" s="9" t="str">
        <f>IF(D22&lt;&gt;"",F22*H22,"")</f>
        <v/>
      </c>
      <c r="J22" s="48" t="str">
        <f>IF(E22&lt;&gt;"",VLOOKUP(E22,DataSource!$D$5:$O$5000,3,FALSE),"")</f>
        <v/>
      </c>
      <c r="K22" s="48" t="str">
        <f t="shared" si="2"/>
        <v/>
      </c>
      <c r="L22" s="13" t="str">
        <f>IF(E22&lt;&gt;"",VLOOKUP(E22,DataSource!$D$5:$O$5000,5,FALSE),"")</f>
        <v/>
      </c>
      <c r="M22" s="13" t="str">
        <f>IF(E22&lt;&gt;"",VLOOKUP(E22,DataSource!$D$5:$O$5000,4,FALSE),"")</f>
        <v/>
      </c>
      <c r="N22" s="10" t="str">
        <f>IF(E22&lt;&gt;"",VLOOKUP(E22,DataSource!$D$5:$O$5000,8,FALSE),"")</f>
        <v/>
      </c>
      <c r="O22" s="10" t="str">
        <f>IF(E22&lt;&gt;"",VLOOKUP(E22,DataSource!$D$5:$O$5000,9,FALSE),"")</f>
        <v/>
      </c>
      <c r="P22" s="10" t="str">
        <f>IF(E22&lt;&gt;"",VLOOKUP(E22,DataSource!$D$5:$O$5000,10,FALSE),"")</f>
        <v/>
      </c>
      <c r="Q22" s="11" t="str">
        <f>IF(E22&lt;&gt;"",VLOOKUP(E22,DataSource!$D$5:$O$5000,12,FALSE),"")</f>
        <v/>
      </c>
      <c r="R22" s="12" t="str">
        <f>IF(G22&lt;&gt;"",(H22-G22)/G22,"")</f>
        <v/>
      </c>
      <c r="S22" s="63" t="str">
        <f t="shared" si="0"/>
        <v/>
      </c>
      <c r="T22" s="64"/>
    </row>
    <row r="23" spans="3:20" x14ac:dyDescent="0.25">
      <c r="C23" s="6">
        <v>14</v>
      </c>
      <c r="D23" s="53"/>
      <c r="E23" s="54"/>
      <c r="F23" s="55"/>
      <c r="G23" s="56"/>
      <c r="H23" s="9" t="str">
        <f>IF(D23&lt;&gt;"",VLOOKUP(E23,DataSource!$D$5:$O$5000,2,FALSE),"")</f>
        <v/>
      </c>
      <c r="I23" s="9" t="str">
        <f>IF(D23&lt;&gt;"",F23*H23,"")</f>
        <v/>
      </c>
      <c r="J23" s="48" t="str">
        <f>IF(E23&lt;&gt;"",VLOOKUP(E23,DataSource!$D$5:$O$5000,3,FALSE),"")</f>
        <v/>
      </c>
      <c r="K23" s="48" t="str">
        <f t="shared" si="2"/>
        <v/>
      </c>
      <c r="L23" s="13" t="str">
        <f>IF(E23&lt;&gt;"",VLOOKUP(E23,DataSource!$D$5:$O$5000,5,FALSE),"")</f>
        <v/>
      </c>
      <c r="M23" s="13" t="str">
        <f>IF(E23&lt;&gt;"",VLOOKUP(E23,DataSource!$D$5:$O$5000,4,FALSE),"")</f>
        <v/>
      </c>
      <c r="N23" s="10" t="str">
        <f>IF(E23&lt;&gt;"",VLOOKUP(E23,DataSource!$D$5:$O$5000,8,FALSE),"")</f>
        <v/>
      </c>
      <c r="O23" s="10" t="str">
        <f>IF(E23&lt;&gt;"",VLOOKUP(E23,DataSource!$D$5:$O$5000,9,FALSE),"")</f>
        <v/>
      </c>
      <c r="P23" s="10" t="str">
        <f>IF(E23&lt;&gt;"",VLOOKUP(E23,DataSource!$D$5:$O$5000,10,FALSE),"")</f>
        <v/>
      </c>
      <c r="Q23" s="11" t="str">
        <f>IF(E23&lt;&gt;"",VLOOKUP(E23,DataSource!$D$5:$O$5000,12,FALSE),"")</f>
        <v/>
      </c>
      <c r="R23" s="12" t="str">
        <f>IF(G23&lt;&gt;"",(H23-G23)/G23,"")</f>
        <v/>
      </c>
      <c r="S23" s="63" t="str">
        <f t="shared" si="0"/>
        <v/>
      </c>
      <c r="T23" s="64"/>
    </row>
    <row r="24" spans="3:20" x14ac:dyDescent="0.25">
      <c r="C24" s="6">
        <v>15</v>
      </c>
      <c r="D24" s="53"/>
      <c r="E24" s="54"/>
      <c r="F24" s="55"/>
      <c r="G24" s="56"/>
      <c r="H24" s="9" t="str">
        <f>IF(D24&lt;&gt;"",VLOOKUP(E24,DataSource!$D$5:$O$5000,2,FALSE),"")</f>
        <v/>
      </c>
      <c r="I24" s="9" t="str">
        <f>IF(D24&lt;&gt;"",F24*H24,"")</f>
        <v/>
      </c>
      <c r="J24" s="48" t="str">
        <f>IF(E24&lt;&gt;"",VLOOKUP(E24,DataSource!$D$5:$O$5000,3,FALSE),"")</f>
        <v/>
      </c>
      <c r="K24" s="48" t="str">
        <f t="shared" si="2"/>
        <v/>
      </c>
      <c r="L24" s="13" t="str">
        <f>IF(E24&lt;&gt;"",VLOOKUP(E24,DataSource!$D$5:$O$5000,5,FALSE),"")</f>
        <v/>
      </c>
      <c r="M24" s="13" t="str">
        <f>IF(E24&lt;&gt;"",VLOOKUP(E24,DataSource!$D$5:$O$5000,4,FALSE),"")</f>
        <v/>
      </c>
      <c r="N24" s="10" t="str">
        <f>IF(E24&lt;&gt;"",VLOOKUP(E24,DataSource!$D$5:$O$5000,8,FALSE),"")</f>
        <v/>
      </c>
      <c r="O24" s="10" t="str">
        <f>IF(E24&lt;&gt;"",VLOOKUP(E24,DataSource!$D$5:$O$5000,9,FALSE),"")</f>
        <v/>
      </c>
      <c r="P24" s="10" t="str">
        <f>IF(E24&lt;&gt;"",VLOOKUP(E24,DataSource!$D$5:$O$5000,10,FALSE),"")</f>
        <v/>
      </c>
      <c r="Q24" s="11" t="str">
        <f>IF(E24&lt;&gt;"",VLOOKUP(E24,DataSource!$D$5:$O$5000,12,FALSE),"")</f>
        <v/>
      </c>
      <c r="R24" s="12" t="str">
        <f t="shared" si="3"/>
        <v/>
      </c>
      <c r="S24" s="63" t="str">
        <f t="shared" si="0"/>
        <v/>
      </c>
      <c r="T24" s="64"/>
    </row>
    <row r="25" spans="3:20" x14ac:dyDescent="0.25">
      <c r="C25" s="6">
        <v>16</v>
      </c>
      <c r="D25" s="53"/>
      <c r="E25" s="54"/>
      <c r="F25" s="55"/>
      <c r="G25" s="56"/>
      <c r="H25" s="9"/>
      <c r="I25" s="9"/>
      <c r="J25" s="48"/>
      <c r="K25" s="48"/>
      <c r="L25" s="13"/>
      <c r="M25" s="13"/>
      <c r="N25" s="10" t="str">
        <f>IF(E25&lt;&gt;"",VLOOKUP(E25,DataSource!$D$5:$O$5000,8,FALSE),"")</f>
        <v/>
      </c>
      <c r="O25" s="10" t="str">
        <f>IF(E25&lt;&gt;"",VLOOKUP(E25,DataSource!$D$5:$O$5000,9,FALSE),"")</f>
        <v/>
      </c>
      <c r="P25" s="10" t="str">
        <f>IF(E25&lt;&gt;"",VLOOKUP(E25,DataSource!$D$5:$O$5000,10,FALSE),"")</f>
        <v/>
      </c>
      <c r="Q25" s="11"/>
      <c r="R25" s="12" t="str">
        <f t="shared" si="3"/>
        <v/>
      </c>
      <c r="S25" s="63" t="str">
        <f t="shared" si="0"/>
        <v/>
      </c>
      <c r="T25" s="64"/>
    </row>
    <row r="26" spans="3:20" x14ac:dyDescent="0.25">
      <c r="C26" s="6">
        <v>17</v>
      </c>
      <c r="D26" s="53"/>
      <c r="E26" s="54"/>
      <c r="F26" s="55"/>
      <c r="G26" s="56"/>
      <c r="H26" s="9"/>
      <c r="I26" s="9"/>
      <c r="J26" s="48"/>
      <c r="K26" s="48"/>
      <c r="L26" s="13"/>
      <c r="M26" s="13"/>
      <c r="N26" s="10" t="str">
        <f>IF(E26&lt;&gt;"",VLOOKUP(E26,DataSource!$D$5:$O$5000,8,FALSE),"")</f>
        <v/>
      </c>
      <c r="O26" s="10" t="str">
        <f>IF(E26&lt;&gt;"",VLOOKUP(E26,DataSource!$D$5:$O$5000,9,FALSE),"")</f>
        <v/>
      </c>
      <c r="P26" s="10" t="str">
        <f>IF(E26&lt;&gt;"",VLOOKUP(E26,DataSource!$D$5:$O$5000,10,FALSE),"")</f>
        <v/>
      </c>
      <c r="Q26" s="11"/>
      <c r="R26" s="12" t="str">
        <f t="shared" si="3"/>
        <v/>
      </c>
      <c r="S26" s="63" t="str">
        <f t="shared" si="0"/>
        <v/>
      </c>
      <c r="T26" s="64"/>
    </row>
    <row r="27" spans="3:20" x14ac:dyDescent="0.25">
      <c r="C27" s="6">
        <v>18</v>
      </c>
      <c r="D27" s="53"/>
      <c r="E27" s="54"/>
      <c r="F27" s="55"/>
      <c r="G27" s="56"/>
      <c r="H27" s="9"/>
      <c r="I27" s="9"/>
      <c r="J27" s="48"/>
      <c r="K27" s="48"/>
      <c r="L27" s="13"/>
      <c r="M27" s="13"/>
      <c r="N27" s="10" t="str">
        <f>IF(E27&lt;&gt;"",VLOOKUP(E27,DataSource!$D$5:$O$5000,8,FALSE),"")</f>
        <v/>
      </c>
      <c r="O27" s="10" t="str">
        <f>IF(E27&lt;&gt;"",VLOOKUP(E27,DataSource!$D$5:$O$5000,9,FALSE),"")</f>
        <v/>
      </c>
      <c r="P27" s="10" t="str">
        <f>IF(E27&lt;&gt;"",VLOOKUP(E27,DataSource!$D$5:$O$5000,10,FALSE),"")</f>
        <v/>
      </c>
      <c r="Q27" s="11"/>
      <c r="R27" s="12" t="str">
        <f t="shared" si="3"/>
        <v/>
      </c>
      <c r="S27" s="63" t="str">
        <f t="shared" si="0"/>
        <v/>
      </c>
      <c r="T27" s="64"/>
    </row>
    <row r="28" spans="3:20" x14ac:dyDescent="0.25">
      <c r="C28" s="6">
        <v>19</v>
      </c>
      <c r="D28" s="53"/>
      <c r="E28" s="54"/>
      <c r="F28" s="55"/>
      <c r="G28" s="56"/>
      <c r="H28" s="9"/>
      <c r="I28" s="9"/>
      <c r="J28" s="48"/>
      <c r="K28" s="48"/>
      <c r="L28" s="13"/>
      <c r="M28" s="13"/>
      <c r="N28" s="10" t="str">
        <f>IF(E28&lt;&gt;"",VLOOKUP(E28,DataSource!$D$5:$O$5000,8,FALSE),"")</f>
        <v/>
      </c>
      <c r="O28" s="10" t="str">
        <f>IF(E28&lt;&gt;"",VLOOKUP(E28,DataSource!$D$5:$O$5000,9,FALSE),"")</f>
        <v/>
      </c>
      <c r="P28" s="10" t="str">
        <f>IF(E28&lt;&gt;"",VLOOKUP(E28,DataSource!$D$5:$O$5000,10,FALSE),"")</f>
        <v/>
      </c>
      <c r="Q28" s="11"/>
      <c r="R28" s="12" t="str">
        <f t="shared" si="3"/>
        <v/>
      </c>
      <c r="S28" s="63" t="str">
        <f t="shared" si="0"/>
        <v/>
      </c>
      <c r="T28" s="64"/>
    </row>
    <row r="29" spans="3:20" x14ac:dyDescent="0.25">
      <c r="C29" s="6">
        <v>20</v>
      </c>
      <c r="D29" s="53"/>
      <c r="E29" s="54"/>
      <c r="F29" s="55"/>
      <c r="G29" s="56"/>
      <c r="H29" s="9"/>
      <c r="I29" s="9"/>
      <c r="J29" s="48"/>
      <c r="K29" s="48"/>
      <c r="L29" s="13"/>
      <c r="M29" s="13"/>
      <c r="N29" s="10" t="str">
        <f>IF(E29&lt;&gt;"",VLOOKUP(E29,DataSource!$D$5:$O$5000,8,FALSE),"")</f>
        <v/>
      </c>
      <c r="O29" s="10" t="str">
        <f>IF(E29&lt;&gt;"",VLOOKUP(E29,DataSource!$D$5:$O$5000,9,FALSE),"")</f>
        <v/>
      </c>
      <c r="P29" s="10" t="str">
        <f>IF(E29&lt;&gt;"",VLOOKUP(E29,DataSource!$D$5:$O$5000,10,FALSE),"")</f>
        <v/>
      </c>
      <c r="Q29" s="11"/>
      <c r="R29" s="12" t="str">
        <f t="shared" si="3"/>
        <v/>
      </c>
      <c r="S29" s="63" t="str">
        <f t="shared" si="0"/>
        <v/>
      </c>
      <c r="T29" s="64"/>
    </row>
    <row r="30" spans="3:20" x14ac:dyDescent="0.25">
      <c r="C30" s="6">
        <v>21</v>
      </c>
      <c r="D30" s="53"/>
      <c r="E30" s="54"/>
      <c r="F30" s="55"/>
      <c r="G30" s="56"/>
      <c r="H30" s="9" t="str">
        <f>IF(D30&lt;&gt;"",VLOOKUP(E30,DataSource!$D$5:$O$5000,2,FALSE),"")</f>
        <v/>
      </c>
      <c r="I30" s="9" t="str">
        <f t="shared" si="1"/>
        <v/>
      </c>
      <c r="J30" s="48" t="str">
        <f>IF(E30&lt;&gt;"",VLOOKUP(E30,DataSource!$D$5:$O$5000,3,FALSE),"")</f>
        <v/>
      </c>
      <c r="K30" s="48" t="str">
        <f t="shared" si="2"/>
        <v/>
      </c>
      <c r="L30" s="13" t="str">
        <f>IF(E30&lt;&gt;"",VLOOKUP(E30,DataSource!$D$5:$O$5000,5,FALSE),"")</f>
        <v/>
      </c>
      <c r="M30" s="13" t="str">
        <f>IF(E30&lt;&gt;"",VLOOKUP(E30,DataSource!$D$5:$O$5000,4,FALSE),"")</f>
        <v/>
      </c>
      <c r="N30" s="10" t="str">
        <f>IF(E30&lt;&gt;"",VLOOKUP(E30,DataSource!$D$5:$O$5000,8,FALSE),"")</f>
        <v/>
      </c>
      <c r="O30" s="10" t="str">
        <f>IF(E30&lt;&gt;"",VLOOKUP(E30,DataSource!$D$5:$O$5000,9,FALSE),"")</f>
        <v/>
      </c>
      <c r="P30" s="10" t="str">
        <f>IF(E30&lt;&gt;"",VLOOKUP(E30,DataSource!$D$5:$O$5000,10,FALSE),"")</f>
        <v/>
      </c>
      <c r="Q30" s="11" t="str">
        <f>IF(E30&lt;&gt;"",VLOOKUP(E30,DataSource!$D$5:$O$5000,12,FALSE),"")</f>
        <v/>
      </c>
      <c r="R30" s="12" t="str">
        <f t="shared" si="3"/>
        <v/>
      </c>
      <c r="S30" s="63" t="str">
        <f t="shared" si="0"/>
        <v/>
      </c>
      <c r="T30" s="64"/>
    </row>
    <row r="31" spans="3:20" x14ac:dyDescent="0.25">
      <c r="C31" s="6">
        <v>22</v>
      </c>
      <c r="D31" s="53"/>
      <c r="E31" s="54"/>
      <c r="F31" s="55"/>
      <c r="G31" s="56"/>
      <c r="H31" s="9" t="str">
        <f>IF(D31&lt;&gt;"",VLOOKUP(E31,DataSource!$D$5:$O$5000,2,FALSE),"")</f>
        <v/>
      </c>
      <c r="I31" s="9" t="str">
        <f t="shared" si="1"/>
        <v/>
      </c>
      <c r="J31" s="48" t="str">
        <f>IF(E31&lt;&gt;"",VLOOKUP(E31,DataSource!$D$5:$O$5000,3,FALSE),"")</f>
        <v/>
      </c>
      <c r="K31" s="48" t="str">
        <f t="shared" si="2"/>
        <v/>
      </c>
      <c r="L31" s="13" t="str">
        <f>IF(E31&lt;&gt;"",VLOOKUP(E31,DataSource!$D$5:$O$5000,5,FALSE),"")</f>
        <v/>
      </c>
      <c r="M31" s="13" t="str">
        <f>IF(E31&lt;&gt;"",VLOOKUP(E31,DataSource!$D$5:$O$5000,4,FALSE),"")</f>
        <v/>
      </c>
      <c r="N31" s="10" t="str">
        <f>IF(E31&lt;&gt;"",VLOOKUP(E31,DataSource!$D$5:$O$5000,8,FALSE),"")</f>
        <v/>
      </c>
      <c r="O31" s="10" t="str">
        <f>IF(E31&lt;&gt;"",VLOOKUP(E31,DataSource!$D$5:$O$5000,9,FALSE),"")</f>
        <v/>
      </c>
      <c r="P31" s="10" t="str">
        <f>IF(E31&lt;&gt;"",VLOOKUP(E31,DataSource!$D$5:$O$5000,10,FALSE),"")</f>
        <v/>
      </c>
      <c r="Q31" s="11" t="str">
        <f>IF(E31&lt;&gt;"",VLOOKUP(E31,DataSource!$D$5:$O$5000,12,FALSE),"")</f>
        <v/>
      </c>
      <c r="R31" s="12" t="str">
        <f t="shared" si="3"/>
        <v/>
      </c>
      <c r="S31" s="63" t="str">
        <f t="shared" si="0"/>
        <v/>
      </c>
      <c r="T31" s="64"/>
    </row>
    <row r="32" spans="3:20" x14ac:dyDescent="0.25">
      <c r="C32" s="6">
        <v>23</v>
      </c>
      <c r="D32" s="53"/>
      <c r="E32" s="54"/>
      <c r="F32" s="55"/>
      <c r="G32" s="56"/>
      <c r="H32" s="9" t="str">
        <f>IF(D32&lt;&gt;"",VLOOKUP(E32,DataSource!$D$5:$O$5000,2,FALSE),"")</f>
        <v/>
      </c>
      <c r="I32" s="9" t="str">
        <f t="shared" si="1"/>
        <v/>
      </c>
      <c r="J32" s="48" t="str">
        <f>IF(E32&lt;&gt;"",VLOOKUP(E32,DataSource!$D$5:$O$5000,3,FALSE),"")</f>
        <v/>
      </c>
      <c r="K32" s="48" t="str">
        <f t="shared" si="2"/>
        <v/>
      </c>
      <c r="L32" s="13" t="str">
        <f>IF(E32&lt;&gt;"",VLOOKUP(E32,DataSource!$D$5:$O$5000,5,FALSE),"")</f>
        <v/>
      </c>
      <c r="M32" s="13" t="str">
        <f>IF(E32&lt;&gt;"",VLOOKUP(E32,DataSource!$D$5:$O$5000,4,FALSE),"")</f>
        <v/>
      </c>
      <c r="N32" s="10" t="str">
        <f>IF(E32&lt;&gt;"",VLOOKUP(E32,DataSource!$D$5:$O$5000,8,FALSE),"")</f>
        <v/>
      </c>
      <c r="O32" s="10" t="str">
        <f>IF(E32&lt;&gt;"",VLOOKUP(E32,DataSource!$D$5:$O$5000,9,FALSE),"")</f>
        <v/>
      </c>
      <c r="P32" s="10" t="str">
        <f>IF(E32&lt;&gt;"",VLOOKUP(E32,DataSource!$D$5:$O$5000,10,FALSE),"")</f>
        <v/>
      </c>
      <c r="Q32" s="11" t="str">
        <f>IF(E32&lt;&gt;"",VLOOKUP(E32,DataSource!$D$5:$O$5000,12,FALSE),"")</f>
        <v/>
      </c>
      <c r="R32" s="12" t="str">
        <f t="shared" si="3"/>
        <v/>
      </c>
      <c r="S32" s="63" t="str">
        <f t="shared" si="0"/>
        <v/>
      </c>
      <c r="T32" s="64"/>
    </row>
    <row r="33" spans="3:20" x14ac:dyDescent="0.25">
      <c r="C33" s="6">
        <v>24</v>
      </c>
      <c r="D33" s="53"/>
      <c r="E33" s="54"/>
      <c r="F33" s="55"/>
      <c r="G33" s="56"/>
      <c r="H33" s="9" t="str">
        <f>IF(D33&lt;&gt;"",VLOOKUP(E33,DataSource!$D$5:$O$5000,2,FALSE),"")</f>
        <v/>
      </c>
      <c r="I33" s="9" t="str">
        <f t="shared" si="1"/>
        <v/>
      </c>
      <c r="J33" s="48" t="str">
        <f>IF(E33&lt;&gt;"",VLOOKUP(E33,DataSource!$D$5:$O$5000,3,FALSE),"")</f>
        <v/>
      </c>
      <c r="K33" s="48" t="str">
        <f t="shared" si="2"/>
        <v/>
      </c>
      <c r="L33" s="13" t="str">
        <f>IF(E33&lt;&gt;"",VLOOKUP(E33,DataSource!$D$5:$O$5000,5,FALSE),"")</f>
        <v/>
      </c>
      <c r="M33" s="13" t="str">
        <f>IF(E33&lt;&gt;"",VLOOKUP(E33,DataSource!$D$5:$O$5000,4,FALSE),"")</f>
        <v/>
      </c>
      <c r="N33" s="10" t="str">
        <f>IF(E33&lt;&gt;"",VLOOKUP(E33,DataSource!$D$5:$O$5000,8,FALSE),"")</f>
        <v/>
      </c>
      <c r="O33" s="10" t="str">
        <f>IF(E33&lt;&gt;"",VLOOKUP(E33,DataSource!$D$5:$O$5000,9,FALSE),"")</f>
        <v/>
      </c>
      <c r="P33" s="10" t="str">
        <f>IF(E33&lt;&gt;"",VLOOKUP(E33,DataSource!$D$5:$O$5000,10,FALSE),"")</f>
        <v/>
      </c>
      <c r="Q33" s="11" t="str">
        <f>IF(E33&lt;&gt;"",VLOOKUP(E33,DataSource!$D$5:$O$5000,12,FALSE),"")</f>
        <v/>
      </c>
      <c r="R33" s="12" t="str">
        <f t="shared" si="3"/>
        <v/>
      </c>
      <c r="S33" s="63" t="str">
        <f t="shared" si="0"/>
        <v/>
      </c>
      <c r="T33" s="64"/>
    </row>
    <row r="34" spans="3:20" x14ac:dyDescent="0.25">
      <c r="C34" s="6">
        <v>25</v>
      </c>
      <c r="D34" s="53"/>
      <c r="E34" s="54"/>
      <c r="F34" s="55"/>
      <c r="G34" s="56"/>
      <c r="H34" s="9" t="str">
        <f>IF(D34&lt;&gt;"",VLOOKUP(E34,DataSource!$D$5:$O$5000,2,FALSE),"")</f>
        <v/>
      </c>
      <c r="I34" s="9" t="str">
        <f t="shared" si="1"/>
        <v/>
      </c>
      <c r="J34" s="48" t="str">
        <f>IF(E34&lt;&gt;"",VLOOKUP(E34,DataSource!$D$5:$O$5000,3,FALSE),"")</f>
        <v/>
      </c>
      <c r="K34" s="48" t="str">
        <f t="shared" si="2"/>
        <v/>
      </c>
      <c r="L34" s="13" t="str">
        <f>IF(E34&lt;&gt;"",VLOOKUP(E34,DataSource!$D$5:$O$5000,5,FALSE),"")</f>
        <v/>
      </c>
      <c r="M34" s="13" t="str">
        <f>IF(E34&lt;&gt;"",VLOOKUP(E34,DataSource!$D$5:$O$5000,4,FALSE),"")</f>
        <v/>
      </c>
      <c r="N34" s="10" t="str">
        <f>IF(E34&lt;&gt;"",VLOOKUP(E34,DataSource!$D$5:$O$5000,8,FALSE),"")</f>
        <v/>
      </c>
      <c r="O34" s="10" t="str">
        <f>IF(E34&lt;&gt;"",VLOOKUP(E34,DataSource!$D$5:$O$5000,9,FALSE),"")</f>
        <v/>
      </c>
      <c r="P34" s="10" t="str">
        <f>IF(E34&lt;&gt;"",VLOOKUP(E34,DataSource!$D$5:$O$5000,10,FALSE),"")</f>
        <v/>
      </c>
      <c r="Q34" s="11" t="str">
        <f>IF(E34&lt;&gt;"",VLOOKUP(E34,DataSource!$D$5:$O$5000,12,FALSE),"")</f>
        <v/>
      </c>
      <c r="R34" s="12" t="str">
        <f t="shared" si="3"/>
        <v/>
      </c>
      <c r="S34" s="63" t="str">
        <f t="shared" si="0"/>
        <v/>
      </c>
      <c r="T34" s="64"/>
    </row>
    <row r="35" spans="3:20" x14ac:dyDescent="0.25">
      <c r="C35" s="30" t="s">
        <v>1308</v>
      </c>
      <c r="D35" s="57" t="s">
        <v>0</v>
      </c>
      <c r="E35" s="58" t="s">
        <v>75</v>
      </c>
      <c r="F35" s="59"/>
      <c r="G35" s="60"/>
      <c r="H35" s="31">
        <f>IF(D35&lt;&gt;"",VLOOKUP(E35,DataSource!$D$5:$O$5000,2,FALSE),"")</f>
        <v>1</v>
      </c>
      <c r="I35" s="31">
        <f t="shared" si="1"/>
        <v>0</v>
      </c>
      <c r="J35" s="49">
        <f>IF(E35&lt;&gt;"",VLOOKUP(E35,DataSource!$D$5:$O$5000,3,FALSE),"")</f>
        <v>14001.3</v>
      </c>
      <c r="K35" s="49" t="str">
        <f t="shared" si="2"/>
        <v/>
      </c>
      <c r="L35" s="32">
        <f>IF(E35&lt;&gt;"",VLOOKUP(E35,DataSource!$D$5:$O$5000,5,FALSE),"")</f>
        <v>235208706781</v>
      </c>
      <c r="M35" s="32">
        <f>IF(E35&lt;&gt;"",VLOOKUP(E35,DataSource!$D$5:$O$5000,4,FALSE),"")</f>
        <v>12494400000</v>
      </c>
      <c r="N35" s="33">
        <f>IF(E35&lt;&gt;"",VLOOKUP(E35,DataSource!$D$5:$O$5000,8,FALSE),"")</f>
        <v>0.63</v>
      </c>
      <c r="O35" s="33">
        <f>IF(E35&lt;&gt;"",VLOOKUP(E35,DataSource!$D$5:$O$5000,9,FALSE),"")</f>
        <v>2.97</v>
      </c>
      <c r="P35" s="33">
        <f>IF(E35&lt;&gt;"",VLOOKUP(E35,DataSource!$D$5:$O$5000,10,FALSE),"")</f>
        <v>-18.16</v>
      </c>
      <c r="Q35" s="34">
        <f>IF(E35&lt;&gt;"",VLOOKUP(E35,DataSource!$D$5:$O$5000,12,FALSE),"")</f>
        <v>43112.874583333331</v>
      </c>
      <c r="R35" s="35" t="str">
        <f t="shared" si="3"/>
        <v/>
      </c>
      <c r="S35" s="65"/>
      <c r="T35" s="66"/>
    </row>
    <row r="36" spans="3:20" x14ac:dyDescent="0.25">
      <c r="D36" s="47"/>
    </row>
    <row r="37" spans="3:20" x14ac:dyDescent="0.25">
      <c r="C37" s="14" t="s">
        <v>1176</v>
      </c>
    </row>
    <row r="39" spans="3:20" ht="21" customHeight="1" x14ac:dyDescent="0.25">
      <c r="C39" s="14" t="s">
        <v>1307</v>
      </c>
      <c r="J39" s="5"/>
      <c r="K39" s="5"/>
      <c r="L39" s="5"/>
      <c r="M39" s="5"/>
    </row>
    <row r="40" spans="3:20" ht="30" x14ac:dyDescent="0.25">
      <c r="C40" s="3" t="s">
        <v>1128</v>
      </c>
      <c r="D40" s="50" t="s">
        <v>1123</v>
      </c>
      <c r="E40" s="51" t="s">
        <v>1118</v>
      </c>
      <c r="F40" s="75" t="s">
        <v>1309</v>
      </c>
      <c r="G40" s="75"/>
      <c r="H40" s="75"/>
      <c r="I40" s="76"/>
      <c r="J40" s="4" t="s">
        <v>1145</v>
      </c>
      <c r="K40" s="4" t="s">
        <v>1146</v>
      </c>
      <c r="L40" s="4" t="s">
        <v>149</v>
      </c>
      <c r="M40" s="4" t="s">
        <v>1119</v>
      </c>
      <c r="N40" s="4" t="s">
        <v>152</v>
      </c>
      <c r="O40" s="4" t="s">
        <v>1120</v>
      </c>
      <c r="P40" s="4" t="s">
        <v>1121</v>
      </c>
      <c r="Q40" s="4" t="s">
        <v>1122</v>
      </c>
      <c r="R40"/>
      <c r="S40"/>
      <c r="T40"/>
    </row>
    <row r="41" spans="3:20" x14ac:dyDescent="0.25">
      <c r="C41" s="6">
        <v>1</v>
      </c>
      <c r="D41" s="69" t="s">
        <v>0</v>
      </c>
      <c r="E41" s="54" t="s">
        <v>75</v>
      </c>
      <c r="F41" s="72"/>
      <c r="G41" s="72"/>
      <c r="H41" s="72"/>
      <c r="I41" s="73"/>
      <c r="J41" s="9">
        <f>IF(E41&lt;&gt;"",VLOOKUP(E41,DataSource!$D$5:$O$5000,2,FALSE),"")</f>
        <v>1</v>
      </c>
      <c r="K41" s="48">
        <f>IF(E41&lt;&gt;"",VLOOKUP(E41,DataSource!$D$5:$O$5000,3,FALSE),"")</f>
        <v>14001.3</v>
      </c>
      <c r="L41" s="13">
        <f>IF(E41&lt;&gt;"",VLOOKUP(E41,DataSource!$D$5:$O$5000,5,FALSE),"")</f>
        <v>235208706781</v>
      </c>
      <c r="M41" s="13">
        <f>IF(E41&lt;&gt;"",VLOOKUP(E41,DataSource!$D$5:$O$5000,4,FALSE),"")</f>
        <v>12494400000</v>
      </c>
      <c r="N41" s="10">
        <f>IF(E41&lt;&gt;"",VLOOKUP(E41,DataSource!$D$5:$O$5000,8,FALSE),"")</f>
        <v>0.63</v>
      </c>
      <c r="O41" s="10">
        <f>IF(E41&lt;&gt;"",VLOOKUP(E41,DataSource!$D$5:$O$5000,9,FALSE),"")</f>
        <v>2.97</v>
      </c>
      <c r="P41" s="10">
        <f>IF(E41&lt;&gt;"",VLOOKUP(E41,DataSource!$D$5:$O$5000,10,FALSE),"")</f>
        <v>-18.16</v>
      </c>
      <c r="Q41" s="11">
        <f>IF(E41&lt;&gt;"",VLOOKUP(E41,DataSource!$D$5:$O$5000,12,FALSE),"")</f>
        <v>43112.874583333331</v>
      </c>
      <c r="R41"/>
      <c r="S41"/>
      <c r="T41"/>
    </row>
    <row r="42" spans="3:20" x14ac:dyDescent="0.25">
      <c r="C42" s="6">
        <v>2</v>
      </c>
      <c r="D42" s="69" t="s">
        <v>1</v>
      </c>
      <c r="E42" s="54" t="s">
        <v>76</v>
      </c>
      <c r="F42" s="72"/>
      <c r="G42" s="72"/>
      <c r="H42" s="72"/>
      <c r="I42" s="73"/>
      <c r="J42" s="9">
        <f>IF(E42&lt;&gt;"",VLOOKUP(E42,DataSource!$D$5:$O$5000,2,FALSE),"")</f>
        <v>9.0741299999999997E-2</v>
      </c>
      <c r="K42" s="48">
        <f>IF(E42&lt;&gt;"",VLOOKUP(E42,DataSource!$D$5:$O$5000,3,FALSE),"")</f>
        <v>1267.78</v>
      </c>
      <c r="L42" s="13">
        <f>IF(E42&lt;&gt;"",VLOOKUP(E42,DataSource!$D$5:$O$5000,5,FALSE),"")</f>
        <v>122898046073</v>
      </c>
      <c r="M42" s="13">
        <f>IF(E42&lt;&gt;"",VLOOKUP(E42,DataSource!$D$5:$O$5000,4,FALSE),"")</f>
        <v>5482690000</v>
      </c>
      <c r="N42" s="10">
        <f>IF(E42&lt;&gt;"",VLOOKUP(E42,DataSource!$D$5:$O$5000,8,FALSE),"")</f>
        <v>0.28999999999999998</v>
      </c>
      <c r="O42" s="10">
        <f>IF(E42&lt;&gt;"",VLOOKUP(E42,DataSource!$D$5:$O$5000,9,FALSE),"")</f>
        <v>6.49</v>
      </c>
      <c r="P42" s="10">
        <f>IF(E42&lt;&gt;"",VLOOKUP(E42,DataSource!$D$5:$O$5000,10,FALSE),"")</f>
        <v>27.33</v>
      </c>
      <c r="Q42" s="11">
        <f>IF(E42&lt;&gt;"",VLOOKUP(E42,DataSource!$D$5:$O$5000,12,FALSE),"")</f>
        <v>43112.874421296299</v>
      </c>
      <c r="R42"/>
      <c r="S42"/>
      <c r="T42"/>
    </row>
    <row r="43" spans="3:20" x14ac:dyDescent="0.25">
      <c r="C43" s="6">
        <v>3</v>
      </c>
      <c r="D43" s="69" t="s">
        <v>4</v>
      </c>
      <c r="E43" s="54" t="s">
        <v>79</v>
      </c>
      <c r="F43" s="72"/>
      <c r="G43" s="72"/>
      <c r="H43" s="72"/>
      <c r="I43" s="73"/>
      <c r="J43" s="9">
        <f>IF(E43&lt;&gt;"",VLOOKUP(E43,DataSource!$D$5:$O$5000,2,FALSE),"")</f>
        <v>1.6951999999999998E-2</v>
      </c>
      <c r="K43" s="48">
        <f>IF(E43&lt;&gt;"",VLOOKUP(E43,DataSource!$D$5:$O$5000,3,FALSE),"")</f>
        <v>236.84299999999999</v>
      </c>
      <c r="L43" s="13">
        <f>IF(E43&lt;&gt;"",VLOOKUP(E43,DataSource!$D$5:$O$5000,5,FALSE),"")</f>
        <v>12961779845</v>
      </c>
      <c r="M43" s="13">
        <f>IF(E43&lt;&gt;"",VLOOKUP(E43,DataSource!$D$5:$O$5000,4,FALSE),"")</f>
        <v>737643000</v>
      </c>
      <c r="N43" s="10">
        <f>IF(E43&lt;&gt;"",VLOOKUP(E43,DataSource!$D$5:$O$5000,8,FALSE),"")</f>
        <v>0.39</v>
      </c>
      <c r="O43" s="10">
        <f>IF(E43&lt;&gt;"",VLOOKUP(E43,DataSource!$D$5:$O$5000,9,FALSE),"")</f>
        <v>1.64</v>
      </c>
      <c r="P43" s="10">
        <f>IF(E43&lt;&gt;"",VLOOKUP(E43,DataSource!$D$5:$O$5000,10,FALSE),"")</f>
        <v>-6.39</v>
      </c>
      <c r="Q43" s="11">
        <f>IF(E43&lt;&gt;"",VLOOKUP(E43,DataSource!$D$5:$O$5000,12,FALSE),"")</f>
        <v>43112.87431712963</v>
      </c>
      <c r="R43"/>
      <c r="S43"/>
      <c r="T43"/>
    </row>
    <row r="44" spans="3:20" x14ac:dyDescent="0.25">
      <c r="C44" s="6">
        <v>4</v>
      </c>
      <c r="D44" s="69" t="s">
        <v>3</v>
      </c>
      <c r="E44" s="54" t="s">
        <v>78</v>
      </c>
      <c r="F44" s="72"/>
      <c r="G44" s="72"/>
      <c r="H44" s="72"/>
      <c r="I44" s="73"/>
      <c r="J44" s="9">
        <f>IF(E44&lt;&gt;"",VLOOKUP(E44,DataSource!$D$5:$O$5000,2,FALSE),"")</f>
        <v>1.4459999999999999E-4</v>
      </c>
      <c r="K44" s="48">
        <f>IF(E44&lt;&gt;"",VLOOKUP(E44,DataSource!$D$5:$O$5000,3,FALSE),"")</f>
        <v>2.0202900000000001</v>
      </c>
      <c r="L44" s="13">
        <f>IF(E44&lt;&gt;"",VLOOKUP(E44,DataSource!$D$5:$O$5000,5,FALSE),"")</f>
        <v>78264302830</v>
      </c>
      <c r="M44" s="13">
        <f>IF(E44&lt;&gt;"",VLOOKUP(E44,DataSource!$D$5:$O$5000,4,FALSE),"")</f>
        <v>3640220000</v>
      </c>
      <c r="N44" s="10">
        <f>IF(E44&lt;&gt;"",VLOOKUP(E44,DataSource!$D$5:$O$5000,8,FALSE),"")</f>
        <v>1.35</v>
      </c>
      <c r="O44" s="10">
        <f>IF(E44&lt;&gt;"",VLOOKUP(E44,DataSource!$D$5:$O$5000,9,FALSE),"")</f>
        <v>0.06</v>
      </c>
      <c r="P44" s="10">
        <f>IF(E44&lt;&gt;"",VLOOKUP(E44,DataSource!$D$5:$O$5000,10,FALSE),"")</f>
        <v>-33.479999999999997</v>
      </c>
      <c r="Q44" s="11">
        <f>IF(E44&lt;&gt;"",VLOOKUP(E44,DataSource!$D$5:$O$5000,12,FALSE),"")</f>
        <v>43112.87431712963</v>
      </c>
      <c r="R44"/>
      <c r="S44"/>
      <c r="T44"/>
    </row>
    <row r="45" spans="3:20" x14ac:dyDescent="0.25">
      <c r="C45" s="6">
        <v>5</v>
      </c>
      <c r="D45" s="69" t="s">
        <v>1518</v>
      </c>
      <c r="E45" s="54" t="s">
        <v>1519</v>
      </c>
      <c r="F45" s="72"/>
      <c r="G45" s="72"/>
      <c r="H45" s="72"/>
      <c r="I45" s="73"/>
      <c r="J45" s="9" t="e">
        <f>IF(E45&lt;&gt;"",VLOOKUP(E45,DataSource!$D$5:$O$5000,2,FALSE),"")</f>
        <v>#N/A</v>
      </c>
      <c r="K45" s="48" t="e">
        <f>IF(E45&lt;&gt;"",VLOOKUP(E45,DataSource!$D$5:$O$5000,3,FALSE),"")</f>
        <v>#N/A</v>
      </c>
      <c r="L45" s="13" t="e">
        <f>IF(E45&lt;&gt;"",VLOOKUP(E45,DataSource!$D$5:$O$5000,5,FALSE),"")</f>
        <v>#N/A</v>
      </c>
      <c r="M45" s="13" t="e">
        <f>IF(E45&lt;&gt;"",VLOOKUP(E45,DataSource!$D$5:$O$5000,4,FALSE),"")</f>
        <v>#N/A</v>
      </c>
      <c r="N45" s="10" t="e">
        <f>IF(E45&lt;&gt;"",VLOOKUP(E45,DataSource!$D$5:$O$5000,8,FALSE),"")</f>
        <v>#N/A</v>
      </c>
      <c r="O45" s="10" t="e">
        <f>IF(E45&lt;&gt;"",VLOOKUP(E45,DataSource!$D$5:$O$5000,9,FALSE),"")</f>
        <v>#N/A</v>
      </c>
      <c r="P45" s="10" t="e">
        <f>IF(E45&lt;&gt;"",VLOOKUP(E45,DataSource!$D$5:$O$5000,10,FALSE),"")</f>
        <v>#N/A</v>
      </c>
      <c r="Q45" s="11" t="e">
        <f>IF(E45&lt;&gt;"",VLOOKUP(E45,DataSource!$D$5:$O$5000,12,FALSE),"")</f>
        <v>#N/A</v>
      </c>
      <c r="R45"/>
      <c r="S45"/>
      <c r="T45"/>
    </row>
    <row r="46" spans="3:20" x14ac:dyDescent="0.25">
      <c r="C46" s="6">
        <v>6</v>
      </c>
      <c r="D46" s="69" t="s">
        <v>56</v>
      </c>
      <c r="E46" s="54" t="s">
        <v>130</v>
      </c>
      <c r="F46" s="72"/>
      <c r="G46" s="72"/>
      <c r="H46" s="72"/>
      <c r="I46" s="73"/>
      <c r="J46" s="9">
        <f>IF(E46&lt;&gt;"",VLOOKUP(E46,DataSource!$D$5:$O$5000,2,FALSE),"")</f>
        <v>1.1379999999999999E-5</v>
      </c>
      <c r="K46" s="48">
        <f>IF(E46&lt;&gt;"",VLOOKUP(E46,DataSource!$D$5:$O$5000,3,FALSE),"")</f>
        <v>0.159058</v>
      </c>
      <c r="L46" s="13">
        <f>IF(E46&lt;&gt;"",VLOOKUP(E46,DataSource!$D$5:$O$5000,5,FALSE),"")</f>
        <v>2311398380</v>
      </c>
      <c r="M46" s="13">
        <f>IF(E46&lt;&gt;"",VLOOKUP(E46,DataSource!$D$5:$O$5000,4,FALSE),"")</f>
        <v>150893000</v>
      </c>
      <c r="N46" s="10">
        <f>IF(E46&lt;&gt;"",VLOOKUP(E46,DataSource!$D$5:$O$5000,8,FALSE),"")</f>
        <v>-1.03</v>
      </c>
      <c r="O46" s="10">
        <f>IF(E46&lt;&gt;"",VLOOKUP(E46,DataSource!$D$5:$O$5000,9,FALSE),"")</f>
        <v>6.67</v>
      </c>
      <c r="P46" s="10">
        <f>IF(E46&lt;&gt;"",VLOOKUP(E46,DataSource!$D$5:$O$5000,10,FALSE),"")</f>
        <v>-5.95</v>
      </c>
      <c r="Q46" s="11">
        <f>IF(E46&lt;&gt;"",VLOOKUP(E46,DataSource!$D$5:$O$5000,12,FALSE),"")</f>
        <v>43112.874340277776</v>
      </c>
      <c r="R46"/>
      <c r="S46"/>
      <c r="T46"/>
    </row>
    <row r="47" spans="3:20" x14ac:dyDescent="0.25">
      <c r="C47" s="6">
        <v>7</v>
      </c>
      <c r="D47" s="69" t="s">
        <v>16</v>
      </c>
      <c r="E47" s="54" t="s">
        <v>90</v>
      </c>
      <c r="F47" s="72"/>
      <c r="G47" s="72"/>
      <c r="H47" s="72"/>
      <c r="I47" s="73"/>
      <c r="J47" s="9">
        <f>IF(E47&lt;&gt;"",VLOOKUP(E47,DataSource!$D$5:$O$5000,2,FALSE),"")</f>
        <v>1.34162E-3</v>
      </c>
      <c r="K47" s="48">
        <f>IF(E47&lt;&gt;"",VLOOKUP(E47,DataSource!$D$5:$O$5000,3,FALSE),"")</f>
        <v>18.744299999999999</v>
      </c>
      <c r="L47" s="13">
        <f>IF(E47&lt;&gt;"",VLOOKUP(E47,DataSource!$D$5:$O$5000,5,FALSE),"")</f>
        <v>1850027100</v>
      </c>
      <c r="M47" s="13">
        <f>IF(E47&lt;&gt;"",VLOOKUP(E47,DataSource!$D$5:$O$5000,4,FALSE),"")</f>
        <v>40599900</v>
      </c>
      <c r="N47" s="10">
        <f>IF(E47&lt;&gt;"",VLOOKUP(E47,DataSource!$D$5:$O$5000,8,FALSE),"")</f>
        <v>0.91</v>
      </c>
      <c r="O47" s="10">
        <f>IF(E47&lt;&gt;"",VLOOKUP(E47,DataSource!$D$5:$O$5000,9,FALSE),"")</f>
        <v>10.220000000000001</v>
      </c>
      <c r="P47" s="10">
        <f>IF(E47&lt;&gt;"",VLOOKUP(E47,DataSource!$D$5:$O$5000,10,FALSE),"")</f>
        <v>24.22</v>
      </c>
      <c r="Q47" s="11">
        <f>IF(E47&lt;&gt;"",VLOOKUP(E47,DataSource!$D$5:$O$5000,12,FALSE),"")</f>
        <v>43112.874386574076</v>
      </c>
      <c r="R47"/>
      <c r="S47"/>
      <c r="T47"/>
    </row>
    <row r="48" spans="3:20" x14ac:dyDescent="0.25">
      <c r="C48" s="6">
        <v>8</v>
      </c>
      <c r="D48" s="53"/>
      <c r="E48" s="54"/>
      <c r="F48" s="72"/>
      <c r="G48" s="72"/>
      <c r="H48" s="72"/>
      <c r="I48" s="73"/>
      <c r="J48" s="9" t="str">
        <f>IF(E48&lt;&gt;"",VLOOKUP(E48,DataSource!$D$5:$O$5000,2,FALSE),"")</f>
        <v/>
      </c>
      <c r="K48" s="48" t="str">
        <f>IF(E48&lt;&gt;"",VLOOKUP(E48,DataSource!$D$5:$O$5000,3,FALSE),"")</f>
        <v/>
      </c>
      <c r="L48" s="13" t="str">
        <f>IF(E48&lt;&gt;"",VLOOKUP(E48,DataSource!$D$5:$O$5000,5,FALSE),"")</f>
        <v/>
      </c>
      <c r="M48" s="13" t="str">
        <f>IF(E48&lt;&gt;"",VLOOKUP(E48,DataSource!$D$5:$O$5000,4,FALSE),"")</f>
        <v/>
      </c>
      <c r="N48" s="10" t="str">
        <f>IF(E48&lt;&gt;"",VLOOKUP(E48,DataSource!$D$5:$O$5000,8,FALSE),"")</f>
        <v/>
      </c>
      <c r="O48" s="10" t="str">
        <f>IF(E48&lt;&gt;"",VLOOKUP(E48,DataSource!$D$5:$O$5000,9,FALSE),"")</f>
        <v/>
      </c>
      <c r="P48" s="10" t="str">
        <f>IF(E48&lt;&gt;"",VLOOKUP(E48,DataSource!$D$5:$O$5000,10,FALSE),"")</f>
        <v/>
      </c>
      <c r="Q48" s="11" t="str">
        <f>IF(E48&lt;&gt;"",VLOOKUP(E48,DataSource!$D$5:$O$5000,12,FALSE),"")</f>
        <v/>
      </c>
      <c r="R48"/>
      <c r="S48"/>
      <c r="T48"/>
    </row>
    <row r="49" spans="3:20" x14ac:dyDescent="0.25">
      <c r="C49" s="6">
        <v>9</v>
      </c>
      <c r="D49" s="53"/>
      <c r="E49" s="54"/>
      <c r="F49" s="72"/>
      <c r="G49" s="72"/>
      <c r="H49" s="72"/>
      <c r="I49" s="73"/>
      <c r="J49" s="9" t="str">
        <f>IF(E49&lt;&gt;"",VLOOKUP(E49,DataSource!$D$5:$O$5000,2,FALSE),"")</f>
        <v/>
      </c>
      <c r="K49" s="48" t="str">
        <f>IF(E49&lt;&gt;"",VLOOKUP(E49,DataSource!$D$5:$O$5000,3,FALSE),"")</f>
        <v/>
      </c>
      <c r="L49" s="13" t="str">
        <f>IF(E49&lt;&gt;"",VLOOKUP(E49,DataSource!$D$5:$O$5000,5,FALSE),"")</f>
        <v/>
      </c>
      <c r="M49" s="13" t="str">
        <f>IF(E49&lt;&gt;"",VLOOKUP(E49,DataSource!$D$5:$O$5000,4,FALSE),"")</f>
        <v/>
      </c>
      <c r="N49" s="10" t="str">
        <f>IF(E49&lt;&gt;"",VLOOKUP(E49,DataSource!$D$5:$O$5000,8,FALSE),"")</f>
        <v/>
      </c>
      <c r="O49" s="10" t="str">
        <f>IF(E49&lt;&gt;"",VLOOKUP(E49,DataSource!$D$5:$O$5000,9,FALSE),"")</f>
        <v/>
      </c>
      <c r="P49" s="10" t="str">
        <f>IF(E49&lt;&gt;"",VLOOKUP(E49,DataSource!$D$5:$O$5000,10,FALSE),"")</f>
        <v/>
      </c>
      <c r="Q49" s="11" t="str">
        <f>IF(E49&lt;&gt;"",VLOOKUP(E49,DataSource!$D$5:$O$5000,12,FALSE),"")</f>
        <v/>
      </c>
      <c r="R49"/>
      <c r="S49"/>
      <c r="T49"/>
    </row>
    <row r="50" spans="3:20" x14ac:dyDescent="0.25">
      <c r="C50" s="6">
        <v>10</v>
      </c>
      <c r="D50" s="53"/>
      <c r="E50" s="54"/>
      <c r="F50" s="72"/>
      <c r="G50" s="72"/>
      <c r="H50" s="72"/>
      <c r="I50" s="73"/>
      <c r="J50" s="9" t="str">
        <f>IF(E50&lt;&gt;"",VLOOKUP(E50,DataSource!$D$5:$O$5000,2,FALSE),"")</f>
        <v/>
      </c>
      <c r="K50" s="48" t="str">
        <f>IF(E50&lt;&gt;"",VLOOKUP(E50,DataSource!$D$5:$O$5000,3,FALSE),"")</f>
        <v/>
      </c>
      <c r="L50" s="13" t="str">
        <f>IF(E50&lt;&gt;"",VLOOKUP(E50,DataSource!$D$5:$O$5000,5,FALSE),"")</f>
        <v/>
      </c>
      <c r="M50" s="13" t="str">
        <f>IF(E50&lt;&gt;"",VLOOKUP(E50,DataSource!$D$5:$O$5000,4,FALSE),"")</f>
        <v/>
      </c>
      <c r="N50" s="10" t="str">
        <f>IF(E50&lt;&gt;"",VLOOKUP(E50,DataSource!$D$5:$O$5000,8,FALSE),"")</f>
        <v/>
      </c>
      <c r="O50" s="10" t="str">
        <f>IF(E50&lt;&gt;"",VLOOKUP(E50,DataSource!$D$5:$O$5000,9,FALSE),"")</f>
        <v/>
      </c>
      <c r="P50" s="10" t="str">
        <f>IF(E50&lt;&gt;"",VLOOKUP(E50,DataSource!$D$5:$O$5000,10,FALSE),"")</f>
        <v/>
      </c>
      <c r="Q50" s="11" t="str">
        <f>IF(E50&lt;&gt;"",VLOOKUP(E50,DataSource!$D$5:$O$5000,12,FALSE),"")</f>
        <v/>
      </c>
      <c r="R50"/>
      <c r="S50"/>
      <c r="T50"/>
    </row>
    <row r="51" spans="3:20" x14ac:dyDescent="0.25">
      <c r="C51" s="6">
        <v>11</v>
      </c>
      <c r="D51" s="53"/>
      <c r="E51" s="54"/>
      <c r="F51" s="72"/>
      <c r="G51" s="72"/>
      <c r="H51" s="72"/>
      <c r="I51" s="73"/>
      <c r="J51" s="9" t="str">
        <f>IF(E51&lt;&gt;"",VLOOKUP(E51,DataSource!$D$5:$O$5000,2,FALSE),"")</f>
        <v/>
      </c>
      <c r="K51" s="48" t="str">
        <f>IF(E51&lt;&gt;"",VLOOKUP(E51,DataSource!$D$5:$O$5000,3,FALSE),"")</f>
        <v/>
      </c>
      <c r="L51" s="13" t="str">
        <f>IF(E51&lt;&gt;"",VLOOKUP(E51,DataSource!$D$5:$O$5000,5,FALSE),"")</f>
        <v/>
      </c>
      <c r="M51" s="13" t="str">
        <f>IF(E51&lt;&gt;"",VLOOKUP(E51,DataSource!$D$5:$O$5000,4,FALSE),"")</f>
        <v/>
      </c>
      <c r="N51" s="10" t="str">
        <f>IF(E51&lt;&gt;"",VLOOKUP(E51,DataSource!$D$5:$O$5000,8,FALSE),"")</f>
        <v/>
      </c>
      <c r="O51" s="10" t="str">
        <f>IF(E51&lt;&gt;"",VLOOKUP(E51,DataSource!$D$5:$O$5000,9,FALSE),"")</f>
        <v/>
      </c>
      <c r="P51" s="10" t="str">
        <f>IF(E51&lt;&gt;"",VLOOKUP(E51,DataSource!$D$5:$O$5000,10,FALSE),"")</f>
        <v/>
      </c>
      <c r="Q51" s="11" t="str">
        <f>IF(E51&lt;&gt;"",VLOOKUP(E51,DataSource!$D$5:$O$5000,12,FALSE),"")</f>
        <v/>
      </c>
      <c r="R51"/>
      <c r="S51"/>
      <c r="T51"/>
    </row>
    <row r="52" spans="3:20" x14ac:dyDescent="0.25">
      <c r="C52" s="6">
        <v>12</v>
      </c>
      <c r="D52" s="53"/>
      <c r="E52" s="54"/>
      <c r="F52" s="72"/>
      <c r="G52" s="72"/>
      <c r="H52" s="72"/>
      <c r="I52" s="73"/>
      <c r="J52" s="9" t="str">
        <f>IF(E52&lt;&gt;"",VLOOKUP(E52,DataSource!$D$5:$O$5000,2,FALSE),"")</f>
        <v/>
      </c>
      <c r="K52" s="48" t="str">
        <f>IF(E52&lt;&gt;"",VLOOKUP(E52,DataSource!$D$5:$O$5000,3,FALSE),"")</f>
        <v/>
      </c>
      <c r="L52" s="13" t="str">
        <f>IF(E52&lt;&gt;"",VLOOKUP(E52,DataSource!$D$5:$O$5000,5,FALSE),"")</f>
        <v/>
      </c>
      <c r="M52" s="13" t="str">
        <f>IF(E52&lt;&gt;"",VLOOKUP(E52,DataSource!$D$5:$O$5000,4,FALSE),"")</f>
        <v/>
      </c>
      <c r="N52" s="10" t="str">
        <f>IF(E52&lt;&gt;"",VLOOKUP(E52,DataSource!$D$5:$O$5000,8,FALSE),"")</f>
        <v/>
      </c>
      <c r="O52" s="10" t="str">
        <f>IF(E52&lt;&gt;"",VLOOKUP(E52,DataSource!$D$5:$O$5000,9,FALSE),"")</f>
        <v/>
      </c>
      <c r="P52" s="10" t="str">
        <f>IF(E52&lt;&gt;"",VLOOKUP(E52,DataSource!$D$5:$O$5000,10,FALSE),"")</f>
        <v/>
      </c>
      <c r="Q52" s="11" t="str">
        <f>IF(E52&lt;&gt;"",VLOOKUP(E52,DataSource!$D$5:$O$5000,12,FALSE),"")</f>
        <v/>
      </c>
      <c r="R52"/>
      <c r="S52"/>
      <c r="T52"/>
    </row>
    <row r="53" spans="3:20" x14ac:dyDescent="0.25">
      <c r="C53" s="6">
        <v>13</v>
      </c>
      <c r="D53" s="53"/>
      <c r="E53" s="54"/>
      <c r="F53" s="72"/>
      <c r="G53" s="72"/>
      <c r="H53" s="72"/>
      <c r="I53" s="73"/>
      <c r="J53" s="9" t="str">
        <f>IF(E53&lt;&gt;"",VLOOKUP(E53,DataSource!$D$5:$O$5000,2,FALSE),"")</f>
        <v/>
      </c>
      <c r="K53" s="48" t="str">
        <f>IF(E53&lt;&gt;"",VLOOKUP(E53,DataSource!$D$5:$O$5000,3,FALSE),"")</f>
        <v/>
      </c>
      <c r="L53" s="13" t="str">
        <f>IF(E53&lt;&gt;"",VLOOKUP(E53,DataSource!$D$5:$O$5000,5,FALSE),"")</f>
        <v/>
      </c>
      <c r="M53" s="13" t="str">
        <f>IF(E53&lt;&gt;"",VLOOKUP(E53,DataSource!$D$5:$O$5000,4,FALSE),"")</f>
        <v/>
      </c>
      <c r="N53" s="10" t="str">
        <f>IF(E53&lt;&gt;"",VLOOKUP(E53,DataSource!$D$5:$O$5000,8,FALSE),"")</f>
        <v/>
      </c>
      <c r="O53" s="10" t="str">
        <f>IF(E53&lt;&gt;"",VLOOKUP(E53,DataSource!$D$5:$O$5000,9,FALSE),"")</f>
        <v/>
      </c>
      <c r="P53" s="10" t="str">
        <f>IF(E53&lt;&gt;"",VLOOKUP(E53,DataSource!$D$5:$O$5000,10,FALSE),"")</f>
        <v/>
      </c>
      <c r="Q53" s="11" t="str">
        <f>IF(E53&lt;&gt;"",VLOOKUP(E53,DataSource!$D$5:$O$5000,12,FALSE),"")</f>
        <v/>
      </c>
      <c r="R53"/>
      <c r="S53"/>
      <c r="T53"/>
    </row>
    <row r="54" spans="3:20" x14ac:dyDescent="0.25">
      <c r="C54" s="6">
        <v>14</v>
      </c>
      <c r="D54" s="53"/>
      <c r="E54" s="54"/>
      <c r="F54" s="72"/>
      <c r="G54" s="72"/>
      <c r="H54" s="72"/>
      <c r="I54" s="73"/>
      <c r="J54" s="9" t="str">
        <f>IF(E54&lt;&gt;"",VLOOKUP(E54,DataSource!$D$5:$O$5000,2,FALSE),"")</f>
        <v/>
      </c>
      <c r="K54" s="48" t="str">
        <f>IF(E54&lt;&gt;"",VLOOKUP(E54,DataSource!$D$5:$O$5000,3,FALSE),"")</f>
        <v/>
      </c>
      <c r="L54" s="13" t="str">
        <f>IF(E54&lt;&gt;"",VLOOKUP(E54,DataSource!$D$5:$O$5000,5,FALSE),"")</f>
        <v/>
      </c>
      <c r="M54" s="13" t="str">
        <f>IF(E54&lt;&gt;"",VLOOKUP(E54,DataSource!$D$5:$O$5000,4,FALSE),"")</f>
        <v/>
      </c>
      <c r="N54" s="10" t="str">
        <f>IF(E54&lt;&gt;"",VLOOKUP(E54,DataSource!$D$5:$O$5000,8,FALSE),"")</f>
        <v/>
      </c>
      <c r="O54" s="10" t="str">
        <f>IF(E54&lt;&gt;"",VLOOKUP(E54,DataSource!$D$5:$O$5000,9,FALSE),"")</f>
        <v/>
      </c>
      <c r="P54" s="10" t="str">
        <f>IF(E54&lt;&gt;"",VLOOKUP(E54,DataSource!$D$5:$O$5000,10,FALSE),"")</f>
        <v/>
      </c>
      <c r="Q54" s="11" t="str">
        <f>IF(E54&lt;&gt;"",VLOOKUP(E54,DataSource!$D$5:$O$5000,12,FALSE),"")</f>
        <v/>
      </c>
      <c r="R54"/>
      <c r="S54"/>
      <c r="T54"/>
    </row>
    <row r="55" spans="3:20" x14ac:dyDescent="0.25">
      <c r="C55" s="6">
        <v>15</v>
      </c>
      <c r="D55" s="53"/>
      <c r="E55" s="54"/>
      <c r="F55" s="72"/>
      <c r="G55" s="72"/>
      <c r="H55" s="72"/>
      <c r="I55" s="73"/>
      <c r="J55" s="9" t="str">
        <f>IF(E55&lt;&gt;"",VLOOKUP(E55,DataSource!$D$5:$O$5000,2,FALSE),"")</f>
        <v/>
      </c>
      <c r="K55" s="48" t="str">
        <f>IF(E55&lt;&gt;"",VLOOKUP(E55,DataSource!$D$5:$O$5000,3,FALSE),"")</f>
        <v/>
      </c>
      <c r="L55" s="13" t="str">
        <f>IF(E55&lt;&gt;"",VLOOKUP(E55,DataSource!$D$5:$O$5000,5,FALSE),"")</f>
        <v/>
      </c>
      <c r="M55" s="13" t="str">
        <f>IF(E55&lt;&gt;"",VLOOKUP(E55,DataSource!$D$5:$O$5000,4,FALSE),"")</f>
        <v/>
      </c>
      <c r="N55" s="10" t="str">
        <f>IF(E55&lt;&gt;"",VLOOKUP(E55,DataSource!$D$5:$O$5000,8,FALSE),"")</f>
        <v/>
      </c>
      <c r="O55" s="10" t="str">
        <f>IF(E55&lt;&gt;"",VLOOKUP(E55,DataSource!$D$5:$O$5000,9,FALSE),"")</f>
        <v/>
      </c>
      <c r="P55" s="10" t="str">
        <f>IF(E55&lt;&gt;"",VLOOKUP(E55,DataSource!$D$5:$O$5000,10,FALSE),"")</f>
        <v/>
      </c>
      <c r="Q55" s="11" t="str">
        <f>IF(E55&lt;&gt;"",VLOOKUP(E55,DataSource!$D$5:$O$5000,12,FALSE),"")</f>
        <v/>
      </c>
      <c r="R55"/>
      <c r="S55"/>
      <c r="T55"/>
    </row>
    <row r="56" spans="3:20" x14ac:dyDescent="0.25">
      <c r="C56" s="6">
        <v>16</v>
      </c>
      <c r="D56" s="53"/>
      <c r="E56" s="54"/>
      <c r="F56" s="72"/>
      <c r="G56" s="72"/>
      <c r="H56" s="72"/>
      <c r="I56" s="73"/>
      <c r="J56" s="9" t="str">
        <f>IF(E56&lt;&gt;"",VLOOKUP(E56,DataSource!$D$5:$O$5000,2,FALSE),"")</f>
        <v/>
      </c>
      <c r="K56" s="48" t="str">
        <f>IF(E56&lt;&gt;"",VLOOKUP(E56,DataSource!$D$5:$O$5000,3,FALSE),"")</f>
        <v/>
      </c>
      <c r="L56" s="13" t="str">
        <f>IF(E56&lt;&gt;"",VLOOKUP(E56,DataSource!$D$5:$O$5000,5,FALSE),"")</f>
        <v/>
      </c>
      <c r="M56" s="13" t="str">
        <f>IF(E56&lt;&gt;"",VLOOKUP(E56,DataSource!$D$5:$O$5000,4,FALSE),"")</f>
        <v/>
      </c>
      <c r="N56" s="10" t="str">
        <f>IF(E56&lt;&gt;"",VLOOKUP(E56,DataSource!$D$5:$O$5000,8,FALSE),"")</f>
        <v/>
      </c>
      <c r="O56" s="10" t="str">
        <f>IF(E56&lt;&gt;"",VLOOKUP(E56,DataSource!$D$5:$O$5000,9,FALSE),"")</f>
        <v/>
      </c>
      <c r="P56" s="10" t="str">
        <f>IF(E56&lt;&gt;"",VLOOKUP(E56,DataSource!$D$5:$O$5000,10,FALSE),"")</f>
        <v/>
      </c>
      <c r="Q56" s="11" t="str">
        <f>IF(E56&lt;&gt;"",VLOOKUP(E56,DataSource!$D$5:$O$5000,12,FALSE),"")</f>
        <v/>
      </c>
      <c r="R56"/>
      <c r="S56"/>
      <c r="T56"/>
    </row>
    <row r="57" spans="3:20" x14ac:dyDescent="0.25">
      <c r="C57" s="6">
        <v>17</v>
      </c>
      <c r="D57" s="53"/>
      <c r="E57" s="54"/>
      <c r="F57" s="72"/>
      <c r="G57" s="72"/>
      <c r="H57" s="72"/>
      <c r="I57" s="73"/>
      <c r="J57" s="9" t="str">
        <f>IF(E57&lt;&gt;"",VLOOKUP(E57,DataSource!$D$5:$O$5000,2,FALSE),"")</f>
        <v/>
      </c>
      <c r="K57" s="48" t="str">
        <f>IF(E57&lt;&gt;"",VLOOKUP(E57,DataSource!$D$5:$O$5000,3,FALSE),"")</f>
        <v/>
      </c>
      <c r="L57" s="13" t="str">
        <f>IF(E57&lt;&gt;"",VLOOKUP(E57,DataSource!$D$5:$O$5000,5,FALSE),"")</f>
        <v/>
      </c>
      <c r="M57" s="13" t="str">
        <f>IF(E57&lt;&gt;"",VLOOKUP(E57,DataSource!$D$5:$O$5000,4,FALSE),"")</f>
        <v/>
      </c>
      <c r="N57" s="10" t="str">
        <f>IF(E57&lt;&gt;"",VLOOKUP(E57,DataSource!$D$5:$O$5000,8,FALSE),"")</f>
        <v/>
      </c>
      <c r="O57" s="10" t="str">
        <f>IF(E57&lt;&gt;"",VLOOKUP(E57,DataSource!$D$5:$O$5000,9,FALSE),"")</f>
        <v/>
      </c>
      <c r="P57" s="10" t="str">
        <f>IF(E57&lt;&gt;"",VLOOKUP(E57,DataSource!$D$5:$O$5000,10,FALSE),"")</f>
        <v/>
      </c>
      <c r="Q57" s="11" t="str">
        <f>IF(E57&lt;&gt;"",VLOOKUP(E57,DataSource!$D$5:$O$5000,12,FALSE),"")</f>
        <v/>
      </c>
      <c r="R57"/>
      <c r="S57"/>
      <c r="T57"/>
    </row>
    <row r="58" spans="3:20" x14ac:dyDescent="0.25">
      <c r="C58" s="6">
        <v>18</v>
      </c>
      <c r="D58" s="53"/>
      <c r="E58" s="54"/>
      <c r="F58" s="72"/>
      <c r="G58" s="72"/>
      <c r="H58" s="72"/>
      <c r="I58" s="73"/>
      <c r="J58" s="9" t="str">
        <f>IF(E58&lt;&gt;"",VLOOKUP(E58,DataSource!$D$5:$O$5000,2,FALSE),"")</f>
        <v/>
      </c>
      <c r="K58" s="48" t="str">
        <f>IF(E58&lt;&gt;"",VLOOKUP(E58,DataSource!$D$5:$O$5000,3,FALSE),"")</f>
        <v/>
      </c>
      <c r="L58" s="13" t="str">
        <f>IF(E58&lt;&gt;"",VLOOKUP(E58,DataSource!$D$5:$O$5000,5,FALSE),"")</f>
        <v/>
      </c>
      <c r="M58" s="13" t="str">
        <f>IF(E58&lt;&gt;"",VLOOKUP(E58,DataSource!$D$5:$O$5000,4,FALSE),"")</f>
        <v/>
      </c>
      <c r="N58" s="10" t="str">
        <f>IF(E58&lt;&gt;"",VLOOKUP(E58,DataSource!$D$5:$O$5000,8,FALSE),"")</f>
        <v/>
      </c>
      <c r="O58" s="10" t="str">
        <f>IF(E58&lt;&gt;"",VLOOKUP(E58,DataSource!$D$5:$O$5000,9,FALSE),"")</f>
        <v/>
      </c>
      <c r="P58" s="10" t="str">
        <f>IF(E58&lt;&gt;"",VLOOKUP(E58,DataSource!$D$5:$O$5000,10,FALSE),"")</f>
        <v/>
      </c>
      <c r="Q58" s="11" t="str">
        <f>IF(E58&lt;&gt;"",VLOOKUP(E58,DataSource!$D$5:$O$5000,12,FALSE),"")</f>
        <v/>
      </c>
      <c r="R58"/>
      <c r="S58"/>
      <c r="T58"/>
    </row>
    <row r="59" spans="3:20" x14ac:dyDescent="0.25">
      <c r="C59" s="6">
        <v>19</v>
      </c>
      <c r="D59" s="53"/>
      <c r="E59" s="54"/>
      <c r="F59" s="72"/>
      <c r="G59" s="72"/>
      <c r="H59" s="72"/>
      <c r="I59" s="73"/>
      <c r="J59" s="9" t="str">
        <f>IF(E59&lt;&gt;"",VLOOKUP(E59,DataSource!$D$5:$O$5000,2,FALSE),"")</f>
        <v/>
      </c>
      <c r="K59" s="48" t="str">
        <f>IF(E59&lt;&gt;"",VLOOKUP(E59,DataSource!$D$5:$O$5000,3,FALSE),"")</f>
        <v/>
      </c>
      <c r="L59" s="13" t="str">
        <f>IF(E59&lt;&gt;"",VLOOKUP(E59,DataSource!$D$5:$O$5000,5,FALSE),"")</f>
        <v/>
      </c>
      <c r="M59" s="13" t="str">
        <f>IF(E59&lt;&gt;"",VLOOKUP(E59,DataSource!$D$5:$O$5000,4,FALSE),"")</f>
        <v/>
      </c>
      <c r="N59" s="10" t="str">
        <f>IF(E59&lt;&gt;"",VLOOKUP(E59,DataSource!$D$5:$O$5000,8,FALSE),"")</f>
        <v/>
      </c>
      <c r="O59" s="10" t="str">
        <f>IF(E59&lt;&gt;"",VLOOKUP(E59,DataSource!$D$5:$O$5000,9,FALSE),"")</f>
        <v/>
      </c>
      <c r="P59" s="10" t="str">
        <f>IF(E59&lt;&gt;"",VLOOKUP(E59,DataSource!$D$5:$O$5000,10,FALSE),"")</f>
        <v/>
      </c>
      <c r="Q59" s="11" t="str">
        <f>IF(E59&lt;&gt;"",VLOOKUP(E59,DataSource!$D$5:$O$5000,12,FALSE),"")</f>
        <v/>
      </c>
      <c r="R59"/>
      <c r="S59"/>
      <c r="T59"/>
    </row>
    <row r="60" spans="3:20" x14ac:dyDescent="0.25">
      <c r="C60" s="6">
        <v>20</v>
      </c>
      <c r="D60" s="53"/>
      <c r="E60" s="54"/>
      <c r="F60" s="72"/>
      <c r="G60" s="72"/>
      <c r="H60" s="72"/>
      <c r="I60" s="73"/>
      <c r="J60" s="9" t="str">
        <f>IF(E60&lt;&gt;"",VLOOKUP(E60,DataSource!$D$5:$O$5000,2,FALSE),"")</f>
        <v/>
      </c>
      <c r="K60" s="48" t="str">
        <f>IF(E60&lt;&gt;"",VLOOKUP(E60,DataSource!$D$5:$O$5000,3,FALSE),"")</f>
        <v/>
      </c>
      <c r="L60" s="13" t="str">
        <f>IF(E60&lt;&gt;"",VLOOKUP(E60,DataSource!$D$5:$O$5000,5,FALSE),"")</f>
        <v/>
      </c>
      <c r="M60" s="13" t="str">
        <f>IF(E60&lt;&gt;"",VLOOKUP(E60,DataSource!$D$5:$O$5000,4,FALSE),"")</f>
        <v/>
      </c>
      <c r="N60" s="10" t="str">
        <f>IF(E60&lt;&gt;"",VLOOKUP(E60,DataSource!$D$5:$O$5000,8,FALSE),"")</f>
        <v/>
      </c>
      <c r="O60" s="10" t="str">
        <f>IF(E60&lt;&gt;"",VLOOKUP(E60,DataSource!$D$5:$O$5000,9,FALSE),"")</f>
        <v/>
      </c>
      <c r="P60" s="10" t="str">
        <f>IF(E60&lt;&gt;"",VLOOKUP(E60,DataSource!$D$5:$O$5000,10,FALSE),"")</f>
        <v/>
      </c>
      <c r="Q60" s="11" t="str">
        <f>IF(E60&lt;&gt;"",VLOOKUP(E60,DataSource!$D$5:$O$5000,12,FALSE),"")</f>
        <v/>
      </c>
      <c r="R60"/>
      <c r="S60"/>
      <c r="T60"/>
    </row>
    <row r="61" spans="3:20" x14ac:dyDescent="0.25">
      <c r="C61" s="6">
        <v>21</v>
      </c>
      <c r="D61" s="53"/>
      <c r="E61" s="54"/>
      <c r="F61" s="72"/>
      <c r="G61" s="72"/>
      <c r="H61" s="72"/>
      <c r="I61" s="73"/>
      <c r="J61" s="9" t="str">
        <f>IF(E61&lt;&gt;"",VLOOKUP(E61,DataSource!$D$5:$O$5000,2,FALSE),"")</f>
        <v/>
      </c>
      <c r="K61" s="48" t="str">
        <f>IF(E61&lt;&gt;"",VLOOKUP(E61,DataSource!$D$5:$O$5000,3,FALSE),"")</f>
        <v/>
      </c>
      <c r="L61" s="13" t="str">
        <f>IF(E61&lt;&gt;"",VLOOKUP(E61,DataSource!$D$5:$O$5000,5,FALSE),"")</f>
        <v/>
      </c>
      <c r="M61" s="13" t="str">
        <f>IF(E61&lt;&gt;"",VLOOKUP(E61,DataSource!$D$5:$O$5000,4,FALSE),"")</f>
        <v/>
      </c>
      <c r="N61" s="10" t="str">
        <f>IF(E61&lt;&gt;"",VLOOKUP(E61,DataSource!$D$5:$O$5000,8,FALSE),"")</f>
        <v/>
      </c>
      <c r="O61" s="10" t="str">
        <f>IF(E61&lt;&gt;"",VLOOKUP(E61,DataSource!$D$5:$O$5000,9,FALSE),"")</f>
        <v/>
      </c>
      <c r="P61" s="10" t="str">
        <f>IF(E61&lt;&gt;"",VLOOKUP(E61,DataSource!$D$5:$O$5000,10,FALSE),"")</f>
        <v/>
      </c>
      <c r="Q61" s="11" t="str">
        <f>IF(E61&lt;&gt;"",VLOOKUP(E61,DataSource!$D$5:$O$5000,12,FALSE),"")</f>
        <v/>
      </c>
      <c r="R61"/>
      <c r="S61"/>
      <c r="T61"/>
    </row>
    <row r="62" spans="3:20" x14ac:dyDescent="0.25">
      <c r="C62" s="6">
        <v>22</v>
      </c>
      <c r="D62" s="53"/>
      <c r="E62" s="54"/>
      <c r="F62" s="72"/>
      <c r="G62" s="72"/>
      <c r="H62" s="72"/>
      <c r="I62" s="73"/>
      <c r="J62" s="9" t="str">
        <f>IF(E62&lt;&gt;"",VLOOKUP(E62,DataSource!$D$5:$O$5000,2,FALSE),"")</f>
        <v/>
      </c>
      <c r="K62" s="48" t="str">
        <f>IF(E62&lt;&gt;"",VLOOKUP(E62,DataSource!$D$5:$O$5000,3,FALSE),"")</f>
        <v/>
      </c>
      <c r="L62" s="13" t="str">
        <f>IF(E62&lt;&gt;"",VLOOKUP(E62,DataSource!$D$5:$O$5000,5,FALSE),"")</f>
        <v/>
      </c>
      <c r="M62" s="13" t="str">
        <f>IF(E62&lt;&gt;"",VLOOKUP(E62,DataSource!$D$5:$O$5000,4,FALSE),"")</f>
        <v/>
      </c>
      <c r="N62" s="10" t="str">
        <f>IF(E62&lt;&gt;"",VLOOKUP(E62,DataSource!$D$5:$O$5000,8,FALSE),"")</f>
        <v/>
      </c>
      <c r="O62" s="10" t="str">
        <f>IF(E62&lt;&gt;"",VLOOKUP(E62,DataSource!$D$5:$O$5000,9,FALSE),"")</f>
        <v/>
      </c>
      <c r="P62" s="10" t="str">
        <f>IF(E62&lt;&gt;"",VLOOKUP(E62,DataSource!$D$5:$O$5000,10,FALSE),"")</f>
        <v/>
      </c>
      <c r="Q62" s="11" t="str">
        <f>IF(E62&lt;&gt;"",VLOOKUP(E62,DataSource!$D$5:$O$5000,12,FALSE),"")</f>
        <v/>
      </c>
      <c r="R62"/>
      <c r="S62"/>
      <c r="T62"/>
    </row>
    <row r="63" spans="3:20" x14ac:dyDescent="0.25">
      <c r="C63" s="6">
        <v>23</v>
      </c>
      <c r="D63" s="53"/>
      <c r="E63" s="54"/>
      <c r="F63" s="72"/>
      <c r="G63" s="72"/>
      <c r="H63" s="72"/>
      <c r="I63" s="73"/>
      <c r="J63" s="9" t="str">
        <f>IF(E63&lt;&gt;"",VLOOKUP(E63,DataSource!$D$5:$O$5000,2,FALSE),"")</f>
        <v/>
      </c>
      <c r="K63" s="48" t="str">
        <f>IF(E63&lt;&gt;"",VLOOKUP(E63,DataSource!$D$5:$O$5000,3,FALSE),"")</f>
        <v/>
      </c>
      <c r="L63" s="13" t="str">
        <f>IF(E63&lt;&gt;"",VLOOKUP(E63,DataSource!$D$5:$O$5000,5,FALSE),"")</f>
        <v/>
      </c>
      <c r="M63" s="13" t="str">
        <f>IF(E63&lt;&gt;"",VLOOKUP(E63,DataSource!$D$5:$O$5000,4,FALSE),"")</f>
        <v/>
      </c>
      <c r="N63" s="10" t="str">
        <f>IF(E63&lt;&gt;"",VLOOKUP(E63,DataSource!$D$5:$O$5000,8,FALSE),"")</f>
        <v/>
      </c>
      <c r="O63" s="10" t="str">
        <f>IF(E63&lt;&gt;"",VLOOKUP(E63,DataSource!$D$5:$O$5000,9,FALSE),"")</f>
        <v/>
      </c>
      <c r="P63" s="10" t="str">
        <f>IF(E63&lt;&gt;"",VLOOKUP(E63,DataSource!$D$5:$O$5000,10,FALSE),"")</f>
        <v/>
      </c>
      <c r="Q63" s="11" t="str">
        <f>IF(E63&lt;&gt;"",VLOOKUP(E63,DataSource!$D$5:$O$5000,12,FALSE),"")</f>
        <v/>
      </c>
      <c r="R63"/>
      <c r="S63"/>
      <c r="T63"/>
    </row>
    <row r="64" spans="3:20" x14ac:dyDescent="0.25">
      <c r="C64" s="6">
        <v>24</v>
      </c>
      <c r="D64" s="53"/>
      <c r="E64" s="54"/>
      <c r="F64" s="72"/>
      <c r="G64" s="72"/>
      <c r="H64" s="72"/>
      <c r="I64" s="73"/>
      <c r="J64" s="9" t="str">
        <f>IF(E64&lt;&gt;"",VLOOKUP(E64,DataSource!$D$5:$O$5000,2,FALSE),"")</f>
        <v/>
      </c>
      <c r="K64" s="48" t="str">
        <f>IF(E64&lt;&gt;"",VLOOKUP(E64,DataSource!$D$5:$O$5000,3,FALSE),"")</f>
        <v/>
      </c>
      <c r="L64" s="13" t="str">
        <f>IF(E64&lt;&gt;"",VLOOKUP(E64,DataSource!$D$5:$O$5000,5,FALSE),"")</f>
        <v/>
      </c>
      <c r="M64" s="13" t="str">
        <f>IF(E64&lt;&gt;"",VLOOKUP(E64,DataSource!$D$5:$O$5000,4,FALSE),"")</f>
        <v/>
      </c>
      <c r="N64" s="10" t="str">
        <f>IF(E64&lt;&gt;"",VLOOKUP(E64,DataSource!$D$5:$O$5000,8,FALSE),"")</f>
        <v/>
      </c>
      <c r="O64" s="10" t="str">
        <f>IF(E64&lt;&gt;"",VLOOKUP(E64,DataSource!$D$5:$O$5000,9,FALSE),"")</f>
        <v/>
      </c>
      <c r="P64" s="10" t="str">
        <f>IF(E64&lt;&gt;"",VLOOKUP(E64,DataSource!$D$5:$O$5000,10,FALSE),"")</f>
        <v/>
      </c>
      <c r="Q64" s="11" t="str">
        <f>IF(E64&lt;&gt;"",VLOOKUP(E64,DataSource!$D$5:$O$5000,12,FALSE),"")</f>
        <v/>
      </c>
      <c r="R64"/>
      <c r="S64"/>
      <c r="T64"/>
    </row>
    <row r="65" spans="3:20" x14ac:dyDescent="0.25">
      <c r="C65" s="6">
        <v>25</v>
      </c>
      <c r="D65" s="53"/>
      <c r="E65" s="54"/>
      <c r="F65" s="72"/>
      <c r="G65" s="72"/>
      <c r="H65" s="72"/>
      <c r="I65" s="73"/>
      <c r="J65" s="9" t="str">
        <f>IF(E65&lt;&gt;"",VLOOKUP(E65,DataSource!$D$5:$O$5000,2,FALSE),"")</f>
        <v/>
      </c>
      <c r="K65" s="48" t="str">
        <f>IF(E65&lt;&gt;"",VLOOKUP(E65,DataSource!$D$5:$O$5000,3,FALSE),"")</f>
        <v/>
      </c>
      <c r="L65" s="13" t="str">
        <f>IF(E65&lt;&gt;"",VLOOKUP(E65,DataSource!$D$5:$O$5000,5,FALSE),"")</f>
        <v/>
      </c>
      <c r="M65" s="13" t="str">
        <f>IF(E65&lt;&gt;"",VLOOKUP(E65,DataSource!$D$5:$O$5000,4,FALSE),"")</f>
        <v/>
      </c>
      <c r="N65" s="10" t="str">
        <f>IF(E65&lt;&gt;"",VLOOKUP(E65,DataSource!$D$5:$O$5000,8,FALSE),"")</f>
        <v/>
      </c>
      <c r="O65" s="10" t="str">
        <f>IF(E65&lt;&gt;"",VLOOKUP(E65,DataSource!$D$5:$O$5000,9,FALSE),"")</f>
        <v/>
      </c>
      <c r="P65" s="10" t="str">
        <f>IF(E65&lt;&gt;"",VLOOKUP(E65,DataSource!$D$5:$O$5000,10,FALSE),"")</f>
        <v/>
      </c>
      <c r="Q65" s="11" t="str">
        <f>IF(E65&lt;&gt;"",VLOOKUP(E65,DataSource!$D$5:$O$5000,12,FALSE),"")</f>
        <v/>
      </c>
      <c r="R65"/>
      <c r="S65"/>
      <c r="T65"/>
    </row>
    <row r="66" spans="3:20" x14ac:dyDescent="0.25">
      <c r="C66" s="6">
        <v>26</v>
      </c>
      <c r="D66" s="53"/>
      <c r="E66" s="54"/>
      <c r="F66" s="72"/>
      <c r="G66" s="72"/>
      <c r="H66" s="72"/>
      <c r="I66" s="73"/>
      <c r="J66" s="9" t="str">
        <f>IF(E66&lt;&gt;"",VLOOKUP(E66,DataSource!$D$5:$O$5000,2,FALSE),"")</f>
        <v/>
      </c>
      <c r="K66" s="48" t="str">
        <f>IF(E66&lt;&gt;"",VLOOKUP(E66,DataSource!$D$5:$O$5000,3,FALSE),"")</f>
        <v/>
      </c>
      <c r="L66" s="13" t="str">
        <f>IF(E66&lt;&gt;"",VLOOKUP(E66,DataSource!$D$5:$O$5000,5,FALSE),"")</f>
        <v/>
      </c>
      <c r="M66" s="13" t="str">
        <f>IF(E66&lt;&gt;"",VLOOKUP(E66,DataSource!$D$5:$O$5000,4,FALSE),"")</f>
        <v/>
      </c>
      <c r="N66" s="10" t="str">
        <f>IF(E66&lt;&gt;"",VLOOKUP(E66,DataSource!$D$5:$O$5000,8,FALSE),"")</f>
        <v/>
      </c>
      <c r="O66" s="10" t="str">
        <f>IF(E66&lt;&gt;"",VLOOKUP(E66,DataSource!$D$5:$O$5000,9,FALSE),"")</f>
        <v/>
      </c>
      <c r="P66" s="10" t="str">
        <f>IF(E66&lt;&gt;"",VLOOKUP(E66,DataSource!$D$5:$O$5000,10,FALSE),"")</f>
        <v/>
      </c>
      <c r="Q66" s="11" t="str">
        <f>IF(E66&lt;&gt;"",VLOOKUP(E66,DataSource!$D$5:$O$5000,12,FALSE),"")</f>
        <v/>
      </c>
    </row>
    <row r="67" spans="3:20" x14ac:dyDescent="0.25">
      <c r="C67" s="6">
        <v>27</v>
      </c>
      <c r="D67" s="53"/>
      <c r="E67" s="54"/>
      <c r="F67" s="72"/>
      <c r="G67" s="72"/>
      <c r="H67" s="72"/>
      <c r="I67" s="73"/>
      <c r="J67" s="9" t="str">
        <f>IF(E67&lt;&gt;"",VLOOKUP(E67,DataSource!$D$5:$O$5000,2,FALSE),"")</f>
        <v/>
      </c>
      <c r="K67" s="48" t="str">
        <f>IF(E67&lt;&gt;"",VLOOKUP(E67,DataSource!$D$5:$O$5000,3,FALSE),"")</f>
        <v/>
      </c>
      <c r="L67" s="13" t="str">
        <f>IF(E67&lt;&gt;"",VLOOKUP(E67,DataSource!$D$5:$O$5000,5,FALSE),"")</f>
        <v/>
      </c>
      <c r="M67" s="13" t="str">
        <f>IF(E67&lt;&gt;"",VLOOKUP(E67,DataSource!$D$5:$O$5000,4,FALSE),"")</f>
        <v/>
      </c>
      <c r="N67" s="10" t="str">
        <f>IF(E67&lt;&gt;"",VLOOKUP(E67,DataSource!$D$5:$O$5000,8,FALSE),"")</f>
        <v/>
      </c>
      <c r="O67" s="10" t="str">
        <f>IF(E67&lt;&gt;"",VLOOKUP(E67,DataSource!$D$5:$O$5000,9,FALSE),"")</f>
        <v/>
      </c>
      <c r="P67" s="10" t="str">
        <f>IF(E67&lt;&gt;"",VLOOKUP(E67,DataSource!$D$5:$O$5000,10,FALSE),"")</f>
        <v/>
      </c>
      <c r="Q67" s="11" t="str">
        <f>IF(E67&lt;&gt;"",VLOOKUP(E67,DataSource!$D$5:$O$5000,12,FALSE),"")</f>
        <v/>
      </c>
    </row>
    <row r="68" spans="3:20" x14ac:dyDescent="0.25">
      <c r="C68" s="6">
        <v>28</v>
      </c>
      <c r="D68" s="53"/>
      <c r="E68" s="54"/>
      <c r="F68" s="72"/>
      <c r="G68" s="72"/>
      <c r="H68" s="72"/>
      <c r="I68" s="73"/>
      <c r="J68" s="9" t="str">
        <f>IF(E68&lt;&gt;"",VLOOKUP(E68,DataSource!$D$5:$O$5000,2,FALSE),"")</f>
        <v/>
      </c>
      <c r="K68" s="48" t="str">
        <f>IF(E68&lt;&gt;"",VLOOKUP(E68,DataSource!$D$5:$O$5000,3,FALSE),"")</f>
        <v/>
      </c>
      <c r="L68" s="13" t="str">
        <f>IF(E68&lt;&gt;"",VLOOKUP(E68,DataSource!$D$5:$O$5000,5,FALSE),"")</f>
        <v/>
      </c>
      <c r="M68" s="13" t="str">
        <f>IF(E68&lt;&gt;"",VLOOKUP(E68,DataSource!$D$5:$O$5000,4,FALSE),"")</f>
        <v/>
      </c>
      <c r="N68" s="10" t="str">
        <f>IF(E68&lt;&gt;"",VLOOKUP(E68,DataSource!$D$5:$O$5000,8,FALSE),"")</f>
        <v/>
      </c>
      <c r="O68" s="10" t="str">
        <f>IF(E68&lt;&gt;"",VLOOKUP(E68,DataSource!$D$5:$O$5000,9,FALSE),"")</f>
        <v/>
      </c>
      <c r="P68" s="10" t="str">
        <f>IF(E68&lt;&gt;"",VLOOKUP(E68,DataSource!$D$5:$O$5000,10,FALSE),"")</f>
        <v/>
      </c>
      <c r="Q68" s="11" t="str">
        <f>IF(E68&lt;&gt;"",VLOOKUP(E68,DataSource!$D$5:$O$5000,12,FALSE),"")</f>
        <v/>
      </c>
    </row>
    <row r="69" spans="3:20" x14ac:dyDescent="0.25">
      <c r="C69" s="6">
        <v>29</v>
      </c>
      <c r="D69" s="53"/>
      <c r="E69" s="54"/>
      <c r="F69" s="72"/>
      <c r="G69" s="72"/>
      <c r="H69" s="72"/>
      <c r="I69" s="73"/>
      <c r="J69" s="9" t="str">
        <f>IF(E69&lt;&gt;"",VLOOKUP(E69,DataSource!$D$5:$O$5000,2,FALSE),"")</f>
        <v/>
      </c>
      <c r="K69" s="48" t="str">
        <f>IF(E69&lt;&gt;"",VLOOKUP(E69,DataSource!$D$5:$O$5000,3,FALSE),"")</f>
        <v/>
      </c>
      <c r="L69" s="13" t="str">
        <f>IF(E69&lt;&gt;"",VLOOKUP(E69,DataSource!$D$5:$O$5000,5,FALSE),"")</f>
        <v/>
      </c>
      <c r="M69" s="13" t="str">
        <f>IF(E69&lt;&gt;"",VLOOKUP(E69,DataSource!$D$5:$O$5000,4,FALSE),"")</f>
        <v/>
      </c>
      <c r="N69" s="10" t="str">
        <f>IF(E69&lt;&gt;"",VLOOKUP(E69,DataSource!$D$5:$O$5000,8,FALSE),"")</f>
        <v/>
      </c>
      <c r="O69" s="10" t="str">
        <f>IF(E69&lt;&gt;"",VLOOKUP(E69,DataSource!$D$5:$O$5000,9,FALSE),"")</f>
        <v/>
      </c>
      <c r="P69" s="10" t="str">
        <f>IF(E69&lt;&gt;"",VLOOKUP(E69,DataSource!$D$5:$O$5000,10,FALSE),"")</f>
        <v/>
      </c>
      <c r="Q69" s="11" t="str">
        <f>IF(E69&lt;&gt;"",VLOOKUP(E69,DataSource!$D$5:$O$5000,12,FALSE),"")</f>
        <v/>
      </c>
    </row>
    <row r="70" spans="3:20" x14ac:dyDescent="0.25">
      <c r="C70" s="30">
        <v>30</v>
      </c>
      <c r="D70" s="67"/>
      <c r="E70" s="68"/>
      <c r="F70" s="77"/>
      <c r="G70" s="77"/>
      <c r="H70" s="77"/>
      <c r="I70" s="78"/>
      <c r="J70" s="31" t="str">
        <f>IF(E70&lt;&gt;"",VLOOKUP(E70,DataSource!$D$5:$O$5000,2,FALSE),"")</f>
        <v/>
      </c>
      <c r="K70" s="49" t="str">
        <f>IF(E70&lt;&gt;"",VLOOKUP(E70,DataSource!$D$5:$O$5000,3,FALSE),"")</f>
        <v/>
      </c>
      <c r="L70" s="32" t="str">
        <f>IF(E70&lt;&gt;"",VLOOKUP(E70,DataSource!$D$5:$O$5000,5,FALSE),"")</f>
        <v/>
      </c>
      <c r="M70" s="32" t="str">
        <f>IF(E70&lt;&gt;"",VLOOKUP(E70,DataSource!$D$5:$O$5000,4,FALSE),"")</f>
        <v/>
      </c>
      <c r="N70" s="33" t="str">
        <f>IF(E70&lt;&gt;"",VLOOKUP(E70,DataSource!$D$5:$O$5000,8,FALSE),"")</f>
        <v/>
      </c>
      <c r="O70" s="33" t="str">
        <f>IF(E70&lt;&gt;"",VLOOKUP(E70,DataSource!$D$5:$O$5000,9,FALSE),"")</f>
        <v/>
      </c>
      <c r="P70" s="33" t="str">
        <f>IF(E70&lt;&gt;"",VLOOKUP(E70,DataSource!$D$5:$O$5000,10,FALSE),"")</f>
        <v/>
      </c>
      <c r="Q70" s="34" t="str">
        <f>IF(E70&lt;&gt;"",VLOOKUP(E70,DataSource!$D$5:$O$5000,12,FALSE),"")</f>
        <v/>
      </c>
    </row>
  </sheetData>
  <sheetProtection algorithmName="SHA-512" hashValue="sSMztGt7cPDNQmGdifHKJYrrUA+1jnZv89fu20soyqESL+D7FWmQJ89xWOpdlyMem5gcQ1gNyYzvcSAjoyIVUw==" saltValue="Q38rBdUXk/1jOFDucCBiMw==" spinCount="100000" sheet="1" objects="1" scenarios="1" sort="0" autoFilter="0"/>
  <sortState ref="D15:G19">
    <sortCondition ref="G19"/>
  </sortState>
  <mergeCells count="40">
    <mergeCell ref="J5:L5"/>
    <mergeCell ref="J6:L6"/>
    <mergeCell ref="J7:L7"/>
    <mergeCell ref="O2:P2"/>
    <mergeCell ref="Q2:T2"/>
    <mergeCell ref="J2:L2"/>
    <mergeCell ref="J3:L3"/>
    <mergeCell ref="J4:L4"/>
    <mergeCell ref="F69:I69"/>
    <mergeCell ref="F70:I70"/>
    <mergeCell ref="F56:I56"/>
    <mergeCell ref="F57:I57"/>
    <mergeCell ref="F58:I58"/>
    <mergeCell ref="F59:I59"/>
    <mergeCell ref="F60:I60"/>
    <mergeCell ref="F61:I61"/>
    <mergeCell ref="F62:I62"/>
    <mergeCell ref="F63:I63"/>
    <mergeCell ref="F64:I64"/>
    <mergeCell ref="F65:I65"/>
    <mergeCell ref="F66:I66"/>
    <mergeCell ref="F67:I67"/>
    <mergeCell ref="F68:I68"/>
    <mergeCell ref="C1:G3"/>
    <mergeCell ref="F40:I40"/>
    <mergeCell ref="F41:I41"/>
    <mergeCell ref="F42:I42"/>
    <mergeCell ref="F43:I43"/>
    <mergeCell ref="F44:I44"/>
    <mergeCell ref="F45:I45"/>
    <mergeCell ref="F46:I46"/>
    <mergeCell ref="F47:I47"/>
    <mergeCell ref="F48:I48"/>
    <mergeCell ref="F54:I54"/>
    <mergeCell ref="F55:I55"/>
    <mergeCell ref="F49:I49"/>
    <mergeCell ref="F50:I50"/>
    <mergeCell ref="F51:I51"/>
    <mergeCell ref="F52:I52"/>
    <mergeCell ref="F53:I53"/>
  </mergeCells>
  <conditionalFormatting sqref="N10:P35 R10:R35">
    <cfRule type="cellIs" dxfId="18" priority="28" operator="lessThan">
      <formula>0</formula>
    </cfRule>
    <cfRule type="cellIs" dxfId="17" priority="29" operator="greaterThan">
      <formula>0</formula>
    </cfRule>
  </conditionalFormatting>
  <conditionalFormatting sqref="M7">
    <cfRule type="cellIs" dxfId="16" priority="20" operator="lessThan">
      <formula>0</formula>
    </cfRule>
    <cfRule type="cellIs" dxfId="15" priority="21" operator="greaterThan">
      <formula>0</formula>
    </cfRule>
  </conditionalFormatting>
  <conditionalFormatting sqref="M3">
    <cfRule type="cellIs" dxfId="14" priority="18" operator="lessThan">
      <formula>$M$2</formula>
    </cfRule>
    <cfRule type="cellIs" dxfId="13" priority="19" operator="greaterThan">
      <formula>$M$2</formula>
    </cfRule>
  </conditionalFormatting>
  <conditionalFormatting sqref="M6">
    <cfRule type="cellIs" dxfId="12" priority="14" operator="lessThan">
      <formula>0</formula>
    </cfRule>
    <cfRule type="cellIs" dxfId="11" priority="15" operator="greaterThan">
      <formula>0</formula>
    </cfRule>
  </conditionalFormatting>
  <conditionalFormatting sqref="N41:P70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M4">
    <cfRule type="cellIs" dxfId="6" priority="3" operator="greaterThan">
      <formula>0</formula>
    </cfRule>
    <cfRule type="cellIs" dxfId="5" priority="4" operator="lessThan">
      <formula>$M$2</formula>
    </cfRule>
    <cfRule type="cellIs" dxfId="4" priority="5" operator="greaterThan">
      <formula>$M$2</formula>
    </cfRule>
  </conditionalFormatting>
  <conditionalFormatting sqref="M5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D35" r:id="rId1"/>
    <hyperlink ref="O7" r:id="rId2"/>
    <hyperlink ref="D41" r:id="rId3"/>
    <hyperlink ref="D42" r:id="rId4"/>
    <hyperlink ref="D43" r:id="rId5"/>
    <hyperlink ref="D44" r:id="rId6"/>
    <hyperlink ref="D45" r:id="rId7"/>
    <hyperlink ref="D46" r:id="rId8"/>
    <hyperlink ref="D47" r:id="rId9"/>
    <hyperlink ref="D12" r:id="rId10"/>
    <hyperlink ref="D10" r:id="rId11"/>
    <hyperlink ref="D11" r:id="rId12"/>
    <hyperlink ref="D13" r:id="rId13"/>
  </hyperlinks>
  <pageMargins left="0.7" right="0.7" top="0.75" bottom="0.75" header="0.3" footer="0.3"/>
  <pageSetup orientation="portrait" horizontalDpi="4294967293" r:id="rId14"/>
  <drawing r:id="rId15"/>
  <legacyDrawing r:id="rId16"/>
  <controls>
    <mc:AlternateContent xmlns:mc="http://schemas.openxmlformats.org/markup-compatibility/2006">
      <mc:Choice Requires="x14">
        <control shapeId="1035" r:id="rId17" name="cmbCryptoWatch">
          <controlPr autoLine="0" r:id="rId18">
            <anchor moveWithCells="1">
              <from>
                <xdr:col>2</xdr:col>
                <xdr:colOff>9525</xdr:colOff>
                <xdr:row>36</xdr:row>
                <xdr:rowOff>171450</xdr:rowOff>
              </from>
              <to>
                <xdr:col>5</xdr:col>
                <xdr:colOff>390525</xdr:colOff>
                <xdr:row>38</xdr:row>
                <xdr:rowOff>38100</xdr:rowOff>
              </to>
            </anchor>
          </controlPr>
        </control>
      </mc:Choice>
      <mc:Fallback>
        <control shapeId="1035" r:id="rId17" name="cmbCryptoWatch"/>
      </mc:Fallback>
    </mc:AlternateContent>
    <mc:AlternateContent xmlns:mc="http://schemas.openxmlformats.org/markup-compatibility/2006">
      <mc:Choice Requires="x14">
        <control shapeId="1028" r:id="rId19" name="cmdAddCoin">
          <controlPr defaultSize="0" autoLine="0" r:id="rId20">
            <anchor moveWithCells="1">
              <from>
                <xdr:col>5</xdr:col>
                <xdr:colOff>438150</xdr:colOff>
                <xdr:row>4</xdr:row>
                <xdr:rowOff>47625</xdr:rowOff>
              </from>
              <to>
                <xdr:col>6</xdr:col>
                <xdr:colOff>590550</xdr:colOff>
                <xdr:row>6</xdr:row>
                <xdr:rowOff>57150</xdr:rowOff>
              </to>
            </anchor>
          </controlPr>
        </control>
      </mc:Choice>
      <mc:Fallback>
        <control shapeId="1028" r:id="rId19" name="cmdAddCoin"/>
      </mc:Fallback>
    </mc:AlternateContent>
    <mc:AlternateContent xmlns:mc="http://schemas.openxmlformats.org/markup-compatibility/2006">
      <mc:Choice Requires="x14">
        <control shapeId="1027" r:id="rId21" name="cmbCoinList">
          <controlPr autoLine="0" r:id="rId18">
            <anchor moveWithCells="1">
              <from>
                <xdr:col>2</xdr:col>
                <xdr:colOff>38100</xdr:colOff>
                <xdr:row>5</xdr:row>
                <xdr:rowOff>9525</xdr:rowOff>
              </from>
              <to>
                <xdr:col>5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1027" r:id="rId21" name="cmbCoinList"/>
      </mc:Fallback>
    </mc:AlternateContent>
    <mc:AlternateContent xmlns:mc="http://schemas.openxmlformats.org/markup-compatibility/2006">
      <mc:Choice Requires="x14">
        <control shapeId="1032" r:id="rId22" name="cmdAddWatch">
          <controlPr defaultSize="0" autoLine="0" r:id="rId23">
            <anchor moveWithCells="1">
              <from>
                <xdr:col>5</xdr:col>
                <xdr:colOff>428625</xdr:colOff>
                <xdr:row>36</xdr:row>
                <xdr:rowOff>28575</xdr:rowOff>
              </from>
              <to>
                <xdr:col>7</xdr:col>
                <xdr:colOff>571500</xdr:colOff>
                <xdr:row>38</xdr:row>
                <xdr:rowOff>38100</xdr:rowOff>
              </to>
            </anchor>
          </controlPr>
        </control>
      </mc:Choice>
      <mc:Fallback>
        <control shapeId="1032" r:id="rId22" name="cmdAddWatc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O161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 x14ac:dyDescent="0.25"/>
  <cols>
    <col min="2" max="2" width="29.85546875" style="17" hidden="1" customWidth="1"/>
    <col min="3" max="3" width="27.42578125" style="17" bestFit="1" customWidth="1"/>
    <col min="4" max="4" width="11.28515625" style="17" bestFit="1" customWidth="1"/>
    <col min="5" max="5" width="14.7109375" style="17" bestFit="1" customWidth="1"/>
    <col min="6" max="6" width="15.7109375" style="17" bestFit="1" customWidth="1"/>
    <col min="7" max="7" width="15.42578125" style="17" bestFit="1" customWidth="1"/>
    <col min="8" max="8" width="16.42578125" style="17" bestFit="1" customWidth="1"/>
    <col min="9" max="9" width="17.5703125" style="17" bestFit="1" customWidth="1"/>
    <col min="10" max="10" width="19.140625" style="17" bestFit="1" customWidth="1"/>
    <col min="11" max="11" width="15.28515625" style="26" bestFit="1" customWidth="1"/>
    <col min="12" max="12" width="17.28515625" style="26" bestFit="1" customWidth="1"/>
    <col min="13" max="13" width="15.28515625" style="26" bestFit="1" customWidth="1"/>
    <col min="14" max="14" width="9.140625" style="17"/>
    <col min="15" max="15" width="25.7109375" style="17" bestFit="1" customWidth="1"/>
  </cols>
  <sheetData>
    <row r="1" spans="2:15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5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5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5" ht="32.25" customHeight="1" x14ac:dyDescent="0.25">
      <c r="B4" s="24" t="s">
        <v>1117</v>
      </c>
      <c r="C4" s="24" t="s">
        <v>1123</v>
      </c>
      <c r="D4" s="24" t="s">
        <v>1118</v>
      </c>
      <c r="E4" s="24" t="s">
        <v>147</v>
      </c>
      <c r="F4" s="24" t="s">
        <v>148</v>
      </c>
      <c r="G4" s="24" t="s">
        <v>1119</v>
      </c>
      <c r="H4" s="24" t="s">
        <v>149</v>
      </c>
      <c r="I4" s="24" t="s">
        <v>150</v>
      </c>
      <c r="J4" s="24" t="s">
        <v>151</v>
      </c>
      <c r="K4" s="24" t="s">
        <v>152</v>
      </c>
      <c r="L4" s="24" t="s">
        <v>1120</v>
      </c>
      <c r="M4" s="24" t="s">
        <v>1121</v>
      </c>
      <c r="N4" s="24" t="s">
        <v>153</v>
      </c>
      <c r="O4" s="24" t="s">
        <v>1122</v>
      </c>
    </row>
    <row r="5" spans="2:15" x14ac:dyDescent="0.25">
      <c r="B5" s="17" t="s">
        <v>154</v>
      </c>
      <c r="C5" s="16" t="s">
        <v>0</v>
      </c>
      <c r="D5" s="17" t="s">
        <v>75</v>
      </c>
      <c r="E5" s="18">
        <v>1</v>
      </c>
      <c r="F5" s="19">
        <v>14001.3</v>
      </c>
      <c r="G5" s="20">
        <v>12494400000</v>
      </c>
      <c r="H5" s="20">
        <v>235208706781</v>
      </c>
      <c r="I5" s="21">
        <v>16799062</v>
      </c>
      <c r="J5" s="21">
        <v>16799062</v>
      </c>
      <c r="K5" s="25">
        <v>0.63</v>
      </c>
      <c r="L5" s="25">
        <v>2.97</v>
      </c>
      <c r="M5" s="25">
        <v>-18.16</v>
      </c>
      <c r="N5" s="17">
        <v>1</v>
      </c>
      <c r="O5" s="22">
        <v>43112.874583333331</v>
      </c>
    </row>
    <row r="6" spans="2:15" x14ac:dyDescent="0.25">
      <c r="B6" s="17" t="s">
        <v>155</v>
      </c>
      <c r="C6" s="16" t="s">
        <v>1</v>
      </c>
      <c r="D6" s="17" t="s">
        <v>76</v>
      </c>
      <c r="E6" s="18">
        <v>9.0741299999999997E-2</v>
      </c>
      <c r="F6" s="19">
        <v>1267.78</v>
      </c>
      <c r="G6" s="20">
        <v>5482690000</v>
      </c>
      <c r="H6" s="20">
        <v>122898046073</v>
      </c>
      <c r="I6" s="21">
        <v>96939568</v>
      </c>
      <c r="J6" s="21">
        <v>96939568</v>
      </c>
      <c r="K6" s="25">
        <v>0.28999999999999998</v>
      </c>
      <c r="L6" s="25">
        <v>6.49</v>
      </c>
      <c r="M6" s="25">
        <v>27.33</v>
      </c>
      <c r="N6" s="17">
        <v>2</v>
      </c>
      <c r="O6" s="22">
        <v>43112.874421296299</v>
      </c>
    </row>
    <row r="7" spans="2:15" x14ac:dyDescent="0.25">
      <c r="B7" s="17" t="s">
        <v>157</v>
      </c>
      <c r="C7" s="16" t="s">
        <v>3</v>
      </c>
      <c r="D7" s="17" t="s">
        <v>78</v>
      </c>
      <c r="E7" s="18">
        <v>1.4459999999999999E-4</v>
      </c>
      <c r="F7" s="19">
        <v>2.0202900000000001</v>
      </c>
      <c r="G7" s="20">
        <v>3640220000</v>
      </c>
      <c r="H7" s="20">
        <v>78264302830</v>
      </c>
      <c r="I7" s="21">
        <v>38739142811</v>
      </c>
      <c r="J7" s="21">
        <v>99993093880</v>
      </c>
      <c r="K7" s="25">
        <v>1.35</v>
      </c>
      <c r="L7" s="25">
        <v>0.06</v>
      </c>
      <c r="M7" s="25">
        <v>-33.479999999999997</v>
      </c>
      <c r="N7" s="17">
        <v>3</v>
      </c>
      <c r="O7" s="22">
        <v>43112.87431712963</v>
      </c>
    </row>
    <row r="8" spans="2:15" x14ac:dyDescent="0.25">
      <c r="B8" s="17" t="s">
        <v>156</v>
      </c>
      <c r="C8" s="16" t="s">
        <v>2</v>
      </c>
      <c r="D8" s="17" t="s">
        <v>77</v>
      </c>
      <c r="E8" s="18">
        <v>0.186754</v>
      </c>
      <c r="F8" s="19">
        <v>2609.21</v>
      </c>
      <c r="G8" s="20">
        <v>1116040000</v>
      </c>
      <c r="H8" s="20">
        <v>44116750986</v>
      </c>
      <c r="I8" s="21">
        <v>16908088</v>
      </c>
      <c r="J8" s="21">
        <v>16908088</v>
      </c>
      <c r="K8" s="25">
        <v>1.04</v>
      </c>
      <c r="L8" s="25">
        <v>3.69</v>
      </c>
      <c r="M8" s="25">
        <v>2.04</v>
      </c>
      <c r="N8" s="17">
        <v>4</v>
      </c>
      <c r="O8" s="22">
        <v>43112.874444444446</v>
      </c>
    </row>
    <row r="9" spans="2:15" x14ac:dyDescent="0.25">
      <c r="B9" s="17" t="s">
        <v>1231</v>
      </c>
      <c r="C9" s="16" t="s">
        <v>1232</v>
      </c>
      <c r="D9" s="17" t="s">
        <v>1233</v>
      </c>
      <c r="E9" s="18">
        <v>6.1840000000000004E-5</v>
      </c>
      <c r="F9" s="19">
        <v>0.86397500000000005</v>
      </c>
      <c r="G9" s="20">
        <v>301219000</v>
      </c>
      <c r="H9" s="20">
        <v>22400340768</v>
      </c>
      <c r="I9" s="21">
        <v>25927070538</v>
      </c>
      <c r="J9" s="21">
        <v>31112483745</v>
      </c>
      <c r="K9" s="25">
        <v>0.04</v>
      </c>
      <c r="L9" s="25">
        <v>19.399999999999999</v>
      </c>
      <c r="M9" s="25">
        <v>-12.46</v>
      </c>
      <c r="N9" s="17">
        <v>5</v>
      </c>
      <c r="O9" s="22">
        <v>43112.874467592592</v>
      </c>
    </row>
    <row r="10" spans="2:15" x14ac:dyDescent="0.25">
      <c r="B10" s="17" t="s">
        <v>158</v>
      </c>
      <c r="C10" s="16" t="s">
        <v>4</v>
      </c>
      <c r="D10" s="17" t="s">
        <v>79</v>
      </c>
      <c r="E10" s="18">
        <v>1.6951999999999998E-2</v>
      </c>
      <c r="F10" s="19">
        <v>236.84299999999999</v>
      </c>
      <c r="G10" s="20">
        <v>737643000</v>
      </c>
      <c r="H10" s="20">
        <v>12961779845</v>
      </c>
      <c r="I10" s="21">
        <v>54727308</v>
      </c>
      <c r="J10" s="21">
        <v>54727308</v>
      </c>
      <c r="K10" s="25">
        <v>0.39</v>
      </c>
      <c r="L10" s="25">
        <v>1.64</v>
      </c>
      <c r="M10" s="25">
        <v>-6.39</v>
      </c>
      <c r="N10" s="17">
        <v>6</v>
      </c>
      <c r="O10" s="22">
        <v>43112.87431712963</v>
      </c>
    </row>
    <row r="11" spans="2:15" x14ac:dyDescent="0.25">
      <c r="B11" s="17" t="s">
        <v>159</v>
      </c>
      <c r="C11" s="16" t="s">
        <v>5</v>
      </c>
      <c r="D11" s="17" t="s">
        <v>80</v>
      </c>
      <c r="E11" s="18">
        <v>1.0132E-4</v>
      </c>
      <c r="F11" s="19">
        <v>1.41553</v>
      </c>
      <c r="G11" s="20">
        <v>67620900</v>
      </c>
      <c r="H11" s="20">
        <v>12739769999</v>
      </c>
      <c r="I11" s="21">
        <v>8999999999</v>
      </c>
      <c r="J11" s="21">
        <v>8999999999</v>
      </c>
      <c r="K11" s="25">
        <v>-0.21</v>
      </c>
      <c r="L11" s="25">
        <v>3.29</v>
      </c>
      <c r="M11" s="25">
        <v>-10.74</v>
      </c>
      <c r="N11" s="17">
        <v>7</v>
      </c>
      <c r="O11" s="22">
        <v>43112.874351851853</v>
      </c>
    </row>
    <row r="12" spans="2:15" x14ac:dyDescent="0.25">
      <c r="B12" s="17" t="s">
        <v>176</v>
      </c>
      <c r="C12" s="16" t="s">
        <v>1435</v>
      </c>
      <c r="D12" s="17" t="s">
        <v>96</v>
      </c>
      <c r="E12" s="18">
        <v>4.6829999999999997E-5</v>
      </c>
      <c r="F12" s="19">
        <v>0.65433799999999998</v>
      </c>
      <c r="G12" s="20">
        <v>383345000</v>
      </c>
      <c r="H12" s="20">
        <v>11706185803</v>
      </c>
      <c r="I12" s="21">
        <v>17890120706</v>
      </c>
      <c r="J12" s="21">
        <v>103590302054</v>
      </c>
      <c r="K12" s="25">
        <v>-1.61</v>
      </c>
      <c r="L12" s="25">
        <v>14.17</v>
      </c>
      <c r="M12" s="25">
        <v>-0.42</v>
      </c>
      <c r="N12" s="17">
        <v>8</v>
      </c>
      <c r="O12" s="22">
        <v>43112.874351851853</v>
      </c>
    </row>
    <row r="13" spans="2:15" x14ac:dyDescent="0.25">
      <c r="B13" s="17" t="s">
        <v>161</v>
      </c>
      <c r="C13" s="16" t="s">
        <v>7</v>
      </c>
      <c r="D13" s="17" t="s">
        <v>82</v>
      </c>
      <c r="E13" s="18">
        <v>2.6583999999999999E-4</v>
      </c>
      <c r="F13" s="19">
        <v>3.7141600000000001</v>
      </c>
      <c r="G13" s="20">
        <v>137484000</v>
      </c>
      <c r="H13" s="20">
        <v>10323620196</v>
      </c>
      <c r="I13" s="21">
        <v>2779530283</v>
      </c>
      <c r="J13" s="21">
        <v>2779530283</v>
      </c>
      <c r="K13" s="25">
        <v>1.76</v>
      </c>
      <c r="L13" s="25">
        <v>8.9700000000000006</v>
      </c>
      <c r="M13" s="25">
        <v>-2.27</v>
      </c>
      <c r="N13" s="17">
        <v>9</v>
      </c>
      <c r="O13" s="22">
        <v>43112.874432870369</v>
      </c>
    </row>
    <row r="14" spans="2:15" x14ac:dyDescent="0.25">
      <c r="B14" s="17" t="s">
        <v>175</v>
      </c>
      <c r="C14" s="16" t="s">
        <v>20</v>
      </c>
      <c r="D14" s="17" t="s">
        <v>20</v>
      </c>
      <c r="E14" s="18">
        <v>1.01856E-3</v>
      </c>
      <c r="F14" s="19">
        <v>14.230700000000001</v>
      </c>
      <c r="G14" s="20">
        <v>2338380000</v>
      </c>
      <c r="H14" s="20">
        <v>8524286975</v>
      </c>
      <c r="I14" s="21">
        <v>599006864</v>
      </c>
      <c r="J14" s="21">
        <v>900000000</v>
      </c>
      <c r="K14" s="25">
        <v>0.41</v>
      </c>
      <c r="L14" s="25">
        <v>20.56</v>
      </c>
      <c r="M14" s="25">
        <v>34.24</v>
      </c>
      <c r="N14" s="17">
        <v>10</v>
      </c>
      <c r="O14" s="22">
        <v>43112.874432870369</v>
      </c>
    </row>
    <row r="15" spans="2:15" x14ac:dyDescent="0.25">
      <c r="B15" s="17" t="s">
        <v>160</v>
      </c>
      <c r="C15" s="16" t="s">
        <v>6</v>
      </c>
      <c r="D15" s="17" t="s">
        <v>81</v>
      </c>
      <c r="E15" s="18">
        <v>7.5564800000000001E-2</v>
      </c>
      <c r="F15" s="19">
        <v>1055.74</v>
      </c>
      <c r="G15" s="20">
        <v>142136000</v>
      </c>
      <c r="H15" s="20">
        <v>8249763527</v>
      </c>
      <c r="I15" s="21">
        <v>7814200</v>
      </c>
      <c r="J15" s="21">
        <v>7814200</v>
      </c>
      <c r="K15" s="25">
        <v>0.37</v>
      </c>
      <c r="L15" s="25">
        <v>2.84</v>
      </c>
      <c r="M15" s="25">
        <v>-10.78</v>
      </c>
      <c r="N15" s="17">
        <v>11</v>
      </c>
      <c r="O15" s="22">
        <v>43112.87431712963</v>
      </c>
    </row>
    <row r="16" spans="2:15" x14ac:dyDescent="0.25">
      <c r="B16" s="17" t="s">
        <v>164</v>
      </c>
      <c r="C16" s="16" t="s">
        <v>9</v>
      </c>
      <c r="D16" s="17" t="s">
        <v>9</v>
      </c>
      <c r="E16" s="18">
        <v>8.91869E-3</v>
      </c>
      <c r="F16" s="19">
        <v>124.60599999999999</v>
      </c>
      <c r="G16" s="20">
        <v>244186000</v>
      </c>
      <c r="H16" s="20">
        <v>8099390000</v>
      </c>
      <c r="I16" s="21">
        <v>65000000</v>
      </c>
      <c r="J16" s="21">
        <v>100000000</v>
      </c>
      <c r="K16" s="25">
        <v>0.72</v>
      </c>
      <c r="L16" s="25">
        <v>11.43</v>
      </c>
      <c r="M16" s="25">
        <v>32.450000000000003</v>
      </c>
      <c r="N16" s="17">
        <v>12</v>
      </c>
      <c r="O16" s="22">
        <v>43112.874386574076</v>
      </c>
    </row>
    <row r="17" spans="2:15" x14ac:dyDescent="0.25">
      <c r="B17" s="17" t="s">
        <v>1224</v>
      </c>
      <c r="C17" s="16" t="s">
        <v>1211</v>
      </c>
      <c r="D17" s="17" t="s">
        <v>1158</v>
      </c>
      <c r="E17" s="18">
        <v>7.79E-6</v>
      </c>
      <c r="F17" s="19">
        <v>0.108852</v>
      </c>
      <c r="G17" s="20">
        <v>710922000</v>
      </c>
      <c r="H17" s="20">
        <v>7156822247</v>
      </c>
      <c r="I17" s="21">
        <v>65748192475</v>
      </c>
      <c r="J17" s="21">
        <v>100000000000</v>
      </c>
      <c r="K17" s="25">
        <v>0.75</v>
      </c>
      <c r="L17" s="25">
        <v>-4.5599999999999996</v>
      </c>
      <c r="M17" s="25">
        <v>-48.66</v>
      </c>
      <c r="N17" s="17">
        <v>13</v>
      </c>
      <c r="O17" s="22">
        <v>43112.874467592592</v>
      </c>
    </row>
    <row r="18" spans="2:15" x14ac:dyDescent="0.25">
      <c r="B18" s="17" t="s">
        <v>162</v>
      </c>
      <c r="C18" s="16" t="s">
        <v>8</v>
      </c>
      <c r="D18" s="17" t="s">
        <v>83</v>
      </c>
      <c r="E18" s="18">
        <v>2.7291900000000001E-2</v>
      </c>
      <c r="F18" s="19">
        <v>381.30599999999998</v>
      </c>
      <c r="G18" s="20">
        <v>147299000</v>
      </c>
      <c r="H18" s="20">
        <v>5946352865</v>
      </c>
      <c r="I18" s="21">
        <v>15594700</v>
      </c>
      <c r="J18" s="21">
        <v>15594700</v>
      </c>
      <c r="K18" s="25">
        <v>-0.15</v>
      </c>
      <c r="L18" s="25">
        <v>3.78</v>
      </c>
      <c r="M18" s="25">
        <v>-1.85</v>
      </c>
      <c r="N18" s="17">
        <v>14</v>
      </c>
      <c r="O18" s="22">
        <v>43112.874328703707</v>
      </c>
    </row>
    <row r="19" spans="2:15" x14ac:dyDescent="0.25">
      <c r="B19" s="17" t="s">
        <v>1359</v>
      </c>
      <c r="C19" s="16" t="s">
        <v>142</v>
      </c>
      <c r="D19" s="17" t="s">
        <v>1360</v>
      </c>
      <c r="E19" s="18">
        <v>7.2544000000000005E-4</v>
      </c>
      <c r="F19" s="19">
        <v>10.135400000000001</v>
      </c>
      <c r="G19" s="20">
        <v>126619000</v>
      </c>
      <c r="H19" s="20">
        <v>3836705044</v>
      </c>
      <c r="I19" s="21">
        <v>378545005</v>
      </c>
      <c r="J19" s="21">
        <v>400230000</v>
      </c>
      <c r="K19" s="25">
        <v>2.2200000000000002</v>
      </c>
      <c r="L19" s="25">
        <v>7.6</v>
      </c>
      <c r="M19" s="25">
        <v>48.61</v>
      </c>
      <c r="N19" s="17">
        <v>15</v>
      </c>
      <c r="O19" s="22">
        <v>43112.874490740738</v>
      </c>
    </row>
    <row r="20" spans="2:15" x14ac:dyDescent="0.25">
      <c r="B20" s="17" t="s">
        <v>1316</v>
      </c>
      <c r="C20" s="16" t="s">
        <v>1428</v>
      </c>
      <c r="D20" s="17" t="s">
        <v>146</v>
      </c>
      <c r="E20" s="18">
        <v>1.5706100000000001E-2</v>
      </c>
      <c r="F20" s="19">
        <v>219.435</v>
      </c>
      <c r="G20" s="20">
        <v>111932000</v>
      </c>
      <c r="H20" s="20">
        <v>3677859208</v>
      </c>
      <c r="I20" s="21">
        <v>16760586</v>
      </c>
      <c r="J20" s="21">
        <v>16860586</v>
      </c>
      <c r="K20" s="25">
        <v>0.06</v>
      </c>
      <c r="L20" s="25">
        <v>2.5299999999999998</v>
      </c>
      <c r="M20" s="25">
        <v>-21.89</v>
      </c>
      <c r="N20" s="17">
        <v>16</v>
      </c>
      <c r="O20" s="22">
        <v>43112.874479166669</v>
      </c>
    </row>
    <row r="21" spans="2:15" x14ac:dyDescent="0.25">
      <c r="B21" s="17" t="s">
        <v>167</v>
      </c>
      <c r="C21" s="16" t="s">
        <v>13</v>
      </c>
      <c r="D21" s="17" t="s">
        <v>87</v>
      </c>
      <c r="E21" s="18">
        <v>3.50819E-3</v>
      </c>
      <c r="F21" s="19">
        <v>49.014299999999999</v>
      </c>
      <c r="G21" s="20">
        <v>701391000</v>
      </c>
      <c r="H21" s="20">
        <v>3617394148</v>
      </c>
      <c r="I21" s="21">
        <v>73802832</v>
      </c>
      <c r="J21" s="21">
        <v>100302832</v>
      </c>
      <c r="K21" s="25">
        <v>-0.24</v>
      </c>
      <c r="L21" s="25">
        <v>2.23</v>
      </c>
      <c r="M21" s="25">
        <v>-23.13</v>
      </c>
      <c r="N21" s="17">
        <v>17</v>
      </c>
      <c r="O21" s="22">
        <v>43112.874421296299</v>
      </c>
    </row>
    <row r="22" spans="2:15" x14ac:dyDescent="0.25">
      <c r="B22" s="17" t="s">
        <v>163</v>
      </c>
      <c r="C22" s="16" t="s">
        <v>10</v>
      </c>
      <c r="D22" s="17" t="s">
        <v>84</v>
      </c>
      <c r="E22" s="18">
        <v>2.4847599999999999E-3</v>
      </c>
      <c r="F22" s="19">
        <v>34.715499999999999</v>
      </c>
      <c r="G22" s="20">
        <v>448738000</v>
      </c>
      <c r="H22" s="20">
        <v>3439267501</v>
      </c>
      <c r="I22" s="21">
        <v>99070084</v>
      </c>
      <c r="J22" s="21">
        <v>99070084</v>
      </c>
      <c r="K22" s="25">
        <v>0.75</v>
      </c>
      <c r="L22" s="25">
        <v>2.91</v>
      </c>
      <c r="M22" s="25">
        <v>-5.69</v>
      </c>
      <c r="N22" s="17">
        <v>18</v>
      </c>
      <c r="O22" s="22">
        <v>43112.874386574076</v>
      </c>
    </row>
    <row r="23" spans="2:15" x14ac:dyDescent="0.25">
      <c r="B23" s="17" t="s">
        <v>169</v>
      </c>
      <c r="C23" s="16" t="s">
        <v>15</v>
      </c>
      <c r="D23" s="17" t="s">
        <v>89</v>
      </c>
      <c r="E23" s="18">
        <v>2.0978799999999999E-3</v>
      </c>
      <c r="F23" s="19">
        <v>29.310300000000002</v>
      </c>
      <c r="G23" s="20">
        <v>97716600</v>
      </c>
      <c r="H23" s="20">
        <v>3427344710</v>
      </c>
      <c r="I23" s="21">
        <v>116933116</v>
      </c>
      <c r="J23" s="21">
        <v>116933116</v>
      </c>
      <c r="K23" s="25">
        <v>0.8</v>
      </c>
      <c r="L23" s="25">
        <v>13.48</v>
      </c>
      <c r="M23" s="25">
        <v>16.920000000000002</v>
      </c>
      <c r="N23" s="17">
        <v>19</v>
      </c>
      <c r="O23" s="22">
        <v>43112.874374999999</v>
      </c>
    </row>
    <row r="24" spans="2:15" x14ac:dyDescent="0.25">
      <c r="B24" s="17" t="s">
        <v>303</v>
      </c>
      <c r="C24" s="16" t="s">
        <v>63</v>
      </c>
      <c r="D24" s="17" t="s">
        <v>136</v>
      </c>
      <c r="E24" s="18">
        <v>1.72182E-3</v>
      </c>
      <c r="F24" s="19">
        <v>24.0562</v>
      </c>
      <c r="G24" s="20">
        <v>25337100</v>
      </c>
      <c r="H24" s="20">
        <v>3205447495</v>
      </c>
      <c r="I24" s="21">
        <v>133248289</v>
      </c>
      <c r="J24" s="21">
        <v>133248289</v>
      </c>
      <c r="K24" s="25">
        <v>-1.83</v>
      </c>
      <c r="L24" s="25">
        <v>-4.38</v>
      </c>
      <c r="M24" s="25">
        <v>-25.52</v>
      </c>
      <c r="N24" s="17">
        <v>20</v>
      </c>
      <c r="O24" s="22">
        <v>43112.874409722222</v>
      </c>
    </row>
    <row r="25" spans="2:15" x14ac:dyDescent="0.25">
      <c r="B25" s="17" t="s">
        <v>165</v>
      </c>
      <c r="C25" s="16" t="s">
        <v>11</v>
      </c>
      <c r="D25" s="17" t="s">
        <v>85</v>
      </c>
      <c r="E25" s="18">
        <v>1.6475800000000001E-3</v>
      </c>
      <c r="F25" s="19">
        <v>23.018899999999999</v>
      </c>
      <c r="G25" s="20">
        <v>86145900</v>
      </c>
      <c r="H25" s="20">
        <v>2348907295</v>
      </c>
      <c r="I25" s="21">
        <v>102042552</v>
      </c>
      <c r="J25" s="21">
        <v>140245398</v>
      </c>
      <c r="K25" s="25">
        <v>1.31</v>
      </c>
      <c r="L25" s="25">
        <v>2.59</v>
      </c>
      <c r="M25" s="25">
        <v>23.45</v>
      </c>
      <c r="N25" s="17">
        <v>21</v>
      </c>
      <c r="O25" s="22">
        <v>43112.874444444446</v>
      </c>
    </row>
    <row r="26" spans="2:15" x14ac:dyDescent="0.25">
      <c r="B26" s="17" t="s">
        <v>226</v>
      </c>
      <c r="C26" s="16" t="s">
        <v>56</v>
      </c>
      <c r="D26" s="17" t="s">
        <v>130</v>
      </c>
      <c r="E26" s="18">
        <v>1.1379999999999999E-5</v>
      </c>
      <c r="F26" s="19">
        <v>0.159058</v>
      </c>
      <c r="G26" s="20">
        <v>150893000</v>
      </c>
      <c r="H26" s="20">
        <v>2311398380</v>
      </c>
      <c r="I26" s="21">
        <v>14531795820</v>
      </c>
      <c r="J26" s="21">
        <v>14531795820</v>
      </c>
      <c r="K26" s="25">
        <v>-1.03</v>
      </c>
      <c r="L26" s="25">
        <v>6.67</v>
      </c>
      <c r="M26" s="25">
        <v>-5.95</v>
      </c>
      <c r="N26" s="17">
        <v>22</v>
      </c>
      <c r="O26" s="22">
        <v>43112.874340277776</v>
      </c>
    </row>
    <row r="27" spans="2:15" x14ac:dyDescent="0.25">
      <c r="B27" s="17" t="s">
        <v>190</v>
      </c>
      <c r="C27" s="16" t="s">
        <v>33</v>
      </c>
      <c r="D27" s="17" t="s">
        <v>108</v>
      </c>
      <c r="E27" s="18">
        <v>1.63821E-3</v>
      </c>
      <c r="F27" s="19">
        <v>22.888100000000001</v>
      </c>
      <c r="G27" s="20">
        <v>488017000</v>
      </c>
      <c r="H27" s="20">
        <v>2266242333</v>
      </c>
      <c r="I27" s="21">
        <v>99014000</v>
      </c>
      <c r="J27" s="21">
        <v>199013968</v>
      </c>
      <c r="K27" s="25">
        <v>-2.6</v>
      </c>
      <c r="L27" s="25">
        <v>6.51</v>
      </c>
      <c r="M27" s="25">
        <v>56.47</v>
      </c>
      <c r="N27" s="17">
        <v>23</v>
      </c>
      <c r="O27" s="22">
        <v>43112.874456018515</v>
      </c>
    </row>
    <row r="28" spans="2:15" x14ac:dyDescent="0.25">
      <c r="B28" s="17" t="s">
        <v>171</v>
      </c>
      <c r="C28" s="16" t="s">
        <v>17</v>
      </c>
      <c r="D28" s="17" t="s">
        <v>91</v>
      </c>
      <c r="E28" s="18">
        <v>5.0124799999999997E-2</v>
      </c>
      <c r="F28" s="19">
        <v>700.31200000000001</v>
      </c>
      <c r="G28" s="20">
        <v>186006000</v>
      </c>
      <c r="H28" s="20">
        <v>2130887469</v>
      </c>
      <c r="I28" s="21">
        <v>3042769</v>
      </c>
      <c r="J28" s="21">
        <v>3042769</v>
      </c>
      <c r="K28" s="25">
        <v>0.86</v>
      </c>
      <c r="L28" s="25">
        <v>2.29</v>
      </c>
      <c r="M28" s="25">
        <v>18.239999999999998</v>
      </c>
      <c r="N28" s="17">
        <v>24</v>
      </c>
      <c r="O28" s="22">
        <v>43112.874398148146</v>
      </c>
    </row>
    <row r="29" spans="2:15" x14ac:dyDescent="0.25">
      <c r="B29" s="17" t="s">
        <v>173</v>
      </c>
      <c r="C29" s="16" t="s">
        <v>19</v>
      </c>
      <c r="D29" s="17" t="s">
        <v>93</v>
      </c>
      <c r="E29" s="18">
        <v>8.2999999999999999E-7</v>
      </c>
      <c r="F29" s="19">
        <v>1.1554500000000001E-2</v>
      </c>
      <c r="G29" s="20">
        <v>16212100</v>
      </c>
      <c r="H29" s="20">
        <v>2122071663</v>
      </c>
      <c r="I29" s="21">
        <v>183657593400</v>
      </c>
      <c r="J29" s="21">
        <v>183657593400</v>
      </c>
      <c r="K29" s="25">
        <v>3.78</v>
      </c>
      <c r="L29" s="25">
        <v>17.95</v>
      </c>
      <c r="M29" s="25">
        <v>-12.91</v>
      </c>
      <c r="N29" s="17">
        <v>25</v>
      </c>
      <c r="O29" s="22">
        <v>43112.874340277776</v>
      </c>
    </row>
    <row r="30" spans="2:15" x14ac:dyDescent="0.25">
      <c r="B30" s="17" t="s">
        <v>186</v>
      </c>
      <c r="C30" s="16" t="s">
        <v>31</v>
      </c>
      <c r="D30" s="17" t="s">
        <v>105</v>
      </c>
      <c r="E30" s="18">
        <v>4.7500000000000003E-6</v>
      </c>
      <c r="F30" s="19">
        <v>6.6404900000000003E-2</v>
      </c>
      <c r="G30" s="20">
        <v>146180000</v>
      </c>
      <c r="H30" s="20">
        <v>2084857947</v>
      </c>
      <c r="I30" s="21">
        <v>31396146174</v>
      </c>
      <c r="J30" s="21">
        <v>31396146174</v>
      </c>
      <c r="K30" s="25">
        <v>1.02</v>
      </c>
      <c r="L30" s="25">
        <v>-1.83</v>
      </c>
      <c r="M30" s="25">
        <v>9.74</v>
      </c>
      <c r="N30" s="17">
        <v>26</v>
      </c>
      <c r="O30" s="22">
        <v>43112.874363425923</v>
      </c>
    </row>
    <row r="31" spans="2:15" x14ac:dyDescent="0.25">
      <c r="B31" s="17" t="s">
        <v>168</v>
      </c>
      <c r="C31" s="16" t="s">
        <v>14</v>
      </c>
      <c r="D31" s="17" t="s">
        <v>88</v>
      </c>
      <c r="E31" s="18">
        <v>2.2967499999999998E-2</v>
      </c>
      <c r="F31" s="19">
        <v>320.887</v>
      </c>
      <c r="G31" s="20">
        <v>23243800</v>
      </c>
      <c r="H31" s="20">
        <v>1991798877</v>
      </c>
      <c r="I31" s="21">
        <v>6207166</v>
      </c>
      <c r="J31" s="21">
        <v>9559119</v>
      </c>
      <c r="K31" s="25">
        <v>0.75</v>
      </c>
      <c r="L31" s="25">
        <v>4.93</v>
      </c>
      <c r="M31" s="25">
        <v>-20.25</v>
      </c>
      <c r="N31" s="17">
        <v>27</v>
      </c>
      <c r="O31" s="22">
        <v>43112.874398148146</v>
      </c>
    </row>
    <row r="32" spans="2:15" x14ac:dyDescent="0.25">
      <c r="B32" s="17" t="s">
        <v>170</v>
      </c>
      <c r="C32" s="16" t="s">
        <v>16</v>
      </c>
      <c r="D32" s="17" t="s">
        <v>90</v>
      </c>
      <c r="E32" s="18">
        <v>1.34162E-3</v>
      </c>
      <c r="F32" s="19">
        <v>18.744299999999999</v>
      </c>
      <c r="G32" s="20">
        <v>40599900</v>
      </c>
      <c r="H32" s="20">
        <v>1850027100</v>
      </c>
      <c r="I32" s="21">
        <v>98698116</v>
      </c>
      <c r="J32" s="21">
        <v>98698116</v>
      </c>
      <c r="K32" s="25">
        <v>0.91</v>
      </c>
      <c r="L32" s="25">
        <v>10.220000000000001</v>
      </c>
      <c r="M32" s="25">
        <v>24.22</v>
      </c>
      <c r="N32" s="17">
        <v>28</v>
      </c>
      <c r="O32" s="22">
        <v>43112.874386574076</v>
      </c>
    </row>
    <row r="33" spans="2:15" x14ac:dyDescent="0.25">
      <c r="B33" s="17" t="s">
        <v>196</v>
      </c>
      <c r="C33" s="16" t="s">
        <v>44</v>
      </c>
      <c r="D33" s="17" t="s">
        <v>118</v>
      </c>
      <c r="E33" s="18">
        <v>3.5783999999999998E-3</v>
      </c>
      <c r="F33" s="19">
        <v>49.995199999999997</v>
      </c>
      <c r="G33" s="20">
        <v>2088440</v>
      </c>
      <c r="H33" s="20">
        <v>1850023725</v>
      </c>
      <c r="I33" s="21">
        <v>37004027</v>
      </c>
      <c r="J33" s="21">
        <v>53252246</v>
      </c>
      <c r="K33" s="25">
        <v>-0.35</v>
      </c>
      <c r="L33" s="25">
        <v>0.1</v>
      </c>
      <c r="M33" s="25">
        <v>20.34</v>
      </c>
      <c r="N33" s="17">
        <v>29</v>
      </c>
      <c r="O33" s="22">
        <v>43112.874444444446</v>
      </c>
    </row>
    <row r="34" spans="2:15" x14ac:dyDescent="0.25">
      <c r="B34" s="17" t="s">
        <v>1421</v>
      </c>
      <c r="C34" s="16" t="s">
        <v>1335</v>
      </c>
      <c r="D34" s="17" t="s">
        <v>1322</v>
      </c>
      <c r="E34" s="18">
        <v>1.4479E-3</v>
      </c>
      <c r="F34" s="19">
        <v>20.229099999999999</v>
      </c>
      <c r="G34" s="20">
        <v>17682700</v>
      </c>
      <c r="H34" s="20">
        <v>1841719489</v>
      </c>
      <c r="I34" s="21">
        <v>91043076</v>
      </c>
      <c r="J34" s="21">
        <v>181043076</v>
      </c>
      <c r="K34" s="25">
        <v>-0.5</v>
      </c>
      <c r="L34" s="25">
        <v>6.4</v>
      </c>
      <c r="M34" s="25">
        <v>174.68</v>
      </c>
      <c r="N34" s="17">
        <v>30</v>
      </c>
      <c r="O34" s="22">
        <v>43112.874490740738</v>
      </c>
    </row>
    <row r="35" spans="2:15" x14ac:dyDescent="0.25">
      <c r="B35" s="17" t="s">
        <v>925</v>
      </c>
      <c r="C35" s="16" t="s">
        <v>72</v>
      </c>
      <c r="D35" s="17" t="s">
        <v>1600</v>
      </c>
      <c r="E35" s="18">
        <v>4.4232000000000001E-4</v>
      </c>
      <c r="F35" s="19">
        <v>6.1798599999999997</v>
      </c>
      <c r="G35" s="20">
        <v>153288000</v>
      </c>
      <c r="H35" s="20">
        <v>1712826272</v>
      </c>
      <c r="I35" s="21">
        <v>277162633</v>
      </c>
      <c r="J35" s="21">
        <v>867162633</v>
      </c>
      <c r="K35" s="25">
        <v>2.15</v>
      </c>
      <c r="L35" s="25">
        <v>-7.57</v>
      </c>
      <c r="M35" s="25">
        <v>69.66</v>
      </c>
      <c r="N35" s="17">
        <v>31</v>
      </c>
      <c r="O35" s="22">
        <v>43112.874467592592</v>
      </c>
    </row>
    <row r="36" spans="2:15" x14ac:dyDescent="0.25">
      <c r="B36" s="17" t="s">
        <v>174</v>
      </c>
      <c r="C36" s="16" t="s">
        <v>21</v>
      </c>
      <c r="D36" s="17" t="s">
        <v>94</v>
      </c>
      <c r="E36" s="18">
        <v>4.621E-5</v>
      </c>
      <c r="F36" s="19">
        <v>0.64559800000000001</v>
      </c>
      <c r="G36" s="20">
        <v>51028400</v>
      </c>
      <c r="H36" s="20">
        <v>1683119178</v>
      </c>
      <c r="I36" s="21">
        <v>2607070000</v>
      </c>
      <c r="J36" s="21">
        <v>2607070000</v>
      </c>
      <c r="K36" s="25">
        <v>1.82</v>
      </c>
      <c r="L36" s="25">
        <v>8.2899999999999991</v>
      </c>
      <c r="M36" s="25">
        <v>-16</v>
      </c>
      <c r="N36" s="17">
        <v>32</v>
      </c>
      <c r="O36" s="22">
        <v>43112.874328703707</v>
      </c>
    </row>
    <row r="37" spans="2:15" x14ac:dyDescent="0.25">
      <c r="B37" s="17" t="s">
        <v>197</v>
      </c>
      <c r="C37" s="16" t="s">
        <v>42</v>
      </c>
      <c r="D37" s="17" t="s">
        <v>116</v>
      </c>
      <c r="E37" s="18">
        <v>3.1749999999999999E-5</v>
      </c>
      <c r="F37" s="19">
        <v>0.44352999999999998</v>
      </c>
      <c r="G37" s="20">
        <v>54440800</v>
      </c>
      <c r="H37" s="20">
        <v>1539263674</v>
      </c>
      <c r="I37" s="21">
        <v>3470483788</v>
      </c>
      <c r="J37" s="21">
        <v>6804870174</v>
      </c>
      <c r="K37" s="25">
        <v>1.53</v>
      </c>
      <c r="L37" s="25">
        <v>10.79</v>
      </c>
      <c r="M37" s="25">
        <v>-11.74</v>
      </c>
      <c r="N37" s="17">
        <v>33</v>
      </c>
      <c r="O37" s="22">
        <v>43112.874432870369</v>
      </c>
    </row>
    <row r="38" spans="2:15" x14ac:dyDescent="0.25">
      <c r="B38" s="17" t="s">
        <v>178</v>
      </c>
      <c r="C38" s="16" t="s">
        <v>23</v>
      </c>
      <c r="D38" s="17" t="s">
        <v>97</v>
      </c>
      <c r="E38" s="18">
        <v>7.2059999999999998E-5</v>
      </c>
      <c r="F38" s="19">
        <v>1.0067699999999999</v>
      </c>
      <c r="G38" s="20">
        <v>2820480000</v>
      </c>
      <c r="H38" s="20">
        <v>1478028805</v>
      </c>
      <c r="I38" s="21">
        <v>1468089837</v>
      </c>
      <c r="J38" s="21">
        <v>1499999377</v>
      </c>
      <c r="K38" s="25">
        <v>7.0000000000000007E-2</v>
      </c>
      <c r="L38" s="25">
        <v>0.19</v>
      </c>
      <c r="M38" s="25">
        <v>0.87</v>
      </c>
      <c r="N38" s="17">
        <v>34</v>
      </c>
      <c r="O38" s="22">
        <v>43112.874351851853</v>
      </c>
    </row>
    <row r="39" spans="2:15" x14ac:dyDescent="0.25">
      <c r="B39" s="17" t="s">
        <v>187</v>
      </c>
      <c r="C39" s="16" t="s">
        <v>32</v>
      </c>
      <c r="D39" s="17" t="s">
        <v>106</v>
      </c>
      <c r="E39" s="18">
        <v>9.1999999999999998E-7</v>
      </c>
      <c r="F39" s="19">
        <v>1.2877899999999999E-2</v>
      </c>
      <c r="G39" s="20">
        <v>58364600</v>
      </c>
      <c r="H39" s="20">
        <v>1451942828</v>
      </c>
      <c r="I39" s="21">
        <v>112746863110</v>
      </c>
      <c r="J39" s="21">
        <v>112746863110</v>
      </c>
      <c r="K39" s="25">
        <v>1.4</v>
      </c>
      <c r="L39" s="25">
        <v>9.32</v>
      </c>
      <c r="M39" s="25">
        <v>12.58</v>
      </c>
      <c r="N39" s="17">
        <v>35</v>
      </c>
      <c r="O39" s="22">
        <v>43112.87431712963</v>
      </c>
    </row>
    <row r="40" spans="2:15" x14ac:dyDescent="0.25">
      <c r="B40" s="17" t="s">
        <v>204</v>
      </c>
      <c r="C40" s="16" t="s">
        <v>48</v>
      </c>
      <c r="D40" s="17" t="s">
        <v>122</v>
      </c>
      <c r="E40" s="18">
        <v>1.015E-4</v>
      </c>
      <c r="F40" s="19">
        <v>1.41808</v>
      </c>
      <c r="G40" s="20">
        <v>3592140</v>
      </c>
      <c r="H40" s="20">
        <v>1416661204</v>
      </c>
      <c r="I40" s="21">
        <v>998999495</v>
      </c>
      <c r="J40" s="21">
        <v>998999495</v>
      </c>
      <c r="K40" s="25">
        <v>1.35</v>
      </c>
      <c r="L40" s="25">
        <v>3.48</v>
      </c>
      <c r="M40" s="25">
        <v>-12.86</v>
      </c>
      <c r="N40" s="17">
        <v>36</v>
      </c>
      <c r="O40" s="22">
        <v>43112.874386574076</v>
      </c>
    </row>
    <row r="41" spans="2:15" x14ac:dyDescent="0.25">
      <c r="B41" s="17" t="s">
        <v>177</v>
      </c>
      <c r="C41" s="16" t="s">
        <v>22</v>
      </c>
      <c r="D41" s="17" t="s">
        <v>95</v>
      </c>
      <c r="E41" s="18">
        <v>3.8998E-4</v>
      </c>
      <c r="F41" s="19">
        <v>5.4485200000000003</v>
      </c>
      <c r="G41" s="20">
        <v>16618000</v>
      </c>
      <c r="H41" s="20">
        <v>1344337661</v>
      </c>
      <c r="I41" s="21">
        <v>246734464</v>
      </c>
      <c r="J41" s="21">
        <v>263708558</v>
      </c>
      <c r="K41" s="25">
        <v>-0.38</v>
      </c>
      <c r="L41" s="25">
        <v>15.88</v>
      </c>
      <c r="M41" s="25">
        <v>-7.47</v>
      </c>
      <c r="N41" s="17">
        <v>37</v>
      </c>
      <c r="O41" s="22">
        <v>43112.874374999999</v>
      </c>
    </row>
    <row r="42" spans="2:15" x14ac:dyDescent="0.25">
      <c r="B42" s="17" t="s">
        <v>443</v>
      </c>
      <c r="C42" s="16" t="s">
        <v>67</v>
      </c>
      <c r="D42" s="17" t="s">
        <v>140</v>
      </c>
      <c r="E42" s="18">
        <v>2.6E-7</v>
      </c>
      <c r="F42" s="19">
        <v>3.64212E-3</v>
      </c>
      <c r="G42" s="20">
        <v>7992370</v>
      </c>
      <c r="H42" s="20">
        <v>1184381787</v>
      </c>
      <c r="I42" s="21">
        <v>325190215376</v>
      </c>
      <c r="J42" s="21">
        <v>1841395638392</v>
      </c>
      <c r="K42" s="25">
        <v>-0.71</v>
      </c>
      <c r="L42" s="25">
        <v>24.85</v>
      </c>
      <c r="M42" s="25">
        <v>277.45</v>
      </c>
      <c r="N42" s="17">
        <v>38</v>
      </c>
      <c r="O42" s="22">
        <v>43112.874456018515</v>
      </c>
    </row>
    <row r="43" spans="2:15" x14ac:dyDescent="0.25">
      <c r="B43" s="17" t="s">
        <v>181</v>
      </c>
      <c r="C43" s="16" t="s">
        <v>25</v>
      </c>
      <c r="D43" s="17" t="s">
        <v>99</v>
      </c>
      <c r="E43" s="18">
        <v>7.6980099999999999E-3</v>
      </c>
      <c r="F43" s="19">
        <v>107.55200000000001</v>
      </c>
      <c r="G43" s="20">
        <v>17151400</v>
      </c>
      <c r="H43" s="20">
        <v>1183072000</v>
      </c>
      <c r="I43" s="21">
        <v>11000000</v>
      </c>
      <c r="J43" s="21">
        <v>11000000</v>
      </c>
      <c r="K43" s="25">
        <v>0</v>
      </c>
      <c r="L43" s="25">
        <v>-0.26</v>
      </c>
      <c r="M43" s="25">
        <v>45.95</v>
      </c>
      <c r="N43" s="17">
        <v>39</v>
      </c>
      <c r="O43" s="22">
        <v>43112.874363425923</v>
      </c>
    </row>
    <row r="44" spans="2:15" x14ac:dyDescent="0.25">
      <c r="B44" s="17" t="s">
        <v>172</v>
      </c>
      <c r="C44" s="16" t="s">
        <v>18</v>
      </c>
      <c r="D44" s="17" t="s">
        <v>92</v>
      </c>
      <c r="E44" s="18">
        <v>8.1399E-4</v>
      </c>
      <c r="F44" s="19">
        <v>11.3725</v>
      </c>
      <c r="G44" s="20">
        <v>44483500</v>
      </c>
      <c r="H44" s="20">
        <v>1137250000</v>
      </c>
      <c r="I44" s="21">
        <v>100000000</v>
      </c>
      <c r="J44" s="21">
        <v>100000000</v>
      </c>
      <c r="K44" s="25">
        <v>0.21</v>
      </c>
      <c r="L44" s="25">
        <v>1.99</v>
      </c>
      <c r="M44" s="25">
        <v>-6.3</v>
      </c>
      <c r="N44" s="17">
        <v>40</v>
      </c>
      <c r="O44" s="22">
        <v>43112.874374999999</v>
      </c>
    </row>
    <row r="45" spans="2:15" x14ac:dyDescent="0.25">
      <c r="B45" s="17" t="s">
        <v>38</v>
      </c>
      <c r="C45" s="16" t="s">
        <v>38</v>
      </c>
      <c r="D45" s="17" t="s">
        <v>112</v>
      </c>
      <c r="E45" s="18">
        <v>1.5164000000000001E-4</v>
      </c>
      <c r="F45" s="19">
        <v>2.1186600000000002</v>
      </c>
      <c r="G45" s="20">
        <v>32194500</v>
      </c>
      <c r="H45" s="20">
        <v>1041936228</v>
      </c>
      <c r="I45" s="21">
        <v>491790201</v>
      </c>
      <c r="J45" s="21">
        <v>1000000000</v>
      </c>
      <c r="K45" s="25">
        <v>3.12</v>
      </c>
      <c r="L45" s="25">
        <v>10.17</v>
      </c>
      <c r="M45" s="25">
        <v>92.26</v>
      </c>
      <c r="N45" s="17">
        <v>41</v>
      </c>
      <c r="O45" s="22">
        <v>43112.874456018515</v>
      </c>
    </row>
    <row r="46" spans="2:15" x14ac:dyDescent="0.25">
      <c r="B46" s="17" t="s">
        <v>1505</v>
      </c>
      <c r="C46" s="16" t="s">
        <v>1506</v>
      </c>
      <c r="D46" s="17" t="s">
        <v>1507</v>
      </c>
      <c r="E46" s="18">
        <v>3.0085000000000002E-4</v>
      </c>
      <c r="F46" s="19">
        <v>4.2033399999999999</v>
      </c>
      <c r="G46" s="20">
        <v>8350580</v>
      </c>
      <c r="H46" s="20">
        <v>1002168477</v>
      </c>
      <c r="I46" s="21">
        <v>238421940</v>
      </c>
      <c r="J46" s="21">
        <v>433494437</v>
      </c>
      <c r="K46" s="25">
        <v>-0.11</v>
      </c>
      <c r="L46" s="25">
        <v>4</v>
      </c>
      <c r="M46" s="25">
        <v>32.020000000000003</v>
      </c>
      <c r="N46" s="17">
        <v>42</v>
      </c>
      <c r="O46" s="22">
        <v>43112.874513888892</v>
      </c>
    </row>
    <row r="47" spans="2:15" x14ac:dyDescent="0.25">
      <c r="B47" s="17" t="s">
        <v>194</v>
      </c>
      <c r="C47" s="16" t="s">
        <v>41</v>
      </c>
      <c r="D47" s="17" t="s">
        <v>115</v>
      </c>
      <c r="E47" s="18">
        <v>7.2200000000000003E-6</v>
      </c>
      <c r="F47" s="19">
        <v>0.100927</v>
      </c>
      <c r="G47" s="20">
        <v>28022100</v>
      </c>
      <c r="H47" s="20">
        <v>977733588</v>
      </c>
      <c r="I47" s="21">
        <v>9687532450</v>
      </c>
      <c r="J47" s="21">
        <v>9687532450</v>
      </c>
      <c r="K47" s="25">
        <v>0.77</v>
      </c>
      <c r="L47" s="25">
        <v>4.8600000000000003</v>
      </c>
      <c r="M47" s="25">
        <v>-8.24</v>
      </c>
      <c r="N47" s="17">
        <v>43</v>
      </c>
      <c r="O47" s="22">
        <v>43112.874363425923</v>
      </c>
    </row>
    <row r="48" spans="2:15" x14ac:dyDescent="0.25">
      <c r="B48" s="17" t="s">
        <v>1397</v>
      </c>
      <c r="C48" s="16" t="s">
        <v>1398</v>
      </c>
      <c r="D48" s="17" t="s">
        <v>1399</v>
      </c>
      <c r="E48" s="18">
        <v>1.0506E-4</v>
      </c>
      <c r="F48" s="19">
        <v>1.46787</v>
      </c>
      <c r="G48" s="20">
        <v>27725700</v>
      </c>
      <c r="H48" s="20">
        <v>913304721</v>
      </c>
      <c r="I48" s="21">
        <v>622197280</v>
      </c>
      <c r="J48" s="21">
        <v>1395076054</v>
      </c>
      <c r="K48" s="25">
        <v>0.62</v>
      </c>
      <c r="L48" s="25">
        <v>-1.04</v>
      </c>
      <c r="M48" s="25">
        <v>43.39</v>
      </c>
      <c r="N48" s="17">
        <v>44</v>
      </c>
      <c r="O48" s="22">
        <v>43112.874456018515</v>
      </c>
    </row>
    <row r="49" spans="2:15" x14ac:dyDescent="0.25">
      <c r="B49" s="17" t="s">
        <v>1552</v>
      </c>
      <c r="C49" s="16" t="s">
        <v>1553</v>
      </c>
      <c r="D49" s="17" t="s">
        <v>1553</v>
      </c>
      <c r="E49" s="18">
        <v>1.3181999999999999E-4</v>
      </c>
      <c r="F49" s="19">
        <v>1.8417699999999999</v>
      </c>
      <c r="G49" s="20">
        <v>15766800</v>
      </c>
      <c r="H49" s="20">
        <v>907908878</v>
      </c>
      <c r="I49" s="21">
        <v>492954537</v>
      </c>
      <c r="J49" s="21">
        <v>1850000000</v>
      </c>
      <c r="K49" s="25">
        <v>3.59</v>
      </c>
      <c r="L49" s="25">
        <v>-4.3099999999999996</v>
      </c>
      <c r="M49" s="25">
        <v>102.58</v>
      </c>
      <c r="N49" s="17">
        <v>45</v>
      </c>
      <c r="O49" s="22">
        <v>43112.874513888892</v>
      </c>
    </row>
    <row r="50" spans="2:15" x14ac:dyDescent="0.25">
      <c r="B50" s="17" t="s">
        <v>185</v>
      </c>
      <c r="C50" s="16" t="s">
        <v>29</v>
      </c>
      <c r="D50" s="17" t="s">
        <v>103</v>
      </c>
      <c r="E50" s="18">
        <v>6.4897000000000002E-4</v>
      </c>
      <c r="F50" s="19">
        <v>9.0669599999999999</v>
      </c>
      <c r="G50" s="20">
        <v>11824400</v>
      </c>
      <c r="H50" s="20">
        <v>888392383</v>
      </c>
      <c r="I50" s="21">
        <v>97981284</v>
      </c>
      <c r="J50" s="21">
        <v>129231284</v>
      </c>
      <c r="K50" s="25">
        <v>3.28</v>
      </c>
      <c r="L50" s="25">
        <v>6.68</v>
      </c>
      <c r="M50" s="25">
        <v>32.14</v>
      </c>
      <c r="N50" s="17">
        <v>46</v>
      </c>
      <c r="O50" s="22">
        <v>43112.874409722222</v>
      </c>
    </row>
    <row r="51" spans="2:15" x14ac:dyDescent="0.25">
      <c r="B51" s="17" t="s">
        <v>199</v>
      </c>
      <c r="C51" s="16" t="s">
        <v>40</v>
      </c>
      <c r="D51" s="17" t="s">
        <v>114</v>
      </c>
      <c r="E51" s="18">
        <v>3.0763800000000001E-2</v>
      </c>
      <c r="F51" s="19">
        <v>429.81200000000001</v>
      </c>
      <c r="G51" s="20">
        <v>420498</v>
      </c>
      <c r="H51" s="20">
        <v>875374650</v>
      </c>
      <c r="I51" s="21">
        <v>2036645</v>
      </c>
      <c r="J51" s="21">
        <v>100000000</v>
      </c>
      <c r="K51" s="25">
        <v>0.51</v>
      </c>
      <c r="L51" s="25">
        <v>7.6</v>
      </c>
      <c r="M51" s="25">
        <v>15.46</v>
      </c>
      <c r="N51" s="17">
        <v>47</v>
      </c>
      <c r="O51" s="22">
        <v>43112.874432870369</v>
      </c>
    </row>
    <row r="52" spans="2:15" x14ac:dyDescent="0.25">
      <c r="B52" s="17" t="s">
        <v>201</v>
      </c>
      <c r="C52" s="16" t="s">
        <v>45</v>
      </c>
      <c r="D52" s="17" t="s">
        <v>119</v>
      </c>
      <c r="E52" s="18">
        <v>5.9818999999999996E-4</v>
      </c>
      <c r="F52" s="19">
        <v>8.3575800000000005</v>
      </c>
      <c r="G52" s="20">
        <v>11161100</v>
      </c>
      <c r="H52" s="20">
        <v>868807645</v>
      </c>
      <c r="I52" s="21">
        <v>103954452</v>
      </c>
      <c r="J52" s="21">
        <v>103954452</v>
      </c>
      <c r="K52" s="25">
        <v>0.94</v>
      </c>
      <c r="L52" s="25">
        <v>7.2</v>
      </c>
      <c r="M52" s="25">
        <v>-2.6</v>
      </c>
      <c r="N52" s="17">
        <v>48</v>
      </c>
      <c r="O52" s="22">
        <v>43112.874421296299</v>
      </c>
    </row>
    <row r="53" spans="2:15" x14ac:dyDescent="0.25">
      <c r="B53" s="17" t="s">
        <v>411</v>
      </c>
      <c r="C53" s="16" t="s">
        <v>65</v>
      </c>
      <c r="D53" s="17" t="s">
        <v>138</v>
      </c>
      <c r="E53" s="18">
        <v>9.7819999999999995E-5</v>
      </c>
      <c r="F53" s="19">
        <v>1.3666400000000001</v>
      </c>
      <c r="G53" s="20">
        <v>2216980</v>
      </c>
      <c r="H53" s="20">
        <v>790948352</v>
      </c>
      <c r="I53" s="21">
        <v>578753989</v>
      </c>
      <c r="J53" s="21">
        <v>1179798269</v>
      </c>
      <c r="K53" s="25">
        <v>2.69</v>
      </c>
      <c r="L53" s="25">
        <v>89.8</v>
      </c>
      <c r="M53" s="25">
        <v>224.91</v>
      </c>
      <c r="N53" s="17">
        <v>49</v>
      </c>
      <c r="O53" s="22">
        <v>43112.874456018515</v>
      </c>
    </row>
    <row r="54" spans="2:15" x14ac:dyDescent="0.25">
      <c r="B54" s="17" t="s">
        <v>166</v>
      </c>
      <c r="C54" s="16" t="s">
        <v>12</v>
      </c>
      <c r="D54" s="17" t="s">
        <v>86</v>
      </c>
      <c r="E54" s="18">
        <v>1.3177900000000001E-3</v>
      </c>
      <c r="F54" s="19">
        <v>18.411300000000001</v>
      </c>
      <c r="G54" s="20">
        <v>196848000</v>
      </c>
      <c r="H54" s="20">
        <v>782282557</v>
      </c>
      <c r="I54" s="21">
        <v>42489262</v>
      </c>
      <c r="J54" s="21">
        <v>42489262</v>
      </c>
      <c r="K54" s="25">
        <v>-1.18</v>
      </c>
      <c r="L54" s="25">
        <v>3.33</v>
      </c>
      <c r="M54" s="25">
        <v>-21.37</v>
      </c>
      <c r="N54" s="17">
        <v>50</v>
      </c>
      <c r="O54" s="22">
        <v>43112.874467592592</v>
      </c>
    </row>
    <row r="55" spans="2:15" x14ac:dyDescent="0.25">
      <c r="B55" s="17" t="s">
        <v>182</v>
      </c>
      <c r="C55" s="16" t="s">
        <v>27</v>
      </c>
      <c r="D55" s="17" t="s">
        <v>101</v>
      </c>
      <c r="E55" s="18">
        <v>6.5489999999999998E-5</v>
      </c>
      <c r="F55" s="19">
        <v>0.91491699999999998</v>
      </c>
      <c r="G55" s="20">
        <v>18228300</v>
      </c>
      <c r="H55" s="20">
        <v>763280486</v>
      </c>
      <c r="I55" s="21">
        <v>834262000</v>
      </c>
      <c r="J55" s="21">
        <v>1000000000</v>
      </c>
      <c r="K55" s="25">
        <v>0.85</v>
      </c>
      <c r="L55" s="25">
        <v>6.37</v>
      </c>
      <c r="M55" s="25">
        <v>-5.29</v>
      </c>
      <c r="N55" s="17">
        <v>51</v>
      </c>
      <c r="O55" s="22">
        <v>43112.874409722222</v>
      </c>
    </row>
    <row r="56" spans="2:15" x14ac:dyDescent="0.25">
      <c r="B56" s="17" t="s">
        <v>1352</v>
      </c>
      <c r="C56" s="16" t="s">
        <v>1353</v>
      </c>
      <c r="D56" s="17" t="s">
        <v>1354</v>
      </c>
      <c r="E56" s="18">
        <v>1.0849999999999999E-5</v>
      </c>
      <c r="F56" s="19">
        <v>0.15160199999999999</v>
      </c>
      <c r="G56" s="20">
        <v>6396530</v>
      </c>
      <c r="H56" s="20">
        <v>757632127</v>
      </c>
      <c r="I56" s="21">
        <v>4997507466</v>
      </c>
      <c r="J56" s="21">
        <v>5195262064</v>
      </c>
      <c r="K56" s="25">
        <v>0.35</v>
      </c>
      <c r="L56" s="25">
        <v>5.07</v>
      </c>
      <c r="M56" s="25">
        <v>31.62</v>
      </c>
      <c r="N56" s="17">
        <v>52</v>
      </c>
      <c r="O56" s="22">
        <v>43112.874490740738</v>
      </c>
    </row>
    <row r="57" spans="2:15" x14ac:dyDescent="0.25">
      <c r="B57" s="17" t="s">
        <v>189</v>
      </c>
      <c r="C57" s="16" t="s">
        <v>34</v>
      </c>
      <c r="D57" s="17" t="s">
        <v>109</v>
      </c>
      <c r="E57" s="18">
        <v>8.2523700000000002E-3</v>
      </c>
      <c r="F57" s="19">
        <v>115.297</v>
      </c>
      <c r="G57" s="20">
        <v>3033920</v>
      </c>
      <c r="H57" s="20">
        <v>754417985</v>
      </c>
      <c r="I57" s="21">
        <v>6543258</v>
      </c>
      <c r="J57" s="21">
        <v>6963258</v>
      </c>
      <c r="K57" s="25">
        <v>2.98</v>
      </c>
      <c r="L57" s="25">
        <v>7.99</v>
      </c>
      <c r="M57" s="25">
        <v>4.41</v>
      </c>
      <c r="N57" s="17">
        <v>53</v>
      </c>
      <c r="O57" s="22">
        <v>43112.874363425923</v>
      </c>
    </row>
    <row r="58" spans="2:15" x14ac:dyDescent="0.25">
      <c r="B58" s="17" t="s">
        <v>351</v>
      </c>
      <c r="C58" s="16" t="s">
        <v>64</v>
      </c>
      <c r="D58" s="17" t="s">
        <v>137</v>
      </c>
      <c r="E58" s="18">
        <v>5.0100000000000003E-6</v>
      </c>
      <c r="F58" s="19">
        <v>6.9960499999999995E-2</v>
      </c>
      <c r="G58" s="20">
        <v>39333400</v>
      </c>
      <c r="H58" s="20">
        <v>742613984</v>
      </c>
      <c r="I58" s="21">
        <v>10614760961</v>
      </c>
      <c r="J58" s="21">
        <v>100000000000</v>
      </c>
      <c r="K58" s="25">
        <v>1.32</v>
      </c>
      <c r="L58" s="25">
        <v>-0.59</v>
      </c>
      <c r="M58" s="25">
        <v>-17.41</v>
      </c>
      <c r="N58" s="17">
        <v>54</v>
      </c>
      <c r="O58" s="22">
        <v>43112.874456018515</v>
      </c>
    </row>
    <row r="59" spans="2:15" x14ac:dyDescent="0.25">
      <c r="B59" s="17" t="s">
        <v>184</v>
      </c>
      <c r="C59" s="16" t="s">
        <v>26</v>
      </c>
      <c r="D59" s="17" t="s">
        <v>100</v>
      </c>
      <c r="E59" s="18">
        <v>5.2200000000000002E-5</v>
      </c>
      <c r="F59" s="19">
        <v>0.72931199999999996</v>
      </c>
      <c r="G59" s="20">
        <v>33992200</v>
      </c>
      <c r="H59" s="20">
        <v>729312000</v>
      </c>
      <c r="I59" s="21">
        <v>1000000000</v>
      </c>
      <c r="J59" s="21">
        <v>1500000000</v>
      </c>
      <c r="K59" s="25">
        <v>0.16</v>
      </c>
      <c r="L59" s="25">
        <v>5</v>
      </c>
      <c r="M59" s="25">
        <v>28.74</v>
      </c>
      <c r="N59" s="17">
        <v>55</v>
      </c>
      <c r="O59" s="22">
        <v>43112.874421296299</v>
      </c>
    </row>
    <row r="60" spans="2:15" x14ac:dyDescent="0.25">
      <c r="B60" s="17" t="s">
        <v>193</v>
      </c>
      <c r="C60" s="16" t="s">
        <v>35</v>
      </c>
      <c r="D60" s="17" t="s">
        <v>35</v>
      </c>
      <c r="E60" s="18">
        <v>9.3150000000000004E-4</v>
      </c>
      <c r="F60" s="19">
        <v>13.0143</v>
      </c>
      <c r="G60" s="20">
        <v>6005090</v>
      </c>
      <c r="H60" s="20">
        <v>720034330</v>
      </c>
      <c r="I60" s="21">
        <v>55326397</v>
      </c>
      <c r="J60" s="21">
        <v>55326397</v>
      </c>
      <c r="K60" s="25">
        <v>1.69</v>
      </c>
      <c r="L60" s="25">
        <v>4.21</v>
      </c>
      <c r="M60" s="25">
        <v>27.07</v>
      </c>
      <c r="N60" s="17">
        <v>56</v>
      </c>
      <c r="O60" s="22">
        <v>43112.874374999999</v>
      </c>
    </row>
    <row r="61" spans="2:15" x14ac:dyDescent="0.25">
      <c r="B61" s="17" t="s">
        <v>1475</v>
      </c>
      <c r="C61" s="16" t="s">
        <v>1476</v>
      </c>
      <c r="D61" s="17" t="s">
        <v>1476</v>
      </c>
      <c r="E61" s="18">
        <v>1.3803E-4</v>
      </c>
      <c r="F61" s="19">
        <v>1.92852</v>
      </c>
      <c r="G61" s="20">
        <v>34642600</v>
      </c>
      <c r="H61" s="20">
        <v>674982000</v>
      </c>
      <c r="I61" s="21">
        <v>350000000</v>
      </c>
      <c r="J61" s="21">
        <v>1000000000</v>
      </c>
      <c r="K61" s="25">
        <v>1.47</v>
      </c>
      <c r="L61" s="25">
        <v>5.13</v>
      </c>
      <c r="M61" s="25">
        <v>18.41</v>
      </c>
      <c r="N61" s="17">
        <v>57</v>
      </c>
      <c r="O61" s="22">
        <v>43112.874502314815</v>
      </c>
    </row>
    <row r="62" spans="2:15" x14ac:dyDescent="0.25">
      <c r="B62" s="17" t="s">
        <v>191</v>
      </c>
      <c r="C62" s="16" t="s">
        <v>1138</v>
      </c>
      <c r="D62" s="17" t="s">
        <v>107</v>
      </c>
      <c r="E62" s="18">
        <v>7.4110200000000001E-2</v>
      </c>
      <c r="F62" s="19">
        <v>1035.42</v>
      </c>
      <c r="G62" s="20">
        <v>12991800</v>
      </c>
      <c r="H62" s="20">
        <v>668075818</v>
      </c>
      <c r="I62" s="21">
        <v>645222</v>
      </c>
      <c r="J62" s="21">
        <v>1000000</v>
      </c>
      <c r="K62" s="25">
        <v>-3.92</v>
      </c>
      <c r="L62" s="25">
        <v>44.83</v>
      </c>
      <c r="M62" s="25">
        <v>30.73</v>
      </c>
      <c r="N62" s="17">
        <v>58</v>
      </c>
      <c r="O62" s="22">
        <v>43112.874409722222</v>
      </c>
    </row>
    <row r="63" spans="2:15" x14ac:dyDescent="0.25">
      <c r="B63" s="17" t="s">
        <v>1214</v>
      </c>
      <c r="C63" s="16" t="s">
        <v>1215</v>
      </c>
      <c r="D63" s="17" t="s">
        <v>1215</v>
      </c>
      <c r="E63" s="18">
        <v>8.6414E-4</v>
      </c>
      <c r="F63" s="19">
        <v>12.0732</v>
      </c>
      <c r="G63" s="20">
        <v>22115600</v>
      </c>
      <c r="H63" s="20">
        <v>653825348</v>
      </c>
      <c r="I63" s="21">
        <v>54155100</v>
      </c>
      <c r="J63" s="21">
        <v>120000000</v>
      </c>
      <c r="K63" s="25">
        <v>-0.79</v>
      </c>
      <c r="L63" s="25">
        <v>2.2799999999999998</v>
      </c>
      <c r="M63" s="25">
        <v>6.43</v>
      </c>
      <c r="N63" s="17">
        <v>59</v>
      </c>
      <c r="O63" s="22">
        <v>43112.874467592592</v>
      </c>
    </row>
    <row r="64" spans="2:15" x14ac:dyDescent="0.25">
      <c r="B64" s="17" t="s">
        <v>1570</v>
      </c>
      <c r="C64" s="16" t="s">
        <v>1643</v>
      </c>
      <c r="D64" s="17" t="s">
        <v>1571</v>
      </c>
      <c r="E64" s="18">
        <v>1.5500000000000001E-5</v>
      </c>
      <c r="F64" s="19">
        <v>0.21648999999999999</v>
      </c>
      <c r="G64" s="20">
        <v>36029500</v>
      </c>
      <c r="H64" s="20">
        <v>642192494</v>
      </c>
      <c r="I64" s="21">
        <v>2966384100</v>
      </c>
      <c r="J64" s="21">
        <v>4097545844</v>
      </c>
      <c r="K64" s="25">
        <v>0.44</v>
      </c>
      <c r="L64" s="25">
        <v>13.01</v>
      </c>
      <c r="M64" s="25">
        <v>238.99</v>
      </c>
      <c r="N64" s="17">
        <v>60</v>
      </c>
      <c r="O64" s="22">
        <v>43112.874513888892</v>
      </c>
    </row>
    <row r="65" spans="2:15" x14ac:dyDescent="0.25">
      <c r="B65" s="17" t="s">
        <v>212</v>
      </c>
      <c r="C65" s="16" t="s">
        <v>53</v>
      </c>
      <c r="D65" s="17" t="s">
        <v>127</v>
      </c>
      <c r="E65" s="18">
        <v>4.5689999999999998E-5</v>
      </c>
      <c r="F65" s="19">
        <v>0.63834500000000005</v>
      </c>
      <c r="G65" s="20">
        <v>51512900</v>
      </c>
      <c r="H65" s="20">
        <v>630046515</v>
      </c>
      <c r="I65" s="21">
        <v>987000000</v>
      </c>
      <c r="J65" s="21">
        <v>1407000000</v>
      </c>
      <c r="K65" s="25">
        <v>0.62</v>
      </c>
      <c r="L65" s="25">
        <v>13.85</v>
      </c>
      <c r="M65" s="25">
        <v>21.72</v>
      </c>
      <c r="N65" s="17">
        <v>61</v>
      </c>
      <c r="O65" s="22">
        <v>43112.874456018515</v>
      </c>
    </row>
    <row r="66" spans="2:15" x14ac:dyDescent="0.25">
      <c r="B66" s="17" t="s">
        <v>1192</v>
      </c>
      <c r="C66" s="16" t="s">
        <v>1193</v>
      </c>
      <c r="D66" s="17" t="s">
        <v>143</v>
      </c>
      <c r="E66" s="18">
        <v>3.2947E-4</v>
      </c>
      <c r="F66" s="19">
        <v>4.60311</v>
      </c>
      <c r="G66" s="20">
        <v>21364800</v>
      </c>
      <c r="H66" s="20">
        <v>617427559</v>
      </c>
      <c r="I66" s="21">
        <v>134132697</v>
      </c>
      <c r="J66" s="21">
        <v>215625349</v>
      </c>
      <c r="K66" s="25">
        <v>-1.24</v>
      </c>
      <c r="L66" s="25">
        <v>5.84</v>
      </c>
      <c r="M66" s="25">
        <v>44.92</v>
      </c>
      <c r="N66" s="17">
        <v>62</v>
      </c>
      <c r="O66" s="22">
        <v>43112.874467592592</v>
      </c>
    </row>
    <row r="67" spans="2:15" x14ac:dyDescent="0.25">
      <c r="B67" s="17" t="s">
        <v>1455</v>
      </c>
      <c r="C67" s="16" t="s">
        <v>1456</v>
      </c>
      <c r="D67" s="17" t="s">
        <v>1457</v>
      </c>
      <c r="E67" s="18">
        <v>5.8441999999999999E-4</v>
      </c>
      <c r="F67" s="19">
        <v>8.1650899999999993</v>
      </c>
      <c r="G67" s="20">
        <v>5876110</v>
      </c>
      <c r="H67" s="20">
        <v>615663857</v>
      </c>
      <c r="I67" s="21">
        <v>75401968</v>
      </c>
      <c r="J67" s="21">
        <v>222295208</v>
      </c>
      <c r="K67" s="25">
        <v>0.59</v>
      </c>
      <c r="L67" s="25">
        <v>3.55</v>
      </c>
      <c r="M67" s="25">
        <v>-7.68</v>
      </c>
      <c r="N67" s="17">
        <v>63</v>
      </c>
      <c r="O67" s="22">
        <v>43112.874444444446</v>
      </c>
    </row>
    <row r="68" spans="2:15" x14ac:dyDescent="0.25">
      <c r="B68" s="17" t="s">
        <v>1603</v>
      </c>
      <c r="C68" s="16" t="s">
        <v>1575</v>
      </c>
      <c r="D68" s="17" t="s">
        <v>69</v>
      </c>
      <c r="E68" s="18">
        <v>2.1E-7</v>
      </c>
      <c r="F68" s="19">
        <v>2.9094099999999999E-3</v>
      </c>
      <c r="G68" s="20">
        <v>5322380</v>
      </c>
      <c r="H68" s="20">
        <v>613034265</v>
      </c>
      <c r="I68" s="21">
        <v>210707416724</v>
      </c>
      <c r="J68" s="21">
        <v>245739184479</v>
      </c>
      <c r="K68" s="25">
        <v>2.93</v>
      </c>
      <c r="L68" s="25">
        <v>7.71</v>
      </c>
      <c r="M68" s="25">
        <v>-46.7</v>
      </c>
      <c r="N68" s="17">
        <v>64</v>
      </c>
      <c r="O68" s="22">
        <v>43112.874398148146</v>
      </c>
    </row>
    <row r="69" spans="2:15" x14ac:dyDescent="0.25">
      <c r="B69" s="17" t="s">
        <v>207</v>
      </c>
      <c r="C69" s="16" t="s">
        <v>51</v>
      </c>
      <c r="D69" s="17" t="s">
        <v>125</v>
      </c>
      <c r="E69" s="18">
        <v>1.024E-5</v>
      </c>
      <c r="F69" s="19">
        <v>0.143042</v>
      </c>
      <c r="G69" s="20">
        <v>21205400</v>
      </c>
      <c r="H69" s="20">
        <v>607910423</v>
      </c>
      <c r="I69" s="21">
        <v>4249873622</v>
      </c>
      <c r="J69" s="21">
        <v>10999873621</v>
      </c>
      <c r="K69" s="25">
        <v>0.28999999999999998</v>
      </c>
      <c r="L69" s="25">
        <v>5.72</v>
      </c>
      <c r="M69" s="25">
        <v>-12.6</v>
      </c>
      <c r="N69" s="17">
        <v>65</v>
      </c>
      <c r="O69" s="22">
        <v>43112.874432870369</v>
      </c>
    </row>
    <row r="70" spans="2:15" x14ac:dyDescent="0.25">
      <c r="B70" s="17" t="s">
        <v>245</v>
      </c>
      <c r="C70" s="16" t="s">
        <v>58</v>
      </c>
      <c r="D70" s="17" t="s">
        <v>131</v>
      </c>
      <c r="E70" s="18">
        <v>1.3999999999999999E-6</v>
      </c>
      <c r="F70" s="19">
        <v>1.9560500000000001E-2</v>
      </c>
      <c r="G70" s="20">
        <v>13270900</v>
      </c>
      <c r="H70" s="20">
        <v>561737008</v>
      </c>
      <c r="I70" s="21">
        <v>28717926851</v>
      </c>
      <c r="J70" s="21">
        <v>28717926851</v>
      </c>
      <c r="K70" s="25">
        <v>-0.45</v>
      </c>
      <c r="L70" s="25">
        <v>3.13</v>
      </c>
      <c r="M70" s="25">
        <v>5.0999999999999996</v>
      </c>
      <c r="N70" s="17">
        <v>66</v>
      </c>
      <c r="O70" s="22">
        <v>43112.87431712963</v>
      </c>
    </row>
    <row r="71" spans="2:15" x14ac:dyDescent="0.25">
      <c r="B71" s="17" t="s">
        <v>1332</v>
      </c>
      <c r="C71" s="16" t="s">
        <v>1333</v>
      </c>
      <c r="D71" s="17" t="s">
        <v>1334</v>
      </c>
      <c r="E71" s="18">
        <v>1.1068E-4</v>
      </c>
      <c r="F71" s="19">
        <v>1.54637</v>
      </c>
      <c r="G71" s="20">
        <v>57693000</v>
      </c>
      <c r="H71" s="20">
        <v>557498228</v>
      </c>
      <c r="I71" s="21">
        <v>360520592</v>
      </c>
      <c r="J71" s="21">
        <v>1000000000</v>
      </c>
      <c r="K71" s="25">
        <v>-0.05</v>
      </c>
      <c r="L71" s="25">
        <v>13.98</v>
      </c>
      <c r="M71" s="25">
        <v>8.5500000000000007</v>
      </c>
      <c r="N71" s="17">
        <v>67</v>
      </c>
      <c r="O71" s="22">
        <v>43112.874490740738</v>
      </c>
    </row>
    <row r="72" spans="2:15" x14ac:dyDescent="0.25">
      <c r="B72" s="17" t="s">
        <v>205</v>
      </c>
      <c r="C72" s="16" t="s">
        <v>49</v>
      </c>
      <c r="D72" s="17" t="s">
        <v>123</v>
      </c>
      <c r="E72" s="18">
        <v>6.5384999999999998E-4</v>
      </c>
      <c r="F72" s="19">
        <v>9.1351499999999994</v>
      </c>
      <c r="G72" s="20">
        <v>27786600</v>
      </c>
      <c r="H72" s="20">
        <v>548109000</v>
      </c>
      <c r="I72" s="21">
        <v>60000000</v>
      </c>
      <c r="J72" s="21">
        <v>100000000</v>
      </c>
      <c r="K72" s="25">
        <v>-0.06</v>
      </c>
      <c r="L72" s="25">
        <v>-7.89</v>
      </c>
      <c r="M72" s="25">
        <v>25.43</v>
      </c>
      <c r="N72" s="17">
        <v>68</v>
      </c>
      <c r="O72" s="22">
        <v>43112.874432870369</v>
      </c>
    </row>
    <row r="73" spans="2:15" x14ac:dyDescent="0.25">
      <c r="B73" s="17" t="s">
        <v>924</v>
      </c>
      <c r="C73" s="16" t="s">
        <v>73</v>
      </c>
      <c r="D73" s="17" t="s">
        <v>144</v>
      </c>
      <c r="E73" s="18">
        <v>1.5444300000000001E-3</v>
      </c>
      <c r="F73" s="19">
        <v>21.5779</v>
      </c>
      <c r="G73" s="20">
        <v>69119000</v>
      </c>
      <c r="H73" s="20">
        <v>537250395</v>
      </c>
      <c r="I73" s="21">
        <v>24898178</v>
      </c>
      <c r="J73" s="21">
        <v>70000000</v>
      </c>
      <c r="K73" s="25">
        <v>-3.25</v>
      </c>
      <c r="L73" s="25">
        <v>36.43</v>
      </c>
      <c r="M73" s="25">
        <v>109.51</v>
      </c>
      <c r="N73" s="17">
        <v>69</v>
      </c>
      <c r="O73" s="22">
        <v>43112.874456018515</v>
      </c>
    </row>
    <row r="74" spans="2:15" x14ac:dyDescent="0.25">
      <c r="B74" s="17" t="s">
        <v>183</v>
      </c>
      <c r="C74" s="16" t="s">
        <v>28</v>
      </c>
      <c r="D74" s="17" t="s">
        <v>102</v>
      </c>
      <c r="E74" s="18">
        <v>4.3690999999999999E-3</v>
      </c>
      <c r="F74" s="19">
        <v>61.042400000000001</v>
      </c>
      <c r="G74" s="20">
        <v>23630200</v>
      </c>
      <c r="H74" s="20">
        <v>533822014</v>
      </c>
      <c r="I74" s="21">
        <v>8745102</v>
      </c>
      <c r="J74" s="21">
        <v>8745102</v>
      </c>
      <c r="K74" s="25">
        <v>-0.73</v>
      </c>
      <c r="L74" s="25">
        <v>1.22</v>
      </c>
      <c r="M74" s="25">
        <v>-0.98</v>
      </c>
      <c r="N74" s="17">
        <v>70</v>
      </c>
      <c r="O74" s="22">
        <v>43112.874363425923</v>
      </c>
    </row>
    <row r="75" spans="2:15" x14ac:dyDescent="0.25">
      <c r="B75" s="17" t="s">
        <v>945</v>
      </c>
      <c r="C75" s="16" t="s">
        <v>1132</v>
      </c>
      <c r="D75" s="17" t="s">
        <v>145</v>
      </c>
      <c r="E75" s="18">
        <v>1.6381999999999999E-4</v>
      </c>
      <c r="F75" s="19">
        <v>2.2887900000000001</v>
      </c>
      <c r="G75" s="20">
        <v>2928850</v>
      </c>
      <c r="H75" s="20">
        <v>533334926</v>
      </c>
      <c r="I75" s="21">
        <v>233020472</v>
      </c>
      <c r="J75" s="21">
        <v>273685830</v>
      </c>
      <c r="K75" s="25">
        <v>0.68</v>
      </c>
      <c r="L75" s="25">
        <v>8.57</v>
      </c>
      <c r="M75" s="25">
        <v>7.11</v>
      </c>
      <c r="N75" s="17">
        <v>71</v>
      </c>
      <c r="O75" s="22">
        <v>43112.874432870369</v>
      </c>
    </row>
    <row r="76" spans="2:15" x14ac:dyDescent="0.25">
      <c r="B76" s="17" t="s">
        <v>393</v>
      </c>
      <c r="C76" s="16" t="s">
        <v>66</v>
      </c>
      <c r="D76" s="17" t="s">
        <v>139</v>
      </c>
      <c r="E76" s="18">
        <v>1.22433E-2</v>
      </c>
      <c r="F76" s="19">
        <v>171.05600000000001</v>
      </c>
      <c r="G76" s="20">
        <v>25822700</v>
      </c>
      <c r="H76" s="20">
        <v>523303068</v>
      </c>
      <c r="I76" s="21">
        <v>3059250</v>
      </c>
      <c r="J76" s="21">
        <v>3059250</v>
      </c>
      <c r="K76" s="25">
        <v>1.1299999999999999</v>
      </c>
      <c r="L76" s="25">
        <v>2.41</v>
      </c>
      <c r="M76" s="25">
        <v>41.83</v>
      </c>
      <c r="N76" s="17">
        <v>72</v>
      </c>
      <c r="O76" s="22">
        <v>43112.874398148146</v>
      </c>
    </row>
    <row r="77" spans="2:15" x14ac:dyDescent="0.25">
      <c r="B77" s="17" t="s">
        <v>455</v>
      </c>
      <c r="C77" s="16" t="s">
        <v>68</v>
      </c>
      <c r="D77" s="17" t="s">
        <v>141</v>
      </c>
      <c r="E77" s="18">
        <v>1.6256899999999999E-3</v>
      </c>
      <c r="F77" s="19">
        <v>22.713100000000001</v>
      </c>
      <c r="G77" s="20">
        <v>15474.9</v>
      </c>
      <c r="H77" s="20">
        <v>522863164</v>
      </c>
      <c r="I77" s="21">
        <v>23020335</v>
      </c>
      <c r="J77" s="21">
        <v>25201489</v>
      </c>
      <c r="K77" s="25">
        <v>2.1</v>
      </c>
      <c r="L77" s="25">
        <v>8321.57</v>
      </c>
      <c r="M77" s="25">
        <v>32416.400000000001</v>
      </c>
      <c r="N77" s="17">
        <v>73</v>
      </c>
      <c r="O77" s="22">
        <v>43112.874421296299</v>
      </c>
    </row>
    <row r="78" spans="2:15" x14ac:dyDescent="0.25">
      <c r="B78" s="17" t="s">
        <v>1272</v>
      </c>
      <c r="C78" s="16" t="s">
        <v>71</v>
      </c>
      <c r="D78" s="17" t="s">
        <v>1273</v>
      </c>
      <c r="E78" s="18">
        <v>4.9967000000000002E-4</v>
      </c>
      <c r="F78" s="19">
        <v>6.9810699999999999</v>
      </c>
      <c r="G78" s="20">
        <v>21313000</v>
      </c>
      <c r="H78" s="20">
        <v>522436549</v>
      </c>
      <c r="I78" s="21">
        <v>74836171</v>
      </c>
      <c r="J78" s="21">
        <v>150000000</v>
      </c>
      <c r="K78" s="25">
        <v>1.07</v>
      </c>
      <c r="L78" s="25">
        <v>2.11</v>
      </c>
      <c r="M78" s="25">
        <v>34.479999999999997</v>
      </c>
      <c r="N78" s="17">
        <v>74</v>
      </c>
      <c r="O78" s="22">
        <v>43112.874479166669</v>
      </c>
    </row>
    <row r="79" spans="2:15" x14ac:dyDescent="0.25">
      <c r="B79" s="17" t="s">
        <v>1299</v>
      </c>
      <c r="C79" s="16" t="s">
        <v>1300</v>
      </c>
      <c r="D79" s="17" t="s">
        <v>1301</v>
      </c>
      <c r="E79" s="18">
        <v>5.63E-5</v>
      </c>
      <c r="F79" s="19">
        <v>0.78656700000000002</v>
      </c>
      <c r="G79" s="20">
        <v>24103200</v>
      </c>
      <c r="H79" s="20">
        <v>504024215</v>
      </c>
      <c r="I79" s="21">
        <v>640789933</v>
      </c>
      <c r="J79" s="21">
        <v>999999999</v>
      </c>
      <c r="K79" s="25">
        <v>1.57</v>
      </c>
      <c r="L79" s="25">
        <v>1.73</v>
      </c>
      <c r="M79" s="25">
        <v>6.04</v>
      </c>
      <c r="N79" s="17">
        <v>75</v>
      </c>
      <c r="O79" s="22">
        <v>43112.874490740738</v>
      </c>
    </row>
    <row r="80" spans="2:15" x14ac:dyDescent="0.25">
      <c r="B80" s="17" t="s">
        <v>203</v>
      </c>
      <c r="C80" s="16" t="s">
        <v>43</v>
      </c>
      <c r="D80" s="17" t="s">
        <v>117</v>
      </c>
      <c r="E80" s="18">
        <v>6.5143999999999998E-4</v>
      </c>
      <c r="F80" s="19">
        <v>9.1014499999999998</v>
      </c>
      <c r="G80" s="20">
        <v>2776880</v>
      </c>
      <c r="H80" s="20">
        <v>500302427</v>
      </c>
      <c r="I80" s="21">
        <v>54969530</v>
      </c>
      <c r="J80" s="21">
        <v>54969530</v>
      </c>
      <c r="K80" s="25">
        <v>0.8</v>
      </c>
      <c r="L80" s="25">
        <v>7.41</v>
      </c>
      <c r="M80" s="25">
        <v>-23.5</v>
      </c>
      <c r="N80" s="17">
        <v>76</v>
      </c>
      <c r="O80" s="22">
        <v>43112.874351851853</v>
      </c>
    </row>
    <row r="81" spans="2:15" x14ac:dyDescent="0.25">
      <c r="B81" s="17" t="s">
        <v>1550</v>
      </c>
      <c r="C81" s="16" t="s">
        <v>1550</v>
      </c>
      <c r="D81" s="17" t="s">
        <v>1551</v>
      </c>
      <c r="E81" s="18">
        <v>1.4223E-4</v>
      </c>
      <c r="F81" s="19">
        <v>1.9871000000000001</v>
      </c>
      <c r="G81" s="20">
        <v>96803500</v>
      </c>
      <c r="H81" s="20">
        <v>496775000</v>
      </c>
      <c r="I81" s="21">
        <v>250000000</v>
      </c>
      <c r="J81" s="21">
        <v>260000000</v>
      </c>
      <c r="K81" s="25">
        <v>-1.31</v>
      </c>
      <c r="L81" s="25">
        <v>-1.1200000000000001</v>
      </c>
      <c r="M81" s="25">
        <v>18.07</v>
      </c>
      <c r="N81" s="17">
        <v>77</v>
      </c>
      <c r="O81" s="22">
        <v>43112.874513888892</v>
      </c>
    </row>
    <row r="82" spans="2:15" x14ac:dyDescent="0.25">
      <c r="B82" s="17" t="s">
        <v>1289</v>
      </c>
      <c r="C82" s="16" t="s">
        <v>1290</v>
      </c>
      <c r="D82" s="17" t="s">
        <v>1291</v>
      </c>
      <c r="E82" s="18">
        <v>5.7821000000000001E-4</v>
      </c>
      <c r="F82" s="19">
        <v>8.0783500000000004</v>
      </c>
      <c r="G82" s="20">
        <v>14748500</v>
      </c>
      <c r="H82" s="20">
        <v>495201691</v>
      </c>
      <c r="I82" s="21">
        <v>61299856</v>
      </c>
      <c r="J82" s="21">
        <v>465934587</v>
      </c>
      <c r="K82" s="25">
        <v>0.49</v>
      </c>
      <c r="L82" s="25">
        <v>0.36</v>
      </c>
      <c r="M82" s="25">
        <v>5.6</v>
      </c>
      <c r="N82" s="17">
        <v>78</v>
      </c>
      <c r="O82" s="22">
        <v>43112.874479166669</v>
      </c>
    </row>
    <row r="83" spans="2:15" x14ac:dyDescent="0.25">
      <c r="B83" s="17" t="s">
        <v>209</v>
      </c>
      <c r="C83" s="16" t="s">
        <v>46</v>
      </c>
      <c r="D83" s="17" t="s">
        <v>120</v>
      </c>
      <c r="E83" s="18">
        <v>3.87558E-3</v>
      </c>
      <c r="F83" s="19">
        <v>54.147199999999998</v>
      </c>
      <c r="G83" s="20">
        <v>24333500</v>
      </c>
      <c r="H83" s="20">
        <v>494774470</v>
      </c>
      <c r="I83" s="21">
        <v>9137582</v>
      </c>
      <c r="J83" s="21">
        <v>13802656</v>
      </c>
      <c r="K83" s="25">
        <v>1.1599999999999999</v>
      </c>
      <c r="L83" s="25">
        <v>12.75</v>
      </c>
      <c r="M83" s="25">
        <v>42.38</v>
      </c>
      <c r="N83" s="17">
        <v>79</v>
      </c>
      <c r="O83" s="22">
        <v>43112.874432870369</v>
      </c>
    </row>
    <row r="84" spans="2:15" x14ac:dyDescent="0.25">
      <c r="B84" s="17" t="s">
        <v>210</v>
      </c>
      <c r="C84" s="16" t="s">
        <v>52</v>
      </c>
      <c r="D84" s="17" t="s">
        <v>126</v>
      </c>
      <c r="E84" s="18">
        <v>3.4570000000000003E-5</v>
      </c>
      <c r="F84" s="19">
        <v>0.48295300000000002</v>
      </c>
      <c r="G84" s="20">
        <v>38188400</v>
      </c>
      <c r="H84" s="20">
        <v>482470019</v>
      </c>
      <c r="I84" s="21">
        <v>998999942</v>
      </c>
      <c r="J84" s="21">
        <v>998999942</v>
      </c>
      <c r="K84" s="25">
        <v>2.63</v>
      </c>
      <c r="L84" s="25">
        <v>16.579999999999998</v>
      </c>
      <c r="M84" s="25">
        <v>-8.32</v>
      </c>
      <c r="N84" s="17">
        <v>80</v>
      </c>
      <c r="O84" s="22">
        <v>43112.87431712963</v>
      </c>
    </row>
    <row r="85" spans="2:15" x14ac:dyDescent="0.25">
      <c r="B85" s="17" t="s">
        <v>1194</v>
      </c>
      <c r="C85" s="16" t="s">
        <v>1195</v>
      </c>
      <c r="D85" s="17" t="s">
        <v>1196</v>
      </c>
      <c r="E85" s="18">
        <v>1.5008E-4</v>
      </c>
      <c r="F85" s="19">
        <v>2.0968499999999999</v>
      </c>
      <c r="G85" s="20">
        <v>18235900</v>
      </c>
      <c r="H85" s="20">
        <v>474079855</v>
      </c>
      <c r="I85" s="21">
        <v>226091449</v>
      </c>
      <c r="J85" s="21">
        <v>352000000</v>
      </c>
      <c r="K85" s="25">
        <v>1.99</v>
      </c>
      <c r="L85" s="25">
        <v>-0.49</v>
      </c>
      <c r="M85" s="25">
        <v>17.760000000000002</v>
      </c>
      <c r="N85" s="17">
        <v>81</v>
      </c>
      <c r="O85" s="22">
        <v>43112.874467592592</v>
      </c>
    </row>
    <row r="86" spans="2:15" x14ac:dyDescent="0.25">
      <c r="B86" s="17" t="s">
        <v>1208</v>
      </c>
      <c r="C86" s="16" t="s">
        <v>1209</v>
      </c>
      <c r="D86" s="17" t="s">
        <v>1210</v>
      </c>
      <c r="E86" s="18">
        <v>4.0000000000000001E-8</v>
      </c>
      <c r="F86" s="19">
        <v>6.0725099999999995E-4</v>
      </c>
      <c r="G86" s="20">
        <v>4754180</v>
      </c>
      <c r="H86" s="20">
        <v>459141000</v>
      </c>
      <c r="I86" s="21">
        <v>756097560976</v>
      </c>
      <c r="J86" s="21">
        <v>10000000000000</v>
      </c>
      <c r="K86" s="25">
        <v>3.47</v>
      </c>
      <c r="L86" s="25">
        <v>-17.02</v>
      </c>
      <c r="M86" s="25">
        <v>-29.38</v>
      </c>
      <c r="N86" s="17">
        <v>82</v>
      </c>
      <c r="O86" s="22">
        <v>43112.874479166669</v>
      </c>
    </row>
    <row r="87" spans="2:15" x14ac:dyDescent="0.25">
      <c r="B87" s="17" t="s">
        <v>1249</v>
      </c>
      <c r="C87" s="16" t="s">
        <v>1250</v>
      </c>
      <c r="D87" s="17" t="s">
        <v>1251</v>
      </c>
      <c r="E87" s="18">
        <v>1.7902E-4</v>
      </c>
      <c r="F87" s="19">
        <v>2.50115</v>
      </c>
      <c r="G87" s="20">
        <v>1559020</v>
      </c>
      <c r="H87" s="20">
        <v>457618395</v>
      </c>
      <c r="I87" s="21">
        <v>182963195</v>
      </c>
      <c r="J87" s="21">
        <v>870663574</v>
      </c>
      <c r="K87" s="25">
        <v>1.99</v>
      </c>
      <c r="L87" s="25">
        <v>6.96</v>
      </c>
      <c r="M87" s="25">
        <v>-0.95</v>
      </c>
      <c r="N87" s="17">
        <v>83</v>
      </c>
      <c r="O87" s="22">
        <v>43112.874490740738</v>
      </c>
    </row>
    <row r="88" spans="2:15" x14ac:dyDescent="0.25">
      <c r="B88" s="17" t="s">
        <v>1148</v>
      </c>
      <c r="C88" s="16" t="s">
        <v>1149</v>
      </c>
      <c r="D88" s="17" t="s">
        <v>1150</v>
      </c>
      <c r="E88" s="18">
        <v>2.55835E-3</v>
      </c>
      <c r="F88" s="19">
        <v>35.743699999999997</v>
      </c>
      <c r="G88" s="20">
        <v>35566900</v>
      </c>
      <c r="H88" s="20">
        <v>454533460</v>
      </c>
      <c r="I88" s="21">
        <v>12716464</v>
      </c>
      <c r="J88" s="21">
        <v>13458130</v>
      </c>
      <c r="K88" s="25">
        <v>-2.16</v>
      </c>
      <c r="L88" s="25">
        <v>12.62</v>
      </c>
      <c r="M88" s="25">
        <v>347.69</v>
      </c>
      <c r="N88" s="17">
        <v>84</v>
      </c>
      <c r="O88" s="22">
        <v>43112.874456018515</v>
      </c>
    </row>
    <row r="89" spans="2:15" x14ac:dyDescent="0.25">
      <c r="B89" s="17" t="s">
        <v>269</v>
      </c>
      <c r="C89" s="16" t="s">
        <v>61</v>
      </c>
      <c r="D89" s="17" t="s">
        <v>134</v>
      </c>
      <c r="E89" s="18">
        <v>5.6285999999999999E-4</v>
      </c>
      <c r="F89" s="19">
        <v>7.8639799999999997</v>
      </c>
      <c r="G89" s="20">
        <v>5842960</v>
      </c>
      <c r="H89" s="20">
        <v>445675141</v>
      </c>
      <c r="I89" s="21">
        <v>56672975</v>
      </c>
      <c r="J89" s="21">
        <v>56672975</v>
      </c>
      <c r="K89" s="25">
        <v>-0.31</v>
      </c>
      <c r="L89" s="25">
        <v>0.54</v>
      </c>
      <c r="M89" s="25">
        <v>-4.5199999999999996</v>
      </c>
      <c r="N89" s="17">
        <v>85</v>
      </c>
      <c r="O89" s="22">
        <v>43112.874328703707</v>
      </c>
    </row>
    <row r="90" spans="2:15" x14ac:dyDescent="0.25">
      <c r="B90" s="17" t="s">
        <v>211</v>
      </c>
      <c r="C90" s="16" t="s">
        <v>54</v>
      </c>
      <c r="D90" s="17" t="s">
        <v>128</v>
      </c>
      <c r="E90" s="18">
        <v>5.8950000000000003E-5</v>
      </c>
      <c r="F90" s="19">
        <v>0.82357499999999995</v>
      </c>
      <c r="G90" s="20">
        <v>5298900</v>
      </c>
      <c r="H90" s="20">
        <v>436658816</v>
      </c>
      <c r="I90" s="21">
        <v>530199212</v>
      </c>
      <c r="J90" s="21">
        <v>530199212</v>
      </c>
      <c r="K90" s="25">
        <v>3.34</v>
      </c>
      <c r="L90" s="25">
        <v>7.99</v>
      </c>
      <c r="M90" s="25">
        <v>16.46</v>
      </c>
      <c r="N90" s="17">
        <v>86</v>
      </c>
      <c r="O90" s="22">
        <v>43112.874340277776</v>
      </c>
    </row>
    <row r="91" spans="2:15" x14ac:dyDescent="0.25">
      <c r="B91" s="17" t="s">
        <v>179</v>
      </c>
      <c r="C91" s="16" t="s">
        <v>24</v>
      </c>
      <c r="D91" s="17" t="s">
        <v>98</v>
      </c>
      <c r="E91" s="18">
        <v>6.8899999999999994E-5</v>
      </c>
      <c r="F91" s="19">
        <v>0.96262700000000001</v>
      </c>
      <c r="G91" s="20">
        <v>6990510</v>
      </c>
      <c r="H91" s="20">
        <v>435639171</v>
      </c>
      <c r="I91" s="21">
        <v>452552412</v>
      </c>
      <c r="J91" s="21">
        <v>452552412</v>
      </c>
      <c r="K91" s="25">
        <v>0.14000000000000001</v>
      </c>
      <c r="L91" s="25">
        <v>3.34</v>
      </c>
      <c r="M91" s="25">
        <v>-2.87</v>
      </c>
      <c r="N91" s="17">
        <v>87</v>
      </c>
      <c r="O91" s="22">
        <v>43112.874328703707</v>
      </c>
    </row>
    <row r="92" spans="2:15" x14ac:dyDescent="0.25">
      <c r="B92" s="17" t="s">
        <v>1225</v>
      </c>
      <c r="C92" s="16" t="s">
        <v>1226</v>
      </c>
      <c r="D92" s="17" t="s">
        <v>1227</v>
      </c>
      <c r="E92" s="18">
        <v>9.0240000000000003E-5</v>
      </c>
      <c r="F92" s="19">
        <v>1.2608299999999999</v>
      </c>
      <c r="G92" s="20">
        <v>5718010</v>
      </c>
      <c r="H92" s="20">
        <v>433923392</v>
      </c>
      <c r="I92" s="21">
        <v>344156938</v>
      </c>
      <c r="J92" s="21">
        <v>1000000000</v>
      </c>
      <c r="K92" s="25">
        <v>1.9</v>
      </c>
      <c r="L92" s="25">
        <v>16.46</v>
      </c>
      <c r="M92" s="25">
        <v>288.3</v>
      </c>
      <c r="N92" s="17">
        <v>88</v>
      </c>
      <c r="O92" s="22">
        <v>43112.874479166669</v>
      </c>
    </row>
    <row r="93" spans="2:15" x14ac:dyDescent="0.25">
      <c r="B93" s="17" t="s">
        <v>192</v>
      </c>
      <c r="C93" s="16" t="s">
        <v>37</v>
      </c>
      <c r="D93" s="17" t="s">
        <v>111</v>
      </c>
      <c r="E93" s="18">
        <v>2.75467E-2</v>
      </c>
      <c r="F93" s="19">
        <v>384.86500000000001</v>
      </c>
      <c r="G93" s="20">
        <v>3838090</v>
      </c>
      <c r="H93" s="20">
        <v>425118030</v>
      </c>
      <c r="I93" s="21">
        <v>1104590</v>
      </c>
      <c r="J93" s="21">
        <v>10000000</v>
      </c>
      <c r="K93" s="25">
        <v>2.21</v>
      </c>
      <c r="L93" s="25">
        <v>12.37</v>
      </c>
      <c r="M93" s="25">
        <v>-6.29</v>
      </c>
      <c r="N93" s="17">
        <v>89</v>
      </c>
      <c r="O93" s="22">
        <v>43112.874421296299</v>
      </c>
    </row>
    <row r="94" spans="2:15" x14ac:dyDescent="0.25">
      <c r="B94" s="17" t="s">
        <v>195</v>
      </c>
      <c r="C94" s="16" t="s">
        <v>36</v>
      </c>
      <c r="D94" s="17" t="s">
        <v>110</v>
      </c>
      <c r="E94" s="18">
        <v>1.4868299999999999E-2</v>
      </c>
      <c r="F94" s="19">
        <v>207.73</v>
      </c>
      <c r="G94" s="20">
        <v>10903100</v>
      </c>
      <c r="H94" s="20">
        <v>415460000</v>
      </c>
      <c r="I94" s="21">
        <v>2000000</v>
      </c>
      <c r="J94" s="21">
        <v>2000000</v>
      </c>
      <c r="K94" s="25">
        <v>2.48</v>
      </c>
      <c r="L94" s="25">
        <v>5.44</v>
      </c>
      <c r="M94" s="25">
        <v>7.95</v>
      </c>
      <c r="N94" s="17">
        <v>90</v>
      </c>
      <c r="O94" s="22">
        <v>43112.874374999999</v>
      </c>
    </row>
    <row r="95" spans="2:15" x14ac:dyDescent="0.25">
      <c r="B95" s="17" t="s">
        <v>295</v>
      </c>
      <c r="C95" s="16" t="s">
        <v>62</v>
      </c>
      <c r="D95" s="17" t="s">
        <v>135</v>
      </c>
      <c r="E95" s="18">
        <v>4.2899999999999996E-6</v>
      </c>
      <c r="F95" s="19">
        <v>5.9970999999999997E-2</v>
      </c>
      <c r="G95" s="20">
        <v>35572700</v>
      </c>
      <c r="H95" s="20">
        <v>413436417</v>
      </c>
      <c r="I95" s="21">
        <v>6893939016</v>
      </c>
      <c r="J95" s="21">
        <v>6893939016</v>
      </c>
      <c r="K95" s="25">
        <v>0.45</v>
      </c>
      <c r="L95" s="25">
        <v>-6.84</v>
      </c>
      <c r="M95" s="25">
        <v>27.02</v>
      </c>
      <c r="N95" s="17">
        <v>91</v>
      </c>
      <c r="O95" s="22">
        <v>43112.874340277776</v>
      </c>
    </row>
    <row r="96" spans="2:15" x14ac:dyDescent="0.25">
      <c r="B96" s="17" t="s">
        <v>221</v>
      </c>
      <c r="C96" s="16" t="s">
        <v>55</v>
      </c>
      <c r="D96" s="17" t="s">
        <v>129</v>
      </c>
      <c r="E96" s="18">
        <v>2.2940100000000001E-2</v>
      </c>
      <c r="F96" s="19">
        <v>320.505</v>
      </c>
      <c r="G96" s="20">
        <v>277897</v>
      </c>
      <c r="H96" s="20">
        <v>413086774</v>
      </c>
      <c r="I96" s="21">
        <v>1288862</v>
      </c>
      <c r="J96" s="21">
        <v>1288862</v>
      </c>
      <c r="K96" s="25">
        <v>0.46</v>
      </c>
      <c r="L96" s="25">
        <v>6.84</v>
      </c>
      <c r="M96" s="25">
        <v>-7.54</v>
      </c>
      <c r="N96" s="17">
        <v>92</v>
      </c>
      <c r="O96" s="22">
        <v>43112.874340277776</v>
      </c>
    </row>
    <row r="97" spans="2:15" x14ac:dyDescent="0.25">
      <c r="B97" s="17" t="s">
        <v>273</v>
      </c>
      <c r="C97" s="16" t="s">
        <v>60</v>
      </c>
      <c r="D97" s="17" t="s">
        <v>133</v>
      </c>
      <c r="E97" s="18">
        <v>4.7581000000000001E-4</v>
      </c>
      <c r="F97" s="19">
        <v>6.6477199999999996</v>
      </c>
      <c r="G97" s="20">
        <v>2298180</v>
      </c>
      <c r="H97" s="20">
        <v>402339100</v>
      </c>
      <c r="I97" s="21">
        <v>60522871</v>
      </c>
      <c r="J97" s="21">
        <v>83337000</v>
      </c>
      <c r="K97" s="25">
        <v>0.37</v>
      </c>
      <c r="L97" s="25">
        <v>0.41</v>
      </c>
      <c r="M97" s="25">
        <v>-11.78</v>
      </c>
      <c r="N97" s="17">
        <v>93</v>
      </c>
      <c r="O97" s="22">
        <v>43112.874444444446</v>
      </c>
    </row>
    <row r="98" spans="2:15" x14ac:dyDescent="0.25">
      <c r="B98" s="17" t="s">
        <v>200</v>
      </c>
      <c r="C98" s="16" t="s">
        <v>47</v>
      </c>
      <c r="D98" s="17" t="s">
        <v>121</v>
      </c>
      <c r="E98" s="18">
        <v>4.3886000000000001E-4</v>
      </c>
      <c r="F98" s="19">
        <v>6.1314599999999997</v>
      </c>
      <c r="G98" s="20">
        <v>9093700</v>
      </c>
      <c r="H98" s="20">
        <v>394592267</v>
      </c>
      <c r="I98" s="21">
        <v>64355352</v>
      </c>
      <c r="J98" s="21">
        <v>64355352</v>
      </c>
      <c r="K98" s="25">
        <v>0.63</v>
      </c>
      <c r="L98" s="25">
        <v>1.86</v>
      </c>
      <c r="M98" s="25">
        <v>34.99</v>
      </c>
      <c r="N98" s="17">
        <v>94</v>
      </c>
      <c r="O98" s="22">
        <v>43112.874340277776</v>
      </c>
    </row>
    <row r="99" spans="2:15" x14ac:dyDescent="0.25">
      <c r="B99" s="17" t="s">
        <v>180</v>
      </c>
      <c r="C99" s="16" t="s">
        <v>30</v>
      </c>
      <c r="D99" s="17" t="s">
        <v>104</v>
      </c>
      <c r="E99" s="18">
        <v>2.7703E-4</v>
      </c>
      <c r="F99" s="19">
        <v>3.8704499999999999</v>
      </c>
      <c r="G99" s="20">
        <v>2282200</v>
      </c>
      <c r="H99" s="20">
        <v>386225681</v>
      </c>
      <c r="I99" s="21">
        <v>99788314</v>
      </c>
      <c r="J99" s="21">
        <v>99788314</v>
      </c>
      <c r="K99" s="25">
        <v>0.63</v>
      </c>
      <c r="L99" s="25">
        <v>-1.24</v>
      </c>
      <c r="M99" s="25">
        <v>3.56</v>
      </c>
      <c r="N99" s="17">
        <v>95</v>
      </c>
      <c r="O99" s="22">
        <v>43112.874398148146</v>
      </c>
    </row>
    <row r="100" spans="2:15" x14ac:dyDescent="0.25">
      <c r="B100" s="17" t="s">
        <v>247</v>
      </c>
      <c r="C100" s="16" t="s">
        <v>59</v>
      </c>
      <c r="D100" s="17" t="s">
        <v>132</v>
      </c>
      <c r="E100" s="18">
        <v>7.0732800000000004E-3</v>
      </c>
      <c r="F100" s="19">
        <v>98.823499999999996</v>
      </c>
      <c r="G100" s="20">
        <v>11177800</v>
      </c>
      <c r="H100" s="20">
        <v>381920318</v>
      </c>
      <c r="I100" s="21">
        <v>3864671</v>
      </c>
      <c r="J100" s="21">
        <v>3864671</v>
      </c>
      <c r="K100" s="25">
        <v>0.75</v>
      </c>
      <c r="L100" s="25">
        <v>-3.34</v>
      </c>
      <c r="M100" s="25">
        <v>-7.6</v>
      </c>
      <c r="N100" s="17">
        <v>96</v>
      </c>
      <c r="O100" s="22">
        <v>43112.874386574076</v>
      </c>
    </row>
    <row r="101" spans="2:15" x14ac:dyDescent="0.25">
      <c r="B101" s="17" t="s">
        <v>208</v>
      </c>
      <c r="C101" s="16" t="s">
        <v>50</v>
      </c>
      <c r="D101" s="17" t="s">
        <v>124</v>
      </c>
      <c r="E101" s="18">
        <v>6.6129000000000003E-4</v>
      </c>
      <c r="F101" s="19">
        <v>9.2391400000000008</v>
      </c>
      <c r="G101" s="20">
        <v>8669820</v>
      </c>
      <c r="H101" s="20">
        <v>376706260</v>
      </c>
      <c r="I101" s="21">
        <v>40772871</v>
      </c>
      <c r="J101" s="21">
        <v>79384422</v>
      </c>
      <c r="K101" s="25">
        <v>0.55000000000000004</v>
      </c>
      <c r="L101" s="25">
        <v>5.32</v>
      </c>
      <c r="M101" s="25">
        <v>28.36</v>
      </c>
      <c r="N101" s="17">
        <v>97</v>
      </c>
      <c r="O101" s="22">
        <v>43112.874432870369</v>
      </c>
    </row>
    <row r="102" spans="2:15" x14ac:dyDescent="0.25">
      <c r="B102" s="17" t="s">
        <v>198</v>
      </c>
      <c r="C102" s="16" t="s">
        <v>39</v>
      </c>
      <c r="D102" s="17" t="s">
        <v>113</v>
      </c>
      <c r="E102" s="18">
        <v>7.7940000000000003E-5</v>
      </c>
      <c r="F102" s="19">
        <v>1.0889899999999999</v>
      </c>
      <c r="G102" s="20">
        <v>40459600</v>
      </c>
      <c r="H102" s="20">
        <v>373196836</v>
      </c>
      <c r="I102" s="21">
        <v>342699966</v>
      </c>
      <c r="J102" s="21">
        <v>1000000000</v>
      </c>
      <c r="K102" s="25">
        <v>-1.08</v>
      </c>
      <c r="L102" s="25">
        <v>13.79</v>
      </c>
      <c r="M102" s="25">
        <v>-7.0000000000000007E-2</v>
      </c>
      <c r="N102" s="17">
        <v>98</v>
      </c>
      <c r="O102" s="22">
        <v>43112.874444444446</v>
      </c>
    </row>
    <row r="103" spans="2:15" x14ac:dyDescent="0.25">
      <c r="B103" s="17" t="s">
        <v>1182</v>
      </c>
      <c r="C103" s="16" t="s">
        <v>1183</v>
      </c>
      <c r="D103" s="17" t="s">
        <v>1184</v>
      </c>
      <c r="E103" s="18">
        <v>7.5519999999999995E-5</v>
      </c>
      <c r="F103" s="19">
        <v>1.0550600000000001</v>
      </c>
      <c r="G103" s="20">
        <v>9617600</v>
      </c>
      <c r="H103" s="20">
        <v>369271000</v>
      </c>
      <c r="I103" s="21">
        <v>350000000</v>
      </c>
      <c r="J103" s="21">
        <v>1000000000</v>
      </c>
      <c r="K103" s="25">
        <v>0.49</v>
      </c>
      <c r="L103" s="25">
        <v>-0.95</v>
      </c>
      <c r="M103" s="25">
        <v>11.93</v>
      </c>
      <c r="N103" s="17">
        <v>99</v>
      </c>
      <c r="O103" s="22">
        <v>43112.874479166669</v>
      </c>
    </row>
    <row r="104" spans="2:15" x14ac:dyDescent="0.25">
      <c r="B104" s="17" t="s">
        <v>1460</v>
      </c>
      <c r="C104" s="16" t="s">
        <v>1461</v>
      </c>
      <c r="D104" s="17" t="s">
        <v>1462</v>
      </c>
      <c r="E104" s="18">
        <v>4.2710000000000003E-5</v>
      </c>
      <c r="F104" s="19">
        <v>0.59665400000000002</v>
      </c>
      <c r="G104" s="20">
        <v>21233000</v>
      </c>
      <c r="H104" s="20">
        <v>368322969</v>
      </c>
      <c r="I104" s="21">
        <v>617314171</v>
      </c>
      <c r="J104" s="21">
        <v>976442388</v>
      </c>
      <c r="K104" s="25">
        <v>1.92</v>
      </c>
      <c r="L104" s="25">
        <v>3.05</v>
      </c>
      <c r="M104" s="25">
        <v>26.92</v>
      </c>
      <c r="N104" s="17">
        <v>100</v>
      </c>
      <c r="O104" s="22">
        <v>43112.874502314815</v>
      </c>
    </row>
    <row r="105" spans="2:15" x14ac:dyDescent="0.25">
      <c r="B105" s="17" t="s">
        <v>1494</v>
      </c>
      <c r="C105" s="16"/>
      <c r="E105" s="18"/>
      <c r="F105" s="19"/>
      <c r="G105" s="20"/>
      <c r="H105" s="20"/>
      <c r="I105" s="21"/>
      <c r="J105" s="21"/>
      <c r="K105" s="25"/>
      <c r="L105" s="25"/>
      <c r="M105" s="25"/>
      <c r="O105" s="22"/>
    </row>
    <row r="106" spans="2:15" x14ac:dyDescent="0.25">
      <c r="B106" s="17" t="s">
        <v>1492</v>
      </c>
      <c r="C106" s="16"/>
      <c r="E106" s="18"/>
      <c r="F106" s="19"/>
      <c r="G106" s="20"/>
      <c r="H106" s="20"/>
      <c r="I106" s="21"/>
      <c r="J106" s="21"/>
      <c r="K106" s="25"/>
      <c r="L106" s="25"/>
      <c r="M106" s="25"/>
      <c r="O106" s="22"/>
    </row>
    <row r="107" spans="2:15" x14ac:dyDescent="0.25">
      <c r="B107" s="17" t="s">
        <v>198</v>
      </c>
      <c r="C107" s="16"/>
      <c r="E107" s="18"/>
      <c r="F107" s="19"/>
      <c r="G107" s="20"/>
      <c r="H107" s="20"/>
      <c r="I107" s="21"/>
      <c r="J107" s="21"/>
      <c r="K107" s="25"/>
      <c r="L107" s="25"/>
      <c r="M107" s="25"/>
      <c r="O107" s="22"/>
    </row>
    <row r="108" spans="2:15" x14ac:dyDescent="0.25">
      <c r="B108" s="17" t="s">
        <v>978</v>
      </c>
      <c r="C108" s="16"/>
      <c r="E108" s="18"/>
      <c r="F108" s="19"/>
      <c r="G108" s="20"/>
      <c r="H108" s="20"/>
      <c r="I108" s="21"/>
      <c r="J108" s="21"/>
      <c r="K108" s="25"/>
      <c r="L108" s="25"/>
      <c r="M108" s="25"/>
      <c r="O108" s="22"/>
    </row>
    <row r="109" spans="2:15" x14ac:dyDescent="0.25">
      <c r="B109" s="17" t="s">
        <v>219</v>
      </c>
      <c r="C109" s="16"/>
      <c r="E109" s="18"/>
      <c r="F109" s="19"/>
      <c r="G109" s="20"/>
      <c r="H109" s="20"/>
      <c r="I109" s="21"/>
      <c r="J109" s="21"/>
      <c r="K109" s="25"/>
      <c r="L109" s="25"/>
      <c r="M109" s="25"/>
      <c r="O109" s="22"/>
    </row>
    <row r="110" spans="2:15" x14ac:dyDescent="0.25">
      <c r="B110" s="17" t="s">
        <v>1337</v>
      </c>
      <c r="C110" s="16"/>
      <c r="E110" s="18"/>
      <c r="F110" s="19"/>
      <c r="G110" s="20"/>
      <c r="H110" s="20"/>
      <c r="I110" s="21"/>
      <c r="J110" s="21"/>
      <c r="K110" s="25"/>
      <c r="L110" s="25"/>
      <c r="M110" s="25"/>
      <c r="O110" s="22"/>
    </row>
    <row r="111" spans="2:15" x14ac:dyDescent="0.25">
      <c r="B111" s="17" t="s">
        <v>1502</v>
      </c>
      <c r="C111" s="16"/>
      <c r="E111" s="18"/>
      <c r="F111" s="19"/>
      <c r="G111" s="20"/>
      <c r="H111" s="20"/>
      <c r="I111" s="21"/>
      <c r="J111" s="21"/>
      <c r="K111" s="25"/>
      <c r="L111" s="25"/>
      <c r="M111" s="25"/>
      <c r="O111" s="22"/>
    </row>
    <row r="112" spans="2:15" x14ac:dyDescent="0.25">
      <c r="B112" s="17" t="s">
        <v>234</v>
      </c>
      <c r="C112" s="16"/>
      <c r="E112" s="18"/>
      <c r="F112" s="19"/>
      <c r="G112" s="20"/>
      <c r="H112" s="20"/>
      <c r="I112" s="21"/>
      <c r="J112" s="21"/>
      <c r="K112" s="25"/>
      <c r="L112" s="25"/>
      <c r="M112" s="25"/>
      <c r="O112" s="22"/>
    </row>
    <row r="113" spans="2:15" x14ac:dyDescent="0.25">
      <c r="B113" s="17" t="s">
        <v>937</v>
      </c>
      <c r="C113" s="16"/>
      <c r="E113" s="18"/>
      <c r="F113" s="19"/>
      <c r="G113" s="20"/>
      <c r="H113" s="20"/>
      <c r="I113" s="21"/>
      <c r="J113" s="21"/>
      <c r="K113" s="25"/>
      <c r="L113" s="25"/>
      <c r="M113" s="25"/>
      <c r="O113" s="22"/>
    </row>
    <row r="114" spans="2:15" x14ac:dyDescent="0.25">
      <c r="B114" s="17" t="s">
        <v>327</v>
      </c>
      <c r="C114" s="16"/>
      <c r="E114" s="18"/>
      <c r="F114" s="19"/>
      <c r="G114" s="20"/>
      <c r="H114" s="20"/>
      <c r="I114" s="21"/>
      <c r="J114" s="21"/>
      <c r="K114" s="25"/>
      <c r="L114" s="25"/>
      <c r="M114" s="25"/>
      <c r="O114" s="22"/>
    </row>
    <row r="115" spans="2:15" x14ac:dyDescent="0.25">
      <c r="B115" s="17" t="s">
        <v>205</v>
      </c>
      <c r="C115" s="16"/>
      <c r="E115" s="18"/>
      <c r="F115" s="19"/>
      <c r="G115" s="20"/>
      <c r="H115" s="20"/>
      <c r="I115" s="21"/>
      <c r="J115" s="21"/>
      <c r="K115" s="25"/>
      <c r="L115" s="25"/>
      <c r="M115" s="25"/>
      <c r="O115" s="22"/>
    </row>
    <row r="116" spans="2:15" x14ac:dyDescent="0.25">
      <c r="B116" s="17" t="s">
        <v>1284</v>
      </c>
      <c r="C116" s="16"/>
      <c r="F116" s="19"/>
      <c r="I116" s="21"/>
      <c r="J116" s="21"/>
      <c r="K116" s="25"/>
      <c r="L116" s="25"/>
      <c r="M116" s="25"/>
      <c r="O116" s="22"/>
    </row>
    <row r="117" spans="2:15" x14ac:dyDescent="0.25">
      <c r="B117" s="17" t="s">
        <v>1166</v>
      </c>
      <c r="C117" s="16"/>
      <c r="E117" s="18"/>
      <c r="F117" s="19"/>
      <c r="G117" s="20"/>
      <c r="H117" s="20"/>
      <c r="I117" s="21"/>
      <c r="J117" s="21"/>
      <c r="K117" s="25"/>
      <c r="L117" s="25"/>
      <c r="M117" s="25"/>
      <c r="O117" s="22"/>
    </row>
    <row r="118" spans="2:15" x14ac:dyDescent="0.25">
      <c r="B118" s="17" t="s">
        <v>251</v>
      </c>
      <c r="C118" s="16"/>
      <c r="E118" s="18"/>
      <c r="F118" s="19"/>
      <c r="G118" s="20"/>
      <c r="H118" s="20"/>
      <c r="I118" s="21"/>
      <c r="J118" s="21"/>
      <c r="K118" s="25"/>
      <c r="L118" s="25"/>
      <c r="M118" s="25"/>
      <c r="O118" s="22"/>
    </row>
    <row r="119" spans="2:15" x14ac:dyDescent="0.25">
      <c r="B119" s="17" t="s">
        <v>1357</v>
      </c>
      <c r="C119" s="16"/>
      <c r="E119" s="18"/>
      <c r="F119" s="19"/>
      <c r="G119" s="20"/>
      <c r="H119" s="20"/>
      <c r="I119" s="21"/>
      <c r="J119" s="21"/>
      <c r="K119" s="25"/>
      <c r="L119" s="25"/>
      <c r="M119" s="25"/>
      <c r="O119" s="22"/>
    </row>
    <row r="120" spans="2:15" x14ac:dyDescent="0.25">
      <c r="B120" s="17" t="s">
        <v>1262</v>
      </c>
      <c r="C120" s="16"/>
      <c r="E120" s="18"/>
      <c r="F120" s="19"/>
      <c r="G120" s="20"/>
      <c r="H120" s="20"/>
      <c r="I120" s="21"/>
      <c r="J120" s="21"/>
      <c r="K120" s="25"/>
      <c r="L120" s="25"/>
      <c r="M120" s="25"/>
      <c r="O120" s="22"/>
    </row>
    <row r="121" spans="2:15" x14ac:dyDescent="0.25">
      <c r="B121" s="17" t="s">
        <v>216</v>
      </c>
      <c r="C121" s="16"/>
      <c r="E121" s="18"/>
      <c r="F121" s="19"/>
      <c r="G121" s="20"/>
      <c r="H121" s="20"/>
      <c r="I121" s="21"/>
      <c r="J121" s="21"/>
      <c r="K121" s="25"/>
      <c r="L121" s="25"/>
      <c r="M121" s="25"/>
      <c r="O121" s="22"/>
    </row>
    <row r="122" spans="2:15" x14ac:dyDescent="0.25">
      <c r="B122" s="17" t="s">
        <v>279</v>
      </c>
      <c r="C122" s="16"/>
      <c r="E122" s="18"/>
      <c r="F122" s="19"/>
      <c r="G122" s="20"/>
      <c r="H122" s="20"/>
      <c r="I122" s="21"/>
      <c r="J122" s="21"/>
      <c r="K122" s="25"/>
      <c r="L122" s="25"/>
      <c r="M122" s="25"/>
      <c r="O122" s="22"/>
    </row>
    <row r="123" spans="2:15" x14ac:dyDescent="0.25">
      <c r="B123" s="17" t="s">
        <v>206</v>
      </c>
      <c r="C123" s="16"/>
      <c r="E123" s="18"/>
      <c r="F123" s="19"/>
      <c r="G123" s="20"/>
      <c r="H123" s="20"/>
      <c r="I123" s="21"/>
      <c r="J123" s="21"/>
      <c r="K123" s="25"/>
      <c r="L123" s="25"/>
      <c r="M123" s="25"/>
      <c r="O123" s="22"/>
    </row>
    <row r="124" spans="2:15" x14ac:dyDescent="0.25">
      <c r="B124" s="17" t="s">
        <v>286</v>
      </c>
      <c r="C124" s="16"/>
      <c r="E124" s="18"/>
      <c r="F124" s="19"/>
      <c r="G124" s="20"/>
      <c r="H124" s="20"/>
      <c r="I124" s="21"/>
      <c r="J124" s="21"/>
      <c r="K124" s="25"/>
      <c r="L124" s="25"/>
      <c r="M124" s="25"/>
      <c r="O124" s="22"/>
    </row>
    <row r="125" spans="2:15" x14ac:dyDescent="0.25">
      <c r="B125" s="17" t="s">
        <v>1595</v>
      </c>
      <c r="C125" s="16"/>
      <c r="E125" s="18"/>
      <c r="F125" s="19"/>
      <c r="G125" s="20"/>
      <c r="H125" s="20"/>
      <c r="I125" s="21"/>
      <c r="J125" s="21"/>
      <c r="K125" s="25"/>
      <c r="L125" s="25"/>
      <c r="M125" s="25"/>
      <c r="O125" s="22"/>
    </row>
    <row r="126" spans="2:15" x14ac:dyDescent="0.25">
      <c r="B126" s="17" t="s">
        <v>1162</v>
      </c>
      <c r="C126" s="16"/>
      <c r="E126" s="18"/>
      <c r="F126" s="19"/>
      <c r="G126" s="20"/>
      <c r="H126" s="20"/>
      <c r="I126" s="21"/>
      <c r="J126" s="21"/>
      <c r="K126" s="25"/>
      <c r="L126" s="25"/>
      <c r="M126" s="25"/>
      <c r="O126" s="22"/>
    </row>
    <row r="127" spans="2:15" x14ac:dyDescent="0.25">
      <c r="B127" s="17" t="s">
        <v>1533</v>
      </c>
      <c r="C127" s="16"/>
      <c r="E127" s="18"/>
      <c r="F127" s="19"/>
      <c r="G127" s="20"/>
      <c r="H127" s="20"/>
      <c r="I127" s="21"/>
      <c r="J127" s="21"/>
      <c r="K127" s="25"/>
      <c r="L127" s="25"/>
      <c r="M127" s="25"/>
      <c r="O127" s="22"/>
    </row>
    <row r="128" spans="2:15" x14ac:dyDescent="0.25">
      <c r="B128" s="17" t="s">
        <v>1238</v>
      </c>
      <c r="C128" s="16"/>
      <c r="E128" s="18"/>
      <c r="F128" s="19"/>
      <c r="G128" s="20"/>
      <c r="H128" s="20"/>
      <c r="I128" s="21"/>
      <c r="J128" s="21"/>
      <c r="K128" s="25"/>
      <c r="L128" s="25"/>
      <c r="M128" s="25"/>
      <c r="O128" s="22"/>
    </row>
    <row r="129" spans="2:15" x14ac:dyDescent="0.25">
      <c r="B129" s="17" t="s">
        <v>1358</v>
      </c>
      <c r="C129" s="16"/>
      <c r="E129" s="18"/>
      <c r="F129" s="19"/>
      <c r="G129" s="20"/>
      <c r="H129" s="20"/>
      <c r="I129" s="21"/>
      <c r="J129" s="21"/>
      <c r="K129" s="25"/>
      <c r="L129" s="25"/>
      <c r="M129" s="25"/>
      <c r="O129" s="22"/>
    </row>
    <row r="130" spans="2:15" x14ac:dyDescent="0.25">
      <c r="B130" s="17" t="s">
        <v>238</v>
      </c>
      <c r="C130" s="16"/>
      <c r="E130" s="18"/>
      <c r="F130" s="19"/>
      <c r="G130" s="20"/>
      <c r="H130" s="20"/>
      <c r="I130" s="21"/>
      <c r="J130" s="21"/>
      <c r="K130" s="25"/>
      <c r="L130" s="25"/>
      <c r="M130" s="25"/>
      <c r="O130" s="22"/>
    </row>
    <row r="131" spans="2:15" x14ac:dyDescent="0.25">
      <c r="B131" s="17" t="s">
        <v>1271</v>
      </c>
      <c r="C131" s="16"/>
      <c r="E131" s="18"/>
      <c r="F131" s="19"/>
      <c r="G131" s="20"/>
      <c r="H131" s="20"/>
      <c r="I131" s="21"/>
      <c r="J131" s="21"/>
      <c r="K131" s="25"/>
      <c r="L131" s="25"/>
      <c r="M131" s="25"/>
      <c r="O131" s="22"/>
    </row>
    <row r="132" spans="2:15" x14ac:dyDescent="0.25">
      <c r="B132" s="17" t="s">
        <v>1561</v>
      </c>
      <c r="C132" s="16"/>
      <c r="E132" s="18"/>
      <c r="F132" s="19"/>
      <c r="G132" s="20"/>
      <c r="H132" s="20"/>
      <c r="I132" s="21"/>
      <c r="J132" s="21"/>
      <c r="K132" s="25"/>
      <c r="L132" s="25"/>
      <c r="M132" s="25"/>
      <c r="O132" s="22"/>
    </row>
    <row r="133" spans="2:15" x14ac:dyDescent="0.25">
      <c r="B133" s="17" t="s">
        <v>214</v>
      </c>
      <c r="C133" s="16"/>
      <c r="E133" s="18"/>
      <c r="F133" s="19"/>
      <c r="G133" s="20"/>
      <c r="H133" s="20"/>
      <c r="I133" s="21"/>
      <c r="J133" s="21"/>
      <c r="K133" s="25"/>
      <c r="L133" s="25"/>
      <c r="M133" s="25"/>
      <c r="O133" s="22"/>
    </row>
    <row r="134" spans="2:15" x14ac:dyDescent="0.25">
      <c r="B134" s="17" t="s">
        <v>215</v>
      </c>
      <c r="C134" s="16"/>
      <c r="E134" s="18"/>
      <c r="F134" s="19"/>
      <c r="G134" s="20"/>
      <c r="H134" s="20"/>
      <c r="I134" s="21"/>
      <c r="J134" s="21"/>
      <c r="K134" s="25"/>
      <c r="L134" s="25"/>
      <c r="M134" s="25"/>
      <c r="O134" s="22"/>
    </row>
    <row r="135" spans="2:15" x14ac:dyDescent="0.25">
      <c r="B135" s="17" t="s">
        <v>1512</v>
      </c>
      <c r="C135" s="16"/>
      <c r="E135" s="18"/>
      <c r="F135" s="19"/>
      <c r="G135" s="20"/>
      <c r="H135" s="20"/>
      <c r="I135" s="21"/>
      <c r="J135" s="21"/>
      <c r="K135" s="25"/>
      <c r="L135" s="25"/>
      <c r="M135" s="25"/>
      <c r="O135" s="22"/>
    </row>
    <row r="136" spans="2:15" x14ac:dyDescent="0.25">
      <c r="B136" s="17" t="s">
        <v>1260</v>
      </c>
      <c r="C136" s="16"/>
      <c r="E136" s="18"/>
      <c r="F136" s="19"/>
      <c r="G136" s="20"/>
      <c r="H136" s="20"/>
      <c r="I136" s="21"/>
      <c r="J136" s="21"/>
      <c r="K136" s="25"/>
      <c r="L136" s="25"/>
      <c r="M136" s="25"/>
      <c r="O136" s="22"/>
    </row>
    <row r="137" spans="2:15" x14ac:dyDescent="0.25">
      <c r="B137" s="17" t="s">
        <v>218</v>
      </c>
      <c r="C137" s="16"/>
      <c r="E137" s="18"/>
      <c r="F137" s="19"/>
      <c r="G137" s="20"/>
      <c r="H137" s="20"/>
      <c r="I137" s="21"/>
      <c r="J137" s="21"/>
      <c r="K137" s="25"/>
      <c r="L137" s="25"/>
      <c r="M137" s="25"/>
      <c r="O137" s="22"/>
    </row>
    <row r="138" spans="2:15" x14ac:dyDescent="0.25">
      <c r="B138" s="17" t="s">
        <v>1365</v>
      </c>
      <c r="C138" s="16"/>
      <c r="E138" s="18"/>
      <c r="F138" s="19"/>
      <c r="G138" s="20"/>
      <c r="H138" s="20"/>
      <c r="I138" s="21"/>
      <c r="J138" s="21"/>
      <c r="K138" s="25"/>
      <c r="L138" s="25"/>
      <c r="M138" s="25"/>
      <c r="O138" s="22"/>
    </row>
    <row r="139" spans="2:15" x14ac:dyDescent="0.25">
      <c r="B139" s="17" t="s">
        <v>213</v>
      </c>
      <c r="C139" s="16"/>
      <c r="E139" s="18"/>
      <c r="F139" s="19"/>
      <c r="G139" s="20"/>
      <c r="H139" s="20"/>
      <c r="I139" s="21"/>
      <c r="J139" s="21"/>
      <c r="K139" s="25"/>
      <c r="L139" s="25"/>
      <c r="M139" s="25"/>
      <c r="O139" s="22"/>
    </row>
    <row r="140" spans="2:15" x14ac:dyDescent="0.25">
      <c r="B140" s="17" t="s">
        <v>270</v>
      </c>
      <c r="C140" s="16"/>
      <c r="E140" s="18"/>
      <c r="F140" s="19"/>
      <c r="G140" s="20"/>
      <c r="H140" s="20"/>
      <c r="I140" s="21"/>
      <c r="J140" s="21"/>
      <c r="K140" s="25"/>
      <c r="L140" s="25"/>
      <c r="M140" s="25"/>
      <c r="O140" s="22"/>
    </row>
    <row r="141" spans="2:15" x14ac:dyDescent="0.25">
      <c r="B141" s="17" t="s">
        <v>1601</v>
      </c>
      <c r="C141" s="16"/>
      <c r="E141" s="18"/>
      <c r="F141" s="19"/>
      <c r="G141" s="20"/>
      <c r="H141" s="20"/>
      <c r="I141" s="21"/>
      <c r="J141" s="21"/>
      <c r="K141" s="25"/>
      <c r="L141" s="25"/>
      <c r="M141" s="25"/>
      <c r="O141" s="22"/>
    </row>
    <row r="142" spans="2:15" x14ac:dyDescent="0.25">
      <c r="B142" s="17" t="s">
        <v>411</v>
      </c>
      <c r="C142" s="16"/>
      <c r="E142" s="18"/>
      <c r="F142" s="19"/>
      <c r="G142" s="20"/>
      <c r="H142" s="20"/>
      <c r="I142" s="21"/>
      <c r="J142" s="21"/>
      <c r="K142" s="25"/>
      <c r="L142" s="25"/>
      <c r="M142" s="25"/>
      <c r="O142" s="22"/>
    </row>
    <row r="143" spans="2:15" x14ac:dyDescent="0.25">
      <c r="B143" s="17" t="s">
        <v>1400</v>
      </c>
      <c r="C143" s="16"/>
      <c r="E143" s="18"/>
      <c r="F143" s="19"/>
      <c r="G143" s="20"/>
      <c r="H143" s="20"/>
      <c r="I143" s="21"/>
      <c r="J143" s="21"/>
      <c r="K143" s="25"/>
      <c r="L143" s="25"/>
      <c r="M143" s="25"/>
      <c r="O143" s="22"/>
    </row>
    <row r="144" spans="2:15" x14ac:dyDescent="0.25">
      <c r="B144" s="17" t="s">
        <v>1338</v>
      </c>
      <c r="C144" s="16"/>
      <c r="E144" s="18"/>
      <c r="F144" s="19"/>
      <c r="G144" s="20"/>
      <c r="H144" s="20"/>
      <c r="I144" s="21"/>
      <c r="J144" s="21"/>
      <c r="K144" s="25"/>
      <c r="L144" s="25"/>
      <c r="M144" s="25"/>
      <c r="O144" s="22"/>
    </row>
    <row r="145" spans="2:15" x14ac:dyDescent="0.25">
      <c r="B145" s="17" t="s">
        <v>1480</v>
      </c>
      <c r="C145" s="16"/>
      <c r="E145" s="18"/>
      <c r="F145" s="19"/>
      <c r="G145" s="20"/>
      <c r="H145" s="20"/>
      <c r="I145" s="21"/>
      <c r="J145" s="21"/>
      <c r="K145" s="25"/>
      <c r="L145" s="25"/>
      <c r="M145" s="25"/>
      <c r="O145" s="22"/>
    </row>
    <row r="146" spans="2:15" x14ac:dyDescent="0.25">
      <c r="B146" s="17" t="s">
        <v>1336</v>
      </c>
      <c r="C146" s="16"/>
      <c r="E146" s="18"/>
      <c r="F146" s="19"/>
      <c r="G146" s="20"/>
      <c r="H146" s="20"/>
      <c r="I146" s="21"/>
      <c r="J146" s="21"/>
      <c r="K146" s="25"/>
      <c r="L146" s="25"/>
      <c r="M146" s="25"/>
      <c r="O146" s="22"/>
    </row>
    <row r="147" spans="2:15" x14ac:dyDescent="0.25">
      <c r="B147" s="17" t="s">
        <v>1274</v>
      </c>
      <c r="C147" s="16"/>
      <c r="E147" s="18"/>
      <c r="F147" s="19"/>
      <c r="G147" s="20"/>
      <c r="H147" s="20"/>
      <c r="I147" s="21"/>
      <c r="J147" s="21"/>
      <c r="K147" s="25"/>
      <c r="L147" s="25"/>
      <c r="M147" s="25"/>
      <c r="O147" s="22"/>
    </row>
    <row r="148" spans="2:15" x14ac:dyDescent="0.25">
      <c r="B148" s="17" t="s">
        <v>1317</v>
      </c>
      <c r="C148" s="16"/>
      <c r="E148" s="18"/>
      <c r="F148" s="19"/>
      <c r="G148" s="20"/>
      <c r="H148" s="20"/>
      <c r="I148" s="21"/>
      <c r="J148" s="21"/>
      <c r="K148" s="25"/>
      <c r="L148" s="25"/>
      <c r="M148" s="25"/>
      <c r="O148" s="22"/>
    </row>
    <row r="149" spans="2:15" x14ac:dyDescent="0.25">
      <c r="B149" s="17" t="s">
        <v>220</v>
      </c>
      <c r="C149" s="16"/>
      <c r="E149" s="18"/>
      <c r="F149" s="19"/>
      <c r="G149" s="20"/>
      <c r="H149" s="20"/>
      <c r="I149" s="21"/>
      <c r="J149" s="21"/>
      <c r="K149" s="25"/>
      <c r="L149" s="25"/>
      <c r="M149" s="25"/>
      <c r="O149" s="22"/>
    </row>
    <row r="150" spans="2:15" x14ac:dyDescent="0.25">
      <c r="B150" s="17" t="s">
        <v>1521</v>
      </c>
      <c r="C150" s="16"/>
      <c r="E150" s="18"/>
      <c r="F150" s="19"/>
      <c r="G150" s="20"/>
      <c r="H150" s="20"/>
      <c r="I150" s="21"/>
      <c r="J150" s="21"/>
      <c r="K150" s="25"/>
      <c r="L150" s="25"/>
      <c r="M150" s="25"/>
      <c r="O150" s="22"/>
    </row>
    <row r="151" spans="2:15" x14ac:dyDescent="0.25">
      <c r="B151" s="17" t="s">
        <v>1547</v>
      </c>
      <c r="C151" s="16"/>
      <c r="E151" s="18"/>
      <c r="F151" s="19"/>
      <c r="G151" s="20"/>
      <c r="H151" s="20"/>
      <c r="I151" s="21"/>
      <c r="J151" s="21"/>
      <c r="K151" s="25"/>
      <c r="L151" s="25"/>
      <c r="M151" s="25"/>
      <c r="O151" s="22"/>
    </row>
    <row r="152" spans="2:15" x14ac:dyDescent="0.25">
      <c r="B152" s="17" t="s">
        <v>230</v>
      </c>
      <c r="C152" s="16"/>
      <c r="E152" s="18"/>
      <c r="F152" s="19"/>
      <c r="G152" s="20"/>
      <c r="H152" s="20"/>
      <c r="I152" s="21"/>
      <c r="J152" s="21"/>
      <c r="K152" s="25"/>
      <c r="L152" s="25"/>
      <c r="M152" s="25"/>
      <c r="O152" s="22"/>
    </row>
    <row r="153" spans="2:15" x14ac:dyDescent="0.25">
      <c r="B153" s="17" t="s">
        <v>1329</v>
      </c>
      <c r="C153" s="16"/>
      <c r="E153" s="18"/>
      <c r="F153" s="19"/>
      <c r="G153" s="20"/>
      <c r="H153" s="20"/>
      <c r="I153" s="21"/>
      <c r="J153" s="21"/>
      <c r="K153" s="25"/>
      <c r="L153" s="25"/>
      <c r="M153" s="25"/>
      <c r="O153" s="22"/>
    </row>
    <row r="154" spans="2:15" x14ac:dyDescent="0.25">
      <c r="B154" s="17" t="s">
        <v>57</v>
      </c>
      <c r="C154" s="16"/>
      <c r="E154" s="18"/>
      <c r="F154" s="19"/>
      <c r="G154" s="20"/>
      <c r="H154" s="20"/>
      <c r="I154" s="21"/>
      <c r="J154" s="21"/>
      <c r="K154" s="25"/>
      <c r="L154" s="25"/>
      <c r="M154" s="25"/>
      <c r="O154" s="22"/>
    </row>
    <row r="155" spans="2:15" x14ac:dyDescent="0.25">
      <c r="B155" s="17" t="s">
        <v>1318</v>
      </c>
      <c r="C155" s="16"/>
      <c r="E155" s="18"/>
      <c r="F155" s="19"/>
      <c r="G155" s="20"/>
      <c r="H155" s="20"/>
      <c r="I155" s="21"/>
      <c r="J155" s="21"/>
      <c r="K155" s="25"/>
      <c r="L155" s="25"/>
      <c r="M155" s="25"/>
      <c r="O155" s="22"/>
    </row>
    <row r="156" spans="2:15" x14ac:dyDescent="0.25">
      <c r="B156" s="17" t="s">
        <v>939</v>
      </c>
      <c r="C156" s="16"/>
      <c r="E156" s="18"/>
      <c r="F156" s="19"/>
      <c r="G156" s="20"/>
      <c r="H156" s="20"/>
      <c r="I156" s="21"/>
      <c r="J156" s="21"/>
      <c r="K156" s="25"/>
      <c r="L156" s="25"/>
      <c r="M156" s="25"/>
      <c r="O156" s="22"/>
    </row>
    <row r="157" spans="2:15" x14ac:dyDescent="0.25">
      <c r="B157" s="17" t="s">
        <v>246</v>
      </c>
      <c r="C157" s="16"/>
      <c r="E157" s="18"/>
      <c r="F157" s="19"/>
      <c r="G157" s="20"/>
      <c r="H157" s="20"/>
      <c r="I157" s="21"/>
      <c r="J157" s="21"/>
      <c r="K157" s="25"/>
      <c r="L157" s="25"/>
      <c r="M157" s="25"/>
      <c r="O157" s="22"/>
    </row>
    <row r="158" spans="2:15" x14ac:dyDescent="0.25">
      <c r="B158" s="17" t="s">
        <v>274</v>
      </c>
      <c r="C158" s="16"/>
      <c r="E158" s="18"/>
      <c r="F158" s="19"/>
      <c r="G158" s="20"/>
      <c r="H158" s="20"/>
      <c r="I158" s="21"/>
      <c r="J158" s="21"/>
      <c r="K158" s="25"/>
      <c r="L158" s="25"/>
      <c r="M158" s="25"/>
      <c r="O158" s="22"/>
    </row>
    <row r="159" spans="2:15" x14ac:dyDescent="0.25">
      <c r="B159" s="17" t="s">
        <v>231</v>
      </c>
      <c r="C159" s="16"/>
      <c r="E159" s="18"/>
      <c r="F159" s="19"/>
      <c r="G159" s="20"/>
      <c r="H159" s="20"/>
      <c r="I159" s="21"/>
      <c r="J159" s="21"/>
      <c r="K159" s="25"/>
      <c r="L159" s="25"/>
      <c r="M159" s="25"/>
      <c r="O159" s="22"/>
    </row>
    <row r="160" spans="2:15" x14ac:dyDescent="0.25">
      <c r="B160" s="17" t="s">
        <v>224</v>
      </c>
      <c r="C160" s="16"/>
      <c r="E160" s="18"/>
      <c r="F160" s="19"/>
      <c r="G160" s="20"/>
      <c r="H160" s="20"/>
      <c r="I160" s="21"/>
      <c r="J160" s="21"/>
      <c r="K160" s="25"/>
      <c r="L160" s="25"/>
      <c r="M160" s="25"/>
      <c r="O160" s="22"/>
    </row>
    <row r="161" spans="2:15" x14ac:dyDescent="0.25">
      <c r="B161" s="17" t="s">
        <v>249</v>
      </c>
      <c r="C161" s="16"/>
      <c r="E161" s="18"/>
      <c r="F161" s="19"/>
      <c r="G161" s="20"/>
      <c r="H161" s="20"/>
      <c r="I161" s="21"/>
      <c r="J161" s="21"/>
      <c r="K161" s="25"/>
      <c r="L161" s="25"/>
      <c r="M161" s="25"/>
      <c r="O161" s="22"/>
    </row>
    <row r="162" spans="2:15" x14ac:dyDescent="0.25">
      <c r="B162" s="17" t="s">
        <v>1368</v>
      </c>
      <c r="C162" s="16"/>
      <c r="E162" s="18"/>
      <c r="F162" s="19"/>
      <c r="G162" s="20"/>
      <c r="H162" s="20"/>
      <c r="I162" s="21"/>
      <c r="J162" s="21"/>
      <c r="K162" s="25"/>
      <c r="L162" s="25"/>
      <c r="M162" s="25"/>
      <c r="O162" s="22"/>
    </row>
    <row r="163" spans="2:15" x14ac:dyDescent="0.25">
      <c r="B163" s="17" t="s">
        <v>344</v>
      </c>
      <c r="C163" s="16"/>
      <c r="E163" s="18"/>
      <c r="F163" s="19"/>
      <c r="G163" s="20"/>
      <c r="H163" s="20"/>
      <c r="I163" s="21"/>
      <c r="J163" s="21"/>
      <c r="K163" s="25"/>
      <c r="L163" s="25"/>
      <c r="M163" s="25"/>
      <c r="O163" s="22"/>
    </row>
    <row r="164" spans="2:15" x14ac:dyDescent="0.25">
      <c r="B164" s="17" t="s">
        <v>223</v>
      </c>
      <c r="C164" s="16"/>
      <c r="E164" s="18"/>
      <c r="F164" s="19"/>
      <c r="G164" s="20"/>
      <c r="H164" s="20"/>
      <c r="I164" s="21"/>
      <c r="J164" s="21"/>
      <c r="K164" s="25"/>
      <c r="L164" s="25"/>
      <c r="M164" s="25"/>
      <c r="O164" s="22"/>
    </row>
    <row r="165" spans="2:15" x14ac:dyDescent="0.25">
      <c r="B165" s="17" t="s">
        <v>232</v>
      </c>
      <c r="C165" s="16"/>
      <c r="E165" s="18"/>
      <c r="F165" s="19"/>
      <c r="G165" s="20"/>
      <c r="H165" s="20"/>
      <c r="I165" s="21"/>
      <c r="J165" s="21"/>
      <c r="K165" s="25"/>
      <c r="L165" s="25"/>
      <c r="M165" s="25"/>
      <c r="O165" s="22"/>
    </row>
    <row r="166" spans="2:15" x14ac:dyDescent="0.25">
      <c r="B166" s="17" t="s">
        <v>225</v>
      </c>
      <c r="C166" s="16"/>
      <c r="E166" s="18"/>
      <c r="F166" s="19"/>
      <c r="G166" s="20"/>
      <c r="H166" s="20"/>
      <c r="I166" s="21"/>
      <c r="J166" s="21"/>
      <c r="K166" s="25"/>
      <c r="L166" s="25"/>
      <c r="M166" s="25"/>
      <c r="O166" s="22"/>
    </row>
    <row r="167" spans="2:15" x14ac:dyDescent="0.25">
      <c r="B167" s="17" t="s">
        <v>299</v>
      </c>
      <c r="C167" s="16"/>
      <c r="E167" s="18"/>
      <c r="F167" s="19"/>
      <c r="G167" s="20"/>
      <c r="H167" s="20"/>
      <c r="I167" s="21"/>
      <c r="J167" s="21"/>
      <c r="K167" s="25"/>
      <c r="L167" s="25"/>
      <c r="M167" s="25"/>
      <c r="O167" s="22"/>
    </row>
    <row r="168" spans="2:15" x14ac:dyDescent="0.25">
      <c r="B168" s="17" t="s">
        <v>235</v>
      </c>
      <c r="C168" s="16"/>
      <c r="E168" s="18"/>
      <c r="F168" s="19"/>
      <c r="G168" s="20"/>
      <c r="H168" s="20"/>
      <c r="I168" s="21"/>
      <c r="J168" s="21"/>
      <c r="K168" s="25"/>
      <c r="L168" s="25"/>
      <c r="M168" s="25"/>
      <c r="O168" s="22"/>
    </row>
    <row r="169" spans="2:15" x14ac:dyDescent="0.25">
      <c r="B169" s="17" t="s">
        <v>1573</v>
      </c>
      <c r="C169" s="16"/>
      <c r="E169" s="18"/>
      <c r="F169" s="19"/>
      <c r="G169" s="20"/>
      <c r="H169" s="20"/>
      <c r="I169" s="21"/>
      <c r="J169" s="21"/>
      <c r="K169" s="25"/>
      <c r="L169" s="25"/>
      <c r="M169" s="25"/>
      <c r="O169" s="22"/>
    </row>
    <row r="170" spans="2:15" x14ac:dyDescent="0.25">
      <c r="B170" s="17" t="s">
        <v>260</v>
      </c>
      <c r="C170" s="16"/>
      <c r="E170" s="18"/>
      <c r="F170" s="19"/>
      <c r="G170" s="20"/>
      <c r="H170" s="20"/>
      <c r="I170" s="21"/>
      <c r="J170" s="21"/>
      <c r="K170" s="25"/>
      <c r="L170" s="25"/>
      <c r="M170" s="25"/>
      <c r="O170" s="22"/>
    </row>
    <row r="171" spans="2:15" x14ac:dyDescent="0.25">
      <c r="B171" s="17" t="s">
        <v>1423</v>
      </c>
      <c r="C171" s="16"/>
      <c r="E171" s="18"/>
      <c r="F171" s="19"/>
      <c r="G171" s="20"/>
      <c r="H171" s="20"/>
      <c r="I171" s="21"/>
      <c r="J171" s="21"/>
      <c r="K171" s="25"/>
      <c r="L171" s="25"/>
      <c r="M171" s="25"/>
      <c r="O171" s="22"/>
    </row>
    <row r="172" spans="2:15" x14ac:dyDescent="0.25">
      <c r="B172" s="17" t="s">
        <v>250</v>
      </c>
      <c r="C172" s="16"/>
      <c r="E172" s="18"/>
      <c r="F172" s="19"/>
      <c r="G172" s="20"/>
      <c r="H172" s="20"/>
      <c r="I172" s="21"/>
      <c r="J172" s="21"/>
      <c r="K172" s="25"/>
      <c r="L172" s="25"/>
      <c r="M172" s="25"/>
      <c r="O172" s="22"/>
    </row>
    <row r="173" spans="2:15" x14ac:dyDescent="0.25">
      <c r="B173" s="17" t="s">
        <v>1527</v>
      </c>
      <c r="C173" s="16"/>
      <c r="E173" s="18"/>
      <c r="F173" s="19"/>
      <c r="G173" s="20"/>
      <c r="H173" s="20"/>
      <c r="I173" s="21"/>
      <c r="J173" s="21"/>
      <c r="K173" s="25"/>
      <c r="L173" s="25"/>
      <c r="M173" s="25"/>
      <c r="O173" s="22"/>
    </row>
    <row r="174" spans="2:15" x14ac:dyDescent="0.25">
      <c r="B174" s="17" t="s">
        <v>1285</v>
      </c>
      <c r="C174" s="16"/>
      <c r="E174" s="18"/>
      <c r="F174" s="19"/>
      <c r="G174" s="20"/>
      <c r="H174" s="20"/>
      <c r="I174" s="21"/>
      <c r="J174" s="21"/>
      <c r="K174" s="25"/>
      <c r="L174" s="25"/>
      <c r="M174" s="25"/>
      <c r="O174" s="22"/>
    </row>
    <row r="175" spans="2:15" x14ac:dyDescent="0.25">
      <c r="B175" s="17" t="s">
        <v>969</v>
      </c>
      <c r="C175" s="16"/>
      <c r="E175" s="18"/>
      <c r="F175" s="19"/>
      <c r="G175" s="20"/>
      <c r="H175" s="20"/>
      <c r="I175" s="21"/>
      <c r="J175" s="21"/>
      <c r="K175" s="25"/>
      <c r="L175" s="25"/>
      <c r="M175" s="25"/>
      <c r="O175" s="22"/>
    </row>
    <row r="176" spans="2:15" x14ac:dyDescent="0.25">
      <c r="B176" s="17" t="s">
        <v>266</v>
      </c>
      <c r="C176" s="16"/>
      <c r="E176" s="18"/>
      <c r="F176" s="19"/>
      <c r="G176" s="20"/>
      <c r="H176" s="20"/>
      <c r="I176" s="21"/>
      <c r="J176" s="21"/>
      <c r="K176" s="25"/>
      <c r="L176" s="25"/>
      <c r="M176" s="25"/>
      <c r="O176" s="22"/>
    </row>
    <row r="177" spans="2:15" x14ac:dyDescent="0.25">
      <c r="B177" s="17" t="s">
        <v>228</v>
      </c>
      <c r="C177" s="16"/>
      <c r="E177" s="18"/>
      <c r="F177" s="19"/>
      <c r="G177" s="20"/>
      <c r="H177" s="20"/>
      <c r="I177" s="21"/>
      <c r="J177" s="21"/>
      <c r="K177" s="25"/>
      <c r="L177" s="25"/>
      <c r="M177" s="25"/>
      <c r="O177" s="22"/>
    </row>
    <row r="178" spans="2:15" x14ac:dyDescent="0.25">
      <c r="B178" s="17" t="s">
        <v>233</v>
      </c>
      <c r="C178" s="16"/>
      <c r="E178" s="18"/>
      <c r="F178" s="19"/>
      <c r="G178" s="20"/>
      <c r="H178" s="20"/>
      <c r="I178" s="21"/>
      <c r="J178" s="21"/>
      <c r="K178" s="25"/>
      <c r="L178" s="25"/>
      <c r="M178" s="25"/>
      <c r="O178" s="22"/>
    </row>
    <row r="179" spans="2:15" x14ac:dyDescent="0.25">
      <c r="B179" s="17" t="s">
        <v>1429</v>
      </c>
      <c r="C179" s="16"/>
      <c r="E179" s="18"/>
      <c r="F179" s="19"/>
      <c r="G179" s="20"/>
      <c r="H179" s="20"/>
      <c r="I179" s="21"/>
      <c r="J179" s="21"/>
      <c r="K179" s="25"/>
      <c r="L179" s="25"/>
      <c r="M179" s="25"/>
      <c r="O179" s="22"/>
    </row>
    <row r="180" spans="2:15" x14ac:dyDescent="0.25">
      <c r="B180" s="17" t="s">
        <v>314</v>
      </c>
      <c r="C180" s="16"/>
      <c r="E180" s="18"/>
      <c r="F180" s="19"/>
      <c r="G180" s="20"/>
      <c r="H180" s="20"/>
      <c r="I180" s="21"/>
      <c r="J180" s="21"/>
      <c r="K180" s="25"/>
      <c r="L180" s="25"/>
      <c r="M180" s="25"/>
      <c r="O180" s="22"/>
    </row>
    <row r="181" spans="2:15" x14ac:dyDescent="0.25">
      <c r="B181" s="17" t="s">
        <v>227</v>
      </c>
      <c r="C181" s="16"/>
      <c r="E181" s="18"/>
      <c r="F181" s="19"/>
      <c r="G181" s="20"/>
      <c r="H181" s="20"/>
      <c r="I181" s="21"/>
      <c r="J181" s="21"/>
      <c r="K181" s="25"/>
      <c r="L181" s="25"/>
      <c r="M181" s="25"/>
      <c r="O181" s="22"/>
    </row>
    <row r="182" spans="2:15" x14ac:dyDescent="0.25">
      <c r="B182" s="17" t="s">
        <v>458</v>
      </c>
      <c r="C182" s="16"/>
      <c r="E182" s="18"/>
      <c r="F182" s="19"/>
      <c r="G182" s="20"/>
      <c r="H182" s="20"/>
      <c r="I182" s="21"/>
      <c r="J182" s="21"/>
      <c r="K182" s="25"/>
      <c r="L182" s="25"/>
      <c r="M182" s="25"/>
      <c r="O182" s="22"/>
    </row>
    <row r="183" spans="2:15" x14ac:dyDescent="0.25">
      <c r="B183" s="17" t="s">
        <v>1397</v>
      </c>
      <c r="C183" s="16"/>
      <c r="E183" s="18"/>
      <c r="F183" s="19"/>
      <c r="G183" s="20"/>
      <c r="H183" s="20"/>
      <c r="I183" s="21"/>
      <c r="J183" s="21"/>
      <c r="K183" s="25"/>
      <c r="L183" s="25"/>
      <c r="M183" s="25"/>
      <c r="O183" s="22"/>
    </row>
    <row r="184" spans="2:15" x14ac:dyDescent="0.25">
      <c r="B184" s="17" t="s">
        <v>329</v>
      </c>
      <c r="C184" s="16"/>
      <c r="E184" s="18"/>
      <c r="F184" s="19"/>
      <c r="G184" s="20"/>
      <c r="H184" s="20"/>
      <c r="I184" s="21"/>
      <c r="J184" s="21"/>
      <c r="K184" s="25"/>
      <c r="L184" s="25"/>
      <c r="M184" s="25"/>
      <c r="O184" s="22"/>
    </row>
    <row r="185" spans="2:15" x14ac:dyDescent="0.25">
      <c r="B185" s="17" t="s">
        <v>240</v>
      </c>
      <c r="C185" s="16"/>
      <c r="E185" s="18"/>
      <c r="F185" s="19"/>
      <c r="G185" s="20"/>
      <c r="H185" s="20"/>
      <c r="I185" s="21"/>
      <c r="J185" s="21"/>
      <c r="K185" s="25"/>
      <c r="L185" s="25"/>
      <c r="M185" s="25"/>
      <c r="O185" s="22"/>
    </row>
    <row r="186" spans="2:15" x14ac:dyDescent="0.25">
      <c r="B186" s="17" t="s">
        <v>229</v>
      </c>
      <c r="C186" s="16"/>
      <c r="E186" s="18"/>
      <c r="F186" s="19"/>
      <c r="G186" s="20"/>
      <c r="H186" s="20"/>
      <c r="I186" s="21"/>
      <c r="J186" s="21"/>
      <c r="K186" s="25"/>
      <c r="L186" s="25"/>
      <c r="M186" s="25"/>
      <c r="O186" s="22"/>
    </row>
    <row r="187" spans="2:15" x14ac:dyDescent="0.25">
      <c r="B187" s="17" t="s">
        <v>306</v>
      </c>
      <c r="C187" s="16"/>
      <c r="E187" s="18"/>
      <c r="F187" s="19"/>
      <c r="G187" s="20"/>
      <c r="H187" s="20"/>
      <c r="I187" s="21"/>
      <c r="J187" s="21"/>
      <c r="K187" s="25"/>
      <c r="L187" s="25"/>
      <c r="M187" s="25"/>
      <c r="O187" s="22"/>
    </row>
    <row r="188" spans="2:15" x14ac:dyDescent="0.25">
      <c r="B188" s="17" t="s">
        <v>1436</v>
      </c>
      <c r="C188" s="16"/>
      <c r="E188" s="18"/>
      <c r="F188" s="19"/>
      <c r="G188" s="20"/>
      <c r="H188" s="20"/>
      <c r="I188" s="21"/>
      <c r="J188" s="21"/>
      <c r="K188" s="25"/>
      <c r="L188" s="25"/>
      <c r="M188" s="25"/>
      <c r="O188" s="22"/>
    </row>
    <row r="189" spans="2:15" x14ac:dyDescent="0.25">
      <c r="B189" s="17" t="s">
        <v>1472</v>
      </c>
      <c r="C189" s="16"/>
      <c r="E189" s="18"/>
      <c r="F189" s="19"/>
      <c r="G189" s="20"/>
      <c r="H189" s="20"/>
      <c r="I189" s="21"/>
      <c r="J189" s="21"/>
      <c r="K189" s="25"/>
      <c r="L189" s="25"/>
      <c r="M189" s="25"/>
      <c r="O189" s="22"/>
    </row>
    <row r="190" spans="2:15" x14ac:dyDescent="0.25">
      <c r="B190" s="17" t="s">
        <v>264</v>
      </c>
      <c r="C190" s="16"/>
      <c r="E190" s="18"/>
      <c r="F190" s="19"/>
      <c r="G190" s="20"/>
      <c r="H190" s="20"/>
      <c r="I190" s="21"/>
      <c r="J190" s="21"/>
      <c r="K190" s="25"/>
      <c r="L190" s="25"/>
      <c r="M190" s="25"/>
      <c r="O190" s="22"/>
    </row>
    <row r="191" spans="2:15" x14ac:dyDescent="0.25">
      <c r="B191" s="17" t="s">
        <v>255</v>
      </c>
      <c r="C191" s="16"/>
      <c r="E191" s="18"/>
      <c r="F191" s="19"/>
      <c r="G191" s="20"/>
      <c r="H191" s="20"/>
      <c r="I191" s="21"/>
      <c r="J191" s="21"/>
      <c r="K191" s="25"/>
      <c r="L191" s="25"/>
      <c r="M191" s="25"/>
      <c r="O191" s="22"/>
    </row>
    <row r="192" spans="2:15" x14ac:dyDescent="0.25">
      <c r="B192" s="17" t="s">
        <v>932</v>
      </c>
      <c r="C192" s="16"/>
      <c r="E192" s="18"/>
      <c r="F192" s="19"/>
      <c r="G192" s="20"/>
      <c r="H192" s="20"/>
      <c r="I192" s="21"/>
      <c r="J192" s="21"/>
      <c r="K192" s="25"/>
      <c r="L192" s="25"/>
      <c r="M192" s="25"/>
      <c r="O192" s="22"/>
    </row>
    <row r="193" spans="2:15" x14ac:dyDescent="0.25">
      <c r="B193" s="17" t="s">
        <v>236</v>
      </c>
      <c r="C193" s="16"/>
      <c r="E193" s="18"/>
      <c r="F193" s="19"/>
      <c r="G193" s="20"/>
      <c r="H193" s="20"/>
      <c r="I193" s="21"/>
      <c r="J193" s="21"/>
      <c r="K193" s="25"/>
      <c r="L193" s="25"/>
      <c r="M193" s="25"/>
      <c r="O193" s="22"/>
    </row>
    <row r="194" spans="2:15" x14ac:dyDescent="0.25">
      <c r="B194" s="17" t="s">
        <v>1127</v>
      </c>
      <c r="C194" s="16"/>
      <c r="E194" s="18"/>
      <c r="F194" s="19"/>
      <c r="G194" s="20"/>
      <c r="H194" s="20"/>
      <c r="I194" s="21"/>
      <c r="J194" s="21"/>
      <c r="K194" s="25"/>
      <c r="L194" s="25"/>
      <c r="M194" s="25"/>
      <c r="O194" s="22"/>
    </row>
    <row r="195" spans="2:15" x14ac:dyDescent="0.25">
      <c r="B195" s="17" t="s">
        <v>316</v>
      </c>
      <c r="C195" s="16"/>
      <c r="E195" s="18"/>
      <c r="F195" s="19"/>
      <c r="G195" s="20"/>
      <c r="H195" s="20"/>
      <c r="I195" s="21"/>
      <c r="J195" s="21"/>
      <c r="K195" s="25"/>
      <c r="L195" s="25"/>
      <c r="M195" s="25"/>
      <c r="O195" s="22"/>
    </row>
    <row r="196" spans="2:15" x14ac:dyDescent="0.25">
      <c r="B196" s="17" t="s">
        <v>1364</v>
      </c>
      <c r="C196" s="16"/>
      <c r="E196" s="18"/>
      <c r="F196" s="19"/>
      <c r="G196" s="20"/>
      <c r="H196" s="20"/>
      <c r="I196" s="21"/>
      <c r="J196" s="21"/>
      <c r="K196" s="25"/>
      <c r="L196" s="25"/>
      <c r="M196" s="25"/>
      <c r="O196" s="22"/>
    </row>
    <row r="197" spans="2:15" x14ac:dyDescent="0.25">
      <c r="B197" s="17" t="s">
        <v>188</v>
      </c>
      <c r="C197" s="16"/>
      <c r="E197" s="18"/>
      <c r="F197" s="19"/>
      <c r="G197" s="20"/>
      <c r="H197" s="20"/>
      <c r="I197" s="21"/>
      <c r="J197" s="21"/>
      <c r="K197" s="25"/>
      <c r="L197" s="25"/>
      <c r="M197" s="25"/>
      <c r="O197" s="22"/>
    </row>
    <row r="198" spans="2:15" x14ac:dyDescent="0.25">
      <c r="B198" s="17" t="s">
        <v>1554</v>
      </c>
      <c r="C198" s="16"/>
      <c r="E198" s="18"/>
      <c r="F198" s="19"/>
      <c r="G198" s="20"/>
      <c r="H198" s="20"/>
      <c r="I198" s="21"/>
      <c r="J198" s="21"/>
      <c r="K198" s="25"/>
      <c r="L198" s="25"/>
      <c r="M198" s="25"/>
      <c r="O198" s="22"/>
    </row>
    <row r="199" spans="2:15" x14ac:dyDescent="0.25">
      <c r="B199" s="17" t="s">
        <v>237</v>
      </c>
      <c r="C199" s="16"/>
      <c r="E199" s="18"/>
      <c r="F199" s="19"/>
      <c r="G199" s="20"/>
      <c r="H199" s="20"/>
      <c r="I199" s="21"/>
      <c r="J199" s="21"/>
      <c r="K199" s="25"/>
      <c r="L199" s="25"/>
      <c r="M199" s="25"/>
      <c r="O199" s="22"/>
    </row>
    <row r="200" spans="2:15" x14ac:dyDescent="0.25">
      <c r="B200" s="17" t="s">
        <v>1326</v>
      </c>
      <c r="C200" s="16"/>
      <c r="E200" s="18"/>
      <c r="F200" s="19"/>
      <c r="G200" s="20"/>
      <c r="H200" s="20"/>
      <c r="I200" s="21"/>
      <c r="J200" s="21"/>
      <c r="K200" s="25"/>
      <c r="L200" s="25"/>
      <c r="M200" s="25"/>
      <c r="O200" s="22"/>
    </row>
    <row r="201" spans="2:15" x14ac:dyDescent="0.25">
      <c r="B201" s="17" t="s">
        <v>277</v>
      </c>
      <c r="C201" s="16"/>
      <c r="E201" s="18"/>
      <c r="F201" s="19"/>
      <c r="G201" s="20"/>
      <c r="H201" s="20"/>
      <c r="I201" s="21"/>
      <c r="J201" s="21"/>
      <c r="K201" s="25"/>
      <c r="L201" s="25"/>
      <c r="M201" s="25"/>
      <c r="O201" s="22"/>
    </row>
    <row r="202" spans="2:15" x14ac:dyDescent="0.25">
      <c r="B202" s="17" t="s">
        <v>323</v>
      </c>
      <c r="C202" s="16"/>
      <c r="E202" s="18"/>
      <c r="F202" s="19"/>
      <c r="G202" s="20"/>
      <c r="H202" s="20"/>
      <c r="I202" s="21"/>
      <c r="J202" s="21"/>
      <c r="K202" s="25"/>
      <c r="L202" s="25"/>
      <c r="M202" s="25"/>
      <c r="O202" s="22"/>
    </row>
    <row r="203" spans="2:15" x14ac:dyDescent="0.25">
      <c r="B203" s="17" t="s">
        <v>383</v>
      </c>
      <c r="C203" s="16"/>
      <c r="E203" s="18"/>
      <c r="F203" s="19"/>
      <c r="G203" s="20"/>
      <c r="H203" s="20"/>
      <c r="I203" s="21"/>
      <c r="J203" s="21"/>
      <c r="K203" s="25"/>
      <c r="L203" s="25"/>
      <c r="M203" s="25"/>
      <c r="O203" s="22"/>
    </row>
    <row r="204" spans="2:15" x14ac:dyDescent="0.25">
      <c r="B204" s="17" t="s">
        <v>1244</v>
      </c>
      <c r="C204" s="16"/>
      <c r="E204" s="18"/>
      <c r="F204" s="19"/>
      <c r="G204" s="20"/>
      <c r="H204" s="20"/>
      <c r="I204" s="21"/>
      <c r="J204" s="21"/>
      <c r="K204" s="25"/>
      <c r="L204" s="25"/>
      <c r="M204" s="25"/>
      <c r="O204" s="22"/>
    </row>
    <row r="205" spans="2:15" x14ac:dyDescent="0.25">
      <c r="B205" s="17" t="s">
        <v>257</v>
      </c>
      <c r="C205" s="16"/>
      <c r="E205" s="18"/>
      <c r="F205" s="19"/>
      <c r="G205" s="20"/>
      <c r="H205" s="20"/>
      <c r="I205" s="21"/>
      <c r="J205" s="21"/>
      <c r="K205" s="25"/>
      <c r="L205" s="25"/>
      <c r="M205" s="25"/>
      <c r="O205" s="22"/>
    </row>
    <row r="206" spans="2:15" x14ac:dyDescent="0.25">
      <c r="B206" s="17" t="s">
        <v>1401</v>
      </c>
      <c r="C206" s="16"/>
      <c r="E206" s="18"/>
      <c r="F206" s="19"/>
      <c r="G206" s="20"/>
      <c r="H206" s="20"/>
      <c r="I206" s="21"/>
      <c r="J206" s="21"/>
      <c r="K206" s="25"/>
      <c r="L206" s="25"/>
      <c r="M206" s="25"/>
      <c r="O206" s="22"/>
    </row>
    <row r="207" spans="2:15" x14ac:dyDescent="0.25">
      <c r="B207" s="17" t="s">
        <v>222</v>
      </c>
      <c r="C207" s="16"/>
      <c r="E207" s="18"/>
      <c r="F207" s="19"/>
      <c r="G207" s="20"/>
      <c r="H207" s="20"/>
      <c r="I207" s="21"/>
      <c r="J207" s="21"/>
      <c r="K207" s="25"/>
      <c r="L207" s="25"/>
      <c r="M207" s="25"/>
      <c r="O207" s="22"/>
    </row>
    <row r="208" spans="2:15" x14ac:dyDescent="0.25">
      <c r="B208" s="17" t="s">
        <v>244</v>
      </c>
      <c r="C208" s="16"/>
      <c r="E208" s="18"/>
      <c r="F208" s="19"/>
      <c r="G208" s="20"/>
      <c r="H208" s="20"/>
      <c r="I208" s="21"/>
      <c r="J208" s="21"/>
      <c r="K208" s="25"/>
      <c r="L208" s="25"/>
      <c r="M208" s="25"/>
      <c r="O208" s="22"/>
    </row>
    <row r="209" spans="2:15" x14ac:dyDescent="0.25">
      <c r="B209" s="17" t="s">
        <v>1130</v>
      </c>
      <c r="C209" s="16"/>
      <c r="E209" s="18"/>
      <c r="F209" s="19"/>
      <c r="G209" s="20"/>
      <c r="H209" s="20"/>
      <c r="I209" s="21"/>
      <c r="J209" s="21"/>
      <c r="K209" s="25"/>
      <c r="L209" s="25"/>
      <c r="M209" s="25"/>
      <c r="O209" s="22"/>
    </row>
    <row r="210" spans="2:15" x14ac:dyDescent="0.25">
      <c r="B210" s="17" t="s">
        <v>1510</v>
      </c>
      <c r="C210" s="16"/>
      <c r="E210" s="18"/>
      <c r="F210" s="19"/>
      <c r="G210" s="20"/>
      <c r="H210" s="20"/>
      <c r="I210" s="21"/>
      <c r="J210" s="21"/>
      <c r="K210" s="25"/>
      <c r="L210" s="25"/>
      <c r="M210" s="25"/>
      <c r="O210" s="22"/>
    </row>
    <row r="211" spans="2:15" x14ac:dyDescent="0.25">
      <c r="B211" s="17" t="s">
        <v>1471</v>
      </c>
      <c r="C211" s="16"/>
      <c r="E211" s="18"/>
      <c r="F211" s="19"/>
      <c r="G211" s="20"/>
      <c r="H211" s="20"/>
      <c r="I211" s="21"/>
      <c r="J211" s="21"/>
      <c r="K211" s="25"/>
      <c r="L211" s="25"/>
      <c r="M211" s="25"/>
      <c r="O211" s="22"/>
    </row>
    <row r="212" spans="2:15" x14ac:dyDescent="0.25">
      <c r="B212" s="17" t="s">
        <v>1202</v>
      </c>
      <c r="C212" s="16"/>
      <c r="E212" s="18"/>
      <c r="F212" s="19"/>
      <c r="G212" s="20"/>
      <c r="H212" s="20"/>
      <c r="I212" s="21"/>
      <c r="J212" s="21"/>
      <c r="K212" s="25"/>
      <c r="L212" s="25"/>
      <c r="M212" s="25"/>
      <c r="O212" s="22"/>
    </row>
    <row r="213" spans="2:15" x14ac:dyDescent="0.25">
      <c r="B213" s="17" t="s">
        <v>336</v>
      </c>
      <c r="C213" s="16"/>
      <c r="E213" s="18"/>
      <c r="F213" s="19"/>
      <c r="G213" s="20"/>
      <c r="H213" s="20"/>
      <c r="I213" s="21"/>
      <c r="J213" s="21"/>
      <c r="K213" s="25"/>
      <c r="L213" s="25"/>
      <c r="M213" s="25"/>
      <c r="O213" s="22"/>
    </row>
    <row r="214" spans="2:15" x14ac:dyDescent="0.25">
      <c r="B214" s="17" t="s">
        <v>1414</v>
      </c>
      <c r="C214" s="16"/>
      <c r="E214" s="18"/>
      <c r="F214" s="19"/>
      <c r="G214" s="20"/>
      <c r="H214" s="20"/>
      <c r="I214" s="21"/>
      <c r="J214" s="21"/>
      <c r="K214" s="25"/>
      <c r="L214" s="25"/>
      <c r="M214" s="25"/>
      <c r="O214" s="22"/>
    </row>
    <row r="215" spans="2:15" x14ac:dyDescent="0.25">
      <c r="B215" s="17" t="s">
        <v>239</v>
      </c>
      <c r="C215" s="16"/>
      <c r="E215" s="18"/>
      <c r="F215" s="19"/>
      <c r="G215" s="20"/>
      <c r="H215" s="20"/>
      <c r="I215" s="21"/>
      <c r="J215" s="21"/>
      <c r="K215" s="25"/>
      <c r="L215" s="25"/>
      <c r="M215" s="25"/>
      <c r="O215" s="22"/>
    </row>
    <row r="216" spans="2:15" x14ac:dyDescent="0.25">
      <c r="B216" s="17" t="s">
        <v>1403</v>
      </c>
      <c r="C216" s="16"/>
      <c r="E216" s="18"/>
      <c r="F216" s="19"/>
      <c r="G216" s="20"/>
      <c r="H216" s="20"/>
      <c r="I216" s="21"/>
      <c r="J216" s="21"/>
      <c r="K216" s="25"/>
      <c r="L216" s="25"/>
      <c r="M216" s="25"/>
      <c r="O216" s="22"/>
    </row>
    <row r="217" spans="2:15" x14ac:dyDescent="0.25">
      <c r="B217" s="17" t="s">
        <v>319</v>
      </c>
      <c r="C217" s="16"/>
      <c r="E217" s="18"/>
      <c r="F217" s="19"/>
      <c r="G217" s="20"/>
      <c r="H217" s="20"/>
      <c r="I217" s="21"/>
      <c r="J217" s="21"/>
      <c r="K217" s="25"/>
      <c r="L217" s="25"/>
      <c r="M217" s="25"/>
      <c r="O217" s="22"/>
    </row>
    <row r="218" spans="2:15" x14ac:dyDescent="0.25">
      <c r="B218" s="17" t="s">
        <v>938</v>
      </c>
      <c r="C218" s="16"/>
      <c r="E218" s="18"/>
      <c r="F218" s="19"/>
      <c r="G218" s="20"/>
      <c r="H218" s="20"/>
      <c r="I218" s="21"/>
      <c r="J218" s="21"/>
      <c r="K218" s="25"/>
      <c r="L218" s="25"/>
      <c r="M218" s="25"/>
      <c r="O218" s="22"/>
    </row>
    <row r="219" spans="2:15" x14ac:dyDescent="0.25">
      <c r="B219" s="17" t="s">
        <v>243</v>
      </c>
      <c r="C219" s="16"/>
      <c r="E219" s="18"/>
      <c r="F219" s="19"/>
      <c r="G219" s="20"/>
      <c r="H219" s="20"/>
      <c r="I219" s="21"/>
      <c r="J219" s="21"/>
      <c r="K219" s="25"/>
      <c r="L219" s="25"/>
      <c r="M219" s="25"/>
      <c r="O219" s="22"/>
    </row>
    <row r="220" spans="2:15" x14ac:dyDescent="0.25">
      <c r="B220" s="17" t="s">
        <v>291</v>
      </c>
      <c r="C220" s="16"/>
      <c r="E220" s="18"/>
      <c r="F220" s="19"/>
      <c r="G220" s="20"/>
      <c r="H220" s="20"/>
      <c r="I220" s="21"/>
      <c r="J220" s="21"/>
      <c r="K220" s="25"/>
      <c r="L220" s="25"/>
      <c r="M220" s="25"/>
      <c r="O220" s="22"/>
    </row>
    <row r="221" spans="2:15" x14ac:dyDescent="0.25">
      <c r="B221" s="17" t="s">
        <v>305</v>
      </c>
      <c r="C221" s="16"/>
      <c r="E221" s="18"/>
      <c r="F221" s="19"/>
      <c r="G221" s="20"/>
      <c r="H221" s="20"/>
      <c r="I221" s="21"/>
      <c r="J221" s="21"/>
      <c r="K221" s="25"/>
      <c r="L221" s="25"/>
      <c r="M221" s="25"/>
      <c r="O221" s="22"/>
    </row>
    <row r="222" spans="2:15" x14ac:dyDescent="0.25">
      <c r="B222" s="17" t="s">
        <v>1560</v>
      </c>
      <c r="C222" s="16"/>
      <c r="E222" s="18"/>
      <c r="F222" s="19"/>
      <c r="G222" s="20"/>
      <c r="H222" s="20"/>
      <c r="I222" s="21"/>
      <c r="J222" s="21"/>
      <c r="K222" s="25"/>
      <c r="L222" s="25"/>
      <c r="M222" s="25"/>
      <c r="O222" s="22"/>
    </row>
    <row r="223" spans="2:15" x14ac:dyDescent="0.25">
      <c r="B223" s="17" t="s">
        <v>1373</v>
      </c>
      <c r="C223" s="16"/>
      <c r="E223" s="18"/>
      <c r="F223" s="19"/>
      <c r="G223" s="20"/>
      <c r="H223" s="20"/>
      <c r="I223" s="21"/>
      <c r="J223" s="21"/>
      <c r="K223" s="25"/>
      <c r="L223" s="25"/>
      <c r="M223" s="25"/>
      <c r="O223" s="22"/>
    </row>
    <row r="224" spans="2:15" x14ac:dyDescent="0.25">
      <c r="B224" s="17" t="s">
        <v>386</v>
      </c>
      <c r="C224" s="16"/>
      <c r="E224" s="18"/>
      <c r="F224" s="19"/>
      <c r="G224" s="20"/>
      <c r="H224" s="20"/>
      <c r="I224" s="21"/>
      <c r="J224" s="21"/>
      <c r="K224" s="25"/>
      <c r="L224" s="25"/>
      <c r="M224" s="25"/>
      <c r="O224" s="22"/>
    </row>
    <row r="225" spans="2:15" x14ac:dyDescent="0.25">
      <c r="B225" s="17" t="s">
        <v>1167</v>
      </c>
      <c r="C225" s="16"/>
      <c r="E225" s="18"/>
      <c r="F225" s="19"/>
      <c r="G225" s="20"/>
      <c r="H225" s="20"/>
      <c r="I225" s="21"/>
      <c r="J225" s="21"/>
      <c r="K225" s="25"/>
      <c r="L225" s="25"/>
      <c r="M225" s="25"/>
      <c r="O225" s="22"/>
    </row>
    <row r="226" spans="2:15" x14ac:dyDescent="0.25">
      <c r="B226" s="17" t="s">
        <v>304</v>
      </c>
      <c r="C226" s="16"/>
      <c r="E226" s="18"/>
      <c r="F226" s="19"/>
      <c r="G226" s="20"/>
      <c r="H226" s="20"/>
      <c r="I226" s="21"/>
      <c r="J226" s="21"/>
      <c r="K226" s="25"/>
      <c r="L226" s="25"/>
      <c r="M226" s="25"/>
      <c r="O226" s="22"/>
    </row>
    <row r="227" spans="2:15" x14ac:dyDescent="0.25">
      <c r="B227" s="17" t="s">
        <v>259</v>
      </c>
      <c r="C227" s="16"/>
      <c r="E227" s="18"/>
      <c r="F227" s="19"/>
      <c r="G227" s="20"/>
      <c r="H227" s="20"/>
      <c r="I227" s="21"/>
      <c r="J227" s="21"/>
      <c r="K227" s="25"/>
      <c r="L227" s="25"/>
      <c r="M227" s="25"/>
      <c r="O227" s="22"/>
    </row>
    <row r="228" spans="2:15" x14ac:dyDescent="0.25">
      <c r="B228" s="17" t="s">
        <v>1261</v>
      </c>
      <c r="C228" s="16"/>
      <c r="E228" s="18"/>
      <c r="F228" s="19"/>
      <c r="G228" s="20"/>
      <c r="H228" s="20"/>
      <c r="I228" s="21"/>
      <c r="J228" s="21"/>
      <c r="K228" s="25"/>
      <c r="L228" s="25"/>
      <c r="M228" s="25"/>
      <c r="O228" s="22"/>
    </row>
    <row r="229" spans="2:15" x14ac:dyDescent="0.25">
      <c r="B229" s="17" t="s">
        <v>272</v>
      </c>
      <c r="C229" s="16"/>
      <c r="E229" s="18"/>
      <c r="F229" s="19"/>
      <c r="G229" s="20"/>
      <c r="H229" s="20"/>
      <c r="I229" s="21"/>
      <c r="J229" s="21"/>
      <c r="K229" s="25"/>
      <c r="L229" s="25"/>
      <c r="M229" s="25"/>
      <c r="O229" s="22"/>
    </row>
    <row r="230" spans="2:15" x14ac:dyDescent="0.25">
      <c r="B230" s="17" t="s">
        <v>381</v>
      </c>
      <c r="C230" s="16"/>
      <c r="E230" s="18"/>
      <c r="F230" s="19"/>
      <c r="G230" s="20"/>
      <c r="H230" s="20"/>
      <c r="I230" s="21"/>
      <c r="J230" s="21"/>
      <c r="K230" s="25"/>
      <c r="L230" s="25"/>
      <c r="M230" s="25"/>
      <c r="O230" s="22"/>
    </row>
    <row r="231" spans="2:15" x14ac:dyDescent="0.25">
      <c r="B231" s="17" t="s">
        <v>284</v>
      </c>
      <c r="C231" s="16"/>
      <c r="E231" s="18"/>
      <c r="F231" s="19"/>
      <c r="G231" s="20"/>
      <c r="H231" s="20"/>
      <c r="I231" s="21"/>
      <c r="J231" s="21"/>
      <c r="K231" s="25"/>
      <c r="L231" s="25"/>
      <c r="M231" s="25"/>
      <c r="O231" s="22"/>
    </row>
    <row r="232" spans="2:15" x14ac:dyDescent="0.25">
      <c r="B232" s="17" t="s">
        <v>262</v>
      </c>
      <c r="C232" s="16"/>
      <c r="E232" s="18"/>
      <c r="F232" s="19"/>
      <c r="G232" s="20"/>
      <c r="H232" s="20"/>
      <c r="I232" s="21"/>
      <c r="J232" s="21"/>
      <c r="K232" s="25"/>
      <c r="L232" s="25"/>
      <c r="M232" s="25"/>
      <c r="O232" s="22"/>
    </row>
    <row r="233" spans="2:15" x14ac:dyDescent="0.25">
      <c r="B233" s="17" t="s">
        <v>1556</v>
      </c>
      <c r="C233" s="16"/>
      <c r="E233" s="18"/>
      <c r="F233" s="19"/>
      <c r="G233" s="20"/>
      <c r="H233" s="20"/>
      <c r="I233" s="21"/>
      <c r="J233" s="21"/>
      <c r="K233" s="25"/>
      <c r="L233" s="25"/>
      <c r="M233" s="25"/>
      <c r="O233" s="22"/>
    </row>
    <row r="234" spans="2:15" x14ac:dyDescent="0.25">
      <c r="B234" s="17" t="s">
        <v>278</v>
      </c>
      <c r="C234" s="16"/>
      <c r="E234" s="18"/>
      <c r="F234" s="19"/>
      <c r="G234" s="20"/>
      <c r="H234" s="20"/>
      <c r="I234" s="21"/>
      <c r="J234" s="21"/>
      <c r="K234" s="25"/>
      <c r="L234" s="25"/>
      <c r="M234" s="25"/>
      <c r="O234" s="22"/>
    </row>
    <row r="235" spans="2:15" x14ac:dyDescent="0.25">
      <c r="B235" s="17" t="s">
        <v>1297</v>
      </c>
      <c r="C235" s="16"/>
      <c r="E235" s="18"/>
      <c r="F235" s="19"/>
      <c r="G235" s="20"/>
      <c r="H235" s="20"/>
      <c r="I235" s="21"/>
      <c r="J235" s="21"/>
      <c r="K235" s="25"/>
      <c r="L235" s="25"/>
      <c r="M235" s="25"/>
      <c r="O235" s="22"/>
    </row>
    <row r="236" spans="2:15" x14ac:dyDescent="0.25">
      <c r="B236" s="17" t="s">
        <v>1445</v>
      </c>
      <c r="C236" s="16"/>
      <c r="E236" s="18"/>
      <c r="F236" s="19"/>
      <c r="G236" s="20"/>
      <c r="H236" s="20"/>
      <c r="I236" s="21"/>
      <c r="J236" s="21"/>
      <c r="K236" s="25"/>
      <c r="L236" s="25"/>
      <c r="M236" s="25"/>
      <c r="O236" s="22"/>
    </row>
    <row r="237" spans="2:15" x14ac:dyDescent="0.25">
      <c r="B237" s="17" t="s">
        <v>1173</v>
      </c>
      <c r="C237" s="16"/>
      <c r="E237" s="18"/>
      <c r="F237" s="19"/>
      <c r="G237" s="20"/>
      <c r="H237" s="20"/>
      <c r="I237" s="21"/>
      <c r="J237" s="21"/>
      <c r="K237" s="25"/>
      <c r="L237" s="25"/>
      <c r="M237" s="25"/>
      <c r="O237" s="22"/>
    </row>
    <row r="238" spans="2:15" x14ac:dyDescent="0.25">
      <c r="B238" s="17" t="s">
        <v>311</v>
      </c>
      <c r="C238" s="16"/>
      <c r="E238" s="18"/>
      <c r="F238" s="19"/>
      <c r="G238" s="20"/>
      <c r="H238" s="20"/>
      <c r="I238" s="21"/>
      <c r="J238" s="21"/>
      <c r="K238" s="25"/>
      <c r="L238" s="25"/>
      <c r="M238" s="25"/>
      <c r="O238" s="22"/>
    </row>
    <row r="239" spans="2:15" x14ac:dyDescent="0.25">
      <c r="B239" s="17" t="s">
        <v>361</v>
      </c>
      <c r="C239" s="16"/>
      <c r="E239" s="18"/>
      <c r="F239" s="19"/>
      <c r="G239" s="20"/>
      <c r="H239" s="20"/>
      <c r="I239" s="21"/>
      <c r="J239" s="21"/>
      <c r="K239" s="25"/>
      <c r="L239" s="25"/>
      <c r="M239" s="25"/>
      <c r="O239" s="22"/>
    </row>
    <row r="240" spans="2:15" x14ac:dyDescent="0.25">
      <c r="B240" s="17" t="s">
        <v>326</v>
      </c>
      <c r="C240" s="16"/>
      <c r="E240" s="18"/>
      <c r="F240" s="19"/>
      <c r="G240" s="20"/>
      <c r="H240" s="20"/>
      <c r="I240" s="21"/>
      <c r="J240" s="21"/>
      <c r="K240" s="25"/>
      <c r="L240" s="25"/>
      <c r="M240" s="25"/>
      <c r="O240" s="22"/>
    </row>
    <row r="241" spans="2:15" x14ac:dyDescent="0.25">
      <c r="B241" s="17" t="s">
        <v>1578</v>
      </c>
      <c r="C241" s="16"/>
      <c r="E241" s="18"/>
      <c r="F241" s="19"/>
      <c r="G241" s="20"/>
      <c r="H241" s="20"/>
      <c r="I241" s="21"/>
      <c r="J241" s="21"/>
      <c r="K241" s="25"/>
      <c r="L241" s="25"/>
      <c r="M241" s="25"/>
      <c r="O241" s="22"/>
    </row>
    <row r="242" spans="2:15" x14ac:dyDescent="0.25">
      <c r="B242" s="17" t="s">
        <v>1197</v>
      </c>
      <c r="C242" s="16"/>
      <c r="E242" s="18"/>
      <c r="F242" s="19"/>
      <c r="G242" s="20"/>
      <c r="H242" s="20"/>
      <c r="I242" s="21"/>
      <c r="J242" s="21"/>
      <c r="K242" s="25"/>
      <c r="L242" s="25"/>
      <c r="M242" s="25"/>
      <c r="O242" s="22"/>
    </row>
    <row r="243" spans="2:15" x14ac:dyDescent="0.25">
      <c r="B243" s="17" t="s">
        <v>1236</v>
      </c>
      <c r="C243" s="16"/>
      <c r="E243" s="18"/>
      <c r="F243" s="19"/>
      <c r="G243" s="20"/>
      <c r="H243" s="20"/>
      <c r="I243" s="21"/>
      <c r="J243" s="21"/>
      <c r="K243" s="25"/>
      <c r="L243" s="25"/>
      <c r="M243" s="25"/>
      <c r="O243" s="22"/>
    </row>
    <row r="244" spans="2:15" x14ac:dyDescent="0.25">
      <c r="B244" s="17" t="s">
        <v>484</v>
      </c>
      <c r="C244" s="16"/>
      <c r="E244" s="18"/>
      <c r="F244" s="19"/>
      <c r="G244" s="20"/>
      <c r="H244" s="20"/>
      <c r="I244" s="21"/>
      <c r="J244" s="21"/>
      <c r="K244" s="25"/>
      <c r="L244" s="25"/>
      <c r="M244" s="25"/>
      <c r="O244" s="22"/>
    </row>
    <row r="245" spans="2:15" x14ac:dyDescent="0.25">
      <c r="B245" s="17" t="s">
        <v>1288</v>
      </c>
      <c r="C245" s="16"/>
      <c r="E245" s="18"/>
      <c r="F245" s="19"/>
      <c r="G245" s="20"/>
      <c r="H245" s="20"/>
      <c r="I245" s="21"/>
      <c r="J245" s="21"/>
      <c r="K245" s="25"/>
      <c r="L245" s="25"/>
      <c r="M245" s="25"/>
      <c r="O245" s="22"/>
    </row>
    <row r="246" spans="2:15" x14ac:dyDescent="0.25">
      <c r="B246" s="17" t="s">
        <v>1370</v>
      </c>
      <c r="C246" s="16"/>
      <c r="E246" s="18"/>
      <c r="F246" s="19"/>
      <c r="G246" s="20"/>
      <c r="H246" s="20"/>
      <c r="I246" s="21"/>
      <c r="J246" s="21"/>
      <c r="K246" s="25"/>
      <c r="L246" s="25"/>
      <c r="M246" s="25"/>
      <c r="O246" s="22"/>
    </row>
    <row r="247" spans="2:15" x14ac:dyDescent="0.25">
      <c r="B247" s="17" t="s">
        <v>1263</v>
      </c>
      <c r="C247" s="16"/>
      <c r="E247" s="18"/>
      <c r="F247" s="19"/>
      <c r="G247" s="20"/>
      <c r="H247" s="20"/>
      <c r="I247" s="21"/>
      <c r="J247" s="21"/>
      <c r="K247" s="25"/>
      <c r="L247" s="25"/>
      <c r="M247" s="25"/>
      <c r="O247" s="22"/>
    </row>
    <row r="248" spans="2:15" x14ac:dyDescent="0.25">
      <c r="B248" s="17" t="s">
        <v>283</v>
      </c>
      <c r="C248" s="16"/>
      <c r="E248" s="18"/>
      <c r="F248" s="19"/>
      <c r="G248" s="20"/>
      <c r="H248" s="20"/>
      <c r="I248" s="21"/>
      <c r="J248" s="21"/>
      <c r="K248" s="25"/>
      <c r="L248" s="25"/>
      <c r="M248" s="25"/>
      <c r="O248" s="22"/>
    </row>
    <row r="249" spans="2:15" x14ac:dyDescent="0.25">
      <c r="B249" s="17" t="s">
        <v>324</v>
      </c>
      <c r="C249" s="16"/>
      <c r="E249" s="18"/>
      <c r="F249" s="19"/>
      <c r="G249" s="20"/>
      <c r="H249" s="20"/>
      <c r="I249" s="21"/>
      <c r="J249" s="21"/>
      <c r="K249" s="25"/>
      <c r="L249" s="25"/>
      <c r="M249" s="25"/>
      <c r="O249" s="22"/>
    </row>
    <row r="250" spans="2:15" x14ac:dyDescent="0.25">
      <c r="B250" s="17" t="s">
        <v>308</v>
      </c>
      <c r="C250" s="16"/>
      <c r="E250" s="18"/>
      <c r="F250" s="19"/>
      <c r="G250" s="20"/>
      <c r="H250" s="20"/>
      <c r="I250" s="21"/>
      <c r="J250" s="21"/>
      <c r="K250" s="25"/>
      <c r="L250" s="25"/>
      <c r="M250" s="25"/>
      <c r="O250" s="22"/>
    </row>
    <row r="251" spans="2:15" x14ac:dyDescent="0.25">
      <c r="B251" s="17" t="s">
        <v>282</v>
      </c>
      <c r="C251" s="16"/>
      <c r="E251" s="18"/>
      <c r="F251" s="19"/>
      <c r="G251" s="20"/>
      <c r="H251" s="20"/>
      <c r="I251" s="21"/>
      <c r="J251" s="21"/>
      <c r="K251" s="25"/>
      <c r="L251" s="25"/>
      <c r="M251" s="25"/>
      <c r="O251" s="22"/>
    </row>
    <row r="252" spans="2:15" x14ac:dyDescent="0.25">
      <c r="B252" s="17" t="s">
        <v>302</v>
      </c>
      <c r="C252" s="16"/>
      <c r="E252" s="18"/>
      <c r="F252" s="19"/>
      <c r="G252" s="20"/>
      <c r="H252" s="20"/>
      <c r="I252" s="21"/>
      <c r="J252" s="21"/>
      <c r="K252" s="25"/>
      <c r="L252" s="25"/>
      <c r="M252" s="25"/>
      <c r="O252" s="22"/>
    </row>
    <row r="253" spans="2:15" x14ac:dyDescent="0.25">
      <c r="B253" s="17" t="s">
        <v>1276</v>
      </c>
      <c r="C253" s="16"/>
      <c r="E253" s="18"/>
      <c r="F253" s="19"/>
      <c r="G253" s="20"/>
      <c r="H253" s="20"/>
      <c r="I253" s="21"/>
      <c r="J253" s="21"/>
      <c r="K253" s="25"/>
      <c r="L253" s="25"/>
      <c r="M253" s="25"/>
      <c r="O253" s="22"/>
    </row>
    <row r="254" spans="2:15" x14ac:dyDescent="0.25">
      <c r="B254" s="17" t="s">
        <v>1605</v>
      </c>
      <c r="C254" s="16"/>
      <c r="E254" s="18"/>
      <c r="F254" s="19"/>
      <c r="G254" s="20"/>
      <c r="H254" s="20"/>
      <c r="I254" s="21"/>
      <c r="J254" s="21"/>
      <c r="K254" s="25"/>
      <c r="L254" s="25"/>
      <c r="M254" s="25"/>
      <c r="O254" s="22"/>
    </row>
    <row r="255" spans="2:15" x14ac:dyDescent="0.25">
      <c r="B255" s="17" t="s">
        <v>254</v>
      </c>
      <c r="C255" s="16"/>
      <c r="E255" s="18"/>
      <c r="F255" s="19"/>
      <c r="G255" s="20"/>
      <c r="H255" s="20"/>
      <c r="I255" s="21"/>
      <c r="J255" s="21"/>
      <c r="K255" s="25"/>
      <c r="L255" s="25"/>
      <c r="M255" s="25"/>
      <c r="O255" s="22"/>
    </row>
    <row r="256" spans="2:15" x14ac:dyDescent="0.25">
      <c r="B256" s="17" t="s">
        <v>248</v>
      </c>
      <c r="C256" s="16"/>
      <c r="E256" s="18"/>
      <c r="F256" s="19"/>
      <c r="G256" s="20"/>
      <c r="H256" s="20"/>
      <c r="I256" s="21"/>
      <c r="J256" s="21"/>
      <c r="K256" s="25"/>
      <c r="L256" s="25"/>
      <c r="M256" s="25"/>
      <c r="O256" s="22"/>
    </row>
    <row r="257" spans="2:15" x14ac:dyDescent="0.25">
      <c r="B257" s="17" t="s">
        <v>1205</v>
      </c>
      <c r="C257" s="16"/>
      <c r="E257" s="18"/>
      <c r="F257" s="19"/>
      <c r="G257" s="20"/>
      <c r="H257" s="20"/>
      <c r="I257" s="21"/>
      <c r="J257" s="21"/>
      <c r="K257" s="25"/>
      <c r="L257" s="25"/>
      <c r="M257" s="25"/>
      <c r="O257" s="22"/>
    </row>
    <row r="258" spans="2:15" x14ac:dyDescent="0.25">
      <c r="B258" s="17" t="s">
        <v>1190</v>
      </c>
      <c r="C258" s="16"/>
      <c r="E258" s="18"/>
      <c r="F258" s="19"/>
      <c r="G258" s="20"/>
      <c r="H258" s="20"/>
      <c r="I258" s="21"/>
      <c r="J258" s="21"/>
      <c r="K258" s="25"/>
      <c r="L258" s="25"/>
      <c r="M258" s="25"/>
      <c r="O258" s="22"/>
    </row>
    <row r="259" spans="2:15" x14ac:dyDescent="0.25">
      <c r="B259" s="17" t="s">
        <v>1470</v>
      </c>
      <c r="C259" s="16"/>
      <c r="E259" s="18"/>
      <c r="F259" s="19"/>
      <c r="G259" s="20"/>
      <c r="H259" s="20"/>
      <c r="I259" s="21"/>
      <c r="J259" s="21"/>
      <c r="K259" s="25"/>
      <c r="L259" s="25"/>
      <c r="M259" s="25"/>
      <c r="O259" s="22"/>
    </row>
    <row r="260" spans="2:15" x14ac:dyDescent="0.25">
      <c r="B260" s="17" t="s">
        <v>1402</v>
      </c>
      <c r="C260" s="16"/>
      <c r="E260" s="18"/>
      <c r="F260" s="19"/>
      <c r="G260" s="20"/>
      <c r="H260" s="20"/>
      <c r="I260" s="21"/>
      <c r="J260" s="21"/>
      <c r="K260" s="25"/>
      <c r="L260" s="25"/>
      <c r="M260" s="25"/>
      <c r="O260" s="22"/>
    </row>
    <row r="261" spans="2:15" x14ac:dyDescent="0.25">
      <c r="B261" s="17" t="s">
        <v>258</v>
      </c>
      <c r="C261" s="16"/>
      <c r="E261" s="18"/>
      <c r="F261" s="19"/>
      <c r="G261" s="20"/>
      <c r="H261" s="20"/>
      <c r="I261" s="21"/>
      <c r="J261" s="21"/>
      <c r="K261" s="25"/>
      <c r="L261" s="25"/>
      <c r="M261" s="25"/>
      <c r="O261" s="22"/>
    </row>
    <row r="262" spans="2:15" x14ac:dyDescent="0.25">
      <c r="B262" s="17" t="s">
        <v>1548</v>
      </c>
      <c r="C262" s="16"/>
      <c r="E262" s="18"/>
      <c r="F262" s="19"/>
      <c r="G262" s="20"/>
      <c r="H262" s="20"/>
      <c r="I262" s="21"/>
      <c r="J262" s="21"/>
      <c r="K262" s="25"/>
      <c r="L262" s="25"/>
      <c r="M262" s="25"/>
      <c r="O262" s="22"/>
    </row>
    <row r="263" spans="2:15" x14ac:dyDescent="0.25">
      <c r="B263" s="17" t="s">
        <v>1221</v>
      </c>
      <c r="C263" s="16"/>
      <c r="E263" s="18"/>
      <c r="F263" s="19"/>
      <c r="G263" s="20"/>
      <c r="H263" s="20"/>
      <c r="I263" s="21"/>
      <c r="J263" s="21"/>
      <c r="K263" s="25"/>
      <c r="L263" s="25"/>
      <c r="M263" s="25"/>
      <c r="O263" s="22"/>
    </row>
    <row r="264" spans="2:15" x14ac:dyDescent="0.25">
      <c r="B264" s="17" t="s">
        <v>366</v>
      </c>
      <c r="C264" s="16"/>
      <c r="E264" s="18"/>
      <c r="F264" s="19"/>
      <c r="G264" s="20"/>
      <c r="H264" s="20"/>
      <c r="I264" s="21"/>
      <c r="J264" s="21"/>
      <c r="K264" s="25"/>
      <c r="L264" s="25"/>
      <c r="M264" s="25"/>
      <c r="O264" s="22"/>
    </row>
    <row r="265" spans="2:15" x14ac:dyDescent="0.25">
      <c r="B265" s="17" t="s">
        <v>1155</v>
      </c>
      <c r="C265" s="16"/>
      <c r="E265" s="18"/>
      <c r="F265" s="19"/>
      <c r="G265" s="20"/>
      <c r="H265" s="20"/>
      <c r="I265" s="21"/>
      <c r="J265" s="21"/>
      <c r="K265" s="25"/>
      <c r="L265" s="25"/>
      <c r="M265" s="25"/>
      <c r="O265" s="22"/>
    </row>
    <row r="266" spans="2:15" x14ac:dyDescent="0.25">
      <c r="B266" s="17" t="s">
        <v>288</v>
      </c>
      <c r="C266" s="16"/>
      <c r="E266" s="18"/>
      <c r="F266" s="19"/>
      <c r="G266" s="20"/>
      <c r="H266" s="20"/>
      <c r="I266" s="21"/>
      <c r="J266" s="21"/>
      <c r="K266" s="25"/>
      <c r="L266" s="25"/>
      <c r="M266" s="25"/>
      <c r="O266" s="22"/>
    </row>
    <row r="267" spans="2:15" x14ac:dyDescent="0.25">
      <c r="B267" s="17" t="s">
        <v>367</v>
      </c>
      <c r="C267" s="16"/>
      <c r="E267" s="18"/>
      <c r="F267" s="19"/>
      <c r="G267" s="20"/>
      <c r="H267" s="20"/>
      <c r="I267" s="21"/>
      <c r="J267" s="21"/>
      <c r="K267" s="25"/>
      <c r="L267" s="25"/>
      <c r="M267" s="25"/>
      <c r="O267" s="22"/>
    </row>
    <row r="268" spans="2:15" x14ac:dyDescent="0.25">
      <c r="B268" s="17" t="s">
        <v>456</v>
      </c>
      <c r="C268" s="16"/>
      <c r="E268" s="18"/>
      <c r="F268" s="19"/>
      <c r="G268" s="20"/>
      <c r="H268" s="20"/>
      <c r="I268" s="21"/>
      <c r="J268" s="21"/>
      <c r="K268" s="25"/>
      <c r="L268" s="25"/>
      <c r="M268" s="25"/>
      <c r="O268" s="22"/>
    </row>
    <row r="269" spans="2:15" x14ac:dyDescent="0.25">
      <c r="B269" s="17" t="s">
        <v>334</v>
      </c>
      <c r="C269" s="16"/>
      <c r="E269" s="18"/>
      <c r="F269" s="19"/>
      <c r="G269" s="20"/>
      <c r="H269" s="20"/>
      <c r="I269" s="21"/>
      <c r="J269" s="21"/>
      <c r="K269" s="25"/>
      <c r="L269" s="25"/>
      <c r="M269" s="25"/>
      <c r="O269" s="22"/>
    </row>
    <row r="270" spans="2:15" x14ac:dyDescent="0.25">
      <c r="B270" s="17" t="s">
        <v>339</v>
      </c>
      <c r="C270" s="16"/>
      <c r="E270" s="18"/>
      <c r="F270" s="19"/>
      <c r="G270" s="20"/>
      <c r="H270" s="20"/>
      <c r="I270" s="21"/>
      <c r="J270" s="21"/>
      <c r="K270" s="25"/>
      <c r="L270" s="25"/>
      <c r="M270" s="25"/>
      <c r="O270" s="22"/>
    </row>
    <row r="271" spans="2:15" x14ac:dyDescent="0.25">
      <c r="B271" s="17" t="s">
        <v>252</v>
      </c>
      <c r="C271" s="16"/>
      <c r="E271" s="18"/>
      <c r="F271" s="19"/>
      <c r="G271" s="20"/>
      <c r="H271" s="20"/>
      <c r="I271" s="21"/>
      <c r="J271" s="21"/>
      <c r="K271" s="25"/>
      <c r="L271" s="25"/>
      <c r="M271" s="25"/>
      <c r="O271" s="22"/>
    </row>
    <row r="272" spans="2:15" x14ac:dyDescent="0.25">
      <c r="B272" s="17" t="s">
        <v>340</v>
      </c>
      <c r="C272" s="16"/>
      <c r="E272" s="18"/>
      <c r="F272" s="19"/>
      <c r="G272" s="20"/>
      <c r="H272" s="20"/>
      <c r="I272" s="21"/>
      <c r="J272" s="21"/>
      <c r="K272" s="25"/>
      <c r="L272" s="25"/>
      <c r="M272" s="25"/>
      <c r="O272" s="22"/>
    </row>
    <row r="273" spans="2:15" x14ac:dyDescent="0.25">
      <c r="B273" s="17" t="s">
        <v>1287</v>
      </c>
      <c r="C273" s="16"/>
      <c r="E273" s="18"/>
      <c r="F273" s="19"/>
      <c r="G273" s="20"/>
      <c r="H273" s="20"/>
      <c r="I273" s="21"/>
      <c r="J273" s="21"/>
      <c r="K273" s="25"/>
      <c r="L273" s="25"/>
      <c r="M273" s="25"/>
      <c r="O273" s="22"/>
    </row>
    <row r="274" spans="2:15" x14ac:dyDescent="0.25">
      <c r="B274" s="17" t="s">
        <v>1306</v>
      </c>
      <c r="C274" s="16"/>
      <c r="E274" s="18"/>
      <c r="F274" s="19"/>
      <c r="G274" s="20"/>
      <c r="H274" s="20"/>
      <c r="I274" s="21"/>
      <c r="J274" s="21"/>
      <c r="K274" s="25"/>
      <c r="L274" s="25"/>
      <c r="M274" s="25"/>
      <c r="O274" s="22"/>
    </row>
    <row r="275" spans="2:15" x14ac:dyDescent="0.25">
      <c r="B275" s="17" t="s">
        <v>335</v>
      </c>
      <c r="C275" s="16"/>
      <c r="E275" s="18"/>
      <c r="F275" s="19"/>
      <c r="G275" s="20"/>
      <c r="H275" s="20"/>
      <c r="I275" s="21"/>
      <c r="J275" s="21"/>
      <c r="K275" s="25"/>
      <c r="L275" s="25"/>
      <c r="M275" s="25"/>
      <c r="O275" s="22"/>
    </row>
    <row r="276" spans="2:15" x14ac:dyDescent="0.25">
      <c r="B276" s="17" t="s">
        <v>268</v>
      </c>
      <c r="C276" s="16"/>
      <c r="E276" s="18"/>
      <c r="F276" s="19"/>
      <c r="G276" s="20"/>
      <c r="H276" s="20"/>
      <c r="I276" s="21"/>
      <c r="J276" s="21"/>
      <c r="K276" s="25"/>
      <c r="L276" s="25"/>
      <c r="M276" s="25"/>
      <c r="O276" s="22"/>
    </row>
    <row r="277" spans="2:15" x14ac:dyDescent="0.25">
      <c r="B277" s="17" t="s">
        <v>1139</v>
      </c>
      <c r="C277" s="16"/>
      <c r="E277" s="18"/>
      <c r="F277" s="19"/>
      <c r="G277" s="20"/>
      <c r="H277" s="20"/>
      <c r="I277" s="21"/>
      <c r="J277" s="21"/>
      <c r="K277" s="25"/>
      <c r="L277" s="25"/>
      <c r="M277" s="25"/>
      <c r="O277" s="22"/>
    </row>
    <row r="278" spans="2:15" x14ac:dyDescent="0.25">
      <c r="B278" s="17" t="s">
        <v>1409</v>
      </c>
      <c r="C278" s="16"/>
      <c r="E278" s="18"/>
      <c r="F278" s="19"/>
      <c r="G278" s="20"/>
      <c r="H278" s="20"/>
      <c r="I278" s="21"/>
      <c r="J278" s="21"/>
      <c r="K278" s="25"/>
      <c r="L278" s="25"/>
      <c r="M278" s="25"/>
      <c r="O278" s="22"/>
    </row>
    <row r="279" spans="2:15" x14ac:dyDescent="0.25">
      <c r="B279" s="17" t="s">
        <v>261</v>
      </c>
      <c r="C279" s="16"/>
      <c r="E279" s="18"/>
      <c r="F279" s="19"/>
      <c r="G279" s="20"/>
      <c r="H279" s="20"/>
      <c r="I279" s="21"/>
      <c r="J279" s="21"/>
      <c r="K279" s="25"/>
      <c r="L279" s="25"/>
      <c r="M279" s="25"/>
      <c r="O279" s="22"/>
    </row>
    <row r="280" spans="2:15" x14ac:dyDescent="0.25">
      <c r="B280" s="17" t="s">
        <v>1479</v>
      </c>
      <c r="C280" s="16"/>
      <c r="E280" s="18"/>
      <c r="F280" s="19"/>
      <c r="G280" s="20"/>
      <c r="H280" s="20"/>
      <c r="I280" s="21"/>
      <c r="J280" s="21"/>
      <c r="K280" s="25"/>
      <c r="L280" s="25"/>
      <c r="M280" s="25"/>
      <c r="O280" s="22"/>
    </row>
    <row r="281" spans="2:15" x14ac:dyDescent="0.25">
      <c r="B281" s="17" t="s">
        <v>415</v>
      </c>
      <c r="C281" s="16"/>
      <c r="E281" s="18"/>
      <c r="F281" s="19"/>
      <c r="G281" s="20"/>
      <c r="H281" s="20"/>
      <c r="I281" s="21"/>
      <c r="J281" s="21"/>
      <c r="K281" s="25"/>
      <c r="L281" s="25"/>
      <c r="M281" s="25"/>
      <c r="O281" s="22"/>
    </row>
    <row r="282" spans="2:15" x14ac:dyDescent="0.25">
      <c r="B282" s="17" t="s">
        <v>1490</v>
      </c>
      <c r="C282" s="16"/>
      <c r="E282" s="18"/>
      <c r="F282" s="19"/>
      <c r="G282" s="20"/>
      <c r="H282" s="20"/>
      <c r="I282" s="21"/>
      <c r="J282" s="21"/>
      <c r="K282" s="25"/>
      <c r="L282" s="25"/>
      <c r="M282" s="25"/>
      <c r="O282" s="22"/>
    </row>
    <row r="283" spans="2:15" x14ac:dyDescent="0.25">
      <c r="B283" s="17" t="s">
        <v>349</v>
      </c>
      <c r="C283" s="16"/>
      <c r="E283" s="18"/>
      <c r="F283" s="19"/>
      <c r="G283" s="20"/>
      <c r="H283" s="20"/>
      <c r="I283" s="21"/>
      <c r="J283" s="21"/>
      <c r="K283" s="25"/>
      <c r="L283" s="25"/>
      <c r="M283" s="25"/>
      <c r="O283" s="22"/>
    </row>
    <row r="284" spans="2:15" x14ac:dyDescent="0.25">
      <c r="B284" s="17" t="s">
        <v>593</v>
      </c>
      <c r="C284" s="16"/>
      <c r="E284" s="18"/>
      <c r="F284" s="19"/>
      <c r="G284" s="20"/>
      <c r="H284" s="20"/>
      <c r="I284" s="21"/>
      <c r="J284" s="21"/>
      <c r="K284" s="25"/>
      <c r="L284" s="25"/>
      <c r="M284" s="25"/>
      <c r="O284" s="22"/>
    </row>
    <row r="285" spans="2:15" x14ac:dyDescent="0.25">
      <c r="B285" s="17" t="s">
        <v>301</v>
      </c>
      <c r="C285" s="16"/>
      <c r="E285" s="18"/>
      <c r="F285" s="19"/>
      <c r="G285" s="20"/>
      <c r="H285" s="20"/>
      <c r="I285" s="21"/>
      <c r="J285" s="21"/>
      <c r="K285" s="25"/>
      <c r="L285" s="25"/>
      <c r="M285" s="25"/>
      <c r="O285" s="22"/>
    </row>
    <row r="286" spans="2:15" x14ac:dyDescent="0.25">
      <c r="B286" s="17" t="s">
        <v>358</v>
      </c>
      <c r="C286" s="16"/>
      <c r="E286" s="18"/>
      <c r="F286" s="19"/>
      <c r="G286" s="20"/>
      <c r="H286" s="20"/>
      <c r="I286" s="21"/>
      <c r="J286" s="21"/>
      <c r="K286" s="25"/>
      <c r="L286" s="25"/>
      <c r="M286" s="25"/>
      <c r="O286" s="22"/>
    </row>
    <row r="287" spans="2:15" x14ac:dyDescent="0.25">
      <c r="B287" s="17" t="s">
        <v>1323</v>
      </c>
      <c r="C287" s="16"/>
      <c r="E287" s="18"/>
      <c r="F287" s="19"/>
      <c r="G287" s="20"/>
      <c r="H287" s="20"/>
      <c r="I287" s="21"/>
      <c r="J287" s="21"/>
      <c r="K287" s="25"/>
      <c r="L287" s="25"/>
      <c r="M287" s="25"/>
      <c r="O287" s="22"/>
    </row>
    <row r="288" spans="2:15" x14ac:dyDescent="0.25">
      <c r="B288" s="17" t="s">
        <v>1213</v>
      </c>
      <c r="C288" s="16"/>
      <c r="E288" s="18"/>
      <c r="F288" s="19"/>
      <c r="G288" s="20"/>
      <c r="H288" s="20"/>
      <c r="I288" s="21"/>
      <c r="J288" s="21"/>
      <c r="K288" s="25"/>
      <c r="L288" s="25"/>
      <c r="M288" s="25"/>
      <c r="O288" s="22"/>
    </row>
    <row r="289" spans="2:15" x14ac:dyDescent="0.25">
      <c r="B289" s="17" t="s">
        <v>265</v>
      </c>
      <c r="C289" s="16"/>
      <c r="E289" s="18"/>
      <c r="F289" s="19"/>
      <c r="G289" s="20"/>
      <c r="H289" s="20"/>
      <c r="I289" s="21"/>
      <c r="J289" s="21"/>
      <c r="K289" s="25"/>
      <c r="L289" s="25"/>
      <c r="M289" s="25"/>
      <c r="O289" s="22"/>
    </row>
    <row r="290" spans="2:15" x14ac:dyDescent="0.25">
      <c r="B290" s="17" t="s">
        <v>293</v>
      </c>
      <c r="C290" s="16"/>
      <c r="E290" s="18"/>
      <c r="F290" s="19"/>
      <c r="G290" s="20"/>
      <c r="H290" s="20"/>
      <c r="I290" s="21"/>
      <c r="J290" s="21"/>
      <c r="K290" s="25"/>
      <c r="L290" s="25"/>
      <c r="M290" s="25"/>
      <c r="O290" s="22"/>
    </row>
    <row r="291" spans="2:15" x14ac:dyDescent="0.25">
      <c r="B291" s="17" t="s">
        <v>322</v>
      </c>
      <c r="C291" s="16"/>
      <c r="E291" s="18"/>
      <c r="F291" s="23"/>
      <c r="G291" s="20"/>
      <c r="H291" s="20"/>
      <c r="I291" s="21"/>
      <c r="J291" s="21"/>
      <c r="K291" s="25"/>
      <c r="L291" s="25"/>
      <c r="M291" s="25"/>
      <c r="O291" s="22"/>
    </row>
    <row r="292" spans="2:15" x14ac:dyDescent="0.25">
      <c r="B292" s="17" t="s">
        <v>435</v>
      </c>
      <c r="C292" s="16"/>
      <c r="E292" s="18"/>
      <c r="F292" s="19"/>
      <c r="G292" s="20"/>
      <c r="H292" s="20"/>
      <c r="I292" s="21"/>
      <c r="J292" s="21"/>
      <c r="K292" s="25"/>
      <c r="L292" s="25"/>
      <c r="M292" s="25"/>
      <c r="O292" s="22"/>
    </row>
    <row r="293" spans="2:15" x14ac:dyDescent="0.25">
      <c r="B293" s="17" t="s">
        <v>294</v>
      </c>
      <c r="C293" s="16"/>
      <c r="E293" s="18"/>
      <c r="F293" s="19"/>
      <c r="G293" s="20"/>
      <c r="H293" s="20"/>
      <c r="I293" s="21"/>
      <c r="J293" s="21"/>
      <c r="K293" s="25"/>
      <c r="L293" s="25"/>
      <c r="M293" s="25"/>
      <c r="O293" s="22"/>
    </row>
    <row r="294" spans="2:15" x14ac:dyDescent="0.25">
      <c r="B294" s="17" t="s">
        <v>389</v>
      </c>
      <c r="C294" s="16"/>
      <c r="E294" s="18"/>
      <c r="F294" s="19"/>
      <c r="G294" s="20"/>
      <c r="H294" s="20"/>
      <c r="I294" s="21"/>
      <c r="J294" s="21"/>
      <c r="K294" s="25"/>
      <c r="L294" s="25"/>
      <c r="M294" s="25"/>
      <c r="O294" s="22"/>
    </row>
    <row r="295" spans="2:15" x14ac:dyDescent="0.25">
      <c r="B295" s="17" t="s">
        <v>1339</v>
      </c>
      <c r="C295" s="16"/>
      <c r="E295" s="18"/>
      <c r="F295" s="19"/>
      <c r="G295" s="20"/>
      <c r="H295" s="20"/>
      <c r="I295" s="21"/>
      <c r="J295" s="21"/>
      <c r="K295" s="25"/>
      <c r="L295" s="25"/>
      <c r="M295" s="25"/>
      <c r="O295" s="22"/>
    </row>
    <row r="296" spans="2:15" x14ac:dyDescent="0.25">
      <c r="B296" s="17" t="s">
        <v>1563</v>
      </c>
      <c r="C296" s="16"/>
      <c r="E296" s="18"/>
      <c r="F296" s="19"/>
      <c r="G296" s="20"/>
      <c r="H296" s="20"/>
      <c r="I296" s="21"/>
      <c r="J296" s="21"/>
      <c r="K296" s="25"/>
      <c r="L296" s="25"/>
      <c r="M296" s="25"/>
      <c r="O296" s="22"/>
    </row>
    <row r="297" spans="2:15" x14ac:dyDescent="0.25">
      <c r="B297" s="17" t="s">
        <v>1546</v>
      </c>
      <c r="C297" s="16"/>
      <c r="E297" s="18"/>
      <c r="F297" s="19"/>
      <c r="G297" s="20"/>
      <c r="H297" s="20"/>
      <c r="I297" s="21"/>
      <c r="J297" s="21"/>
      <c r="K297" s="25"/>
      <c r="L297" s="25"/>
      <c r="M297" s="25"/>
      <c r="O297" s="22"/>
    </row>
    <row r="298" spans="2:15" x14ac:dyDescent="0.25">
      <c r="B298" s="17" t="s">
        <v>1465</v>
      </c>
      <c r="C298" s="16"/>
      <c r="E298" s="18"/>
      <c r="F298" s="19"/>
      <c r="G298" s="20"/>
      <c r="H298" s="20"/>
      <c r="I298" s="21"/>
      <c r="J298" s="21"/>
      <c r="K298" s="25"/>
      <c r="L298" s="25"/>
      <c r="M298" s="25"/>
      <c r="O298" s="22"/>
    </row>
    <row r="299" spans="2:15" x14ac:dyDescent="0.25">
      <c r="B299" s="17" t="s">
        <v>318</v>
      </c>
      <c r="C299" s="16"/>
      <c r="E299" s="18"/>
      <c r="F299" s="19"/>
      <c r="G299" s="20"/>
      <c r="H299" s="20"/>
      <c r="I299" s="21"/>
      <c r="J299" s="21"/>
      <c r="K299" s="25"/>
      <c r="L299" s="25"/>
      <c r="M299" s="25"/>
      <c r="O299" s="22"/>
    </row>
    <row r="300" spans="2:15" x14ac:dyDescent="0.25">
      <c r="B300" s="17" t="s">
        <v>1241</v>
      </c>
      <c r="C300" s="16"/>
      <c r="E300" s="18"/>
      <c r="F300" s="19"/>
      <c r="G300" s="20"/>
      <c r="H300" s="20"/>
      <c r="I300" s="21"/>
      <c r="J300" s="21"/>
      <c r="K300" s="25"/>
      <c r="L300" s="25"/>
      <c r="M300" s="25"/>
      <c r="O300" s="22"/>
    </row>
    <row r="301" spans="2:15" x14ac:dyDescent="0.25">
      <c r="B301" s="17" t="s">
        <v>1378</v>
      </c>
      <c r="C301" s="16"/>
      <c r="E301" s="18"/>
      <c r="F301" s="19"/>
      <c r="G301" s="20"/>
      <c r="H301" s="20"/>
      <c r="I301" s="21"/>
      <c r="J301" s="21"/>
      <c r="K301" s="25"/>
      <c r="L301" s="25"/>
      <c r="M301" s="25"/>
      <c r="O301" s="22"/>
    </row>
    <row r="302" spans="2:15" x14ac:dyDescent="0.25">
      <c r="B302" s="17" t="s">
        <v>253</v>
      </c>
      <c r="C302" s="16"/>
      <c r="E302" s="18"/>
      <c r="F302" s="19"/>
      <c r="G302" s="20"/>
      <c r="H302" s="20"/>
      <c r="I302" s="21"/>
      <c r="J302" s="21"/>
      <c r="K302" s="25"/>
      <c r="L302" s="25"/>
      <c r="M302" s="25"/>
      <c r="O302" s="22"/>
    </row>
    <row r="303" spans="2:15" x14ac:dyDescent="0.25">
      <c r="B303" s="17" t="s">
        <v>1159</v>
      </c>
      <c r="C303" s="16"/>
      <c r="E303" s="18"/>
      <c r="F303" s="19"/>
      <c r="G303" s="20"/>
      <c r="H303" s="20"/>
      <c r="I303" s="21"/>
      <c r="J303" s="21"/>
      <c r="K303" s="25"/>
      <c r="L303" s="25"/>
      <c r="M303" s="25"/>
      <c r="O303" s="22"/>
    </row>
    <row r="304" spans="2:15" x14ac:dyDescent="0.25">
      <c r="B304" s="17" t="s">
        <v>1292</v>
      </c>
      <c r="C304" s="16"/>
      <c r="E304" s="18"/>
      <c r="F304" s="19"/>
      <c r="G304" s="20"/>
      <c r="H304" s="20"/>
      <c r="I304" s="21"/>
      <c r="J304" s="21"/>
      <c r="K304" s="25"/>
      <c r="L304" s="25"/>
      <c r="M304" s="25"/>
      <c r="O304" s="22"/>
    </row>
    <row r="305" spans="2:15" x14ac:dyDescent="0.25">
      <c r="B305" s="17" t="s">
        <v>1496</v>
      </c>
      <c r="C305" s="16"/>
      <c r="E305" s="18"/>
      <c r="F305" s="19"/>
      <c r="G305" s="20"/>
      <c r="H305" s="20"/>
      <c r="I305" s="21"/>
      <c r="J305" s="21"/>
      <c r="K305" s="25"/>
      <c r="L305" s="25"/>
      <c r="M305" s="25"/>
      <c r="O305" s="22"/>
    </row>
    <row r="306" spans="2:15" x14ac:dyDescent="0.25">
      <c r="B306" s="17" t="s">
        <v>1405</v>
      </c>
      <c r="C306" s="16"/>
      <c r="E306" s="18"/>
      <c r="F306" s="19"/>
      <c r="G306" s="20"/>
      <c r="H306" s="20"/>
      <c r="I306" s="21"/>
      <c r="J306" s="21"/>
      <c r="K306" s="25"/>
      <c r="L306" s="25"/>
      <c r="M306" s="25"/>
      <c r="O306" s="22"/>
    </row>
    <row r="307" spans="2:15" x14ac:dyDescent="0.25">
      <c r="B307" s="17" t="s">
        <v>444</v>
      </c>
      <c r="C307" s="16"/>
      <c r="E307" s="18"/>
      <c r="F307" s="19"/>
      <c r="G307" s="20"/>
      <c r="H307" s="20"/>
      <c r="I307" s="21"/>
      <c r="J307" s="21"/>
      <c r="K307" s="25"/>
      <c r="L307" s="25"/>
      <c r="M307" s="25"/>
      <c r="O307" s="22"/>
    </row>
    <row r="308" spans="2:15" x14ac:dyDescent="0.25">
      <c r="B308" s="17" t="s">
        <v>315</v>
      </c>
      <c r="C308" s="16"/>
      <c r="E308" s="18"/>
      <c r="F308" s="19"/>
      <c r="G308" s="20"/>
      <c r="H308" s="20"/>
      <c r="I308" s="21"/>
      <c r="J308" s="21"/>
      <c r="K308" s="25"/>
      <c r="L308" s="25"/>
      <c r="M308" s="25"/>
      <c r="O308" s="22"/>
    </row>
    <row r="309" spans="2:15" x14ac:dyDescent="0.25">
      <c r="B309" s="17" t="s">
        <v>217</v>
      </c>
      <c r="C309" s="16"/>
      <c r="E309" s="18"/>
      <c r="F309" s="23"/>
      <c r="G309" s="20"/>
      <c r="H309" s="20"/>
      <c r="I309" s="21"/>
      <c r="J309" s="21"/>
      <c r="K309" s="25"/>
      <c r="L309" s="25"/>
      <c r="M309" s="25"/>
      <c r="O309" s="22"/>
    </row>
    <row r="310" spans="2:15" x14ac:dyDescent="0.25">
      <c r="B310" s="17" t="s">
        <v>489</v>
      </c>
      <c r="C310" s="16"/>
      <c r="E310" s="18"/>
      <c r="F310" s="19"/>
      <c r="G310" s="20"/>
      <c r="H310" s="20"/>
      <c r="I310" s="21"/>
      <c r="J310" s="21"/>
      <c r="K310" s="25"/>
      <c r="L310" s="25"/>
      <c r="M310" s="25"/>
      <c r="O310" s="22"/>
    </row>
    <row r="311" spans="2:15" x14ac:dyDescent="0.25">
      <c r="B311" s="17" t="s">
        <v>428</v>
      </c>
      <c r="C311" s="16"/>
      <c r="E311" s="18"/>
      <c r="F311" s="19"/>
      <c r="G311" s="20"/>
      <c r="H311" s="20"/>
      <c r="I311" s="21"/>
      <c r="J311" s="21"/>
      <c r="K311" s="25"/>
      <c r="L311" s="25"/>
      <c r="M311" s="25"/>
      <c r="O311" s="22"/>
    </row>
    <row r="312" spans="2:15" x14ac:dyDescent="0.25">
      <c r="B312" s="17" t="s">
        <v>312</v>
      </c>
      <c r="C312" s="16"/>
      <c r="E312" s="18"/>
      <c r="F312" s="19"/>
      <c r="G312" s="20"/>
      <c r="H312" s="20"/>
      <c r="I312" s="21"/>
      <c r="J312" s="21"/>
      <c r="K312" s="25"/>
      <c r="L312" s="25"/>
      <c r="M312" s="25"/>
      <c r="O312" s="22"/>
    </row>
    <row r="313" spans="2:15" x14ac:dyDescent="0.25">
      <c r="B313" s="17" t="s">
        <v>1223</v>
      </c>
      <c r="C313" s="16"/>
      <c r="E313" s="18"/>
      <c r="F313" s="19"/>
      <c r="G313" s="20"/>
      <c r="H313" s="20"/>
      <c r="I313" s="21"/>
      <c r="J313" s="21"/>
      <c r="K313" s="25"/>
      <c r="L313" s="25"/>
      <c r="M313" s="25"/>
      <c r="O313" s="22"/>
    </row>
    <row r="314" spans="2:15" x14ac:dyDescent="0.25">
      <c r="B314" s="17" t="s">
        <v>1230</v>
      </c>
      <c r="C314" s="16"/>
      <c r="E314" s="18"/>
      <c r="F314" s="19"/>
      <c r="G314" s="20"/>
      <c r="H314" s="20"/>
      <c r="I314" s="21"/>
      <c r="J314" s="21"/>
      <c r="K314" s="25"/>
      <c r="L314" s="25"/>
      <c r="M314" s="25"/>
      <c r="O314" s="22"/>
    </row>
    <row r="315" spans="2:15" x14ac:dyDescent="0.25">
      <c r="B315" s="17" t="s">
        <v>1311</v>
      </c>
      <c r="C315" s="16"/>
      <c r="E315" s="18"/>
      <c r="F315" s="19"/>
      <c r="G315" s="20"/>
      <c r="H315" s="20"/>
      <c r="I315" s="21"/>
      <c r="J315" s="21"/>
      <c r="K315" s="25"/>
      <c r="L315" s="25"/>
      <c r="M315" s="25"/>
      <c r="O315" s="22"/>
    </row>
    <row r="316" spans="2:15" x14ac:dyDescent="0.25">
      <c r="B316" s="17" t="s">
        <v>350</v>
      </c>
      <c r="C316" s="16"/>
      <c r="E316" s="18"/>
      <c r="F316" s="19"/>
      <c r="G316" s="20"/>
      <c r="H316" s="20"/>
      <c r="I316" s="21"/>
      <c r="J316" s="21"/>
      <c r="K316" s="25"/>
      <c r="L316" s="25"/>
      <c r="M316" s="25"/>
      <c r="O316" s="22"/>
    </row>
    <row r="317" spans="2:15" x14ac:dyDescent="0.25">
      <c r="B317" s="17" t="s">
        <v>1169</v>
      </c>
      <c r="C317" s="16"/>
      <c r="E317" s="18"/>
      <c r="F317" s="19"/>
      <c r="G317" s="20"/>
      <c r="H317" s="20"/>
      <c r="I317" s="21"/>
      <c r="J317" s="21"/>
      <c r="K317" s="25"/>
      <c r="L317" s="25"/>
      <c r="M317" s="25"/>
      <c r="O317" s="22"/>
    </row>
    <row r="318" spans="2:15" x14ac:dyDescent="0.25">
      <c r="B318" s="17" t="s">
        <v>375</v>
      </c>
      <c r="C318" s="16"/>
      <c r="E318" s="18"/>
      <c r="F318" s="19"/>
      <c r="G318" s="20"/>
      <c r="H318" s="20"/>
      <c r="I318" s="21"/>
      <c r="J318" s="21"/>
      <c r="K318" s="25"/>
      <c r="L318" s="25"/>
      <c r="M318" s="25"/>
      <c r="O318" s="22"/>
    </row>
    <row r="319" spans="2:15" x14ac:dyDescent="0.25">
      <c r="B319" s="17" t="s">
        <v>1267</v>
      </c>
      <c r="C319" s="16"/>
      <c r="E319" s="18"/>
      <c r="F319" s="19"/>
      <c r="G319" s="20"/>
      <c r="H319" s="20"/>
      <c r="I319" s="21"/>
      <c r="J319" s="21"/>
      <c r="K319" s="25"/>
      <c r="L319" s="25"/>
      <c r="M319" s="25"/>
      <c r="O319" s="22"/>
    </row>
    <row r="320" spans="2:15" x14ac:dyDescent="0.25">
      <c r="B320" s="17" t="s">
        <v>1433</v>
      </c>
      <c r="C320" s="16"/>
      <c r="E320" s="18"/>
      <c r="F320" s="19"/>
      <c r="G320" s="20"/>
      <c r="H320" s="20"/>
      <c r="I320" s="21"/>
      <c r="J320" s="21"/>
      <c r="K320" s="25"/>
      <c r="L320" s="25"/>
      <c r="M320" s="25"/>
      <c r="O320" s="22"/>
    </row>
    <row r="321" spans="2:15" x14ac:dyDescent="0.25">
      <c r="B321" s="17" t="s">
        <v>290</v>
      </c>
      <c r="C321" s="16"/>
      <c r="E321" s="18"/>
      <c r="F321" s="19"/>
      <c r="G321" s="20"/>
      <c r="H321" s="20"/>
      <c r="I321" s="21"/>
      <c r="J321" s="21"/>
      <c r="K321" s="25"/>
      <c r="L321" s="25"/>
      <c r="M321" s="25"/>
      <c r="O321" s="22"/>
    </row>
    <row r="322" spans="2:15" x14ac:dyDescent="0.25">
      <c r="B322" s="17" t="s">
        <v>296</v>
      </c>
      <c r="C322" s="16"/>
      <c r="E322" s="18"/>
      <c r="F322" s="19"/>
      <c r="G322" s="20"/>
      <c r="H322" s="20"/>
      <c r="I322" s="21"/>
      <c r="J322" s="21"/>
      <c r="K322" s="25"/>
      <c r="L322" s="25"/>
      <c r="M322" s="25"/>
      <c r="O322" s="22"/>
    </row>
    <row r="323" spans="2:15" x14ac:dyDescent="0.25">
      <c r="B323" s="17" t="s">
        <v>626</v>
      </c>
      <c r="C323" s="16"/>
      <c r="E323" s="18"/>
      <c r="F323" s="19"/>
      <c r="G323" s="20"/>
      <c r="H323" s="20"/>
      <c r="I323" s="21"/>
      <c r="J323" s="21"/>
      <c r="K323" s="25"/>
      <c r="L323" s="25"/>
      <c r="M323" s="25"/>
      <c r="O323" s="22"/>
    </row>
    <row r="324" spans="2:15" x14ac:dyDescent="0.25">
      <c r="B324" s="17" t="s">
        <v>453</v>
      </c>
      <c r="C324" s="16"/>
      <c r="E324" s="18"/>
      <c r="F324" s="19"/>
      <c r="G324" s="20"/>
      <c r="H324" s="20"/>
      <c r="I324" s="21"/>
      <c r="J324" s="21"/>
      <c r="K324" s="25"/>
      <c r="L324" s="25"/>
      <c r="M324" s="25"/>
      <c r="O324" s="22"/>
    </row>
    <row r="325" spans="2:15" x14ac:dyDescent="0.25">
      <c r="B325" s="17" t="s">
        <v>1185</v>
      </c>
      <c r="C325" s="16"/>
      <c r="E325" s="18"/>
      <c r="F325" s="19"/>
      <c r="G325" s="20"/>
      <c r="H325" s="20"/>
      <c r="I325" s="21"/>
      <c r="J325" s="21"/>
      <c r="K325" s="25"/>
      <c r="L325" s="25"/>
      <c r="M325" s="25"/>
      <c r="O325" s="22"/>
    </row>
    <row r="326" spans="2:15" x14ac:dyDescent="0.25">
      <c r="B326" s="17" t="s">
        <v>1382</v>
      </c>
      <c r="C326" s="16"/>
      <c r="E326" s="18"/>
      <c r="F326" s="19"/>
      <c r="G326" s="20"/>
      <c r="H326" s="20"/>
      <c r="I326" s="21"/>
      <c r="J326" s="21"/>
      <c r="K326" s="25"/>
      <c r="L326" s="25"/>
      <c r="M326" s="25"/>
      <c r="O326" s="22"/>
    </row>
    <row r="327" spans="2:15" x14ac:dyDescent="0.25">
      <c r="B327" s="17" t="s">
        <v>297</v>
      </c>
      <c r="C327" s="16"/>
      <c r="E327" s="18"/>
      <c r="F327" s="19"/>
      <c r="G327" s="20"/>
      <c r="H327" s="20"/>
      <c r="I327" s="21"/>
      <c r="J327" s="21"/>
      <c r="K327" s="25"/>
      <c r="L327" s="25"/>
      <c r="M327" s="25"/>
      <c r="O327" s="22"/>
    </row>
    <row r="328" spans="2:15" x14ac:dyDescent="0.25">
      <c r="B328" s="17" t="s">
        <v>263</v>
      </c>
      <c r="C328" s="16"/>
      <c r="E328" s="18"/>
      <c r="F328" s="19"/>
      <c r="G328" s="20"/>
      <c r="H328" s="20"/>
      <c r="I328" s="21"/>
      <c r="J328" s="21"/>
      <c r="K328" s="25"/>
      <c r="L328" s="25"/>
      <c r="M328" s="25"/>
      <c r="O328" s="22"/>
    </row>
    <row r="329" spans="2:15" x14ac:dyDescent="0.25">
      <c r="B329" s="17" t="s">
        <v>321</v>
      </c>
      <c r="C329" s="16"/>
      <c r="E329" s="18"/>
      <c r="F329" s="19"/>
      <c r="G329" s="20"/>
      <c r="H329" s="20"/>
      <c r="I329" s="21"/>
      <c r="J329" s="21"/>
      <c r="K329" s="25"/>
      <c r="L329" s="25"/>
      <c r="M329" s="25"/>
      <c r="O329" s="22"/>
    </row>
    <row r="330" spans="2:15" x14ac:dyDescent="0.25">
      <c r="B330" s="17" t="s">
        <v>325</v>
      </c>
      <c r="C330" s="16"/>
      <c r="E330" s="18"/>
      <c r="F330" s="19"/>
      <c r="G330" s="20"/>
      <c r="H330" s="20"/>
      <c r="I330" s="21"/>
      <c r="J330" s="21"/>
      <c r="K330" s="25"/>
      <c r="L330" s="25"/>
      <c r="M330" s="25"/>
      <c r="O330" s="22"/>
    </row>
    <row r="331" spans="2:15" x14ac:dyDescent="0.25">
      <c r="B331" s="17" t="s">
        <v>356</v>
      </c>
      <c r="C331" s="16"/>
      <c r="E331" s="18"/>
      <c r="F331" s="19"/>
      <c r="G331" s="20"/>
      <c r="H331" s="20"/>
      <c r="I331" s="21"/>
      <c r="J331" s="21"/>
      <c r="K331" s="25"/>
      <c r="L331" s="25"/>
      <c r="M331" s="25"/>
      <c r="O331" s="22"/>
    </row>
    <row r="332" spans="2:15" x14ac:dyDescent="0.25">
      <c r="B332" s="17" t="s">
        <v>442</v>
      </c>
      <c r="C332" s="16"/>
      <c r="E332" s="18"/>
      <c r="F332" s="19"/>
      <c r="G332" s="20"/>
      <c r="H332" s="20"/>
      <c r="I332" s="21"/>
      <c r="J332" s="21"/>
      <c r="K332" s="25"/>
      <c r="L332" s="25"/>
      <c r="M332" s="25"/>
      <c r="O332" s="22"/>
    </row>
    <row r="333" spans="2:15" x14ac:dyDescent="0.25">
      <c r="B333" s="17" t="s">
        <v>1495</v>
      </c>
      <c r="C333" s="16"/>
      <c r="E333" s="18"/>
      <c r="F333" s="19"/>
      <c r="G333" s="20"/>
      <c r="H333" s="20"/>
      <c r="I333" s="21"/>
      <c r="J333" s="21"/>
      <c r="K333" s="25"/>
      <c r="L333" s="25"/>
      <c r="M333" s="25"/>
      <c r="O333" s="22"/>
    </row>
    <row r="334" spans="2:15" x14ac:dyDescent="0.25">
      <c r="B334" s="17" t="s">
        <v>292</v>
      </c>
      <c r="C334" s="16"/>
      <c r="E334" s="18"/>
      <c r="F334" s="19"/>
      <c r="G334" s="20"/>
      <c r="H334" s="20"/>
      <c r="I334" s="21"/>
      <c r="J334" s="21"/>
      <c r="K334" s="25"/>
      <c r="L334" s="25"/>
      <c r="M334" s="25"/>
      <c r="O334" s="22"/>
    </row>
    <row r="335" spans="2:15" x14ac:dyDescent="0.25">
      <c r="B335" s="17" t="s">
        <v>434</v>
      </c>
      <c r="C335" s="16"/>
      <c r="E335" s="18"/>
      <c r="F335" s="19"/>
      <c r="G335" s="20"/>
      <c r="H335" s="20"/>
      <c r="I335" s="21"/>
      <c r="J335" s="21"/>
      <c r="K335" s="25"/>
      <c r="L335" s="25"/>
      <c r="M335" s="25"/>
      <c r="O335" s="22"/>
    </row>
    <row r="336" spans="2:15" x14ac:dyDescent="0.25">
      <c r="B336" s="17" t="s">
        <v>331</v>
      </c>
      <c r="C336" s="16"/>
      <c r="E336" s="18"/>
      <c r="F336" s="23"/>
      <c r="G336" s="20"/>
      <c r="H336" s="20"/>
      <c r="I336" s="21"/>
      <c r="J336" s="21"/>
      <c r="K336" s="25"/>
      <c r="L336" s="25"/>
      <c r="M336" s="25"/>
      <c r="O336" s="22"/>
    </row>
    <row r="337" spans="2:15" x14ac:dyDescent="0.25">
      <c r="B337" s="17" t="s">
        <v>1240</v>
      </c>
      <c r="C337" s="16"/>
      <c r="E337" s="18"/>
      <c r="F337" s="19"/>
      <c r="G337" s="20"/>
      <c r="H337" s="20"/>
      <c r="I337" s="21"/>
      <c r="J337" s="21"/>
      <c r="K337" s="25"/>
      <c r="L337" s="25"/>
      <c r="M337" s="25"/>
      <c r="O337" s="22"/>
    </row>
    <row r="338" spans="2:15" x14ac:dyDescent="0.25">
      <c r="B338" s="17" t="s">
        <v>398</v>
      </c>
      <c r="C338" s="16"/>
      <c r="E338" s="18"/>
      <c r="F338" s="19"/>
      <c r="G338" s="20"/>
      <c r="H338" s="20"/>
      <c r="I338" s="21"/>
      <c r="J338" s="21"/>
      <c r="K338" s="25"/>
      <c r="L338" s="25"/>
      <c r="M338" s="25"/>
      <c r="O338" s="22"/>
    </row>
    <row r="339" spans="2:15" x14ac:dyDescent="0.25">
      <c r="B339" s="17" t="s">
        <v>342</v>
      </c>
      <c r="C339" s="16"/>
      <c r="E339" s="18"/>
      <c r="F339" s="19"/>
      <c r="G339" s="20"/>
      <c r="H339" s="20"/>
      <c r="I339" s="21"/>
      <c r="J339" s="21"/>
      <c r="K339" s="25"/>
      <c r="L339" s="25"/>
      <c r="M339" s="25"/>
      <c r="O339" s="22"/>
    </row>
    <row r="340" spans="2:15" x14ac:dyDescent="0.25">
      <c r="B340" s="17" t="s">
        <v>1327</v>
      </c>
      <c r="C340" s="16"/>
      <c r="E340" s="18"/>
      <c r="F340" s="19"/>
      <c r="G340" s="20"/>
      <c r="H340" s="20"/>
      <c r="I340" s="21"/>
      <c r="J340" s="21"/>
      <c r="K340" s="25"/>
      <c r="L340" s="25"/>
      <c r="M340" s="25"/>
      <c r="O340" s="22"/>
    </row>
    <row r="341" spans="2:15" x14ac:dyDescent="0.25">
      <c r="B341" s="17" t="s">
        <v>1432</v>
      </c>
      <c r="C341" s="16"/>
      <c r="I341" s="21"/>
      <c r="J341" s="21"/>
      <c r="K341" s="25"/>
      <c r="L341" s="25"/>
      <c r="M341" s="25"/>
      <c r="O341" s="22"/>
    </row>
    <row r="342" spans="2:15" x14ac:dyDescent="0.25">
      <c r="B342" s="17" t="s">
        <v>944</v>
      </c>
      <c r="C342" s="16"/>
      <c r="E342" s="18"/>
      <c r="F342" s="19"/>
      <c r="G342" s="20"/>
      <c r="H342" s="20"/>
      <c r="I342" s="21"/>
      <c r="J342" s="21"/>
      <c r="K342" s="25"/>
      <c r="L342" s="25"/>
      <c r="M342" s="25"/>
      <c r="O342" s="22"/>
    </row>
    <row r="343" spans="2:15" x14ac:dyDescent="0.25">
      <c r="B343" s="17" t="s">
        <v>1385</v>
      </c>
      <c r="C343" s="16"/>
      <c r="F343" s="19"/>
      <c r="I343" s="21"/>
      <c r="J343" s="21"/>
      <c r="K343" s="25"/>
      <c r="L343" s="25"/>
      <c r="M343" s="25"/>
      <c r="O343" s="22"/>
    </row>
    <row r="344" spans="2:15" x14ac:dyDescent="0.25">
      <c r="B344" s="17" t="s">
        <v>1458</v>
      </c>
      <c r="C344" s="16"/>
      <c r="E344" s="18"/>
      <c r="F344" s="19"/>
      <c r="G344" s="20"/>
      <c r="H344" s="20"/>
      <c r="I344" s="21"/>
      <c r="J344" s="21"/>
      <c r="K344" s="25"/>
      <c r="L344" s="25"/>
      <c r="M344" s="25"/>
      <c r="O344" s="22"/>
    </row>
    <row r="345" spans="2:15" x14ac:dyDescent="0.25">
      <c r="B345" s="17" t="s">
        <v>357</v>
      </c>
      <c r="C345" s="16"/>
      <c r="E345" s="18"/>
      <c r="F345" s="19"/>
      <c r="G345" s="20"/>
      <c r="H345" s="20"/>
      <c r="I345" s="21"/>
      <c r="J345" s="21"/>
      <c r="K345" s="25"/>
      <c r="L345" s="25"/>
      <c r="M345" s="25"/>
      <c r="O345" s="22"/>
    </row>
    <row r="346" spans="2:15" x14ac:dyDescent="0.25">
      <c r="B346" s="17" t="s">
        <v>559</v>
      </c>
      <c r="C346" s="16"/>
      <c r="E346" s="18"/>
      <c r="F346" s="19"/>
      <c r="G346" s="20"/>
      <c r="H346" s="20"/>
      <c r="I346" s="21"/>
      <c r="J346" s="21"/>
      <c r="K346" s="25"/>
      <c r="L346" s="25"/>
      <c r="M346" s="25"/>
      <c r="O346" s="22"/>
    </row>
    <row r="347" spans="2:15" x14ac:dyDescent="0.25">
      <c r="B347" s="17" t="s">
        <v>285</v>
      </c>
      <c r="C347" s="16"/>
      <c r="E347" s="18"/>
      <c r="F347" s="19"/>
      <c r="G347" s="20"/>
      <c r="H347" s="20"/>
      <c r="I347" s="21"/>
      <c r="J347" s="21"/>
      <c r="K347" s="25"/>
      <c r="L347" s="25"/>
      <c r="M347" s="25"/>
      <c r="O347" s="22"/>
    </row>
    <row r="348" spans="2:15" x14ac:dyDescent="0.25">
      <c r="B348" s="17" t="s">
        <v>320</v>
      </c>
      <c r="C348" s="16"/>
      <c r="E348" s="18"/>
      <c r="F348" s="19"/>
      <c r="G348" s="20"/>
      <c r="H348" s="20"/>
      <c r="I348" s="21"/>
      <c r="J348" s="21"/>
      <c r="K348" s="25"/>
      <c r="L348" s="25"/>
      <c r="M348" s="25"/>
      <c r="O348" s="22"/>
    </row>
    <row r="349" spans="2:15" x14ac:dyDescent="0.25">
      <c r="B349" s="17" t="s">
        <v>1330</v>
      </c>
      <c r="C349" s="16"/>
      <c r="E349" s="18"/>
      <c r="F349" s="19"/>
      <c r="G349" s="20"/>
      <c r="H349" s="20"/>
      <c r="I349" s="21"/>
      <c r="J349" s="21"/>
      <c r="K349" s="25"/>
      <c r="L349" s="25"/>
      <c r="M349" s="25"/>
      <c r="O349" s="22"/>
    </row>
    <row r="350" spans="2:15" x14ac:dyDescent="0.25">
      <c r="B350" s="17" t="s">
        <v>1542</v>
      </c>
      <c r="C350" s="16"/>
      <c r="E350" s="18"/>
      <c r="F350" s="19"/>
      <c r="G350" s="20"/>
      <c r="H350" s="20"/>
      <c r="I350" s="21"/>
      <c r="J350" s="21"/>
      <c r="K350" s="25"/>
      <c r="L350" s="25"/>
      <c r="M350" s="25"/>
      <c r="O350" s="22"/>
    </row>
    <row r="351" spans="2:15" x14ac:dyDescent="0.25">
      <c r="B351" s="17" t="s">
        <v>1498</v>
      </c>
      <c r="C351" s="16"/>
      <c r="E351" s="18"/>
      <c r="F351" s="19"/>
      <c r="G351" s="20"/>
      <c r="H351" s="20"/>
      <c r="I351" s="21"/>
      <c r="J351" s="21"/>
      <c r="K351" s="25"/>
      <c r="L351" s="25"/>
      <c r="M351" s="25"/>
      <c r="O351" s="22"/>
    </row>
    <row r="352" spans="2:15" x14ac:dyDescent="0.25">
      <c r="B352" s="17" t="s">
        <v>271</v>
      </c>
      <c r="C352" s="16"/>
      <c r="E352" s="18"/>
      <c r="F352" s="19"/>
      <c r="G352" s="20"/>
      <c r="H352" s="20"/>
      <c r="I352" s="21"/>
      <c r="J352" s="21"/>
      <c r="K352" s="25"/>
      <c r="L352" s="25"/>
      <c r="M352" s="25"/>
      <c r="O352" s="22"/>
    </row>
    <row r="353" spans="2:15" x14ac:dyDescent="0.25">
      <c r="B353" s="17" t="s">
        <v>1141</v>
      </c>
      <c r="C353" s="16"/>
      <c r="E353" s="18"/>
      <c r="F353" s="19"/>
      <c r="G353" s="20"/>
      <c r="H353" s="20"/>
      <c r="I353" s="21"/>
      <c r="J353" s="21"/>
      <c r="K353" s="25"/>
      <c r="L353" s="25"/>
      <c r="M353" s="25"/>
      <c r="O353" s="22"/>
    </row>
    <row r="354" spans="2:15" x14ac:dyDescent="0.25">
      <c r="B354" s="17" t="s">
        <v>1216</v>
      </c>
      <c r="C354" s="16"/>
      <c r="E354" s="18"/>
      <c r="F354" s="19"/>
      <c r="G354" s="20"/>
      <c r="H354" s="20"/>
      <c r="I354" s="21"/>
      <c r="J354" s="21"/>
      <c r="K354" s="25"/>
      <c r="L354" s="25"/>
      <c r="M354" s="25"/>
      <c r="O354" s="22"/>
    </row>
    <row r="355" spans="2:15" x14ac:dyDescent="0.25">
      <c r="B355" s="17" t="s">
        <v>1133</v>
      </c>
      <c r="C355" s="16"/>
      <c r="E355" s="18"/>
      <c r="F355" s="19"/>
      <c r="G355" s="20"/>
      <c r="H355" s="20"/>
      <c r="I355" s="21"/>
      <c r="J355" s="21"/>
      <c r="K355" s="25"/>
      <c r="L355" s="25"/>
      <c r="M355" s="25"/>
      <c r="O355" s="22"/>
    </row>
    <row r="356" spans="2:15" x14ac:dyDescent="0.25">
      <c r="B356" s="17" t="s">
        <v>413</v>
      </c>
      <c r="C356" s="16"/>
      <c r="E356" s="18"/>
      <c r="F356" s="19"/>
      <c r="G356" s="20"/>
      <c r="H356" s="20"/>
      <c r="I356" s="21"/>
      <c r="J356" s="21"/>
      <c r="K356" s="25"/>
      <c r="L356" s="25"/>
      <c r="M356" s="25"/>
      <c r="O356" s="22"/>
    </row>
    <row r="357" spans="2:15" x14ac:dyDescent="0.25">
      <c r="B357" s="17" t="s">
        <v>287</v>
      </c>
      <c r="C357" s="16"/>
      <c r="E357" s="18"/>
      <c r="F357" s="19"/>
      <c r="G357" s="20"/>
      <c r="H357" s="20"/>
      <c r="I357" s="21"/>
      <c r="J357" s="21"/>
      <c r="K357" s="25"/>
      <c r="L357" s="25"/>
      <c r="M357" s="25"/>
      <c r="O357" s="22"/>
    </row>
    <row r="358" spans="2:15" x14ac:dyDescent="0.25">
      <c r="B358" s="17" t="s">
        <v>370</v>
      </c>
      <c r="C358" s="16"/>
      <c r="E358" s="18"/>
      <c r="F358" s="19"/>
      <c r="G358" s="20"/>
      <c r="H358" s="20"/>
      <c r="I358" s="21"/>
      <c r="J358" s="21"/>
      <c r="K358" s="25"/>
      <c r="L358" s="25"/>
      <c r="M358" s="25"/>
      <c r="O358" s="22"/>
    </row>
    <row r="359" spans="2:15" x14ac:dyDescent="0.25">
      <c r="B359" s="17" t="s">
        <v>337</v>
      </c>
      <c r="C359" s="16"/>
      <c r="E359" s="18"/>
      <c r="F359" s="19"/>
      <c r="G359" s="20"/>
      <c r="H359" s="20"/>
      <c r="I359" s="21"/>
      <c r="J359" s="21"/>
      <c r="K359" s="25"/>
      <c r="L359" s="25"/>
      <c r="M359" s="25"/>
      <c r="O359" s="22"/>
    </row>
    <row r="360" spans="2:15" x14ac:dyDescent="0.25">
      <c r="B360" s="17" t="s">
        <v>424</v>
      </c>
      <c r="C360" s="16"/>
      <c r="E360" s="18"/>
      <c r="F360" s="23"/>
      <c r="G360" s="20"/>
      <c r="H360" s="20"/>
      <c r="I360" s="21"/>
      <c r="J360" s="21"/>
      <c r="K360" s="25"/>
      <c r="L360" s="25"/>
      <c r="M360" s="25"/>
      <c r="O360" s="22"/>
    </row>
    <row r="361" spans="2:15" x14ac:dyDescent="0.25">
      <c r="B361" s="17" t="s">
        <v>403</v>
      </c>
      <c r="C361" s="16"/>
      <c r="E361" s="18"/>
      <c r="F361" s="19"/>
      <c r="G361" s="20"/>
      <c r="H361" s="20"/>
      <c r="I361" s="21"/>
      <c r="J361" s="21"/>
      <c r="K361" s="25"/>
      <c r="L361" s="25"/>
      <c r="M361" s="25"/>
      <c r="O361" s="22"/>
    </row>
    <row r="362" spans="2:15" x14ac:dyDescent="0.25">
      <c r="B362" s="17" t="s">
        <v>332</v>
      </c>
      <c r="C362" s="16"/>
      <c r="E362" s="18"/>
      <c r="F362" s="19"/>
      <c r="G362" s="20"/>
      <c r="H362" s="20"/>
      <c r="I362" s="21"/>
      <c r="J362" s="21"/>
      <c r="K362" s="25"/>
      <c r="L362" s="25"/>
      <c r="M362" s="25"/>
      <c r="O362" s="22"/>
    </row>
    <row r="363" spans="2:15" x14ac:dyDescent="0.25">
      <c r="B363" s="17" t="s">
        <v>341</v>
      </c>
      <c r="C363" s="16"/>
      <c r="E363" s="18"/>
      <c r="F363" s="19"/>
      <c r="G363" s="20"/>
      <c r="H363" s="20"/>
      <c r="I363" s="21"/>
      <c r="J363" s="21"/>
      <c r="K363" s="25"/>
      <c r="L363" s="25"/>
      <c r="M363" s="25"/>
      <c r="O363" s="22"/>
    </row>
    <row r="364" spans="2:15" x14ac:dyDescent="0.25">
      <c r="B364" s="17" t="s">
        <v>470</v>
      </c>
      <c r="C364" s="16"/>
      <c r="E364" s="18"/>
      <c r="F364" s="19"/>
      <c r="G364" s="20"/>
      <c r="H364" s="20"/>
      <c r="I364" s="21"/>
      <c r="J364" s="21"/>
      <c r="K364" s="25"/>
      <c r="L364" s="25"/>
      <c r="M364" s="25"/>
      <c r="O364" s="22"/>
    </row>
    <row r="365" spans="2:15" x14ac:dyDescent="0.25">
      <c r="B365" s="17" t="s">
        <v>289</v>
      </c>
      <c r="C365" s="16"/>
      <c r="E365" s="18"/>
      <c r="F365" s="19"/>
      <c r="G365" s="20"/>
      <c r="H365" s="20"/>
      <c r="I365" s="21"/>
      <c r="J365" s="21"/>
      <c r="K365" s="25"/>
      <c r="L365" s="25"/>
      <c r="M365" s="25"/>
      <c r="O365" s="22"/>
    </row>
    <row r="366" spans="2:15" x14ac:dyDescent="0.25">
      <c r="B366" s="17" t="s">
        <v>74</v>
      </c>
      <c r="C366" s="16"/>
      <c r="E366" s="18"/>
      <c r="F366" s="19"/>
      <c r="G366" s="20"/>
      <c r="H366" s="20"/>
      <c r="I366" s="21"/>
      <c r="J366" s="21"/>
      <c r="K366" s="25"/>
      <c r="L366" s="25"/>
      <c r="M366" s="25"/>
      <c r="O366" s="22"/>
    </row>
    <row r="367" spans="2:15" x14ac:dyDescent="0.25">
      <c r="B367" s="17" t="s">
        <v>298</v>
      </c>
      <c r="C367" s="16"/>
      <c r="E367" s="18"/>
      <c r="F367" s="19"/>
      <c r="G367" s="20"/>
      <c r="H367" s="20"/>
      <c r="I367" s="21"/>
      <c r="J367" s="21"/>
      <c r="K367" s="25"/>
      <c r="L367" s="25"/>
      <c r="M367" s="25"/>
      <c r="O367" s="22"/>
    </row>
    <row r="368" spans="2:15" x14ac:dyDescent="0.25">
      <c r="B368" s="17" t="s">
        <v>309</v>
      </c>
      <c r="C368" s="16"/>
      <c r="E368" s="18"/>
      <c r="F368" s="19"/>
      <c r="G368" s="20"/>
      <c r="H368" s="20"/>
      <c r="I368" s="21"/>
      <c r="J368" s="21"/>
      <c r="K368" s="25"/>
      <c r="L368" s="25"/>
      <c r="M368" s="25"/>
      <c r="O368" s="22"/>
    </row>
    <row r="369" spans="2:15" x14ac:dyDescent="0.25">
      <c r="B369" s="17" t="s">
        <v>307</v>
      </c>
      <c r="C369" s="16"/>
      <c r="E369" s="18"/>
      <c r="F369" s="19"/>
      <c r="G369" s="20"/>
      <c r="H369" s="20"/>
      <c r="I369" s="21"/>
      <c r="J369" s="21"/>
      <c r="K369" s="25"/>
      <c r="L369" s="25"/>
      <c r="M369" s="25"/>
      <c r="O369" s="22"/>
    </row>
    <row r="370" spans="2:15" x14ac:dyDescent="0.25">
      <c r="B370" s="17" t="s">
        <v>310</v>
      </c>
      <c r="C370" s="16"/>
      <c r="E370" s="18"/>
      <c r="F370" s="19"/>
      <c r="G370" s="20"/>
      <c r="H370" s="20"/>
      <c r="I370" s="21"/>
      <c r="J370" s="21"/>
      <c r="K370" s="25"/>
      <c r="L370" s="25"/>
      <c r="M370" s="25"/>
      <c r="O370" s="22"/>
    </row>
    <row r="371" spans="2:15" x14ac:dyDescent="0.25">
      <c r="B371" s="17" t="s">
        <v>365</v>
      </c>
      <c r="C371" s="16"/>
      <c r="E371" s="18"/>
      <c r="F371" s="19"/>
      <c r="G371" s="20"/>
      <c r="H371" s="20"/>
      <c r="I371" s="21"/>
      <c r="J371" s="21"/>
      <c r="K371" s="25"/>
      <c r="L371" s="25"/>
      <c r="M371" s="25"/>
      <c r="O371" s="22"/>
    </row>
    <row r="372" spans="2:15" x14ac:dyDescent="0.25">
      <c r="B372" s="17" t="s">
        <v>1440</v>
      </c>
      <c r="C372" s="16"/>
      <c r="E372" s="18"/>
      <c r="F372" s="19"/>
      <c r="G372" s="20"/>
      <c r="H372" s="20"/>
      <c r="I372" s="21"/>
      <c r="J372" s="21"/>
      <c r="K372" s="25"/>
      <c r="L372" s="25"/>
      <c r="M372" s="25"/>
      <c r="O372" s="22"/>
    </row>
    <row r="373" spans="2:15" x14ac:dyDescent="0.25">
      <c r="B373" s="17" t="s">
        <v>940</v>
      </c>
      <c r="C373" s="16"/>
      <c r="E373" s="18"/>
      <c r="F373" s="19"/>
      <c r="G373" s="20"/>
      <c r="H373" s="20"/>
      <c r="I373" s="21"/>
      <c r="J373" s="21"/>
      <c r="K373" s="25"/>
      <c r="L373" s="25"/>
      <c r="M373" s="25"/>
      <c r="O373" s="22"/>
    </row>
    <row r="374" spans="2:15" x14ac:dyDescent="0.25">
      <c r="B374" s="17" t="s">
        <v>330</v>
      </c>
      <c r="C374" s="16"/>
      <c r="E374" s="18"/>
      <c r="F374" s="19"/>
      <c r="G374" s="20"/>
      <c r="H374" s="20"/>
      <c r="I374" s="21"/>
      <c r="J374" s="21"/>
      <c r="K374" s="25"/>
      <c r="L374" s="25"/>
      <c r="M374" s="25"/>
      <c r="O374" s="22"/>
    </row>
    <row r="375" spans="2:15" x14ac:dyDescent="0.25">
      <c r="B375" s="17" t="s">
        <v>941</v>
      </c>
      <c r="C375" s="16"/>
      <c r="E375" s="18"/>
      <c r="F375" s="19"/>
      <c r="G375" s="20"/>
      <c r="H375" s="20"/>
      <c r="I375" s="21"/>
      <c r="J375" s="21"/>
      <c r="K375" s="25"/>
      <c r="L375" s="25"/>
      <c r="M375" s="25"/>
      <c r="O375" s="22"/>
    </row>
    <row r="376" spans="2:15" x14ac:dyDescent="0.25">
      <c r="B376" s="17" t="s">
        <v>1319</v>
      </c>
      <c r="C376" s="16"/>
      <c r="E376" s="18"/>
      <c r="F376" s="19"/>
      <c r="G376" s="20"/>
      <c r="H376" s="20"/>
      <c r="I376" s="21"/>
      <c r="J376" s="21"/>
      <c r="K376" s="25"/>
      <c r="L376" s="25"/>
      <c r="M376" s="25"/>
      <c r="O376" s="22"/>
    </row>
    <row r="377" spans="2:15" x14ac:dyDescent="0.25">
      <c r="B377" s="17" t="s">
        <v>1257</v>
      </c>
      <c r="C377" s="16"/>
      <c r="E377" s="18"/>
      <c r="F377" s="19"/>
      <c r="G377" s="20"/>
      <c r="H377" s="20"/>
      <c r="I377" s="21"/>
      <c r="J377" s="21"/>
      <c r="K377" s="25"/>
      <c r="L377" s="25"/>
      <c r="M377" s="25"/>
      <c r="O377" s="22"/>
    </row>
    <row r="378" spans="2:15" x14ac:dyDescent="0.25">
      <c r="B378" s="17" t="s">
        <v>280</v>
      </c>
      <c r="C378" s="16"/>
      <c r="E378" s="18"/>
      <c r="F378" s="19"/>
      <c r="G378" s="20"/>
      <c r="H378" s="20"/>
      <c r="I378" s="21"/>
      <c r="J378" s="21"/>
      <c r="K378" s="25"/>
      <c r="L378" s="25"/>
      <c r="M378" s="25"/>
      <c r="O378" s="22"/>
    </row>
    <row r="379" spans="2:15" x14ac:dyDescent="0.25">
      <c r="B379" s="17" t="s">
        <v>364</v>
      </c>
      <c r="C379" s="16"/>
      <c r="E379" s="18"/>
      <c r="F379" s="19"/>
      <c r="G379" s="20"/>
      <c r="H379" s="20"/>
      <c r="I379" s="21"/>
      <c r="J379" s="21"/>
      <c r="K379" s="25"/>
      <c r="L379" s="25"/>
      <c r="M379" s="25"/>
      <c r="O379" s="22"/>
    </row>
    <row r="380" spans="2:15" x14ac:dyDescent="0.25">
      <c r="B380" s="17" t="s">
        <v>1310</v>
      </c>
      <c r="C380" s="16"/>
      <c r="E380" s="18"/>
      <c r="F380" s="19"/>
      <c r="G380" s="20"/>
      <c r="H380" s="20"/>
      <c r="I380" s="21"/>
      <c r="J380" s="21"/>
      <c r="K380" s="25"/>
      <c r="L380" s="25"/>
      <c r="M380" s="25"/>
      <c r="O380" s="22"/>
    </row>
    <row r="381" spans="2:15" x14ac:dyDescent="0.25">
      <c r="B381" s="17" t="s">
        <v>343</v>
      </c>
      <c r="C381" s="16"/>
      <c r="E381" s="18"/>
      <c r="F381" s="19"/>
      <c r="G381" s="20"/>
      <c r="H381" s="20"/>
      <c r="I381" s="21"/>
      <c r="J381" s="21"/>
      <c r="K381" s="25"/>
      <c r="L381" s="25"/>
      <c r="M381" s="25"/>
      <c r="O381" s="22"/>
    </row>
    <row r="382" spans="2:15" x14ac:dyDescent="0.25">
      <c r="B382" s="17" t="s">
        <v>1344</v>
      </c>
      <c r="C382" s="16"/>
      <c r="E382" s="18"/>
      <c r="F382" s="19"/>
      <c r="G382" s="20"/>
      <c r="H382" s="20"/>
      <c r="I382" s="21"/>
      <c r="J382" s="21"/>
      <c r="K382" s="25"/>
      <c r="L382" s="25"/>
      <c r="M382" s="25"/>
      <c r="O382" s="22"/>
    </row>
    <row r="383" spans="2:15" x14ac:dyDescent="0.25">
      <c r="B383" s="17" t="s">
        <v>385</v>
      </c>
      <c r="C383" s="16"/>
      <c r="E383" s="18"/>
      <c r="F383" s="19"/>
      <c r="G383" s="20"/>
      <c r="H383" s="20"/>
      <c r="I383" s="21"/>
      <c r="J383" s="21"/>
      <c r="K383" s="25"/>
      <c r="L383" s="25"/>
      <c r="M383" s="25"/>
      <c r="O383" s="22"/>
    </row>
    <row r="384" spans="2:15" x14ac:dyDescent="0.25">
      <c r="B384" s="17" t="s">
        <v>519</v>
      </c>
      <c r="C384" s="16"/>
      <c r="E384" s="18"/>
      <c r="F384" s="19"/>
      <c r="G384" s="20"/>
      <c r="H384" s="20"/>
      <c r="I384" s="21"/>
      <c r="J384" s="21"/>
      <c r="K384" s="25"/>
      <c r="L384" s="25"/>
      <c r="M384" s="25"/>
      <c r="O384" s="22"/>
    </row>
    <row r="385" spans="2:15" x14ac:dyDescent="0.25">
      <c r="B385" s="17" t="s">
        <v>474</v>
      </c>
      <c r="C385" s="16"/>
      <c r="E385" s="18"/>
      <c r="F385" s="19"/>
      <c r="G385" s="20"/>
      <c r="H385" s="20"/>
      <c r="I385" s="21"/>
      <c r="J385" s="21"/>
      <c r="K385" s="25"/>
      <c r="L385" s="25"/>
      <c r="M385" s="25"/>
      <c r="O385" s="22"/>
    </row>
    <row r="386" spans="2:15" x14ac:dyDescent="0.25">
      <c r="B386" s="17" t="s">
        <v>396</v>
      </c>
      <c r="C386" s="16"/>
      <c r="E386" s="18"/>
      <c r="F386" s="19"/>
      <c r="G386" s="20"/>
      <c r="H386" s="20"/>
      <c r="I386" s="21"/>
      <c r="J386" s="21"/>
      <c r="K386" s="25"/>
      <c r="L386" s="25"/>
      <c r="M386" s="25"/>
      <c r="O386" s="22"/>
    </row>
    <row r="387" spans="2:15" x14ac:dyDescent="0.25">
      <c r="B387" s="17" t="s">
        <v>1376</v>
      </c>
      <c r="C387" s="16"/>
      <c r="E387" s="18"/>
      <c r="F387" s="19"/>
      <c r="G387" s="20"/>
      <c r="H387" s="20"/>
      <c r="I387" s="21"/>
      <c r="J387" s="21"/>
      <c r="K387" s="25"/>
      <c r="L387" s="25"/>
      <c r="M387" s="25"/>
      <c r="O387" s="22"/>
    </row>
    <row r="388" spans="2:15" x14ac:dyDescent="0.25">
      <c r="B388" s="17" t="s">
        <v>368</v>
      </c>
      <c r="C388" s="16"/>
      <c r="E388" s="18"/>
      <c r="F388" s="19"/>
      <c r="G388" s="20"/>
      <c r="H388" s="20"/>
      <c r="I388" s="21"/>
      <c r="J388" s="21"/>
      <c r="K388" s="25"/>
      <c r="L388" s="25"/>
      <c r="M388" s="25"/>
      <c r="O388" s="22"/>
    </row>
    <row r="389" spans="2:15" x14ac:dyDescent="0.25">
      <c r="B389" s="17" t="s">
        <v>376</v>
      </c>
      <c r="C389" s="16"/>
      <c r="E389" s="18"/>
      <c r="F389" s="19"/>
      <c r="G389" s="20"/>
      <c r="H389" s="20"/>
      <c r="I389" s="21"/>
      <c r="J389" s="21"/>
      <c r="K389" s="25"/>
      <c r="L389" s="25"/>
      <c r="M389" s="25"/>
      <c r="O389" s="22"/>
    </row>
    <row r="390" spans="2:15" x14ac:dyDescent="0.25">
      <c r="B390" s="17" t="s">
        <v>422</v>
      </c>
      <c r="C390" s="16"/>
      <c r="E390" s="18"/>
      <c r="F390" s="19"/>
      <c r="G390" s="20"/>
      <c r="H390" s="20"/>
      <c r="I390" s="21"/>
      <c r="J390" s="21"/>
      <c r="K390" s="25"/>
      <c r="L390" s="25"/>
      <c r="M390" s="25"/>
      <c r="O390" s="22"/>
    </row>
    <row r="391" spans="2:15" x14ac:dyDescent="0.25">
      <c r="B391" s="17" t="s">
        <v>1525</v>
      </c>
      <c r="C391" s="16"/>
      <c r="E391" s="18"/>
      <c r="F391" s="19"/>
      <c r="G391" s="20"/>
      <c r="H391" s="20"/>
      <c r="I391" s="21"/>
      <c r="J391" s="21"/>
      <c r="K391" s="25"/>
      <c r="L391" s="25"/>
      <c r="M391" s="25"/>
      <c r="O391" s="22"/>
    </row>
    <row r="392" spans="2:15" x14ac:dyDescent="0.25">
      <c r="B392" s="17" t="s">
        <v>1203</v>
      </c>
      <c r="C392" s="16"/>
      <c r="E392" s="18"/>
      <c r="F392" s="19"/>
      <c r="G392" s="20"/>
      <c r="H392" s="20"/>
      <c r="I392" s="21"/>
      <c r="J392" s="21"/>
      <c r="K392" s="25"/>
      <c r="L392" s="25"/>
      <c r="M392" s="25"/>
      <c r="O392" s="22"/>
    </row>
    <row r="393" spans="2:15" x14ac:dyDescent="0.25">
      <c r="B393" s="17" t="s">
        <v>1175</v>
      </c>
      <c r="C393" s="16"/>
      <c r="E393" s="18"/>
      <c r="F393" s="19"/>
      <c r="G393" s="20"/>
      <c r="H393" s="20"/>
      <c r="I393" s="21"/>
      <c r="J393" s="21"/>
      <c r="K393" s="25"/>
      <c r="L393" s="25"/>
      <c r="M393" s="25"/>
      <c r="O393" s="22"/>
    </row>
    <row r="394" spans="2:15" x14ac:dyDescent="0.25">
      <c r="B394" s="17" t="s">
        <v>412</v>
      </c>
      <c r="C394" s="16"/>
      <c r="E394" s="18"/>
      <c r="F394" s="19"/>
      <c r="G394" s="20"/>
      <c r="H394" s="20"/>
      <c r="I394" s="21"/>
      <c r="J394" s="21"/>
      <c r="K394" s="25"/>
      <c r="L394" s="25"/>
      <c r="M394" s="25"/>
      <c r="O394" s="22"/>
    </row>
    <row r="395" spans="2:15" x14ac:dyDescent="0.25">
      <c r="B395" s="17" t="s">
        <v>242</v>
      </c>
      <c r="C395" s="16"/>
      <c r="E395" s="18"/>
      <c r="F395" s="19"/>
      <c r="G395" s="20"/>
      <c r="H395" s="20"/>
      <c r="I395" s="21"/>
      <c r="J395" s="21"/>
      <c r="K395" s="25"/>
      <c r="L395" s="25"/>
      <c r="M395" s="25"/>
      <c r="O395" s="22"/>
    </row>
    <row r="396" spans="2:15" x14ac:dyDescent="0.25">
      <c r="B396" s="17" t="s">
        <v>1422</v>
      </c>
      <c r="C396" s="16"/>
      <c r="E396" s="18"/>
      <c r="F396" s="19"/>
      <c r="G396" s="20"/>
      <c r="H396" s="20"/>
      <c r="I396" s="21"/>
      <c r="J396" s="21"/>
      <c r="K396" s="25"/>
      <c r="L396" s="25"/>
      <c r="M396" s="25"/>
      <c r="O396" s="22"/>
    </row>
    <row r="397" spans="2:15" x14ac:dyDescent="0.25">
      <c r="B397" s="17" t="s">
        <v>769</v>
      </c>
      <c r="C397" s="16"/>
      <c r="E397" s="18"/>
      <c r="F397" s="19"/>
      <c r="G397" s="20"/>
      <c r="H397" s="20"/>
      <c r="I397" s="21"/>
      <c r="J397" s="21"/>
      <c r="K397" s="25"/>
      <c r="L397" s="25"/>
      <c r="M397" s="25"/>
      <c r="O397" s="22"/>
    </row>
    <row r="398" spans="2:15" x14ac:dyDescent="0.25">
      <c r="B398" s="17" t="s">
        <v>533</v>
      </c>
      <c r="C398" s="16"/>
      <c r="E398" s="18"/>
      <c r="F398" s="19"/>
      <c r="G398" s="20"/>
      <c r="H398" s="20"/>
      <c r="I398" s="21"/>
      <c r="J398" s="21"/>
      <c r="K398" s="25"/>
      <c r="L398" s="25"/>
      <c r="M398" s="25"/>
      <c r="O398" s="22"/>
    </row>
    <row r="399" spans="2:15" x14ac:dyDescent="0.25">
      <c r="B399" s="17" t="s">
        <v>352</v>
      </c>
      <c r="C399" s="16"/>
      <c r="E399" s="18"/>
      <c r="F399" s="19"/>
      <c r="G399" s="20"/>
      <c r="H399" s="20"/>
      <c r="I399" s="21"/>
      <c r="J399" s="21"/>
      <c r="K399" s="25"/>
      <c r="L399" s="25"/>
      <c r="M399" s="25"/>
      <c r="O399" s="22"/>
    </row>
    <row r="400" spans="2:15" x14ac:dyDescent="0.25">
      <c r="B400" s="17" t="s">
        <v>1201</v>
      </c>
      <c r="C400" s="16"/>
      <c r="E400" s="18"/>
      <c r="F400" s="19"/>
      <c r="G400" s="20"/>
      <c r="H400" s="20"/>
      <c r="I400" s="21"/>
      <c r="J400" s="21"/>
      <c r="K400" s="25"/>
      <c r="L400" s="25"/>
      <c r="M400" s="25"/>
      <c r="O400" s="22"/>
    </row>
    <row r="401" spans="2:15" x14ac:dyDescent="0.25">
      <c r="B401" s="17" t="s">
        <v>496</v>
      </c>
      <c r="C401" s="16"/>
      <c r="E401" s="18"/>
      <c r="F401" s="19"/>
      <c r="G401" s="20"/>
      <c r="H401" s="20"/>
      <c r="I401" s="21"/>
      <c r="J401" s="21"/>
      <c r="K401" s="25"/>
      <c r="L401" s="25"/>
      <c r="M401" s="25"/>
      <c r="O401" s="22"/>
    </row>
    <row r="402" spans="2:15" x14ac:dyDescent="0.25">
      <c r="B402" s="17" t="s">
        <v>1466</v>
      </c>
      <c r="C402" s="16"/>
      <c r="E402" s="18"/>
      <c r="F402" s="19"/>
      <c r="G402" s="20"/>
      <c r="H402" s="20"/>
      <c r="I402" s="21"/>
      <c r="J402" s="21"/>
      <c r="K402" s="25"/>
      <c r="L402" s="25"/>
      <c r="M402" s="25"/>
      <c r="O402" s="22"/>
    </row>
    <row r="403" spans="2:15" x14ac:dyDescent="0.25">
      <c r="B403" s="17" t="s">
        <v>461</v>
      </c>
      <c r="C403" s="16"/>
      <c r="E403" s="18"/>
      <c r="F403" s="19"/>
      <c r="G403" s="20"/>
      <c r="H403" s="20"/>
      <c r="I403" s="21"/>
      <c r="J403" s="21"/>
      <c r="K403" s="25"/>
      <c r="L403" s="25"/>
      <c r="M403" s="25"/>
      <c r="O403" s="22"/>
    </row>
    <row r="404" spans="2:15" x14ac:dyDescent="0.25">
      <c r="B404" s="17" t="s">
        <v>677</v>
      </c>
      <c r="C404" s="16"/>
      <c r="E404" s="18"/>
      <c r="F404" s="19"/>
      <c r="G404" s="20"/>
      <c r="H404" s="20"/>
      <c r="I404" s="21"/>
      <c r="J404" s="21"/>
      <c r="K404" s="25"/>
      <c r="L404" s="25"/>
      <c r="M404" s="25"/>
      <c r="O404" s="22"/>
    </row>
    <row r="405" spans="2:15" x14ac:dyDescent="0.25">
      <c r="B405" s="17" t="s">
        <v>449</v>
      </c>
      <c r="C405" s="16"/>
      <c r="E405" s="18"/>
      <c r="F405" s="19"/>
      <c r="G405" s="20"/>
      <c r="H405" s="20"/>
      <c r="I405" s="21"/>
      <c r="J405" s="21"/>
      <c r="K405" s="25"/>
      <c r="L405" s="25"/>
      <c r="M405" s="25"/>
      <c r="O405" s="22"/>
    </row>
    <row r="406" spans="2:15" x14ac:dyDescent="0.25">
      <c r="B406" s="17" t="s">
        <v>379</v>
      </c>
      <c r="C406" s="16"/>
      <c r="E406" s="18"/>
      <c r="F406" s="19"/>
      <c r="G406" s="20"/>
      <c r="H406" s="20"/>
      <c r="I406" s="21"/>
      <c r="J406" s="21"/>
      <c r="K406" s="25"/>
      <c r="L406" s="25"/>
      <c r="M406" s="25"/>
      <c r="O406" s="22"/>
    </row>
    <row r="407" spans="2:15" x14ac:dyDescent="0.25">
      <c r="B407" s="17" t="s">
        <v>371</v>
      </c>
      <c r="C407" s="16"/>
      <c r="E407" s="18"/>
      <c r="F407" s="19"/>
      <c r="G407" s="20"/>
      <c r="H407" s="20"/>
      <c r="I407" s="21"/>
      <c r="J407" s="21"/>
      <c r="K407" s="25"/>
      <c r="L407" s="25"/>
      <c r="M407" s="25"/>
      <c r="O407" s="22"/>
    </row>
    <row r="408" spans="2:15" x14ac:dyDescent="0.25">
      <c r="B408" s="17" t="s">
        <v>451</v>
      </c>
      <c r="C408" s="16"/>
      <c r="E408" s="18"/>
      <c r="F408" s="19"/>
      <c r="G408" s="20"/>
      <c r="H408" s="20"/>
      <c r="I408" s="21"/>
      <c r="J408" s="21"/>
      <c r="K408" s="25"/>
      <c r="L408" s="25"/>
      <c r="M408" s="25"/>
      <c r="O408" s="22"/>
    </row>
    <row r="409" spans="2:15" x14ac:dyDescent="0.25">
      <c r="B409" s="17" t="s">
        <v>1415</v>
      </c>
      <c r="C409" s="16"/>
      <c r="E409" s="18"/>
      <c r="F409" s="19"/>
      <c r="G409" s="20"/>
      <c r="H409" s="20"/>
      <c r="I409" s="21"/>
      <c r="J409" s="21"/>
      <c r="K409" s="25"/>
      <c r="L409" s="25"/>
      <c r="M409" s="25"/>
      <c r="O409" s="22"/>
    </row>
    <row r="410" spans="2:15" x14ac:dyDescent="0.25">
      <c r="B410" s="17" t="s">
        <v>300</v>
      </c>
      <c r="C410" s="16"/>
      <c r="E410" s="18"/>
      <c r="F410" s="19"/>
      <c r="G410" s="20"/>
      <c r="H410" s="20"/>
      <c r="I410" s="21"/>
      <c r="J410" s="21"/>
      <c r="K410" s="25"/>
      <c r="L410" s="25"/>
      <c r="M410" s="25"/>
      <c r="O410" s="22"/>
    </row>
    <row r="411" spans="2:15" x14ac:dyDescent="0.25">
      <c r="B411" s="17" t="s">
        <v>441</v>
      </c>
      <c r="C411" s="16"/>
      <c r="E411" s="18"/>
      <c r="F411" s="19"/>
      <c r="G411" s="20"/>
      <c r="H411" s="20"/>
      <c r="I411" s="21"/>
      <c r="J411" s="21"/>
      <c r="K411" s="25"/>
      <c r="L411" s="25"/>
      <c r="M411" s="25"/>
      <c r="O411" s="22"/>
    </row>
    <row r="412" spans="2:15" x14ac:dyDescent="0.25">
      <c r="B412" s="17" t="s">
        <v>436</v>
      </c>
      <c r="C412" s="16"/>
      <c r="E412" s="18"/>
      <c r="F412" s="19"/>
      <c r="G412" s="20"/>
      <c r="H412" s="20"/>
      <c r="I412" s="21"/>
      <c r="J412" s="21"/>
      <c r="K412" s="25"/>
      <c r="L412" s="25"/>
      <c r="M412" s="25"/>
      <c r="O412" s="22"/>
    </row>
    <row r="413" spans="2:15" x14ac:dyDescent="0.25">
      <c r="B413" s="17" t="s">
        <v>328</v>
      </c>
      <c r="C413" s="16"/>
      <c r="E413" s="18"/>
      <c r="F413" s="19"/>
      <c r="G413" s="20"/>
      <c r="H413" s="20"/>
      <c r="I413" s="21"/>
      <c r="J413" s="21"/>
      <c r="K413" s="25"/>
      <c r="L413" s="25"/>
      <c r="M413" s="25"/>
      <c r="O413" s="22"/>
    </row>
    <row r="414" spans="2:15" x14ac:dyDescent="0.25">
      <c r="B414" s="17" t="s">
        <v>439</v>
      </c>
      <c r="C414" s="16"/>
      <c r="E414" s="18"/>
      <c r="F414" s="19"/>
      <c r="G414" s="20"/>
      <c r="H414" s="20"/>
      <c r="I414" s="21"/>
      <c r="J414" s="21"/>
      <c r="K414" s="25"/>
      <c r="L414" s="25"/>
      <c r="M414" s="25"/>
      <c r="O414" s="22"/>
    </row>
    <row r="415" spans="2:15" x14ac:dyDescent="0.25">
      <c r="B415" s="17" t="s">
        <v>1438</v>
      </c>
      <c r="C415" s="16"/>
      <c r="E415" s="18"/>
      <c r="F415" s="19"/>
      <c r="G415" s="20"/>
      <c r="H415" s="20"/>
      <c r="I415" s="21"/>
      <c r="J415" s="21"/>
      <c r="K415" s="25"/>
      <c r="L415" s="25"/>
      <c r="M415" s="25"/>
      <c r="O415" s="22"/>
    </row>
    <row r="416" spans="2:15" x14ac:dyDescent="0.25">
      <c r="B416" s="17" t="s">
        <v>459</v>
      </c>
      <c r="C416" s="16"/>
      <c r="E416" s="18"/>
      <c r="F416" s="19"/>
      <c r="G416" s="20"/>
      <c r="H416" s="20"/>
      <c r="I416" s="21"/>
      <c r="J416" s="21"/>
      <c r="K416" s="25"/>
      <c r="L416" s="25"/>
      <c r="M416" s="25"/>
      <c r="O416" s="22"/>
    </row>
    <row r="417" spans="2:15" x14ac:dyDescent="0.25">
      <c r="B417" s="17" t="s">
        <v>1509</v>
      </c>
      <c r="C417" s="16"/>
      <c r="E417" s="18"/>
      <c r="F417" s="19"/>
      <c r="G417" s="20"/>
      <c r="H417" s="20"/>
      <c r="I417" s="21"/>
      <c r="J417" s="21"/>
      <c r="K417" s="25"/>
      <c r="L417" s="25"/>
      <c r="M417" s="25"/>
      <c r="O417" s="22"/>
    </row>
    <row r="418" spans="2:15" x14ac:dyDescent="0.25">
      <c r="B418" s="17" t="s">
        <v>1532</v>
      </c>
      <c r="C418" s="16"/>
      <c r="E418" s="18"/>
      <c r="F418" s="19"/>
      <c r="G418" s="20"/>
      <c r="H418" s="20"/>
      <c r="I418" s="21"/>
      <c r="J418" s="21"/>
      <c r="K418" s="25"/>
      <c r="L418" s="25"/>
      <c r="M418" s="25"/>
      <c r="O418" s="22"/>
    </row>
    <row r="419" spans="2:15" x14ac:dyDescent="0.25">
      <c r="B419" s="17" t="s">
        <v>241</v>
      </c>
      <c r="C419" s="16"/>
      <c r="E419" s="18"/>
      <c r="F419" s="19"/>
      <c r="G419" s="20"/>
      <c r="H419" s="20"/>
      <c r="I419" s="21"/>
      <c r="J419" s="21"/>
      <c r="K419" s="25"/>
      <c r="L419" s="25"/>
      <c r="M419" s="25"/>
      <c r="O419" s="22"/>
    </row>
    <row r="420" spans="2:15" x14ac:dyDescent="0.25">
      <c r="B420" s="17" t="s">
        <v>448</v>
      </c>
      <c r="C420" s="16"/>
      <c r="E420" s="18"/>
      <c r="F420" s="19"/>
      <c r="G420" s="20"/>
      <c r="H420" s="20"/>
      <c r="I420" s="21"/>
      <c r="J420" s="21"/>
      <c r="K420" s="25"/>
      <c r="L420" s="25"/>
      <c r="M420" s="25"/>
      <c r="O420" s="22"/>
    </row>
    <row r="421" spans="2:15" x14ac:dyDescent="0.25">
      <c r="B421" s="17" t="s">
        <v>1425</v>
      </c>
      <c r="C421" s="16"/>
      <c r="E421" s="18"/>
      <c r="F421" s="19"/>
      <c r="G421" s="20"/>
      <c r="H421" s="20"/>
      <c r="I421" s="21"/>
      <c r="J421" s="21"/>
      <c r="K421" s="25"/>
      <c r="L421" s="25"/>
      <c r="M421" s="25"/>
      <c r="O421" s="22"/>
    </row>
    <row r="422" spans="2:15" x14ac:dyDescent="0.25">
      <c r="B422" s="17" t="s">
        <v>317</v>
      </c>
      <c r="C422" s="16"/>
      <c r="E422" s="18"/>
      <c r="F422" s="19"/>
      <c r="G422" s="20"/>
      <c r="H422" s="20"/>
      <c r="I422" s="21"/>
      <c r="J422" s="21"/>
      <c r="K422" s="25"/>
      <c r="L422" s="25"/>
      <c r="M422" s="25"/>
      <c r="O422" s="22"/>
    </row>
    <row r="423" spans="2:15" x14ac:dyDescent="0.25">
      <c r="B423" s="17" t="s">
        <v>313</v>
      </c>
      <c r="C423" s="16"/>
      <c r="E423" s="18"/>
      <c r="F423" s="19"/>
      <c r="G423" s="20"/>
      <c r="H423" s="20"/>
      <c r="I423" s="21"/>
      <c r="J423" s="21"/>
      <c r="K423" s="25"/>
      <c r="L423" s="25"/>
      <c r="M423" s="25"/>
      <c r="O423" s="22"/>
    </row>
    <row r="424" spans="2:15" x14ac:dyDescent="0.25">
      <c r="B424" s="17" t="s">
        <v>1325</v>
      </c>
      <c r="C424" s="16"/>
      <c r="E424" s="18"/>
      <c r="F424" s="19"/>
      <c r="G424" s="20"/>
      <c r="H424" s="20"/>
      <c r="I424" s="21"/>
      <c r="J424" s="21"/>
      <c r="K424" s="25"/>
      <c r="L424" s="25"/>
      <c r="M424" s="25"/>
      <c r="O424" s="22"/>
    </row>
    <row r="425" spans="2:15" x14ac:dyDescent="0.25">
      <c r="B425" s="17" t="s">
        <v>267</v>
      </c>
      <c r="C425" s="16"/>
      <c r="E425" s="18"/>
      <c r="F425" s="19"/>
      <c r="G425" s="20"/>
      <c r="H425" s="20"/>
      <c r="I425" s="21"/>
      <c r="J425" s="21"/>
      <c r="K425" s="25"/>
      <c r="L425" s="25"/>
      <c r="M425" s="25"/>
      <c r="O425" s="22"/>
    </row>
    <row r="426" spans="2:15" x14ac:dyDescent="0.25">
      <c r="B426" s="17" t="s">
        <v>486</v>
      </c>
      <c r="C426" s="16"/>
      <c r="E426" s="18"/>
      <c r="F426" s="19"/>
      <c r="G426" s="20"/>
      <c r="H426" s="20"/>
      <c r="I426" s="21"/>
      <c r="J426" s="21"/>
      <c r="K426" s="25"/>
      <c r="L426" s="25"/>
      <c r="M426" s="25"/>
      <c r="O426" s="22"/>
    </row>
    <row r="427" spans="2:15" x14ac:dyDescent="0.25">
      <c r="B427" s="17" t="s">
        <v>1258</v>
      </c>
      <c r="C427" s="16"/>
      <c r="E427" s="18"/>
      <c r="F427" s="19"/>
      <c r="G427" s="20"/>
      <c r="H427" s="20"/>
      <c r="I427" s="21"/>
      <c r="J427" s="21"/>
      <c r="K427" s="25"/>
      <c r="L427" s="25"/>
      <c r="M427" s="25"/>
      <c r="O427" s="22"/>
    </row>
    <row r="428" spans="2:15" x14ac:dyDescent="0.25">
      <c r="B428" s="17" t="s">
        <v>1431</v>
      </c>
      <c r="C428" s="16"/>
      <c r="E428" s="18"/>
      <c r="F428" s="19"/>
      <c r="G428" s="20"/>
      <c r="H428" s="20"/>
      <c r="I428" s="21"/>
      <c r="J428" s="21"/>
      <c r="K428" s="25"/>
      <c r="L428" s="25"/>
      <c r="M428" s="25"/>
      <c r="O428" s="22"/>
    </row>
    <row r="429" spans="2:15" x14ac:dyDescent="0.25">
      <c r="B429" s="17" t="s">
        <v>976</v>
      </c>
      <c r="C429" s="16"/>
      <c r="E429" s="18"/>
      <c r="F429" s="19"/>
      <c r="G429" s="20"/>
      <c r="H429" s="20"/>
      <c r="I429" s="21"/>
      <c r="J429" s="21"/>
      <c r="K429" s="25"/>
      <c r="L429" s="25"/>
      <c r="M429" s="25"/>
      <c r="O429" s="22"/>
    </row>
    <row r="430" spans="2:15" x14ac:dyDescent="0.25">
      <c r="B430" s="17" t="s">
        <v>1255</v>
      </c>
      <c r="C430" s="16"/>
      <c r="E430" s="18"/>
      <c r="F430" s="19"/>
      <c r="G430" s="20"/>
      <c r="H430" s="20"/>
      <c r="I430" s="21"/>
      <c r="J430" s="21"/>
      <c r="K430" s="25"/>
      <c r="L430" s="25"/>
      <c r="M430" s="25"/>
      <c r="O430" s="22"/>
    </row>
    <row r="431" spans="2:15" x14ac:dyDescent="0.25">
      <c r="B431" s="17" t="s">
        <v>400</v>
      </c>
      <c r="C431" s="16"/>
      <c r="E431" s="18"/>
      <c r="F431" s="19"/>
      <c r="G431" s="20"/>
      <c r="H431" s="20"/>
      <c r="I431" s="21"/>
      <c r="J431" s="21"/>
      <c r="K431" s="25"/>
      <c r="L431" s="25"/>
      <c r="M431" s="25"/>
      <c r="O431" s="22"/>
    </row>
    <row r="432" spans="2:15" x14ac:dyDescent="0.25">
      <c r="B432" s="17" t="s">
        <v>431</v>
      </c>
      <c r="C432" s="16"/>
      <c r="E432" s="18"/>
      <c r="F432" s="19"/>
      <c r="G432" s="20"/>
      <c r="H432" s="20"/>
      <c r="I432" s="21"/>
      <c r="J432" s="21"/>
      <c r="K432" s="25"/>
      <c r="L432" s="25"/>
      <c r="M432" s="25"/>
      <c r="O432" s="22"/>
    </row>
    <row r="433" spans="2:15" x14ac:dyDescent="0.25">
      <c r="B433" s="17" t="s">
        <v>452</v>
      </c>
      <c r="C433" s="16"/>
      <c r="E433" s="18"/>
      <c r="F433" s="19"/>
      <c r="G433" s="20"/>
      <c r="H433" s="20"/>
      <c r="I433" s="21"/>
      <c r="J433" s="21"/>
      <c r="K433" s="25"/>
      <c r="L433" s="25"/>
      <c r="M433" s="25"/>
      <c r="O433" s="22"/>
    </row>
    <row r="434" spans="2:15" x14ac:dyDescent="0.25">
      <c r="B434" s="17" t="s">
        <v>578</v>
      </c>
      <c r="C434" s="16"/>
      <c r="E434" s="18"/>
      <c r="F434" s="19"/>
      <c r="G434" s="20"/>
      <c r="H434" s="20"/>
      <c r="I434" s="21"/>
      <c r="J434" s="21"/>
      <c r="K434" s="25"/>
      <c r="L434" s="25"/>
      <c r="M434" s="25"/>
      <c r="O434" s="22"/>
    </row>
    <row r="435" spans="2:15" x14ac:dyDescent="0.25">
      <c r="B435" s="17" t="s">
        <v>346</v>
      </c>
      <c r="C435" s="16"/>
      <c r="E435" s="18"/>
      <c r="F435" s="23"/>
      <c r="G435" s="20"/>
      <c r="H435" s="20"/>
      <c r="I435" s="21"/>
      <c r="J435" s="21"/>
      <c r="K435" s="25"/>
      <c r="L435" s="25"/>
      <c r="M435" s="25"/>
      <c r="O435" s="22"/>
    </row>
    <row r="436" spans="2:15" x14ac:dyDescent="0.25">
      <c r="B436" s="17" t="s">
        <v>1459</v>
      </c>
      <c r="C436" s="16"/>
      <c r="E436" s="18"/>
      <c r="F436" s="19"/>
      <c r="G436" s="20"/>
      <c r="H436" s="20"/>
      <c r="I436" s="21"/>
      <c r="J436" s="21"/>
      <c r="K436" s="25"/>
      <c r="L436" s="25"/>
      <c r="M436" s="25"/>
      <c r="O436" s="22"/>
    </row>
    <row r="437" spans="2:15" x14ac:dyDescent="0.25">
      <c r="B437" s="17" t="s">
        <v>667</v>
      </c>
      <c r="C437" s="16"/>
      <c r="E437" s="18"/>
      <c r="F437" s="19"/>
      <c r="G437" s="20"/>
      <c r="H437" s="20"/>
      <c r="I437" s="21"/>
      <c r="J437" s="21"/>
      <c r="K437" s="25"/>
      <c r="L437" s="25"/>
      <c r="M437" s="25"/>
      <c r="O437" s="22"/>
    </row>
    <row r="438" spans="2:15" x14ac:dyDescent="0.25">
      <c r="B438" s="17" t="s">
        <v>1342</v>
      </c>
      <c r="C438" s="16"/>
      <c r="E438" s="18"/>
      <c r="F438" s="19"/>
      <c r="G438" s="20"/>
      <c r="H438" s="20"/>
      <c r="I438" s="21"/>
      <c r="J438" s="21"/>
      <c r="K438" s="25"/>
      <c r="L438" s="25"/>
      <c r="M438" s="25"/>
      <c r="O438" s="22"/>
    </row>
    <row r="439" spans="2:15" x14ac:dyDescent="0.25">
      <c r="B439" s="17" t="s">
        <v>1280</v>
      </c>
      <c r="C439" s="16"/>
      <c r="E439" s="18"/>
      <c r="F439" s="23"/>
      <c r="G439" s="20"/>
      <c r="H439" s="20"/>
      <c r="I439" s="21"/>
      <c r="J439" s="21"/>
      <c r="K439" s="25"/>
      <c r="L439" s="25"/>
      <c r="M439" s="25"/>
      <c r="O439" s="22"/>
    </row>
    <row r="440" spans="2:15" x14ac:dyDescent="0.25">
      <c r="B440" s="17" t="s">
        <v>491</v>
      </c>
      <c r="C440" s="16"/>
      <c r="E440" s="18"/>
      <c r="F440" s="19"/>
      <c r="G440" s="20"/>
      <c r="H440" s="20"/>
      <c r="I440" s="21"/>
      <c r="J440" s="21"/>
      <c r="K440" s="25"/>
      <c r="L440" s="25"/>
      <c r="M440" s="25"/>
      <c r="O440" s="22"/>
    </row>
    <row r="441" spans="2:15" x14ac:dyDescent="0.25">
      <c r="B441" s="17" t="s">
        <v>481</v>
      </c>
      <c r="C441" s="16"/>
      <c r="E441" s="18"/>
      <c r="F441" s="19"/>
      <c r="G441" s="20"/>
      <c r="H441" s="20"/>
      <c r="I441" s="21"/>
      <c r="J441" s="21"/>
      <c r="K441" s="25"/>
      <c r="L441" s="25"/>
      <c r="M441" s="25"/>
      <c r="O441" s="22"/>
    </row>
    <row r="442" spans="2:15" x14ac:dyDescent="0.25">
      <c r="B442" s="17" t="s">
        <v>1157</v>
      </c>
      <c r="C442" s="16"/>
      <c r="E442" s="18"/>
      <c r="F442" s="19"/>
      <c r="G442" s="20"/>
      <c r="H442" s="20"/>
      <c r="I442" s="21"/>
      <c r="J442" s="21"/>
      <c r="K442" s="25"/>
      <c r="L442" s="25"/>
      <c r="M442" s="25"/>
      <c r="O442" s="22"/>
    </row>
    <row r="443" spans="2:15" x14ac:dyDescent="0.25">
      <c r="B443" s="17" t="s">
        <v>380</v>
      </c>
      <c r="C443" s="16"/>
      <c r="E443" s="18"/>
      <c r="F443" s="19"/>
      <c r="G443" s="20"/>
      <c r="H443" s="20"/>
      <c r="I443" s="21"/>
      <c r="J443" s="21"/>
      <c r="K443" s="25"/>
      <c r="L443" s="25"/>
      <c r="M443" s="25"/>
      <c r="O443" s="22"/>
    </row>
    <row r="444" spans="2:15" x14ac:dyDescent="0.25">
      <c r="B444" s="17" t="s">
        <v>598</v>
      </c>
      <c r="C444" s="16"/>
      <c r="E444" s="18"/>
      <c r="F444" s="19"/>
      <c r="G444" s="20"/>
      <c r="H444" s="20"/>
      <c r="I444" s="21"/>
      <c r="J444" s="21"/>
      <c r="K444" s="25"/>
      <c r="L444" s="25"/>
      <c r="M444" s="25"/>
      <c r="O444" s="22"/>
    </row>
    <row r="445" spans="2:15" x14ac:dyDescent="0.25">
      <c r="B445" s="17" t="s">
        <v>281</v>
      </c>
      <c r="C445" s="16"/>
      <c r="E445" s="18"/>
      <c r="F445" s="23"/>
      <c r="G445" s="20"/>
      <c r="H445" s="20"/>
      <c r="I445" s="21"/>
      <c r="J445" s="21"/>
      <c r="K445" s="25"/>
      <c r="L445" s="25"/>
      <c r="M445" s="25"/>
      <c r="O445" s="22"/>
    </row>
    <row r="446" spans="2:15" x14ac:dyDescent="0.25">
      <c r="B446" s="17" t="s">
        <v>360</v>
      </c>
      <c r="C446" s="16"/>
      <c r="E446" s="18"/>
      <c r="F446" s="19"/>
      <c r="G446" s="20"/>
      <c r="H446" s="20"/>
      <c r="I446" s="21"/>
      <c r="J446" s="21"/>
      <c r="K446" s="25"/>
      <c r="L446" s="25"/>
      <c r="M446" s="25"/>
      <c r="O446" s="22"/>
    </row>
    <row r="447" spans="2:15" x14ac:dyDescent="0.25">
      <c r="B447" s="17" t="s">
        <v>457</v>
      </c>
      <c r="C447" s="16"/>
      <c r="E447" s="18"/>
      <c r="F447" s="19"/>
      <c r="G447" s="20"/>
      <c r="H447" s="20"/>
      <c r="I447" s="21"/>
      <c r="J447" s="21"/>
      <c r="K447" s="25"/>
      <c r="L447" s="25"/>
      <c r="M447" s="25"/>
      <c r="O447" s="22"/>
    </row>
    <row r="448" spans="2:15" x14ac:dyDescent="0.25">
      <c r="B448" s="17" t="s">
        <v>695</v>
      </c>
      <c r="C448" s="16"/>
      <c r="E448" s="18"/>
      <c r="F448" s="19"/>
      <c r="G448" s="20"/>
      <c r="H448" s="20"/>
      <c r="I448" s="21"/>
      <c r="J448" s="21"/>
      <c r="K448" s="25"/>
      <c r="L448" s="25"/>
      <c r="M448" s="25"/>
      <c r="O448" s="22"/>
    </row>
    <row r="449" spans="2:15" x14ac:dyDescent="0.25">
      <c r="B449" s="17" t="s">
        <v>407</v>
      </c>
      <c r="C449" s="16"/>
      <c r="E449" s="18"/>
      <c r="F449" s="23"/>
      <c r="G449" s="20"/>
      <c r="H449" s="20"/>
      <c r="I449" s="21"/>
      <c r="J449" s="21"/>
      <c r="K449" s="25"/>
      <c r="L449" s="25"/>
      <c r="M449" s="25"/>
      <c r="O449" s="22"/>
    </row>
    <row r="450" spans="2:15" x14ac:dyDescent="0.25">
      <c r="B450" s="17" t="s">
        <v>347</v>
      </c>
      <c r="C450" s="16"/>
      <c r="E450" s="18"/>
      <c r="F450" s="19"/>
      <c r="G450" s="20"/>
      <c r="H450" s="20"/>
      <c r="I450" s="21"/>
      <c r="J450" s="21"/>
      <c r="K450" s="25"/>
      <c r="L450" s="25"/>
      <c r="M450" s="25"/>
      <c r="O450" s="22"/>
    </row>
    <row r="451" spans="2:15" x14ac:dyDescent="0.25">
      <c r="B451" s="17" t="s">
        <v>1217</v>
      </c>
      <c r="C451" s="16"/>
      <c r="E451" s="18"/>
      <c r="F451" s="19"/>
      <c r="G451" s="20"/>
      <c r="H451" s="20"/>
      <c r="I451" s="21"/>
      <c r="J451" s="21"/>
      <c r="K451" s="25"/>
      <c r="L451" s="25"/>
      <c r="M451" s="25"/>
      <c r="O451" s="22"/>
    </row>
    <row r="452" spans="2:15" x14ac:dyDescent="0.25">
      <c r="B452" s="17" t="s">
        <v>1441</v>
      </c>
      <c r="C452" s="16"/>
      <c r="I452" s="21"/>
      <c r="J452" s="21"/>
      <c r="K452" s="25"/>
      <c r="L452" s="25"/>
      <c r="M452" s="25"/>
      <c r="O452" s="22"/>
    </row>
    <row r="453" spans="2:15" x14ac:dyDescent="0.25">
      <c r="B453" s="17" t="s">
        <v>1151</v>
      </c>
      <c r="C453" s="16"/>
      <c r="E453" s="18"/>
      <c r="F453" s="19"/>
      <c r="G453" s="20"/>
      <c r="H453" s="20"/>
      <c r="I453" s="21"/>
      <c r="J453" s="21"/>
      <c r="K453" s="25"/>
      <c r="L453" s="25"/>
      <c r="M453" s="25"/>
      <c r="O453" s="22"/>
    </row>
    <row r="454" spans="2:15" x14ac:dyDescent="0.25">
      <c r="B454" s="17" t="s">
        <v>402</v>
      </c>
      <c r="C454" s="16"/>
      <c r="E454" s="18"/>
      <c r="F454" s="19"/>
      <c r="G454" s="20"/>
      <c r="H454" s="20"/>
      <c r="I454" s="21"/>
      <c r="J454" s="21"/>
      <c r="K454" s="25"/>
      <c r="L454" s="25"/>
      <c r="M454" s="25"/>
      <c r="O454" s="22"/>
    </row>
    <row r="455" spans="2:15" x14ac:dyDescent="0.25">
      <c r="B455" s="17" t="s">
        <v>382</v>
      </c>
      <c r="C455" s="16"/>
      <c r="E455" s="18"/>
      <c r="F455" s="19"/>
      <c r="G455" s="20"/>
      <c r="H455" s="20"/>
      <c r="I455" s="21"/>
      <c r="J455" s="21"/>
      <c r="K455" s="25"/>
      <c r="L455" s="25"/>
      <c r="M455" s="25"/>
      <c r="O455" s="22"/>
    </row>
    <row r="456" spans="2:15" x14ac:dyDescent="0.25">
      <c r="B456" s="17" t="s">
        <v>437</v>
      </c>
      <c r="C456" s="16"/>
      <c r="E456" s="18"/>
      <c r="F456" s="19"/>
      <c r="G456" s="20"/>
      <c r="H456" s="20"/>
      <c r="I456" s="21"/>
      <c r="J456" s="21"/>
      <c r="K456" s="25"/>
      <c r="L456" s="25"/>
      <c r="M456" s="25"/>
      <c r="O456" s="22"/>
    </row>
    <row r="457" spans="2:15" x14ac:dyDescent="0.25">
      <c r="B457" s="17" t="s">
        <v>1270</v>
      </c>
      <c r="C457" s="16"/>
      <c r="E457" s="18"/>
      <c r="F457" s="19"/>
      <c r="G457" s="20"/>
      <c r="H457" s="20"/>
      <c r="I457" s="21"/>
      <c r="J457" s="21"/>
      <c r="K457" s="25"/>
      <c r="L457" s="25"/>
      <c r="M457" s="25"/>
      <c r="O457" s="22"/>
    </row>
    <row r="458" spans="2:15" x14ac:dyDescent="0.25">
      <c r="B458" s="17" t="s">
        <v>1248</v>
      </c>
      <c r="C458" s="16"/>
      <c r="E458" s="18"/>
      <c r="F458" s="19"/>
      <c r="G458" s="20"/>
      <c r="H458" s="20"/>
      <c r="I458" s="21"/>
      <c r="J458" s="21"/>
      <c r="K458" s="25"/>
      <c r="L458" s="25"/>
      <c r="M458" s="25"/>
      <c r="O458" s="22"/>
    </row>
    <row r="459" spans="2:15" x14ac:dyDescent="0.25">
      <c r="B459" s="17" t="s">
        <v>557</v>
      </c>
      <c r="C459" s="16"/>
      <c r="E459" s="18"/>
      <c r="F459" s="19"/>
      <c r="G459" s="20"/>
      <c r="H459" s="20"/>
      <c r="I459" s="21"/>
      <c r="J459" s="21"/>
      <c r="K459" s="25"/>
      <c r="L459" s="25"/>
      <c r="M459" s="25"/>
      <c r="O459" s="22"/>
    </row>
    <row r="460" spans="2:15" x14ac:dyDescent="0.25">
      <c r="B460" s="17" t="s">
        <v>1366</v>
      </c>
      <c r="C460" s="16"/>
      <c r="E460" s="18"/>
      <c r="F460" s="19"/>
      <c r="G460" s="20"/>
      <c r="H460" s="20"/>
      <c r="I460" s="21"/>
      <c r="J460" s="21"/>
      <c r="K460" s="25"/>
      <c r="L460" s="25"/>
      <c r="M460" s="25"/>
      <c r="O460" s="22"/>
    </row>
    <row r="461" spans="2:15" x14ac:dyDescent="0.25">
      <c r="B461" s="17" t="s">
        <v>447</v>
      </c>
      <c r="C461" s="16"/>
      <c r="E461" s="18"/>
      <c r="F461" s="19"/>
      <c r="G461" s="20"/>
      <c r="H461" s="20"/>
      <c r="I461" s="21"/>
      <c r="J461" s="21"/>
      <c r="K461" s="25"/>
      <c r="L461" s="25"/>
      <c r="M461" s="25"/>
      <c r="O461" s="22"/>
    </row>
    <row r="462" spans="2:15" x14ac:dyDescent="0.25">
      <c r="B462" s="17" t="s">
        <v>952</v>
      </c>
      <c r="C462" s="16"/>
      <c r="E462" s="18"/>
      <c r="F462" s="19"/>
      <c r="G462" s="20"/>
      <c r="H462" s="20"/>
      <c r="I462" s="21"/>
      <c r="J462" s="21"/>
      <c r="K462" s="25"/>
      <c r="L462" s="25"/>
      <c r="M462" s="25"/>
      <c r="O462" s="22"/>
    </row>
    <row r="463" spans="2:15" x14ac:dyDescent="0.25">
      <c r="B463" s="17" t="s">
        <v>276</v>
      </c>
      <c r="C463" s="16"/>
      <c r="E463" s="18"/>
      <c r="F463" s="19"/>
      <c r="G463" s="20"/>
      <c r="H463" s="20"/>
      <c r="I463" s="21"/>
      <c r="J463" s="21"/>
      <c r="K463" s="25"/>
      <c r="L463" s="25"/>
      <c r="M463" s="25"/>
      <c r="O463" s="22"/>
    </row>
    <row r="464" spans="2:15" x14ac:dyDescent="0.25">
      <c r="B464" s="17" t="s">
        <v>359</v>
      </c>
      <c r="C464" s="16"/>
      <c r="E464" s="18"/>
      <c r="F464" s="19"/>
      <c r="G464" s="20"/>
      <c r="H464" s="20"/>
      <c r="I464" s="21"/>
      <c r="J464" s="21"/>
      <c r="K464" s="25"/>
      <c r="L464" s="25"/>
      <c r="M464" s="25"/>
      <c r="O464" s="22"/>
    </row>
    <row r="465" spans="2:15" x14ac:dyDescent="0.25">
      <c r="B465" s="17" t="s">
        <v>665</v>
      </c>
      <c r="C465" s="16"/>
      <c r="E465" s="18"/>
      <c r="F465" s="19"/>
      <c r="G465" s="20"/>
      <c r="H465" s="20"/>
      <c r="I465" s="21"/>
      <c r="J465" s="21"/>
      <c r="K465" s="25"/>
      <c r="L465" s="25"/>
      <c r="M465" s="25"/>
      <c r="O465" s="22"/>
    </row>
    <row r="466" spans="2:15" x14ac:dyDescent="0.25">
      <c r="B466" s="17" t="s">
        <v>438</v>
      </c>
      <c r="C466" s="16"/>
      <c r="E466" s="18"/>
      <c r="F466" s="19"/>
      <c r="G466" s="20"/>
      <c r="H466" s="20"/>
      <c r="I466" s="21"/>
      <c r="J466" s="21"/>
      <c r="K466" s="25"/>
      <c r="L466" s="25"/>
      <c r="M466" s="25"/>
      <c r="O466" s="22"/>
    </row>
    <row r="467" spans="2:15" x14ac:dyDescent="0.25">
      <c r="B467" s="17" t="s">
        <v>1268</v>
      </c>
      <c r="C467" s="16"/>
      <c r="E467" s="18"/>
      <c r="F467" s="19"/>
      <c r="G467" s="20"/>
      <c r="H467" s="20"/>
      <c r="I467" s="21"/>
      <c r="J467" s="21"/>
      <c r="K467" s="25"/>
      <c r="L467" s="25"/>
      <c r="M467" s="25"/>
      <c r="O467" s="22"/>
    </row>
    <row r="468" spans="2:15" x14ac:dyDescent="0.25">
      <c r="B468" s="17" t="s">
        <v>1375</v>
      </c>
      <c r="C468" s="16"/>
      <c r="E468" s="18"/>
      <c r="F468" s="19"/>
      <c r="G468" s="20"/>
      <c r="H468" s="20"/>
      <c r="I468" s="21"/>
      <c r="J468" s="21"/>
      <c r="K468" s="25"/>
      <c r="L468" s="25"/>
      <c r="M468" s="25"/>
      <c r="O468" s="22"/>
    </row>
    <row r="469" spans="2:15" x14ac:dyDescent="0.25">
      <c r="B469" s="17" t="s">
        <v>493</v>
      </c>
      <c r="C469" s="16"/>
      <c r="E469" s="18"/>
      <c r="F469" s="19"/>
      <c r="G469" s="20"/>
      <c r="H469" s="20"/>
      <c r="I469" s="21"/>
      <c r="J469" s="21"/>
      <c r="K469" s="25"/>
      <c r="L469" s="25"/>
      <c r="M469" s="25"/>
      <c r="O469" s="22"/>
    </row>
    <row r="470" spans="2:15" x14ac:dyDescent="0.25">
      <c r="B470" s="17" t="s">
        <v>492</v>
      </c>
      <c r="C470" s="16"/>
      <c r="E470" s="18"/>
      <c r="F470" s="19"/>
      <c r="G470" s="20"/>
      <c r="H470" s="20"/>
      <c r="I470" s="21"/>
      <c r="J470" s="21"/>
      <c r="K470" s="25"/>
      <c r="L470" s="25"/>
      <c r="M470" s="25"/>
      <c r="O470" s="22"/>
    </row>
    <row r="471" spans="2:15" x14ac:dyDescent="0.25">
      <c r="B471" s="17" t="s">
        <v>404</v>
      </c>
      <c r="C471" s="16"/>
      <c r="E471" s="18"/>
      <c r="F471" s="19"/>
      <c r="G471" s="20"/>
      <c r="H471" s="20"/>
      <c r="I471" s="21"/>
      <c r="J471" s="21"/>
      <c r="K471" s="25"/>
      <c r="L471" s="25"/>
      <c r="M471" s="25"/>
      <c r="O471" s="22"/>
    </row>
    <row r="472" spans="2:15" x14ac:dyDescent="0.25">
      <c r="B472" s="17" t="s">
        <v>685</v>
      </c>
      <c r="C472" s="16"/>
      <c r="E472" s="18"/>
      <c r="F472" s="19"/>
      <c r="G472" s="20"/>
      <c r="H472" s="20"/>
      <c r="I472" s="21"/>
      <c r="J472" s="21"/>
      <c r="K472" s="25"/>
      <c r="L472" s="25"/>
      <c r="M472" s="25"/>
      <c r="O472" s="22"/>
    </row>
    <row r="473" spans="2:15" x14ac:dyDescent="0.25">
      <c r="B473" s="17" t="s">
        <v>1383</v>
      </c>
      <c r="C473" s="16"/>
      <c r="E473" s="18"/>
      <c r="F473" s="19"/>
      <c r="G473" s="20"/>
      <c r="H473" s="20"/>
      <c r="I473" s="21"/>
      <c r="J473" s="21"/>
      <c r="K473" s="25"/>
      <c r="L473" s="25"/>
      <c r="M473" s="25"/>
      <c r="O473" s="22"/>
    </row>
    <row r="474" spans="2:15" x14ac:dyDescent="0.25">
      <c r="B474" s="17" t="s">
        <v>1243</v>
      </c>
      <c r="C474" s="16"/>
      <c r="E474" s="18"/>
      <c r="F474" s="19"/>
      <c r="G474" s="20"/>
      <c r="H474" s="20"/>
      <c r="I474" s="21"/>
      <c r="J474" s="21"/>
      <c r="K474" s="25"/>
      <c r="L474" s="25"/>
      <c r="M474" s="25"/>
      <c r="O474" s="22"/>
    </row>
    <row r="475" spans="2:15" x14ac:dyDescent="0.25">
      <c r="B475" s="17" t="s">
        <v>510</v>
      </c>
      <c r="C475" s="16"/>
      <c r="E475" s="18"/>
      <c r="F475" s="19"/>
      <c r="G475" s="20"/>
      <c r="H475" s="20"/>
      <c r="I475" s="21"/>
      <c r="J475" s="21"/>
      <c r="K475" s="25"/>
      <c r="L475" s="25"/>
      <c r="M475" s="25"/>
      <c r="O475" s="22"/>
    </row>
    <row r="476" spans="2:15" x14ac:dyDescent="0.25">
      <c r="B476" s="17" t="s">
        <v>1416</v>
      </c>
      <c r="C476" s="16"/>
      <c r="E476" s="18"/>
      <c r="F476" s="19"/>
      <c r="G476" s="20"/>
      <c r="H476" s="20"/>
      <c r="I476" s="21"/>
      <c r="J476" s="21"/>
      <c r="K476" s="25"/>
      <c r="L476" s="25"/>
      <c r="M476" s="25"/>
      <c r="O476" s="22"/>
    </row>
    <row r="477" spans="2:15" x14ac:dyDescent="0.25">
      <c r="B477" s="17" t="s">
        <v>1172</v>
      </c>
      <c r="C477" s="16"/>
      <c r="E477" s="18"/>
      <c r="F477" s="19"/>
      <c r="G477" s="20"/>
      <c r="H477" s="20"/>
      <c r="I477" s="21"/>
      <c r="J477" s="21"/>
      <c r="K477" s="25"/>
      <c r="L477" s="25"/>
      <c r="M477" s="25"/>
      <c r="O477" s="22"/>
    </row>
    <row r="478" spans="2:15" x14ac:dyDescent="0.25">
      <c r="B478" s="17" t="s">
        <v>373</v>
      </c>
      <c r="C478" s="16"/>
      <c r="E478" s="18"/>
      <c r="F478" s="19"/>
      <c r="G478" s="20"/>
      <c r="H478" s="20"/>
      <c r="I478" s="21"/>
      <c r="J478" s="21"/>
      <c r="K478" s="25"/>
      <c r="L478" s="25"/>
      <c r="M478" s="25"/>
      <c r="O478" s="22"/>
    </row>
    <row r="479" spans="2:15" x14ac:dyDescent="0.25">
      <c r="B479" s="17" t="s">
        <v>1517</v>
      </c>
      <c r="C479" s="16"/>
      <c r="E479" s="18"/>
      <c r="F479" s="19"/>
      <c r="G479" s="20"/>
      <c r="H479" s="20"/>
      <c r="I479" s="21"/>
      <c r="J479" s="21"/>
      <c r="K479" s="25"/>
      <c r="L479" s="25"/>
      <c r="M479" s="25"/>
      <c r="O479" s="22"/>
    </row>
    <row r="480" spans="2:15" x14ac:dyDescent="0.25">
      <c r="B480" s="17" t="s">
        <v>1406</v>
      </c>
      <c r="C480" s="16"/>
      <c r="E480" s="18"/>
      <c r="F480" s="19"/>
      <c r="G480" s="20"/>
      <c r="H480" s="20"/>
      <c r="I480" s="21"/>
      <c r="J480" s="21"/>
      <c r="K480" s="25"/>
      <c r="L480" s="25"/>
      <c r="M480" s="25"/>
      <c r="O480" s="22"/>
    </row>
    <row r="481" spans="2:15" x14ac:dyDescent="0.25">
      <c r="B481" s="17" t="s">
        <v>586</v>
      </c>
      <c r="C481" s="16"/>
      <c r="E481" s="18"/>
      <c r="F481" s="19"/>
      <c r="G481" s="20"/>
      <c r="H481" s="20"/>
      <c r="I481" s="21"/>
      <c r="J481" s="21"/>
      <c r="K481" s="25"/>
      <c r="L481" s="25"/>
      <c r="M481" s="25"/>
      <c r="O481" s="22"/>
    </row>
    <row r="482" spans="2:15" x14ac:dyDescent="0.25">
      <c r="B482" s="17" t="s">
        <v>1374</v>
      </c>
      <c r="C482" s="16"/>
      <c r="E482" s="18"/>
      <c r="F482" s="19"/>
      <c r="G482" s="20"/>
      <c r="H482" s="20"/>
      <c r="I482" s="21"/>
      <c r="J482" s="21"/>
      <c r="K482" s="25"/>
      <c r="L482" s="25"/>
      <c r="M482" s="25"/>
      <c r="O482" s="22"/>
    </row>
    <row r="483" spans="2:15" x14ac:dyDescent="0.25">
      <c r="B483" s="17" t="s">
        <v>419</v>
      </c>
      <c r="C483" s="16"/>
      <c r="E483" s="18"/>
      <c r="F483" s="19"/>
      <c r="G483" s="20"/>
      <c r="H483" s="20"/>
      <c r="I483" s="21"/>
      <c r="J483" s="21"/>
      <c r="K483" s="25"/>
      <c r="L483" s="25"/>
      <c r="M483" s="25"/>
      <c r="O483" s="22"/>
    </row>
    <row r="484" spans="2:15" x14ac:dyDescent="0.25">
      <c r="B484" s="17" t="s">
        <v>554</v>
      </c>
      <c r="C484" s="16"/>
      <c r="E484" s="18"/>
      <c r="F484" s="19"/>
      <c r="G484" s="20"/>
      <c r="H484" s="20"/>
      <c r="I484" s="21"/>
      <c r="J484" s="21"/>
      <c r="K484" s="25"/>
      <c r="L484" s="25"/>
      <c r="M484" s="25"/>
      <c r="O484" s="22"/>
    </row>
    <row r="485" spans="2:15" x14ac:dyDescent="0.25">
      <c r="B485" s="17" t="s">
        <v>546</v>
      </c>
      <c r="C485" s="16"/>
      <c r="E485" s="18"/>
      <c r="F485" s="19"/>
      <c r="G485" s="20"/>
      <c r="H485" s="20"/>
      <c r="I485" s="21"/>
      <c r="J485" s="21"/>
      <c r="K485" s="25"/>
      <c r="L485" s="25"/>
      <c r="M485" s="25"/>
      <c r="O485" s="22"/>
    </row>
    <row r="486" spans="2:15" x14ac:dyDescent="0.25">
      <c r="B486" s="17" t="s">
        <v>423</v>
      </c>
      <c r="C486" s="16"/>
      <c r="E486" s="18"/>
      <c r="F486" s="19"/>
      <c r="G486" s="20"/>
      <c r="H486" s="20"/>
      <c r="I486" s="21"/>
      <c r="J486" s="21"/>
      <c r="K486" s="25"/>
      <c r="L486" s="25"/>
      <c r="M486" s="25"/>
      <c r="O486" s="22"/>
    </row>
    <row r="487" spans="2:15" x14ac:dyDescent="0.25">
      <c r="B487" s="17" t="s">
        <v>469</v>
      </c>
      <c r="C487" s="16"/>
      <c r="E487" s="18"/>
      <c r="F487" s="19"/>
      <c r="G487" s="20"/>
      <c r="H487" s="20"/>
      <c r="I487" s="21"/>
      <c r="J487" s="21"/>
      <c r="K487" s="25"/>
      <c r="L487" s="25"/>
      <c r="M487" s="25"/>
      <c r="O487" s="22"/>
    </row>
    <row r="488" spans="2:15" x14ac:dyDescent="0.25">
      <c r="B488" s="17" t="s">
        <v>391</v>
      </c>
      <c r="C488" s="16"/>
      <c r="E488" s="18"/>
      <c r="F488" s="19"/>
      <c r="G488" s="20"/>
      <c r="H488" s="20"/>
      <c r="I488" s="21"/>
      <c r="J488" s="21"/>
      <c r="K488" s="25"/>
      <c r="L488" s="25"/>
      <c r="M488" s="25"/>
      <c r="O488" s="22"/>
    </row>
    <row r="489" spans="2:15" x14ac:dyDescent="0.25">
      <c r="B489" s="17" t="s">
        <v>1412</v>
      </c>
      <c r="C489" s="16"/>
      <c r="E489" s="18"/>
      <c r="F489" s="19"/>
      <c r="G489" s="20"/>
      <c r="H489" s="20"/>
      <c r="I489" s="21"/>
      <c r="J489" s="21"/>
      <c r="K489" s="25"/>
      <c r="L489" s="25"/>
      <c r="M489" s="25"/>
      <c r="O489" s="22"/>
    </row>
    <row r="490" spans="2:15" x14ac:dyDescent="0.25">
      <c r="B490" s="17" t="s">
        <v>506</v>
      </c>
      <c r="C490" s="16"/>
      <c r="E490" s="18"/>
      <c r="F490" s="19"/>
      <c r="G490" s="20"/>
      <c r="H490" s="20"/>
      <c r="I490" s="21"/>
      <c r="J490" s="21"/>
      <c r="K490" s="25"/>
      <c r="L490" s="25"/>
      <c r="M490" s="25"/>
      <c r="O490" s="22"/>
    </row>
    <row r="491" spans="2:15" x14ac:dyDescent="0.25">
      <c r="B491" s="17" t="s">
        <v>1247</v>
      </c>
      <c r="C491" s="16"/>
      <c r="E491" s="18"/>
      <c r="F491" s="19"/>
      <c r="G491" s="20"/>
      <c r="H491" s="20"/>
      <c r="I491" s="21"/>
      <c r="J491" s="21"/>
      <c r="K491" s="25"/>
      <c r="L491" s="25"/>
      <c r="M491" s="25"/>
      <c r="O491" s="22"/>
    </row>
    <row r="492" spans="2:15" x14ac:dyDescent="0.25">
      <c r="B492" s="17" t="s">
        <v>333</v>
      </c>
      <c r="C492" s="16"/>
      <c r="E492" s="18"/>
      <c r="F492" s="19"/>
      <c r="G492" s="20"/>
      <c r="H492" s="20"/>
      <c r="I492" s="21"/>
      <c r="J492" s="21"/>
      <c r="K492" s="25"/>
      <c r="L492" s="25"/>
      <c r="M492" s="25"/>
      <c r="O492" s="22"/>
    </row>
    <row r="493" spans="2:15" x14ac:dyDescent="0.25">
      <c r="B493" s="17" t="s">
        <v>345</v>
      </c>
      <c r="C493" s="16"/>
      <c r="E493" s="18"/>
      <c r="F493" s="19"/>
      <c r="G493" s="20"/>
      <c r="H493" s="20"/>
      <c r="I493" s="21"/>
      <c r="J493" s="21"/>
      <c r="K493" s="25"/>
      <c r="L493" s="25"/>
      <c r="M493" s="25"/>
      <c r="O493" s="22"/>
    </row>
    <row r="494" spans="2:15" x14ac:dyDescent="0.25">
      <c r="B494" s="17" t="s">
        <v>363</v>
      </c>
      <c r="C494" s="16"/>
      <c r="E494" s="18"/>
      <c r="F494" s="19"/>
      <c r="G494" s="20"/>
      <c r="H494" s="20"/>
      <c r="I494" s="21"/>
      <c r="J494" s="21"/>
      <c r="K494" s="25"/>
      <c r="L494" s="25"/>
      <c r="M494" s="25"/>
      <c r="O494" s="22"/>
    </row>
    <row r="495" spans="2:15" x14ac:dyDescent="0.25">
      <c r="B495" s="17" t="s">
        <v>1346</v>
      </c>
      <c r="C495" s="16"/>
      <c r="E495" s="18"/>
      <c r="F495" s="19"/>
      <c r="G495" s="20"/>
      <c r="H495" s="20"/>
      <c r="I495" s="21"/>
      <c r="J495" s="21"/>
      <c r="K495" s="25"/>
      <c r="L495" s="25"/>
      <c r="M495" s="25"/>
      <c r="O495" s="22"/>
    </row>
    <row r="496" spans="2:15" x14ac:dyDescent="0.25">
      <c r="B496" s="17" t="s">
        <v>401</v>
      </c>
      <c r="C496" s="16"/>
      <c r="E496" s="18"/>
      <c r="F496" s="19"/>
      <c r="G496" s="20"/>
      <c r="H496" s="20"/>
      <c r="I496" s="21"/>
      <c r="J496" s="21"/>
      <c r="K496" s="25"/>
      <c r="L496" s="25"/>
      <c r="M496" s="25"/>
      <c r="O496" s="22"/>
    </row>
    <row r="497" spans="2:15" x14ac:dyDescent="0.25">
      <c r="B497" s="17" t="s">
        <v>348</v>
      </c>
      <c r="C497" s="16"/>
      <c r="E497" s="18"/>
      <c r="F497" s="19"/>
      <c r="G497" s="20"/>
      <c r="H497" s="20"/>
      <c r="I497" s="21"/>
      <c r="J497" s="21"/>
      <c r="K497" s="25"/>
      <c r="L497" s="25"/>
      <c r="M497" s="25"/>
      <c r="O497" s="22"/>
    </row>
    <row r="498" spans="2:15" x14ac:dyDescent="0.25">
      <c r="B498" s="17" t="s">
        <v>530</v>
      </c>
      <c r="C498" s="16"/>
      <c r="E498" s="18"/>
      <c r="F498" s="19"/>
      <c r="G498" s="20"/>
      <c r="H498" s="20"/>
      <c r="I498" s="21"/>
      <c r="J498" s="21"/>
      <c r="K498" s="25"/>
      <c r="L498" s="25"/>
      <c r="M498" s="25"/>
      <c r="O498" s="22"/>
    </row>
    <row r="499" spans="2:15" x14ac:dyDescent="0.25">
      <c r="B499" s="17" t="s">
        <v>571</v>
      </c>
      <c r="C499" s="16"/>
      <c r="E499" s="18"/>
      <c r="F499" s="19"/>
      <c r="G499" s="20"/>
      <c r="H499" s="20"/>
      <c r="I499" s="21"/>
      <c r="J499" s="21"/>
      <c r="K499" s="25"/>
      <c r="L499" s="25"/>
      <c r="M499" s="25"/>
      <c r="O499" s="22"/>
    </row>
    <row r="500" spans="2:15" x14ac:dyDescent="0.25">
      <c r="B500" s="17" t="s">
        <v>472</v>
      </c>
      <c r="C500" s="16"/>
      <c r="E500" s="18"/>
      <c r="F500" s="19"/>
      <c r="G500" s="20"/>
      <c r="H500" s="20"/>
      <c r="I500" s="21"/>
      <c r="J500" s="21"/>
      <c r="K500" s="25"/>
      <c r="L500" s="25"/>
      <c r="M500" s="25"/>
      <c r="O500" s="22"/>
    </row>
    <row r="501" spans="2:15" x14ac:dyDescent="0.25">
      <c r="B501" s="17" t="s">
        <v>1481</v>
      </c>
      <c r="C501" s="16"/>
      <c r="E501" s="18"/>
      <c r="F501" s="23"/>
      <c r="G501" s="20"/>
      <c r="H501" s="20"/>
      <c r="I501" s="21"/>
      <c r="J501" s="21"/>
      <c r="K501" s="25"/>
      <c r="L501" s="25"/>
      <c r="M501" s="25"/>
      <c r="O501" s="22"/>
    </row>
    <row r="502" spans="2:15" x14ac:dyDescent="0.25">
      <c r="B502" s="17" t="s">
        <v>355</v>
      </c>
      <c r="C502" s="16"/>
      <c r="E502" s="18"/>
      <c r="F502" s="19"/>
      <c r="G502" s="20"/>
      <c r="H502" s="20"/>
      <c r="I502" s="21"/>
      <c r="J502" s="21"/>
      <c r="K502" s="25"/>
      <c r="L502" s="25"/>
      <c r="M502" s="25"/>
      <c r="O502" s="22"/>
    </row>
    <row r="503" spans="2:15" x14ac:dyDescent="0.25">
      <c r="B503" s="17" t="s">
        <v>1524</v>
      </c>
      <c r="C503" s="16"/>
      <c r="E503" s="18"/>
      <c r="F503" s="19"/>
      <c r="G503" s="20"/>
      <c r="H503" s="20"/>
      <c r="I503" s="21"/>
      <c r="J503" s="21"/>
      <c r="K503" s="25"/>
      <c r="L503" s="25"/>
      <c r="M503" s="25"/>
      <c r="O503" s="22"/>
    </row>
    <row r="504" spans="2:15" x14ac:dyDescent="0.25">
      <c r="B504" s="17" t="s">
        <v>567</v>
      </c>
      <c r="C504" s="16"/>
      <c r="E504" s="18"/>
      <c r="F504" s="19"/>
      <c r="G504" s="20"/>
      <c r="H504" s="20"/>
      <c r="I504" s="21"/>
      <c r="J504" s="21"/>
      <c r="K504" s="25"/>
      <c r="L504" s="25"/>
      <c r="M504" s="25"/>
      <c r="O504" s="22"/>
    </row>
    <row r="505" spans="2:15" x14ac:dyDescent="0.25">
      <c r="B505" s="17" t="s">
        <v>1451</v>
      </c>
      <c r="C505" s="16"/>
      <c r="E505" s="18"/>
      <c r="F505" s="19"/>
      <c r="G505" s="20"/>
      <c r="H505" s="20"/>
      <c r="I505" s="21"/>
      <c r="J505" s="21"/>
      <c r="K505" s="25"/>
      <c r="L505" s="25"/>
      <c r="M505" s="25"/>
      <c r="O505" s="22"/>
    </row>
    <row r="506" spans="2:15" x14ac:dyDescent="0.25">
      <c r="B506" s="17" t="s">
        <v>1199</v>
      </c>
      <c r="C506" s="16"/>
      <c r="E506" s="18"/>
      <c r="F506" s="19"/>
      <c r="G506" s="20"/>
      <c r="H506" s="20"/>
      <c r="I506" s="21"/>
      <c r="J506" s="21"/>
      <c r="K506" s="25"/>
      <c r="L506" s="25"/>
      <c r="M506" s="25"/>
      <c r="O506" s="22"/>
    </row>
    <row r="507" spans="2:15" x14ac:dyDescent="0.25">
      <c r="B507" s="17" t="s">
        <v>405</v>
      </c>
      <c r="C507" s="16"/>
      <c r="E507" s="18"/>
      <c r="F507" s="19"/>
      <c r="G507" s="20"/>
      <c r="H507" s="20"/>
      <c r="I507" s="21"/>
      <c r="J507" s="21"/>
      <c r="K507" s="25"/>
      <c r="L507" s="25"/>
      <c r="M507" s="25"/>
      <c r="O507" s="22"/>
    </row>
    <row r="508" spans="2:15" x14ac:dyDescent="0.25">
      <c r="B508" s="17" t="s">
        <v>482</v>
      </c>
      <c r="C508" s="16"/>
      <c r="E508" s="18"/>
      <c r="F508" s="19"/>
      <c r="G508" s="20"/>
      <c r="H508" s="20"/>
      <c r="I508" s="21"/>
      <c r="J508" s="21"/>
      <c r="K508" s="25"/>
      <c r="L508" s="25"/>
      <c r="M508" s="25"/>
      <c r="O508" s="22"/>
    </row>
    <row r="509" spans="2:15" x14ac:dyDescent="0.25">
      <c r="B509" s="17" t="s">
        <v>1513</v>
      </c>
      <c r="C509" s="16"/>
      <c r="E509" s="18"/>
      <c r="F509" s="19"/>
      <c r="G509" s="20"/>
      <c r="H509" s="20"/>
      <c r="I509" s="21"/>
      <c r="J509" s="21"/>
      <c r="K509" s="25"/>
      <c r="L509" s="25"/>
      <c r="M509" s="25"/>
      <c r="O509" s="22"/>
    </row>
    <row r="510" spans="2:15" x14ac:dyDescent="0.25">
      <c r="B510" s="17" t="s">
        <v>1134</v>
      </c>
      <c r="C510" s="16"/>
      <c r="E510" s="18"/>
      <c r="F510" s="19"/>
      <c r="G510" s="20"/>
      <c r="H510" s="20"/>
      <c r="I510" s="21"/>
      <c r="J510" s="21"/>
      <c r="K510" s="25"/>
      <c r="L510" s="25"/>
      <c r="M510" s="25"/>
      <c r="O510" s="22"/>
    </row>
    <row r="511" spans="2:15" x14ac:dyDescent="0.25">
      <c r="B511" s="17" t="s">
        <v>417</v>
      </c>
      <c r="C511" s="16"/>
      <c r="E511" s="18"/>
      <c r="F511" s="19"/>
      <c r="G511" s="20"/>
      <c r="H511" s="20"/>
      <c r="I511" s="21"/>
      <c r="J511" s="21"/>
      <c r="K511" s="25"/>
      <c r="L511" s="25"/>
      <c r="M511" s="25"/>
      <c r="O511" s="22"/>
    </row>
    <row r="512" spans="2:15" x14ac:dyDescent="0.25">
      <c r="B512" s="17" t="s">
        <v>1367</v>
      </c>
      <c r="C512" s="16"/>
      <c r="E512" s="18"/>
      <c r="F512" s="19"/>
      <c r="G512" s="20"/>
      <c r="H512" s="20"/>
      <c r="I512" s="21"/>
      <c r="J512" s="21"/>
      <c r="K512" s="25"/>
      <c r="L512" s="25"/>
      <c r="M512" s="25"/>
      <c r="O512" s="22"/>
    </row>
    <row r="513" spans="2:15" x14ac:dyDescent="0.25">
      <c r="B513" s="17" t="s">
        <v>374</v>
      </c>
      <c r="C513" s="16"/>
      <c r="E513" s="18"/>
      <c r="F513" s="19"/>
      <c r="G513" s="20"/>
      <c r="H513" s="20"/>
      <c r="I513" s="21"/>
      <c r="J513" s="21"/>
      <c r="K513" s="25"/>
      <c r="L513" s="25"/>
      <c r="M513" s="25"/>
      <c r="O513" s="22"/>
    </row>
    <row r="514" spans="2:15" x14ac:dyDescent="0.25">
      <c r="B514" s="17" t="s">
        <v>338</v>
      </c>
      <c r="C514" s="16"/>
      <c r="E514" s="18"/>
      <c r="F514" s="19"/>
      <c r="G514" s="20"/>
      <c r="H514" s="20"/>
      <c r="I514" s="21"/>
      <c r="J514" s="21"/>
      <c r="K514" s="25"/>
      <c r="L514" s="25"/>
      <c r="M514" s="25"/>
      <c r="O514" s="22"/>
    </row>
    <row r="515" spans="2:15" x14ac:dyDescent="0.25">
      <c r="B515" s="17" t="s">
        <v>1538</v>
      </c>
      <c r="C515" s="16"/>
      <c r="E515" s="18"/>
      <c r="F515" s="19"/>
      <c r="G515" s="20"/>
      <c r="H515" s="20"/>
      <c r="I515" s="21"/>
      <c r="J515" s="21"/>
      <c r="K515" s="25"/>
      <c r="L515" s="25"/>
      <c r="M515" s="25"/>
      <c r="O515" s="22"/>
    </row>
    <row r="516" spans="2:15" x14ac:dyDescent="0.25">
      <c r="B516" s="17" t="s">
        <v>1434</v>
      </c>
      <c r="C516" s="16"/>
      <c r="E516" s="18"/>
      <c r="F516" s="19"/>
      <c r="G516" s="20"/>
      <c r="H516" s="20"/>
      <c r="I516" s="21"/>
      <c r="J516" s="21"/>
      <c r="K516" s="25"/>
      <c r="L516" s="25"/>
      <c r="M516" s="25"/>
      <c r="O516" s="22"/>
    </row>
    <row r="517" spans="2:15" x14ac:dyDescent="0.25">
      <c r="B517" s="17" t="s">
        <v>362</v>
      </c>
      <c r="C517" s="16"/>
      <c r="E517" s="18"/>
      <c r="F517" s="19"/>
      <c r="G517" s="20"/>
      <c r="H517" s="20"/>
      <c r="I517" s="21"/>
      <c r="J517" s="21"/>
      <c r="K517" s="25"/>
      <c r="L517" s="25"/>
      <c r="M517" s="25"/>
      <c r="O517" s="22"/>
    </row>
    <row r="518" spans="2:15" x14ac:dyDescent="0.25">
      <c r="B518" s="17" t="s">
        <v>1419</v>
      </c>
      <c r="C518" s="16"/>
      <c r="E518" s="18"/>
      <c r="F518" s="19"/>
      <c r="G518" s="20"/>
      <c r="H518" s="20"/>
      <c r="I518" s="21"/>
      <c r="J518" s="21"/>
      <c r="K518" s="25"/>
      <c r="L518" s="25"/>
      <c r="M518" s="25"/>
      <c r="O518" s="22"/>
    </row>
    <row r="519" spans="2:15" x14ac:dyDescent="0.25">
      <c r="B519" s="17" t="s">
        <v>395</v>
      </c>
      <c r="C519" s="16"/>
      <c r="E519" s="18"/>
      <c r="F519" s="19"/>
      <c r="G519" s="20"/>
      <c r="H519" s="20"/>
      <c r="I519" s="21"/>
      <c r="J519" s="21"/>
      <c r="K519" s="25"/>
      <c r="L519" s="25"/>
      <c r="M519" s="25"/>
      <c r="O519" s="22"/>
    </row>
    <row r="520" spans="2:15" x14ac:dyDescent="0.25">
      <c r="B520" s="17" t="s">
        <v>473</v>
      </c>
      <c r="C520" s="16"/>
      <c r="E520" s="18"/>
      <c r="F520" s="19"/>
      <c r="G520" s="20"/>
      <c r="H520" s="20"/>
      <c r="I520" s="21"/>
      <c r="J520" s="21"/>
      <c r="K520" s="25"/>
      <c r="L520" s="25"/>
      <c r="M520" s="25"/>
      <c r="O520" s="22"/>
    </row>
    <row r="521" spans="2:15" x14ac:dyDescent="0.25">
      <c r="B521" s="17" t="s">
        <v>485</v>
      </c>
      <c r="C521" s="16"/>
      <c r="E521" s="18"/>
      <c r="F521" s="19"/>
      <c r="G521" s="20"/>
      <c r="H521" s="20"/>
      <c r="I521" s="21"/>
      <c r="J521" s="21"/>
      <c r="K521" s="25"/>
      <c r="L521" s="25"/>
      <c r="M521" s="25"/>
      <c r="O521" s="22"/>
    </row>
    <row r="522" spans="2:15" x14ac:dyDescent="0.25">
      <c r="B522" s="17" t="s">
        <v>454</v>
      </c>
      <c r="C522" s="16"/>
      <c r="E522" s="18"/>
      <c r="F522" s="19"/>
      <c r="G522" s="20"/>
      <c r="H522" s="20"/>
      <c r="I522" s="21"/>
      <c r="J522" s="21"/>
      <c r="K522" s="25"/>
      <c r="L522" s="25"/>
      <c r="M522" s="25"/>
      <c r="O522" s="22"/>
    </row>
    <row r="523" spans="2:15" x14ac:dyDescent="0.25">
      <c r="B523" s="17" t="s">
        <v>462</v>
      </c>
      <c r="C523" s="16"/>
      <c r="E523" s="18"/>
      <c r="F523" s="19"/>
      <c r="G523" s="20"/>
      <c r="H523" s="20"/>
      <c r="I523" s="21"/>
      <c r="J523" s="21"/>
      <c r="K523" s="25"/>
      <c r="L523" s="25"/>
      <c r="M523" s="25"/>
      <c r="O523" s="22"/>
    </row>
    <row r="524" spans="2:15" x14ac:dyDescent="0.25">
      <c r="B524" s="17" t="s">
        <v>529</v>
      </c>
      <c r="C524" s="16"/>
      <c r="E524" s="18"/>
      <c r="F524" s="19"/>
      <c r="G524" s="20"/>
      <c r="H524" s="20"/>
      <c r="I524" s="21"/>
      <c r="J524" s="21"/>
      <c r="K524" s="25"/>
      <c r="L524" s="25"/>
      <c r="M524" s="25"/>
      <c r="O524" s="22"/>
    </row>
    <row r="525" spans="2:15" x14ac:dyDescent="0.25">
      <c r="B525" s="17" t="s">
        <v>433</v>
      </c>
      <c r="C525" s="16"/>
      <c r="E525" s="18"/>
      <c r="F525" s="19"/>
      <c r="G525" s="20"/>
      <c r="H525" s="20"/>
      <c r="I525" s="21"/>
      <c r="J525" s="21"/>
      <c r="K525" s="25"/>
      <c r="L525" s="25"/>
      <c r="M525" s="25"/>
      <c r="O525" s="22"/>
    </row>
    <row r="526" spans="2:15" x14ac:dyDescent="0.25">
      <c r="B526" s="17" t="s">
        <v>1152</v>
      </c>
      <c r="C526" s="16"/>
      <c r="E526" s="18"/>
      <c r="F526" s="19"/>
      <c r="G526" s="20"/>
      <c r="H526" s="20"/>
      <c r="I526" s="21"/>
      <c r="J526" s="21"/>
      <c r="K526" s="25"/>
      <c r="L526" s="25"/>
      <c r="M526" s="25"/>
      <c r="O526" s="22"/>
    </row>
    <row r="527" spans="2:15" x14ac:dyDescent="0.25">
      <c r="B527" s="17" t="s">
        <v>1254</v>
      </c>
      <c r="C527" s="16"/>
      <c r="E527" s="18"/>
      <c r="F527" s="19"/>
      <c r="G527" s="20"/>
      <c r="H527" s="20"/>
      <c r="I527" s="21"/>
      <c r="J527" s="21"/>
      <c r="K527" s="25"/>
      <c r="L527" s="25"/>
      <c r="M527" s="25"/>
      <c r="O527" s="22"/>
    </row>
    <row r="528" spans="2:15" x14ac:dyDescent="0.25">
      <c r="B528" s="17" t="s">
        <v>256</v>
      </c>
      <c r="C528" s="16"/>
      <c r="E528" s="18"/>
      <c r="F528" s="19"/>
      <c r="G528" s="20"/>
      <c r="H528" s="20"/>
      <c r="I528" s="21"/>
      <c r="J528" s="21"/>
      <c r="K528" s="25"/>
      <c r="L528" s="25"/>
      <c r="M528" s="25"/>
      <c r="O528" s="22"/>
    </row>
    <row r="529" spans="2:15" x14ac:dyDescent="0.25">
      <c r="B529" s="17" t="s">
        <v>1413</v>
      </c>
      <c r="C529" s="16"/>
      <c r="E529" s="18"/>
      <c r="F529" s="19"/>
      <c r="G529" s="20"/>
      <c r="H529" s="20"/>
      <c r="I529" s="21"/>
      <c r="J529" s="21"/>
      <c r="K529" s="25"/>
      <c r="L529" s="25"/>
      <c r="M529" s="25"/>
      <c r="O529" s="22"/>
    </row>
    <row r="530" spans="2:15" x14ac:dyDescent="0.25">
      <c r="B530" s="17" t="s">
        <v>476</v>
      </c>
      <c r="C530" s="16"/>
      <c r="E530" s="18"/>
      <c r="F530" s="19"/>
      <c r="G530" s="20"/>
      <c r="H530" s="20"/>
      <c r="I530" s="21"/>
      <c r="J530" s="21"/>
      <c r="K530" s="25"/>
      <c r="L530" s="25"/>
      <c r="M530" s="25"/>
      <c r="O530" s="22"/>
    </row>
    <row r="531" spans="2:15" x14ac:dyDescent="0.25">
      <c r="B531" s="17" t="s">
        <v>1447</v>
      </c>
      <c r="C531" s="16"/>
      <c r="E531" s="18"/>
      <c r="F531" s="19"/>
      <c r="G531" s="20"/>
      <c r="H531" s="20"/>
      <c r="I531" s="21"/>
      <c r="J531" s="21"/>
      <c r="K531" s="25"/>
      <c r="L531" s="25"/>
      <c r="M531" s="25"/>
      <c r="O531" s="22"/>
    </row>
    <row r="532" spans="2:15" x14ac:dyDescent="0.25">
      <c r="B532" s="17" t="s">
        <v>378</v>
      </c>
      <c r="C532" s="16"/>
      <c r="E532" s="18"/>
      <c r="F532" s="19"/>
      <c r="G532" s="20"/>
      <c r="H532" s="20"/>
      <c r="I532" s="21"/>
      <c r="J532" s="21"/>
      <c r="K532" s="25"/>
      <c r="L532" s="25"/>
      <c r="M532" s="25"/>
      <c r="O532" s="22"/>
    </row>
    <row r="533" spans="2:15" x14ac:dyDescent="0.25">
      <c r="B533" s="17" t="s">
        <v>1161</v>
      </c>
      <c r="C533" s="16"/>
      <c r="E533" s="18"/>
      <c r="F533" s="19"/>
      <c r="G533" s="20"/>
      <c r="H533" s="20"/>
      <c r="I533" s="21"/>
      <c r="J533" s="21"/>
      <c r="K533" s="25"/>
      <c r="L533" s="25"/>
      <c r="M533" s="25"/>
      <c r="O533" s="22"/>
    </row>
    <row r="534" spans="2:15" x14ac:dyDescent="0.25">
      <c r="B534" s="17" t="s">
        <v>467</v>
      </c>
      <c r="C534" s="16"/>
      <c r="E534" s="18"/>
      <c r="F534" s="19"/>
      <c r="G534" s="20"/>
      <c r="H534" s="20"/>
      <c r="I534" s="21"/>
      <c r="J534" s="21"/>
      <c r="K534" s="25"/>
      <c r="L534" s="25"/>
      <c r="M534" s="25"/>
      <c r="O534" s="22"/>
    </row>
    <row r="535" spans="2:15" x14ac:dyDescent="0.25">
      <c r="B535" s="17" t="s">
        <v>1204</v>
      </c>
      <c r="C535" s="16"/>
      <c r="E535" s="18"/>
      <c r="F535" s="19"/>
      <c r="G535" s="20"/>
      <c r="H535" s="20"/>
      <c r="I535" s="21"/>
      <c r="J535" s="21"/>
      <c r="K535" s="25"/>
      <c r="L535" s="25"/>
      <c r="M535" s="25"/>
      <c r="O535" s="22"/>
    </row>
    <row r="536" spans="2:15" x14ac:dyDescent="0.25">
      <c r="B536" s="17" t="s">
        <v>477</v>
      </c>
      <c r="C536" s="16"/>
      <c r="E536" s="18"/>
      <c r="F536" s="19"/>
      <c r="G536" s="20"/>
      <c r="H536" s="20"/>
      <c r="I536" s="21"/>
      <c r="J536" s="21"/>
      <c r="K536" s="25"/>
      <c r="L536" s="25"/>
      <c r="M536" s="25"/>
      <c r="O536" s="22"/>
    </row>
    <row r="537" spans="2:15" x14ac:dyDescent="0.25">
      <c r="B537" s="17" t="s">
        <v>1427</v>
      </c>
      <c r="C537" s="16"/>
      <c r="E537" s="18"/>
      <c r="F537" s="19"/>
      <c r="G537" s="20"/>
      <c r="H537" s="20"/>
      <c r="I537" s="21"/>
      <c r="J537" s="21"/>
      <c r="K537" s="25"/>
      <c r="L537" s="25"/>
      <c r="M537" s="25"/>
      <c r="O537" s="22"/>
    </row>
    <row r="538" spans="2:15" x14ac:dyDescent="0.25">
      <c r="B538" s="17" t="s">
        <v>1407</v>
      </c>
      <c r="C538" s="16"/>
      <c r="E538" s="18"/>
      <c r="F538" s="19"/>
      <c r="G538" s="20"/>
      <c r="H538" s="20"/>
      <c r="I538" s="21"/>
      <c r="J538" s="21"/>
      <c r="K538" s="25"/>
      <c r="L538" s="25"/>
      <c r="M538" s="25"/>
      <c r="O538" s="22"/>
    </row>
    <row r="539" spans="2:15" x14ac:dyDescent="0.25">
      <c r="B539" s="17" t="s">
        <v>421</v>
      </c>
      <c r="C539" s="16"/>
      <c r="E539" s="18"/>
      <c r="F539" s="19"/>
      <c r="G539" s="20"/>
      <c r="H539" s="20"/>
      <c r="I539" s="21"/>
      <c r="J539" s="21"/>
      <c r="K539" s="25"/>
      <c r="L539" s="25"/>
      <c r="M539" s="25"/>
      <c r="O539" s="22"/>
    </row>
    <row r="540" spans="2:15" x14ac:dyDescent="0.25">
      <c r="B540" s="17" t="s">
        <v>669</v>
      </c>
      <c r="C540" s="16"/>
      <c r="E540" s="18"/>
      <c r="F540" s="19"/>
      <c r="G540" s="20"/>
      <c r="H540" s="20"/>
      <c r="I540" s="21"/>
      <c r="J540" s="21"/>
      <c r="K540" s="25"/>
      <c r="L540" s="25"/>
      <c r="M540" s="25"/>
      <c r="O540" s="22"/>
    </row>
    <row r="541" spans="2:15" x14ac:dyDescent="0.25">
      <c r="B541" s="17" t="s">
        <v>540</v>
      </c>
      <c r="C541" s="16"/>
      <c r="E541" s="18"/>
      <c r="F541" s="19"/>
      <c r="G541" s="20"/>
      <c r="H541" s="20"/>
      <c r="I541" s="21"/>
      <c r="J541" s="21"/>
      <c r="K541" s="25"/>
      <c r="L541" s="25"/>
      <c r="M541" s="25"/>
      <c r="O541" s="22"/>
    </row>
    <row r="542" spans="2:15" x14ac:dyDescent="0.25">
      <c r="B542" s="17" t="s">
        <v>564</v>
      </c>
      <c r="C542" s="16"/>
      <c r="E542" s="18"/>
      <c r="F542" s="19"/>
      <c r="G542" s="20"/>
      <c r="H542" s="20"/>
      <c r="I542" s="21"/>
      <c r="J542" s="21"/>
      <c r="K542" s="25"/>
      <c r="L542" s="25"/>
      <c r="M542" s="25"/>
      <c r="O542" s="22"/>
    </row>
    <row r="543" spans="2:15" x14ac:dyDescent="0.25">
      <c r="B543" s="17" t="s">
        <v>466</v>
      </c>
      <c r="C543" s="16"/>
      <c r="E543" s="18"/>
      <c r="F543" s="19"/>
      <c r="G543" s="20"/>
      <c r="H543" s="20"/>
      <c r="I543" s="21"/>
      <c r="J543" s="21"/>
      <c r="K543" s="25"/>
      <c r="L543" s="25"/>
      <c r="M543" s="25"/>
      <c r="O543" s="22"/>
    </row>
    <row r="544" spans="2:15" x14ac:dyDescent="0.25">
      <c r="B544" s="17" t="s">
        <v>501</v>
      </c>
      <c r="C544" s="16"/>
      <c r="E544" s="18"/>
      <c r="F544" s="19"/>
      <c r="G544" s="20"/>
      <c r="H544" s="20"/>
      <c r="I544" s="21"/>
      <c r="J544" s="21"/>
      <c r="K544" s="25"/>
      <c r="L544" s="25"/>
      <c r="M544" s="25"/>
      <c r="O544" s="22"/>
    </row>
    <row r="545" spans="2:15" x14ac:dyDescent="0.25">
      <c r="B545" s="17" t="s">
        <v>445</v>
      </c>
      <c r="C545" s="16"/>
      <c r="E545" s="18"/>
      <c r="F545" s="19"/>
      <c r="G545" s="20"/>
      <c r="H545" s="20"/>
      <c r="I545" s="21"/>
      <c r="J545" s="21"/>
      <c r="K545" s="25"/>
      <c r="L545" s="25"/>
      <c r="M545" s="25"/>
      <c r="O545" s="22"/>
    </row>
    <row r="546" spans="2:15" x14ac:dyDescent="0.25">
      <c r="B546" s="17" t="s">
        <v>427</v>
      </c>
      <c r="C546" s="16"/>
      <c r="E546" s="18"/>
      <c r="F546" s="19"/>
      <c r="G546" s="20"/>
      <c r="H546" s="20"/>
      <c r="I546" s="21"/>
      <c r="J546" s="21"/>
      <c r="K546" s="25"/>
      <c r="L546" s="25"/>
      <c r="M546" s="25"/>
      <c r="O546" s="22"/>
    </row>
    <row r="547" spans="2:15" x14ac:dyDescent="0.25">
      <c r="B547" s="17" t="s">
        <v>1474</v>
      </c>
      <c r="C547" s="16"/>
      <c r="E547" s="18"/>
      <c r="F547" s="19"/>
      <c r="G547" s="20"/>
      <c r="H547" s="20"/>
      <c r="I547" s="21"/>
      <c r="J547" s="21"/>
      <c r="K547" s="25"/>
      <c r="L547" s="25"/>
      <c r="M547" s="25"/>
      <c r="O547" s="22"/>
    </row>
    <row r="548" spans="2:15" x14ac:dyDescent="0.25">
      <c r="B548" s="17" t="s">
        <v>1379</v>
      </c>
      <c r="C548" s="16"/>
      <c r="E548" s="18"/>
      <c r="F548" s="19"/>
      <c r="G548" s="20"/>
      <c r="H548" s="20"/>
      <c r="I548" s="21"/>
      <c r="J548" s="21"/>
      <c r="K548" s="25"/>
      <c r="L548" s="25"/>
      <c r="M548" s="25"/>
      <c r="O548" s="22"/>
    </row>
    <row r="549" spans="2:15" x14ac:dyDescent="0.25">
      <c r="B549" s="17" t="s">
        <v>526</v>
      </c>
      <c r="C549" s="16"/>
      <c r="E549" s="18"/>
      <c r="F549" s="19"/>
      <c r="G549" s="20"/>
      <c r="H549" s="20"/>
      <c r="I549" s="21"/>
      <c r="J549" s="21"/>
      <c r="K549" s="25"/>
      <c r="L549" s="25"/>
      <c r="M549" s="25"/>
      <c r="O549" s="22"/>
    </row>
    <row r="550" spans="2:15" x14ac:dyDescent="0.25">
      <c r="B550" s="17" t="s">
        <v>573</v>
      </c>
      <c r="C550" s="16"/>
      <c r="E550" s="18"/>
      <c r="F550" s="19"/>
      <c r="G550" s="20"/>
      <c r="H550" s="20"/>
      <c r="I550" s="21"/>
      <c r="J550" s="21"/>
      <c r="K550" s="25"/>
      <c r="L550" s="25"/>
      <c r="M550" s="25"/>
      <c r="O550" s="22"/>
    </row>
    <row r="551" spans="2:15" x14ac:dyDescent="0.25">
      <c r="B551" s="17" t="s">
        <v>399</v>
      </c>
      <c r="C551" s="16"/>
      <c r="E551" s="18"/>
      <c r="F551" s="19"/>
      <c r="G551" s="20"/>
      <c r="H551" s="20"/>
      <c r="I551" s="21"/>
      <c r="J551" s="21"/>
      <c r="K551" s="25"/>
      <c r="L551" s="25"/>
      <c r="M551" s="25"/>
      <c r="O551" s="22"/>
    </row>
    <row r="552" spans="2:15" x14ac:dyDescent="0.25">
      <c r="B552" s="17" t="s">
        <v>515</v>
      </c>
      <c r="C552" s="16"/>
      <c r="E552" s="18"/>
      <c r="F552" s="19"/>
      <c r="G552" s="20"/>
      <c r="H552" s="20"/>
      <c r="I552" s="21"/>
      <c r="J552" s="21"/>
      <c r="K552" s="25"/>
      <c r="L552" s="25"/>
      <c r="M552" s="25"/>
      <c r="O552" s="22"/>
    </row>
    <row r="553" spans="2:15" x14ac:dyDescent="0.25">
      <c r="B553" s="17" t="s">
        <v>548</v>
      </c>
      <c r="C553" s="16"/>
      <c r="E553" s="18"/>
      <c r="F553" s="19"/>
      <c r="G553" s="20"/>
      <c r="H553" s="20"/>
      <c r="I553" s="21"/>
      <c r="J553" s="21"/>
      <c r="K553" s="25"/>
      <c r="L553" s="25"/>
      <c r="M553" s="25"/>
      <c r="O553" s="22"/>
    </row>
    <row r="554" spans="2:15" x14ac:dyDescent="0.25">
      <c r="B554" s="17" t="s">
        <v>1343</v>
      </c>
      <c r="C554" s="16"/>
      <c r="E554" s="18"/>
      <c r="F554" s="19"/>
      <c r="G554" s="20"/>
      <c r="H554" s="20"/>
      <c r="I554" s="21"/>
      <c r="J554" s="21"/>
      <c r="K554" s="25"/>
      <c r="L554" s="25"/>
      <c r="M554" s="25"/>
      <c r="O554" s="22"/>
    </row>
    <row r="555" spans="2:15" x14ac:dyDescent="0.25">
      <c r="B555" s="17" t="s">
        <v>1483</v>
      </c>
      <c r="C555" s="16"/>
      <c r="E555" s="18"/>
      <c r="F555" s="19"/>
      <c r="G555" s="20"/>
      <c r="H555" s="20"/>
      <c r="I555" s="21"/>
      <c r="J555" s="21"/>
      <c r="K555" s="25"/>
      <c r="L555" s="25"/>
      <c r="M555" s="25"/>
      <c r="O555" s="22"/>
    </row>
    <row r="556" spans="2:15" x14ac:dyDescent="0.25">
      <c r="B556" s="17" t="s">
        <v>693</v>
      </c>
      <c r="C556" s="16"/>
      <c r="E556" s="18"/>
      <c r="F556" s="19"/>
      <c r="G556" s="20"/>
      <c r="H556" s="20"/>
      <c r="I556" s="21"/>
      <c r="J556" s="21"/>
      <c r="K556" s="25"/>
      <c r="L556" s="25"/>
      <c r="M556" s="25"/>
      <c r="O556" s="22"/>
    </row>
    <row r="557" spans="2:15" x14ac:dyDescent="0.25">
      <c r="B557" s="17" t="s">
        <v>583</v>
      </c>
      <c r="C557" s="16"/>
      <c r="E557" s="18"/>
      <c r="F557" s="19"/>
      <c r="G557" s="20"/>
      <c r="H557" s="20"/>
      <c r="I557" s="21"/>
      <c r="J557" s="21"/>
      <c r="K557" s="25"/>
      <c r="L557" s="25"/>
      <c r="M557" s="25"/>
      <c r="O557" s="22"/>
    </row>
    <row r="558" spans="2:15" x14ac:dyDescent="0.25">
      <c r="B558" s="17" t="s">
        <v>468</v>
      </c>
      <c r="C558" s="16"/>
      <c r="E558" s="18"/>
      <c r="F558" s="19"/>
      <c r="G558" s="20"/>
      <c r="H558" s="20"/>
      <c r="I558" s="21"/>
      <c r="J558" s="21"/>
      <c r="K558" s="25"/>
      <c r="L558" s="25"/>
      <c r="M558" s="25"/>
      <c r="O558" s="22"/>
    </row>
    <row r="559" spans="2:15" x14ac:dyDescent="0.25">
      <c r="B559" s="17" t="s">
        <v>1426</v>
      </c>
      <c r="C559" s="16"/>
      <c r="E559" s="18"/>
      <c r="F559" s="19"/>
      <c r="G559" s="20"/>
      <c r="H559" s="20"/>
      <c r="I559" s="21"/>
      <c r="J559" s="21"/>
      <c r="K559" s="25"/>
      <c r="L559" s="25"/>
      <c r="M559" s="25"/>
      <c r="O559" s="22"/>
    </row>
    <row r="560" spans="2:15" x14ac:dyDescent="0.25">
      <c r="B560" s="17" t="s">
        <v>499</v>
      </c>
      <c r="C560" s="16"/>
      <c r="E560" s="18"/>
      <c r="F560" s="19"/>
      <c r="G560" s="20"/>
      <c r="H560" s="20"/>
      <c r="I560" s="21"/>
      <c r="J560" s="21"/>
      <c r="K560" s="25"/>
      <c r="L560" s="25"/>
      <c r="M560" s="25"/>
      <c r="O560" s="22"/>
    </row>
    <row r="561" spans="2:15" x14ac:dyDescent="0.25">
      <c r="B561" s="17" t="s">
        <v>1469</v>
      </c>
      <c r="C561" s="16"/>
      <c r="E561" s="18"/>
      <c r="F561" s="19"/>
      <c r="G561" s="20"/>
      <c r="H561" s="20"/>
      <c r="I561" s="21"/>
      <c r="J561" s="21"/>
      <c r="K561" s="25"/>
      <c r="L561" s="25"/>
      <c r="M561" s="25"/>
      <c r="O561" s="22"/>
    </row>
    <row r="562" spans="2:15" x14ac:dyDescent="0.25">
      <c r="B562" s="17" t="s">
        <v>1057</v>
      </c>
      <c r="C562" s="16"/>
      <c r="E562" s="18"/>
      <c r="F562" s="19"/>
      <c r="G562" s="20"/>
      <c r="H562" s="20"/>
      <c r="I562" s="21"/>
      <c r="J562" s="21"/>
      <c r="K562" s="25"/>
      <c r="L562" s="25"/>
      <c r="M562" s="25"/>
      <c r="O562" s="22"/>
    </row>
    <row r="563" spans="2:15" x14ac:dyDescent="0.25">
      <c r="B563" s="17" t="s">
        <v>558</v>
      </c>
      <c r="C563" s="16"/>
      <c r="E563" s="18"/>
      <c r="F563" s="19"/>
      <c r="G563" s="20"/>
      <c r="H563" s="20"/>
      <c r="I563" s="21"/>
      <c r="J563" s="21"/>
      <c r="K563" s="25"/>
      <c r="L563" s="25"/>
      <c r="M563" s="25"/>
      <c r="O563" s="22"/>
    </row>
    <row r="564" spans="2:15" x14ac:dyDescent="0.25">
      <c r="B564" s="17" t="s">
        <v>538</v>
      </c>
      <c r="C564" s="16"/>
      <c r="E564" s="18"/>
      <c r="F564" s="19"/>
      <c r="G564" s="20"/>
      <c r="H564" s="20"/>
      <c r="I564" s="21"/>
      <c r="J564" s="21"/>
      <c r="K564" s="25"/>
      <c r="L564" s="25"/>
      <c r="M564" s="25"/>
      <c r="O564" s="22"/>
    </row>
    <row r="565" spans="2:15" x14ac:dyDescent="0.25">
      <c r="B565" s="17" t="s">
        <v>972</v>
      </c>
      <c r="C565" s="16"/>
      <c r="E565" s="18"/>
      <c r="F565" s="19"/>
      <c r="G565" s="20"/>
      <c r="H565" s="20"/>
      <c r="I565" s="21"/>
      <c r="J565" s="21"/>
      <c r="K565" s="25"/>
      <c r="L565" s="25"/>
      <c r="M565" s="25"/>
      <c r="O565" s="22"/>
    </row>
    <row r="566" spans="2:15" x14ac:dyDescent="0.25">
      <c r="B566" s="17" t="s">
        <v>502</v>
      </c>
      <c r="C566" s="16"/>
      <c r="E566" s="18"/>
      <c r="F566" s="19"/>
      <c r="G566" s="20"/>
      <c r="H566" s="20"/>
      <c r="I566" s="21"/>
      <c r="J566" s="21"/>
      <c r="K566" s="25"/>
      <c r="L566" s="25"/>
      <c r="M566" s="25"/>
      <c r="O566" s="22"/>
    </row>
    <row r="567" spans="2:15" x14ac:dyDescent="0.25">
      <c r="B567" s="17" t="s">
        <v>1503</v>
      </c>
      <c r="C567" s="16"/>
      <c r="E567" s="18"/>
      <c r="F567" s="19"/>
      <c r="G567" s="20"/>
      <c r="H567" s="20"/>
      <c r="I567" s="21"/>
      <c r="J567" s="21"/>
      <c r="K567" s="25"/>
      <c r="L567" s="25"/>
      <c r="M567" s="25"/>
      <c r="O567" s="22"/>
    </row>
    <row r="568" spans="2:15" x14ac:dyDescent="0.25">
      <c r="B568" s="17" t="s">
        <v>1253</v>
      </c>
      <c r="C568" s="16"/>
      <c r="E568" s="18"/>
      <c r="F568" s="19"/>
      <c r="G568" s="20"/>
      <c r="H568" s="20"/>
      <c r="I568" s="21"/>
      <c r="J568" s="21"/>
      <c r="K568" s="25"/>
      <c r="L568" s="25"/>
      <c r="M568" s="25"/>
      <c r="O568" s="22"/>
    </row>
    <row r="569" spans="2:15" x14ac:dyDescent="0.25">
      <c r="B569" s="17" t="s">
        <v>607</v>
      </c>
      <c r="C569" s="16"/>
      <c r="E569" s="18"/>
      <c r="F569" s="19"/>
      <c r="G569" s="20"/>
      <c r="H569" s="20"/>
      <c r="I569" s="21"/>
      <c r="J569" s="21"/>
      <c r="K569" s="25"/>
      <c r="L569" s="25"/>
      <c r="M569" s="25"/>
      <c r="O569" s="22"/>
    </row>
    <row r="570" spans="2:15" x14ac:dyDescent="0.25">
      <c r="B570" s="17" t="s">
        <v>1136</v>
      </c>
      <c r="C570" s="16"/>
      <c r="E570" s="18"/>
      <c r="F570" s="19"/>
      <c r="G570" s="20"/>
      <c r="H570" s="20"/>
      <c r="I570" s="21"/>
      <c r="J570" s="21"/>
      <c r="K570" s="25"/>
      <c r="L570" s="25"/>
      <c r="M570" s="25"/>
      <c r="O570" s="22"/>
    </row>
    <row r="571" spans="2:15" x14ac:dyDescent="0.25">
      <c r="B571" s="17" t="s">
        <v>1229</v>
      </c>
      <c r="C571" s="16"/>
      <c r="E571" s="18"/>
      <c r="F571" s="19"/>
      <c r="G571" s="20"/>
      <c r="H571" s="20"/>
      <c r="I571" s="21"/>
      <c r="J571" s="21"/>
      <c r="K571" s="25"/>
      <c r="L571" s="25"/>
      <c r="M571" s="25"/>
      <c r="O571" s="22"/>
    </row>
    <row r="572" spans="2:15" x14ac:dyDescent="0.25">
      <c r="B572" s="17" t="s">
        <v>545</v>
      </c>
      <c r="C572" s="16"/>
      <c r="E572" s="18"/>
      <c r="F572" s="19"/>
      <c r="G572" s="20"/>
      <c r="H572" s="20"/>
      <c r="I572" s="21"/>
      <c r="J572" s="21"/>
      <c r="K572" s="25"/>
      <c r="L572" s="25"/>
      <c r="M572" s="25"/>
      <c r="O572" s="22"/>
    </row>
    <row r="573" spans="2:15" x14ac:dyDescent="0.25">
      <c r="B573" s="17" t="s">
        <v>505</v>
      </c>
      <c r="C573" s="16"/>
      <c r="E573" s="18"/>
      <c r="F573" s="19"/>
      <c r="G573" s="20"/>
      <c r="H573" s="20"/>
      <c r="I573" s="21"/>
      <c r="J573" s="21"/>
      <c r="K573" s="25"/>
      <c r="L573" s="25"/>
      <c r="M573" s="25"/>
      <c r="O573" s="22"/>
    </row>
    <row r="574" spans="2:15" x14ac:dyDescent="0.25">
      <c r="B574" s="17" t="s">
        <v>1615</v>
      </c>
      <c r="C574" s="16"/>
      <c r="E574" s="18"/>
      <c r="F574" s="19"/>
      <c r="G574" s="20"/>
      <c r="H574" s="20"/>
      <c r="I574" s="21"/>
      <c r="J574" s="21"/>
      <c r="K574" s="25"/>
      <c r="L574" s="25"/>
      <c r="M574" s="25"/>
      <c r="O574" s="22"/>
    </row>
    <row r="575" spans="2:15" x14ac:dyDescent="0.25">
      <c r="B575" s="17" t="s">
        <v>520</v>
      </c>
      <c r="C575" s="16"/>
      <c r="E575" s="18"/>
      <c r="F575" s="19"/>
      <c r="G575" s="20"/>
      <c r="H575" s="20"/>
      <c r="I575" s="21"/>
      <c r="J575" s="21"/>
      <c r="K575" s="25"/>
      <c r="L575" s="25"/>
      <c r="M575" s="25"/>
      <c r="O575" s="22"/>
    </row>
    <row r="576" spans="2:15" x14ac:dyDescent="0.25">
      <c r="B576" s="17" t="s">
        <v>550</v>
      </c>
      <c r="C576" s="16"/>
      <c r="E576" s="18"/>
      <c r="F576" s="19"/>
      <c r="G576" s="20"/>
      <c r="H576" s="20"/>
      <c r="I576" s="21"/>
      <c r="J576" s="21"/>
      <c r="K576" s="25"/>
      <c r="L576" s="25"/>
      <c r="M576" s="25"/>
      <c r="O576" s="22"/>
    </row>
    <row r="577" spans="2:15" x14ac:dyDescent="0.25">
      <c r="B577" s="17" t="s">
        <v>706</v>
      </c>
      <c r="C577" s="16"/>
      <c r="E577" s="18"/>
      <c r="F577" s="19"/>
      <c r="G577" s="20"/>
      <c r="H577" s="20"/>
      <c r="I577" s="21"/>
      <c r="J577" s="21"/>
      <c r="K577" s="25"/>
      <c r="L577" s="25"/>
      <c r="M577" s="25"/>
      <c r="O577" s="22"/>
    </row>
    <row r="578" spans="2:15" x14ac:dyDescent="0.25">
      <c r="B578" s="17" t="s">
        <v>202</v>
      </c>
      <c r="C578" s="16"/>
      <c r="E578" s="18"/>
      <c r="F578" s="19"/>
      <c r="G578" s="20"/>
      <c r="H578" s="20"/>
      <c r="I578" s="21"/>
      <c r="J578" s="21"/>
      <c r="K578" s="25"/>
      <c r="L578" s="25"/>
      <c r="M578" s="25"/>
      <c r="O578" s="22"/>
    </row>
    <row r="579" spans="2:15" x14ac:dyDescent="0.25">
      <c r="B579" s="17" t="s">
        <v>605</v>
      </c>
      <c r="C579" s="16"/>
      <c r="E579" s="18"/>
      <c r="F579" s="19"/>
      <c r="G579" s="20"/>
      <c r="H579" s="20"/>
      <c r="I579" s="21"/>
      <c r="J579" s="21"/>
      <c r="K579" s="25"/>
      <c r="L579" s="25"/>
      <c r="M579" s="25"/>
      <c r="O579" s="22"/>
    </row>
    <row r="580" spans="2:15" x14ac:dyDescent="0.25">
      <c r="B580" s="17" t="s">
        <v>354</v>
      </c>
      <c r="C580" s="16"/>
      <c r="E580" s="18"/>
      <c r="F580" s="23"/>
      <c r="G580" s="20"/>
      <c r="H580" s="20"/>
      <c r="I580" s="21"/>
      <c r="J580" s="21"/>
      <c r="K580" s="25"/>
      <c r="L580" s="25"/>
      <c r="M580" s="25"/>
      <c r="O580" s="22"/>
    </row>
    <row r="581" spans="2:15" x14ac:dyDescent="0.25">
      <c r="B581" s="17" t="s">
        <v>425</v>
      </c>
      <c r="C581" s="16"/>
      <c r="E581" s="18"/>
      <c r="F581" s="19"/>
      <c r="G581" s="20"/>
      <c r="H581" s="20"/>
      <c r="I581" s="21"/>
      <c r="J581" s="21"/>
      <c r="K581" s="25"/>
      <c r="L581" s="25"/>
      <c r="M581" s="25"/>
      <c r="O581" s="22"/>
    </row>
    <row r="582" spans="2:15" x14ac:dyDescent="0.25">
      <c r="B582" s="17" t="s">
        <v>912</v>
      </c>
      <c r="C582" s="16"/>
      <c r="E582" s="18"/>
      <c r="F582" s="19"/>
      <c r="G582" s="20"/>
      <c r="H582" s="20"/>
      <c r="I582" s="21"/>
      <c r="J582" s="21"/>
      <c r="K582" s="25"/>
      <c r="L582" s="25"/>
      <c r="M582" s="25"/>
      <c r="O582" s="22"/>
    </row>
    <row r="583" spans="2:15" x14ac:dyDescent="0.25">
      <c r="B583" s="17" t="s">
        <v>463</v>
      </c>
      <c r="C583" s="16"/>
      <c r="E583" s="18"/>
      <c r="F583" s="19"/>
      <c r="G583" s="20"/>
      <c r="H583" s="20"/>
      <c r="I583" s="21"/>
      <c r="J583" s="21"/>
      <c r="K583" s="25"/>
      <c r="L583" s="25"/>
      <c r="M583" s="25"/>
      <c r="O583" s="22"/>
    </row>
    <row r="584" spans="2:15" x14ac:dyDescent="0.25">
      <c r="B584" s="17" t="s">
        <v>1356</v>
      </c>
      <c r="C584" s="16"/>
      <c r="E584" s="18"/>
      <c r="F584" s="19"/>
      <c r="G584" s="20"/>
      <c r="H584" s="20"/>
      <c r="I584" s="21"/>
      <c r="J584" s="21"/>
      <c r="K584" s="25"/>
      <c r="L584" s="25"/>
      <c r="M584" s="25"/>
      <c r="O584" s="22"/>
    </row>
    <row r="585" spans="2:15" x14ac:dyDescent="0.25">
      <c r="B585" s="17" t="s">
        <v>377</v>
      </c>
      <c r="C585" s="16"/>
      <c r="E585" s="18"/>
      <c r="F585" s="19"/>
      <c r="G585" s="20"/>
      <c r="H585" s="20"/>
      <c r="I585" s="21"/>
      <c r="J585" s="21"/>
      <c r="K585" s="25"/>
      <c r="L585" s="25"/>
      <c r="M585" s="25"/>
      <c r="O585" s="22"/>
    </row>
    <row r="586" spans="2:15" x14ac:dyDescent="0.25">
      <c r="B586" s="17" t="s">
        <v>507</v>
      </c>
      <c r="C586" s="16"/>
      <c r="E586" s="18"/>
      <c r="F586" s="19"/>
      <c r="G586" s="20"/>
      <c r="H586" s="20"/>
      <c r="I586" s="21"/>
      <c r="J586" s="21"/>
      <c r="K586" s="25"/>
      <c r="L586" s="25"/>
      <c r="M586" s="25"/>
      <c r="O586" s="22"/>
    </row>
    <row r="587" spans="2:15" x14ac:dyDescent="0.25">
      <c r="B587" s="17" t="s">
        <v>494</v>
      </c>
      <c r="C587" s="16"/>
      <c r="E587" s="18"/>
      <c r="F587" s="19"/>
      <c r="G587" s="20"/>
      <c r="H587" s="20"/>
      <c r="I587" s="21"/>
      <c r="J587" s="21"/>
      <c r="K587" s="25"/>
      <c r="L587" s="25"/>
      <c r="M587" s="25"/>
      <c r="O587" s="22"/>
    </row>
    <row r="588" spans="2:15" x14ac:dyDescent="0.25">
      <c r="B588" s="17" t="s">
        <v>1549</v>
      </c>
      <c r="C588" s="16"/>
      <c r="E588" s="18"/>
      <c r="F588" s="19"/>
      <c r="G588" s="20"/>
      <c r="H588" s="20"/>
      <c r="I588" s="21"/>
      <c r="J588" s="21"/>
      <c r="K588" s="25"/>
      <c r="L588" s="25"/>
      <c r="M588" s="25"/>
      <c r="O588" s="22"/>
    </row>
    <row r="589" spans="2:15" x14ac:dyDescent="0.25">
      <c r="B589" s="17" t="s">
        <v>460</v>
      </c>
      <c r="C589" s="16"/>
      <c r="E589" s="18"/>
      <c r="F589" s="19"/>
      <c r="G589" s="20"/>
      <c r="H589" s="20"/>
      <c r="I589" s="21"/>
      <c r="J589" s="21"/>
      <c r="K589" s="25"/>
      <c r="L589" s="25"/>
      <c r="M589" s="25"/>
      <c r="O589" s="22"/>
    </row>
    <row r="590" spans="2:15" x14ac:dyDescent="0.25">
      <c r="B590" s="17" t="s">
        <v>537</v>
      </c>
      <c r="C590" s="16"/>
      <c r="E590" s="18"/>
      <c r="F590" s="19"/>
      <c r="G590" s="20"/>
      <c r="H590" s="20"/>
      <c r="I590" s="21"/>
      <c r="J590" s="21"/>
      <c r="K590" s="25"/>
      <c r="L590" s="25"/>
      <c r="M590" s="25"/>
      <c r="O590" s="22"/>
    </row>
    <row r="591" spans="2:15" x14ac:dyDescent="0.25">
      <c r="B591" s="17" t="s">
        <v>397</v>
      </c>
      <c r="C591" s="16"/>
      <c r="E591" s="18"/>
      <c r="F591" s="19"/>
      <c r="G591" s="20"/>
      <c r="H591" s="20"/>
      <c r="I591" s="21"/>
      <c r="J591" s="21"/>
      <c r="K591" s="25"/>
      <c r="L591" s="25"/>
      <c r="M591" s="25"/>
      <c r="O591" s="22"/>
    </row>
    <row r="592" spans="2:15" x14ac:dyDescent="0.25">
      <c r="B592" s="17" t="s">
        <v>1153</v>
      </c>
      <c r="C592" s="16"/>
      <c r="E592" s="18"/>
      <c r="F592" s="23"/>
      <c r="G592" s="20"/>
      <c r="H592" s="20"/>
      <c r="I592" s="21"/>
      <c r="J592" s="21"/>
      <c r="K592" s="25"/>
      <c r="L592" s="25"/>
      <c r="M592" s="25"/>
      <c r="O592" s="22"/>
    </row>
    <row r="593" spans="2:15" x14ac:dyDescent="0.25">
      <c r="B593" s="17" t="s">
        <v>475</v>
      </c>
      <c r="C593" s="16"/>
      <c r="E593" s="18"/>
      <c r="F593" s="19"/>
      <c r="G593" s="20"/>
      <c r="H593" s="20"/>
      <c r="I593" s="21"/>
      <c r="J593" s="21"/>
      <c r="K593" s="25"/>
      <c r="L593" s="25"/>
      <c r="M593" s="25"/>
      <c r="O593" s="22"/>
    </row>
    <row r="594" spans="2:15" x14ac:dyDescent="0.25">
      <c r="B594" s="17" t="s">
        <v>408</v>
      </c>
      <c r="C594" s="16"/>
      <c r="E594" s="18"/>
      <c r="F594" s="23"/>
      <c r="G594" s="20"/>
      <c r="H594" s="20"/>
      <c r="I594" s="21"/>
      <c r="J594" s="21"/>
      <c r="K594" s="25"/>
      <c r="L594" s="25"/>
      <c r="M594" s="25"/>
      <c r="O594" s="22"/>
    </row>
    <row r="595" spans="2:15" x14ac:dyDescent="0.25">
      <c r="B595" s="17" t="s">
        <v>1219</v>
      </c>
      <c r="C595" s="16"/>
      <c r="E595" s="18"/>
      <c r="F595" s="19"/>
      <c r="G595" s="20"/>
      <c r="H595" s="20"/>
      <c r="I595" s="21"/>
      <c r="J595" s="21"/>
      <c r="K595" s="25"/>
      <c r="L595" s="25"/>
      <c r="M595" s="25"/>
      <c r="O595" s="22"/>
    </row>
    <row r="596" spans="2:15" x14ac:dyDescent="0.25">
      <c r="B596" s="17" t="s">
        <v>687</v>
      </c>
      <c r="C596" s="16"/>
      <c r="E596" s="18"/>
      <c r="F596" s="19"/>
      <c r="G596" s="20"/>
      <c r="H596" s="20"/>
      <c r="I596" s="21"/>
      <c r="J596" s="21"/>
      <c r="K596" s="25"/>
      <c r="L596" s="25"/>
      <c r="M596" s="25"/>
      <c r="O596" s="22"/>
    </row>
    <row r="597" spans="2:15" x14ac:dyDescent="0.25">
      <c r="B597" s="17" t="s">
        <v>514</v>
      </c>
      <c r="C597" s="16"/>
      <c r="E597" s="18"/>
      <c r="F597" s="19"/>
      <c r="G597" s="20"/>
      <c r="H597" s="20"/>
      <c r="I597" s="21"/>
      <c r="J597" s="21"/>
      <c r="K597" s="25"/>
      <c r="L597" s="25"/>
      <c r="M597" s="25"/>
      <c r="O597" s="22"/>
    </row>
    <row r="598" spans="2:15" x14ac:dyDescent="0.25">
      <c r="B598" s="17" t="s">
        <v>464</v>
      </c>
      <c r="C598" s="16"/>
      <c r="E598" s="18"/>
      <c r="F598" s="19"/>
      <c r="G598" s="20"/>
      <c r="H598" s="20"/>
      <c r="I598" s="21"/>
      <c r="J598" s="21"/>
      <c r="K598" s="25"/>
      <c r="L598" s="25"/>
      <c r="M598" s="25"/>
      <c r="O598" s="22"/>
    </row>
    <row r="599" spans="2:15" x14ac:dyDescent="0.25">
      <c r="B599" s="17" t="s">
        <v>534</v>
      </c>
      <c r="C599" s="16"/>
      <c r="E599" s="18"/>
      <c r="F599" s="19"/>
      <c r="G599" s="20"/>
      <c r="H599" s="20"/>
      <c r="I599" s="21"/>
      <c r="J599" s="21"/>
      <c r="K599" s="25"/>
      <c r="L599" s="25"/>
      <c r="M599" s="25"/>
      <c r="O599" s="22"/>
    </row>
    <row r="600" spans="2:15" x14ac:dyDescent="0.25">
      <c r="B600" s="17" t="s">
        <v>1188</v>
      </c>
      <c r="C600" s="16"/>
      <c r="E600" s="18"/>
      <c r="F600" s="19"/>
      <c r="G600" s="20"/>
      <c r="H600" s="20"/>
      <c r="I600" s="21"/>
      <c r="J600" s="21"/>
      <c r="K600" s="25"/>
      <c r="L600" s="25"/>
      <c r="M600" s="25"/>
      <c r="O600" s="22"/>
    </row>
    <row r="601" spans="2:15" x14ac:dyDescent="0.25">
      <c r="B601" s="17" t="s">
        <v>512</v>
      </c>
      <c r="C601" s="16"/>
      <c r="E601" s="18"/>
      <c r="F601" s="19"/>
      <c r="G601" s="20"/>
      <c r="H601" s="20"/>
      <c r="I601" s="21"/>
      <c r="J601" s="21"/>
      <c r="K601" s="25"/>
      <c r="L601" s="25"/>
      <c r="M601" s="25"/>
      <c r="O601" s="22"/>
    </row>
    <row r="602" spans="2:15" x14ac:dyDescent="0.25">
      <c r="B602" s="17" t="s">
        <v>531</v>
      </c>
      <c r="C602" s="16"/>
      <c r="E602" s="18"/>
      <c r="F602" s="19"/>
      <c r="G602" s="20"/>
      <c r="H602" s="20"/>
      <c r="I602" s="21"/>
      <c r="J602" s="21"/>
      <c r="K602" s="25"/>
      <c r="L602" s="25"/>
      <c r="M602" s="25"/>
      <c r="O602" s="22"/>
    </row>
    <row r="603" spans="2:15" x14ac:dyDescent="0.25">
      <c r="B603" s="17" t="s">
        <v>388</v>
      </c>
      <c r="C603" s="16"/>
      <c r="E603" s="18"/>
      <c r="F603" s="19"/>
      <c r="G603" s="20"/>
      <c r="H603" s="20"/>
      <c r="I603" s="21"/>
      <c r="J603" s="21"/>
      <c r="K603" s="25"/>
      <c r="L603" s="25"/>
      <c r="M603" s="25"/>
      <c r="O603" s="22"/>
    </row>
    <row r="604" spans="2:15" x14ac:dyDescent="0.25">
      <c r="B604" s="17" t="s">
        <v>633</v>
      </c>
      <c r="C604" s="16"/>
      <c r="E604" s="18"/>
      <c r="F604" s="19"/>
      <c r="G604" s="20"/>
      <c r="H604" s="20"/>
      <c r="I604" s="21"/>
      <c r="J604" s="21"/>
      <c r="K604" s="25"/>
      <c r="L604" s="25"/>
      <c r="M604" s="25"/>
      <c r="O604" s="22"/>
    </row>
    <row r="605" spans="2:15" x14ac:dyDescent="0.25">
      <c r="B605" s="17" t="s">
        <v>1279</v>
      </c>
      <c r="C605" s="16"/>
      <c r="E605" s="18"/>
      <c r="F605" s="19"/>
      <c r="G605" s="20"/>
      <c r="H605" s="20"/>
      <c r="I605" s="21"/>
      <c r="J605" s="21"/>
      <c r="K605" s="25"/>
      <c r="L605" s="25"/>
      <c r="M605" s="25"/>
      <c r="O605" s="22"/>
    </row>
    <row r="606" spans="2:15" x14ac:dyDescent="0.25">
      <c r="B606" s="17" t="s">
        <v>406</v>
      </c>
      <c r="C606" s="16"/>
      <c r="E606" s="18"/>
      <c r="F606" s="23"/>
      <c r="G606" s="20"/>
      <c r="H606" s="20"/>
      <c r="I606" s="21"/>
      <c r="J606" s="21"/>
      <c r="K606" s="25"/>
      <c r="L606" s="25"/>
      <c r="M606" s="25"/>
      <c r="O606" s="22"/>
    </row>
    <row r="607" spans="2:15" x14ac:dyDescent="0.25">
      <c r="B607" s="17" t="s">
        <v>1007</v>
      </c>
      <c r="C607" s="16"/>
      <c r="E607" s="18"/>
      <c r="F607" s="19"/>
      <c r="G607" s="20"/>
      <c r="H607" s="20"/>
      <c r="I607" s="21"/>
      <c r="J607" s="21"/>
      <c r="K607" s="25"/>
      <c r="L607" s="25"/>
      <c r="M607" s="25"/>
      <c r="O607" s="22"/>
    </row>
    <row r="608" spans="2:15" x14ac:dyDescent="0.25">
      <c r="B608" s="17" t="s">
        <v>513</v>
      </c>
      <c r="C608" s="16"/>
      <c r="E608" s="18"/>
      <c r="F608" s="19"/>
      <c r="G608" s="20"/>
      <c r="H608" s="20"/>
      <c r="I608" s="21"/>
      <c r="J608" s="21"/>
      <c r="K608" s="25"/>
      <c r="L608" s="25"/>
      <c r="M608" s="25"/>
      <c r="O608" s="22"/>
    </row>
    <row r="609" spans="2:15" x14ac:dyDescent="0.25">
      <c r="B609" s="17" t="s">
        <v>471</v>
      </c>
      <c r="C609" s="16"/>
      <c r="E609" s="18"/>
      <c r="F609" s="19"/>
      <c r="G609" s="20"/>
      <c r="H609" s="20"/>
      <c r="I609" s="21"/>
      <c r="J609" s="21"/>
      <c r="K609" s="25"/>
      <c r="L609" s="25"/>
      <c r="M609" s="25"/>
      <c r="O609" s="22"/>
    </row>
    <row r="610" spans="2:15" x14ac:dyDescent="0.25">
      <c r="B610" s="17" t="s">
        <v>672</v>
      </c>
      <c r="C610" s="16"/>
      <c r="E610" s="18"/>
      <c r="F610" s="19"/>
      <c r="G610" s="20"/>
      <c r="H610" s="20"/>
      <c r="I610" s="21"/>
      <c r="J610" s="21"/>
      <c r="K610" s="25"/>
      <c r="L610" s="25"/>
      <c r="M610" s="25"/>
      <c r="O610" s="22"/>
    </row>
    <row r="611" spans="2:15" x14ac:dyDescent="0.25">
      <c r="B611" s="17" t="s">
        <v>430</v>
      </c>
      <c r="C611" s="16"/>
      <c r="E611" s="18"/>
      <c r="F611" s="19"/>
      <c r="G611" s="20"/>
      <c r="H611" s="20"/>
      <c r="I611" s="21"/>
      <c r="J611" s="21"/>
      <c r="K611" s="25"/>
      <c r="L611" s="25"/>
      <c r="M611" s="25"/>
      <c r="O611" s="22"/>
    </row>
    <row r="612" spans="2:15" x14ac:dyDescent="0.25">
      <c r="B612" s="17" t="s">
        <v>572</v>
      </c>
      <c r="C612" s="16"/>
      <c r="E612" s="18"/>
      <c r="F612" s="19"/>
      <c r="G612" s="20"/>
      <c r="H612" s="20"/>
      <c r="I612" s="21"/>
      <c r="J612" s="21"/>
      <c r="K612" s="25"/>
      <c r="L612" s="25"/>
      <c r="M612" s="25"/>
      <c r="O612" s="22"/>
    </row>
    <row r="613" spans="2:15" x14ac:dyDescent="0.25">
      <c r="B613" s="17" t="s">
        <v>787</v>
      </c>
      <c r="C613" s="16"/>
      <c r="E613" s="18"/>
      <c r="F613" s="19"/>
      <c r="G613" s="20"/>
      <c r="H613" s="20"/>
      <c r="I613" s="21"/>
      <c r="J613" s="21"/>
      <c r="K613" s="25"/>
      <c r="L613" s="25"/>
      <c r="M613" s="25"/>
      <c r="O613" s="22"/>
    </row>
    <row r="614" spans="2:15" x14ac:dyDescent="0.25">
      <c r="B614" s="17" t="s">
        <v>440</v>
      </c>
      <c r="C614" s="16"/>
      <c r="E614" s="18"/>
      <c r="F614" s="19"/>
      <c r="G614" s="20"/>
      <c r="H614" s="20"/>
      <c r="I614" s="21"/>
      <c r="J614" s="21"/>
      <c r="K614" s="25"/>
      <c r="L614" s="25"/>
      <c r="M614" s="25"/>
      <c r="O614" s="22"/>
    </row>
    <row r="615" spans="2:15" x14ac:dyDescent="0.25">
      <c r="B615" s="17" t="s">
        <v>523</v>
      </c>
      <c r="C615" s="16"/>
      <c r="E615" s="18"/>
      <c r="F615" s="23"/>
      <c r="G615" s="20"/>
      <c r="H615" s="20"/>
      <c r="I615" s="21"/>
      <c r="J615" s="21"/>
      <c r="K615" s="25"/>
      <c r="L615" s="25"/>
      <c r="M615" s="25"/>
      <c r="O615" s="22"/>
    </row>
    <row r="616" spans="2:15" x14ac:dyDescent="0.25">
      <c r="B616" s="17" t="s">
        <v>697</v>
      </c>
      <c r="C616" s="16"/>
      <c r="E616" s="18"/>
      <c r="F616" s="19"/>
      <c r="G616" s="20"/>
      <c r="H616" s="20"/>
      <c r="I616" s="21"/>
      <c r="J616" s="21"/>
      <c r="K616" s="25"/>
      <c r="L616" s="25"/>
      <c r="M616" s="25"/>
      <c r="O616" s="22"/>
    </row>
    <row r="617" spans="2:15" x14ac:dyDescent="0.25">
      <c r="B617" s="17" t="s">
        <v>1283</v>
      </c>
      <c r="C617" s="16"/>
      <c r="E617" s="18"/>
      <c r="F617" s="19"/>
      <c r="G617" s="20"/>
      <c r="H617" s="20"/>
      <c r="I617" s="21"/>
      <c r="J617" s="21"/>
      <c r="K617" s="25"/>
      <c r="L617" s="25"/>
      <c r="M617" s="25"/>
      <c r="O617" s="22"/>
    </row>
    <row r="618" spans="2:15" x14ac:dyDescent="0.25">
      <c r="B618" s="17" t="s">
        <v>805</v>
      </c>
      <c r="C618" s="16"/>
      <c r="E618" s="18"/>
      <c r="F618" s="19"/>
      <c r="G618" s="20"/>
      <c r="H618" s="20"/>
      <c r="I618" s="21"/>
      <c r="J618" s="21"/>
      <c r="K618" s="25"/>
      <c r="L618" s="25"/>
      <c r="M618" s="25"/>
      <c r="O618" s="22"/>
    </row>
    <row r="619" spans="2:15" x14ac:dyDescent="0.25">
      <c r="B619" s="17" t="s">
        <v>429</v>
      </c>
      <c r="C619" s="16"/>
      <c r="E619" s="18"/>
      <c r="F619" s="19"/>
      <c r="G619" s="20"/>
      <c r="H619" s="20"/>
      <c r="I619" s="21"/>
      <c r="J619" s="21"/>
      <c r="K619" s="25"/>
      <c r="L619" s="25"/>
      <c r="M619" s="25"/>
      <c r="O619" s="22"/>
    </row>
    <row r="620" spans="2:15" x14ac:dyDescent="0.25">
      <c r="B620" s="17" t="s">
        <v>518</v>
      </c>
      <c r="C620" s="16"/>
      <c r="E620" s="18"/>
      <c r="F620" s="19"/>
      <c r="G620" s="20"/>
      <c r="H620" s="20"/>
      <c r="I620" s="21"/>
      <c r="J620" s="21"/>
      <c r="K620" s="25"/>
      <c r="L620" s="25"/>
      <c r="M620" s="25"/>
      <c r="O620" s="22"/>
    </row>
    <row r="621" spans="2:15" x14ac:dyDescent="0.25">
      <c r="B621" s="17" t="s">
        <v>771</v>
      </c>
      <c r="C621" s="16"/>
      <c r="E621" s="18"/>
      <c r="F621" s="19"/>
      <c r="G621" s="20"/>
      <c r="H621" s="20"/>
      <c r="I621" s="21"/>
      <c r="J621" s="21"/>
      <c r="K621" s="25"/>
      <c r="L621" s="25"/>
      <c r="M621" s="25"/>
      <c r="O621" s="22"/>
    </row>
    <row r="622" spans="2:15" x14ac:dyDescent="0.25">
      <c r="B622" s="17" t="s">
        <v>728</v>
      </c>
      <c r="C622" s="16"/>
      <c r="E622" s="18"/>
      <c r="F622" s="19"/>
      <c r="G622" s="20"/>
      <c r="H622" s="20"/>
      <c r="I622" s="21"/>
      <c r="J622" s="21"/>
      <c r="K622" s="25"/>
      <c r="L622" s="25"/>
      <c r="M622" s="25"/>
      <c r="O622" s="22"/>
    </row>
    <row r="623" spans="2:15" x14ac:dyDescent="0.25">
      <c r="B623" s="17" t="s">
        <v>1218</v>
      </c>
      <c r="C623" s="16"/>
      <c r="E623" s="18"/>
      <c r="F623" s="19"/>
      <c r="G623" s="20"/>
      <c r="H623" s="20"/>
      <c r="I623" s="21"/>
      <c r="J623" s="21"/>
      <c r="K623" s="25"/>
      <c r="L623" s="25"/>
      <c r="M623" s="25"/>
      <c r="O623" s="22"/>
    </row>
    <row r="624" spans="2:15" x14ac:dyDescent="0.25">
      <c r="B624" s="17" t="s">
        <v>1487</v>
      </c>
      <c r="C624" s="16"/>
      <c r="E624" s="18"/>
      <c r="F624" s="19"/>
      <c r="G624" s="20"/>
      <c r="H624" s="20"/>
      <c r="I624" s="21"/>
      <c r="J624" s="21"/>
      <c r="K624" s="25"/>
      <c r="L624" s="25"/>
      <c r="M624" s="25"/>
      <c r="O624" s="22"/>
    </row>
    <row r="625" spans="2:15" x14ac:dyDescent="0.25">
      <c r="B625" s="17" t="s">
        <v>541</v>
      </c>
      <c r="C625" s="16"/>
      <c r="E625" s="18"/>
      <c r="F625" s="19"/>
      <c r="G625" s="20"/>
      <c r="H625" s="20"/>
      <c r="I625" s="21"/>
      <c r="J625" s="21"/>
      <c r="K625" s="25"/>
      <c r="L625" s="25"/>
      <c r="M625" s="25"/>
      <c r="O625" s="22"/>
    </row>
    <row r="626" spans="2:15" x14ac:dyDescent="0.25">
      <c r="B626" s="17" t="s">
        <v>602</v>
      </c>
      <c r="C626" s="16"/>
      <c r="E626" s="18"/>
      <c r="F626" s="19"/>
      <c r="G626" s="20"/>
      <c r="H626" s="20"/>
      <c r="I626" s="21"/>
      <c r="J626" s="21"/>
      <c r="K626" s="25"/>
      <c r="L626" s="25"/>
      <c r="M626" s="25"/>
      <c r="O626" s="22"/>
    </row>
    <row r="627" spans="2:15" x14ac:dyDescent="0.25">
      <c r="B627" s="17" t="s">
        <v>522</v>
      </c>
      <c r="C627" s="16"/>
      <c r="E627" s="18"/>
      <c r="F627" s="19"/>
      <c r="G627" s="20"/>
      <c r="H627" s="20"/>
      <c r="I627" s="21"/>
      <c r="J627" s="21"/>
      <c r="K627" s="25"/>
      <c r="L627" s="25"/>
      <c r="M627" s="25"/>
      <c r="O627" s="22"/>
    </row>
    <row r="628" spans="2:15" x14ac:dyDescent="0.25">
      <c r="B628" s="17" t="s">
        <v>948</v>
      </c>
      <c r="C628" s="16"/>
      <c r="E628" s="18"/>
      <c r="F628" s="19"/>
      <c r="G628" s="20"/>
      <c r="H628" s="20"/>
      <c r="I628" s="21"/>
      <c r="J628" s="21"/>
      <c r="K628" s="25"/>
      <c r="L628" s="25"/>
      <c r="M628" s="25"/>
      <c r="O628" s="22"/>
    </row>
    <row r="629" spans="2:15" x14ac:dyDescent="0.25">
      <c r="B629" s="17" t="s">
        <v>684</v>
      </c>
      <c r="C629" s="16"/>
      <c r="E629" s="18"/>
      <c r="F629" s="19"/>
      <c r="G629" s="20"/>
      <c r="H629" s="20"/>
      <c r="I629" s="21"/>
      <c r="J629" s="21"/>
      <c r="K629" s="25"/>
      <c r="L629" s="25"/>
      <c r="M629" s="25"/>
      <c r="O629" s="22"/>
    </row>
    <row r="630" spans="2:15" x14ac:dyDescent="0.25">
      <c r="B630" s="17" t="s">
        <v>416</v>
      </c>
      <c r="C630" s="16"/>
      <c r="E630" s="18"/>
      <c r="F630" s="19"/>
      <c r="G630" s="20"/>
      <c r="H630" s="20"/>
      <c r="I630" s="21"/>
      <c r="J630" s="21"/>
      <c r="K630" s="25"/>
      <c r="L630" s="25"/>
      <c r="M630" s="25"/>
      <c r="O630" s="22"/>
    </row>
    <row r="631" spans="2:15" x14ac:dyDescent="0.25">
      <c r="B631" s="17" t="s">
        <v>465</v>
      </c>
      <c r="C631" s="16"/>
      <c r="E631" s="18"/>
      <c r="F631" s="19"/>
      <c r="G631" s="20"/>
      <c r="H631" s="20"/>
      <c r="I631" s="21"/>
      <c r="J631" s="21"/>
      <c r="K631" s="25"/>
      <c r="L631" s="25"/>
      <c r="M631" s="25"/>
      <c r="O631" s="22"/>
    </row>
    <row r="632" spans="2:15" x14ac:dyDescent="0.25">
      <c r="B632" s="17" t="s">
        <v>666</v>
      </c>
      <c r="C632" s="16"/>
      <c r="E632" s="18"/>
      <c r="F632" s="19"/>
      <c r="G632" s="20"/>
      <c r="H632" s="20"/>
      <c r="I632" s="21"/>
      <c r="J632" s="21"/>
      <c r="K632" s="25"/>
      <c r="L632" s="25"/>
      <c r="M632" s="25"/>
      <c r="O632" s="22"/>
    </row>
    <row r="633" spans="2:15" x14ac:dyDescent="0.25">
      <c r="B633" s="17" t="s">
        <v>432</v>
      </c>
      <c r="C633" s="16"/>
      <c r="E633" s="18"/>
      <c r="F633" s="19"/>
      <c r="G633" s="20"/>
      <c r="H633" s="20"/>
      <c r="I633" s="21"/>
      <c r="J633" s="21"/>
      <c r="K633" s="25"/>
      <c r="L633" s="25"/>
      <c r="M633" s="25"/>
      <c r="O633" s="22"/>
    </row>
    <row r="634" spans="2:15" x14ac:dyDescent="0.25">
      <c r="B634" s="17" t="s">
        <v>1522</v>
      </c>
      <c r="C634" s="16"/>
      <c r="E634" s="18"/>
      <c r="F634" s="19"/>
      <c r="G634" s="20"/>
      <c r="H634" s="20"/>
      <c r="I634" s="21"/>
      <c r="J634" s="21"/>
      <c r="K634" s="25"/>
      <c r="L634" s="25"/>
      <c r="M634" s="25"/>
      <c r="O634" s="22"/>
    </row>
    <row r="635" spans="2:15" x14ac:dyDescent="0.25">
      <c r="B635" s="17" t="s">
        <v>420</v>
      </c>
      <c r="C635" s="16"/>
      <c r="E635" s="18"/>
      <c r="F635" s="19"/>
      <c r="G635" s="20"/>
      <c r="H635" s="20"/>
      <c r="I635" s="21"/>
      <c r="J635" s="21"/>
      <c r="K635" s="25"/>
      <c r="L635" s="25"/>
      <c r="M635" s="25"/>
      <c r="O635" s="22"/>
    </row>
    <row r="636" spans="2:15" x14ac:dyDescent="0.25">
      <c r="B636" s="17" t="s">
        <v>1191</v>
      </c>
      <c r="C636" s="16"/>
      <c r="E636" s="18"/>
      <c r="F636" s="19"/>
      <c r="G636" s="20"/>
      <c r="H636" s="20"/>
      <c r="I636" s="21"/>
      <c r="J636" s="21"/>
      <c r="K636" s="25"/>
      <c r="L636" s="25"/>
      <c r="M636" s="25"/>
      <c r="O636" s="22"/>
    </row>
    <row r="637" spans="2:15" x14ac:dyDescent="0.25">
      <c r="B637" s="17" t="s">
        <v>1156</v>
      </c>
      <c r="C637" s="16"/>
      <c r="E637" s="18"/>
      <c r="F637" s="19"/>
      <c r="G637" s="20"/>
      <c r="H637" s="20"/>
      <c r="I637" s="21"/>
      <c r="J637" s="21"/>
      <c r="K637" s="25"/>
      <c r="L637" s="25"/>
      <c r="M637" s="25"/>
      <c r="O637" s="22"/>
    </row>
    <row r="638" spans="2:15" x14ac:dyDescent="0.25">
      <c r="B638" s="17" t="s">
        <v>566</v>
      </c>
      <c r="C638" s="16"/>
      <c r="E638" s="18"/>
      <c r="F638" s="19"/>
      <c r="G638" s="20"/>
      <c r="H638" s="20"/>
      <c r="I638" s="21"/>
      <c r="J638" s="21"/>
      <c r="K638" s="25"/>
      <c r="L638" s="25"/>
      <c r="M638" s="25"/>
      <c r="O638" s="22"/>
    </row>
    <row r="639" spans="2:15" x14ac:dyDescent="0.25">
      <c r="B639" s="17" t="s">
        <v>1259</v>
      </c>
      <c r="C639" s="16"/>
      <c r="E639" s="18"/>
      <c r="F639" s="19"/>
      <c r="G639" s="20"/>
      <c r="H639" s="20"/>
      <c r="I639" s="21"/>
      <c r="J639" s="21"/>
      <c r="K639" s="25"/>
      <c r="L639" s="25"/>
      <c r="M639" s="25"/>
      <c r="O639" s="22"/>
    </row>
    <row r="640" spans="2:15" x14ac:dyDescent="0.25">
      <c r="B640" s="17" t="s">
        <v>730</v>
      </c>
      <c r="C640" s="16"/>
      <c r="E640" s="18"/>
      <c r="F640" s="19"/>
      <c r="G640" s="20"/>
      <c r="H640" s="20"/>
      <c r="I640" s="21"/>
      <c r="J640" s="21"/>
      <c r="K640" s="25"/>
      <c r="L640" s="25"/>
      <c r="M640" s="25"/>
      <c r="O640" s="22"/>
    </row>
    <row r="641" spans="2:15" x14ac:dyDescent="0.25">
      <c r="B641" s="17" t="s">
        <v>1377</v>
      </c>
      <c r="C641" s="16"/>
      <c r="E641" s="18"/>
      <c r="F641" s="19"/>
      <c r="G641" s="20"/>
      <c r="H641" s="20"/>
      <c r="I641" s="21"/>
      <c r="J641" s="21"/>
      <c r="K641" s="25"/>
      <c r="L641" s="25"/>
      <c r="M641" s="25"/>
      <c r="O641" s="22"/>
    </row>
    <row r="642" spans="2:15" x14ac:dyDescent="0.25">
      <c r="B642" s="17" t="s">
        <v>700</v>
      </c>
      <c r="C642" s="16"/>
      <c r="E642" s="18"/>
      <c r="F642" s="19"/>
      <c r="G642" s="20"/>
      <c r="H642" s="20"/>
      <c r="I642" s="21"/>
      <c r="J642" s="21"/>
      <c r="K642" s="25"/>
      <c r="L642" s="25"/>
      <c r="M642" s="25"/>
      <c r="O642" s="22"/>
    </row>
    <row r="643" spans="2:15" x14ac:dyDescent="0.25">
      <c r="B643" s="17" t="s">
        <v>487</v>
      </c>
      <c r="C643" s="16"/>
      <c r="E643" s="18"/>
      <c r="F643" s="19"/>
      <c r="G643" s="20"/>
      <c r="H643" s="20"/>
      <c r="I643" s="21"/>
      <c r="J643" s="21"/>
      <c r="K643" s="25"/>
      <c r="L643" s="25"/>
      <c r="M643" s="25"/>
      <c r="O643" s="22"/>
    </row>
    <row r="644" spans="2:15" x14ac:dyDescent="0.25">
      <c r="B644" s="17" t="s">
        <v>1579</v>
      </c>
      <c r="C644" s="16"/>
      <c r="E644" s="18"/>
      <c r="F644" s="19"/>
      <c r="G644" s="20"/>
      <c r="H644" s="20"/>
      <c r="I644" s="21"/>
      <c r="J644" s="21"/>
      <c r="K644" s="25"/>
      <c r="L644" s="25"/>
      <c r="M644" s="25"/>
      <c r="O644" s="22"/>
    </row>
    <row r="645" spans="2:15" x14ac:dyDescent="0.25">
      <c r="B645" s="17" t="s">
        <v>1131</v>
      </c>
      <c r="C645" s="16"/>
      <c r="E645" s="18"/>
      <c r="F645" s="19"/>
      <c r="G645" s="20"/>
      <c r="H645" s="20"/>
      <c r="I645" s="21"/>
      <c r="J645" s="21"/>
      <c r="K645" s="25"/>
      <c r="L645" s="25"/>
      <c r="M645" s="25"/>
      <c r="O645" s="22"/>
    </row>
    <row r="646" spans="2:15" x14ac:dyDescent="0.25">
      <c r="B646" s="17" t="s">
        <v>1504</v>
      </c>
      <c r="C646" s="16"/>
      <c r="E646" s="18"/>
      <c r="F646" s="19"/>
      <c r="G646" s="20"/>
      <c r="H646" s="20"/>
      <c r="I646" s="21"/>
      <c r="J646" s="21"/>
      <c r="K646" s="25"/>
      <c r="L646" s="25"/>
      <c r="M646" s="25"/>
      <c r="O646" s="22"/>
    </row>
    <row r="647" spans="2:15" x14ac:dyDescent="0.25">
      <c r="B647" s="17" t="s">
        <v>611</v>
      </c>
      <c r="C647" s="16"/>
      <c r="E647" s="18"/>
      <c r="F647" s="19"/>
      <c r="G647" s="20"/>
      <c r="H647" s="20"/>
      <c r="I647" s="21"/>
      <c r="J647" s="21"/>
      <c r="K647" s="25"/>
      <c r="L647" s="25"/>
      <c r="M647" s="25"/>
      <c r="O647" s="22"/>
    </row>
    <row r="648" spans="2:15" x14ac:dyDescent="0.25">
      <c r="B648" s="17" t="s">
        <v>544</v>
      </c>
      <c r="C648" s="16"/>
      <c r="E648" s="18"/>
      <c r="F648" s="19"/>
      <c r="G648" s="20"/>
      <c r="H648" s="20"/>
      <c r="I648" s="21"/>
      <c r="J648" s="21"/>
      <c r="K648" s="25"/>
      <c r="L648" s="25"/>
      <c r="M648" s="25"/>
      <c r="O648" s="22"/>
    </row>
    <row r="649" spans="2:15" x14ac:dyDescent="0.25">
      <c r="B649" s="17" t="s">
        <v>516</v>
      </c>
      <c r="C649" s="16"/>
      <c r="E649" s="18"/>
      <c r="F649" s="19"/>
      <c r="G649" s="20"/>
      <c r="H649" s="20"/>
      <c r="I649" s="21"/>
      <c r="J649" s="21"/>
      <c r="K649" s="25"/>
      <c r="L649" s="25"/>
      <c r="M649" s="25"/>
      <c r="O649" s="22"/>
    </row>
    <row r="650" spans="2:15" x14ac:dyDescent="0.25">
      <c r="B650" s="17" t="s">
        <v>613</v>
      </c>
      <c r="C650" s="16"/>
      <c r="E650" s="18"/>
      <c r="F650" s="19"/>
      <c r="G650" s="20"/>
      <c r="H650" s="20"/>
      <c r="I650" s="21"/>
      <c r="J650" s="21"/>
      <c r="K650" s="25"/>
      <c r="L650" s="25"/>
      <c r="M650" s="25"/>
      <c r="O650" s="22"/>
    </row>
    <row r="651" spans="2:15" x14ac:dyDescent="0.25">
      <c r="B651" s="17" t="s">
        <v>632</v>
      </c>
      <c r="C651" s="16"/>
      <c r="E651" s="18"/>
      <c r="F651" s="19"/>
      <c r="G651" s="20"/>
      <c r="H651" s="20"/>
      <c r="I651" s="21"/>
      <c r="J651" s="21"/>
      <c r="K651" s="25"/>
      <c r="L651" s="25"/>
      <c r="M651" s="25"/>
      <c r="O651" s="22"/>
    </row>
    <row r="652" spans="2:15" x14ac:dyDescent="0.25">
      <c r="B652" s="17" t="s">
        <v>580</v>
      </c>
      <c r="C652" s="16"/>
      <c r="E652" s="18"/>
      <c r="F652" s="19"/>
      <c r="G652" s="20"/>
      <c r="H652" s="20"/>
      <c r="I652" s="21"/>
      <c r="J652" s="21"/>
      <c r="K652" s="25"/>
      <c r="L652" s="25"/>
      <c r="M652" s="25"/>
      <c r="O652" s="22"/>
    </row>
    <row r="653" spans="2:15" x14ac:dyDescent="0.25">
      <c r="B653" s="17" t="s">
        <v>702</v>
      </c>
      <c r="C653" s="16"/>
      <c r="E653" s="18"/>
      <c r="F653" s="19"/>
      <c r="G653" s="20"/>
      <c r="H653" s="20"/>
      <c r="I653" s="21"/>
      <c r="J653" s="21"/>
      <c r="K653" s="25"/>
      <c r="L653" s="25"/>
      <c r="M653" s="25"/>
      <c r="O653" s="22"/>
    </row>
    <row r="654" spans="2:15" x14ac:dyDescent="0.25">
      <c r="B654" s="17" t="s">
        <v>591</v>
      </c>
      <c r="C654" s="16"/>
      <c r="E654" s="18"/>
      <c r="F654" s="19"/>
      <c r="G654" s="20"/>
      <c r="H654" s="20"/>
      <c r="I654" s="21"/>
      <c r="J654" s="21"/>
      <c r="K654" s="25"/>
      <c r="L654" s="25"/>
      <c r="M654" s="25"/>
      <c r="O654" s="22"/>
    </row>
    <row r="655" spans="2:15" x14ac:dyDescent="0.25">
      <c r="B655" s="17" t="s">
        <v>682</v>
      </c>
      <c r="C655" s="16"/>
      <c r="E655" s="18"/>
      <c r="F655" s="19"/>
      <c r="G655" s="20"/>
      <c r="H655" s="20"/>
      <c r="I655" s="21"/>
      <c r="J655" s="21"/>
      <c r="K655" s="25"/>
      <c r="L655" s="25"/>
      <c r="M655" s="25"/>
      <c r="O655" s="22"/>
    </row>
    <row r="656" spans="2:15" x14ac:dyDescent="0.25">
      <c r="B656" s="17" t="s">
        <v>737</v>
      </c>
      <c r="C656" s="16"/>
      <c r="E656" s="18"/>
      <c r="F656" s="19"/>
      <c r="G656" s="20"/>
      <c r="H656" s="20"/>
      <c r="I656" s="21"/>
      <c r="J656" s="21"/>
      <c r="K656" s="25"/>
      <c r="L656" s="25"/>
      <c r="M656" s="25"/>
      <c r="O656" s="22"/>
    </row>
    <row r="657" spans="2:15" x14ac:dyDescent="0.25">
      <c r="B657" s="17" t="s">
        <v>480</v>
      </c>
      <c r="C657" s="16"/>
      <c r="E657" s="18"/>
      <c r="F657" s="19"/>
      <c r="G657" s="20"/>
      <c r="H657" s="20"/>
      <c r="I657" s="21"/>
      <c r="J657" s="21"/>
      <c r="K657" s="25"/>
      <c r="L657" s="25"/>
      <c r="M657" s="25"/>
      <c r="O657" s="22"/>
    </row>
    <row r="658" spans="2:15" x14ac:dyDescent="0.25">
      <c r="B658" s="17" t="s">
        <v>568</v>
      </c>
      <c r="C658" s="16"/>
      <c r="E658" s="18"/>
      <c r="F658" s="19"/>
      <c r="G658" s="20"/>
      <c r="H658" s="20"/>
      <c r="I658" s="21"/>
      <c r="J658" s="21"/>
      <c r="K658" s="25"/>
      <c r="L658" s="25"/>
      <c r="M658" s="25"/>
      <c r="O658" s="22"/>
    </row>
    <row r="659" spans="2:15" x14ac:dyDescent="0.25">
      <c r="B659" s="17" t="s">
        <v>1295</v>
      </c>
      <c r="C659" s="16"/>
      <c r="E659" s="18"/>
      <c r="F659" s="19"/>
      <c r="G659" s="20"/>
      <c r="H659" s="20"/>
      <c r="I659" s="21"/>
      <c r="J659" s="21"/>
      <c r="K659" s="25"/>
      <c r="L659" s="25"/>
      <c r="M659" s="25"/>
      <c r="O659" s="22"/>
    </row>
    <row r="660" spans="2:15" x14ac:dyDescent="0.25">
      <c r="B660" s="17" t="s">
        <v>621</v>
      </c>
      <c r="C660" s="16"/>
      <c r="E660" s="18"/>
      <c r="F660" s="19"/>
      <c r="G660" s="20"/>
      <c r="H660" s="20"/>
      <c r="I660" s="21"/>
      <c r="J660" s="21"/>
      <c r="K660" s="25"/>
      <c r="L660" s="25"/>
      <c r="M660" s="25"/>
      <c r="O660" s="22"/>
    </row>
    <row r="661" spans="2:15" x14ac:dyDescent="0.25">
      <c r="B661" s="17" t="s">
        <v>576</v>
      </c>
      <c r="C661" s="16"/>
      <c r="E661" s="18"/>
      <c r="F661" s="19"/>
      <c r="G661" s="20"/>
      <c r="H661" s="20"/>
      <c r="I661" s="21"/>
      <c r="J661" s="21"/>
      <c r="K661" s="25"/>
      <c r="L661" s="25"/>
      <c r="M661" s="25"/>
      <c r="O661" s="22"/>
    </row>
    <row r="662" spans="2:15" x14ac:dyDescent="0.25">
      <c r="B662" s="17" t="s">
        <v>1452</v>
      </c>
      <c r="C662" s="16"/>
      <c r="E662" s="18"/>
      <c r="F662" s="19"/>
      <c r="G662" s="20"/>
      <c r="H662" s="20"/>
      <c r="I662" s="21"/>
      <c r="J662" s="21"/>
      <c r="K662" s="25"/>
      <c r="L662" s="25"/>
      <c r="M662" s="25"/>
      <c r="O662" s="22"/>
    </row>
    <row r="663" spans="2:15" x14ac:dyDescent="0.25">
      <c r="B663" s="17" t="s">
        <v>1187</v>
      </c>
      <c r="C663" s="16"/>
      <c r="E663" s="18"/>
      <c r="F663" s="19"/>
      <c r="G663" s="20"/>
      <c r="H663" s="20"/>
      <c r="I663" s="21"/>
      <c r="J663" s="21"/>
      <c r="K663" s="25"/>
      <c r="L663" s="25"/>
      <c r="M663" s="25"/>
      <c r="O663" s="22"/>
    </row>
    <row r="664" spans="2:15" x14ac:dyDescent="0.25">
      <c r="B664" s="17" t="s">
        <v>503</v>
      </c>
      <c r="C664" s="16"/>
      <c r="E664" s="18"/>
      <c r="F664" s="19"/>
      <c r="G664" s="20"/>
      <c r="H664" s="20"/>
      <c r="I664" s="21"/>
      <c r="J664" s="21"/>
      <c r="K664" s="25"/>
      <c r="L664" s="25"/>
      <c r="M664" s="25"/>
      <c r="O664" s="22"/>
    </row>
    <row r="665" spans="2:15" x14ac:dyDescent="0.25">
      <c r="B665" s="17" t="s">
        <v>680</v>
      </c>
      <c r="C665" s="16"/>
      <c r="E665" s="18"/>
      <c r="F665" s="19"/>
      <c r="G665" s="20"/>
      <c r="H665" s="20"/>
      <c r="I665" s="21"/>
      <c r="J665" s="21"/>
      <c r="K665" s="25"/>
      <c r="L665" s="25"/>
      <c r="M665" s="25"/>
      <c r="O665" s="22"/>
    </row>
    <row r="666" spans="2:15" x14ac:dyDescent="0.25">
      <c r="B666" s="17" t="s">
        <v>589</v>
      </c>
      <c r="C666" s="16"/>
      <c r="E666" s="18"/>
      <c r="F666" s="19"/>
      <c r="G666" s="20"/>
      <c r="H666" s="20"/>
      <c r="I666" s="21"/>
      <c r="J666" s="21"/>
      <c r="K666" s="25"/>
      <c r="L666" s="25"/>
      <c r="M666" s="25"/>
      <c r="O666" s="22"/>
    </row>
    <row r="667" spans="2:15" x14ac:dyDescent="0.25">
      <c r="B667" s="17" t="s">
        <v>479</v>
      </c>
      <c r="C667" s="16"/>
      <c r="E667" s="18"/>
      <c r="F667" s="19"/>
      <c r="G667" s="20"/>
      <c r="H667" s="20"/>
      <c r="I667" s="21"/>
      <c r="J667" s="21"/>
      <c r="K667" s="25"/>
      <c r="L667" s="25"/>
      <c r="M667" s="25"/>
      <c r="O667" s="22"/>
    </row>
    <row r="668" spans="2:15" x14ac:dyDescent="0.25">
      <c r="B668" s="17" t="s">
        <v>690</v>
      </c>
      <c r="C668" s="16"/>
      <c r="E668" s="18"/>
      <c r="F668" s="19"/>
      <c r="G668" s="20"/>
      <c r="H668" s="20"/>
      <c r="I668" s="21"/>
      <c r="J668" s="21"/>
      <c r="K668" s="25"/>
      <c r="L668" s="25"/>
      <c r="M668" s="25"/>
      <c r="O668" s="22"/>
    </row>
    <row r="669" spans="2:15" x14ac:dyDescent="0.25">
      <c r="B669" s="17" t="s">
        <v>1488</v>
      </c>
      <c r="C669" s="16"/>
      <c r="E669" s="18"/>
      <c r="F669" s="19"/>
      <c r="G669" s="20"/>
      <c r="H669" s="20"/>
      <c r="I669" s="21"/>
      <c r="J669" s="21"/>
      <c r="K669" s="25"/>
      <c r="L669" s="25"/>
      <c r="M669" s="25"/>
      <c r="O669" s="22"/>
    </row>
    <row r="670" spans="2:15" x14ac:dyDescent="0.25">
      <c r="B670" s="17" t="s">
        <v>553</v>
      </c>
      <c r="C670" s="16"/>
      <c r="E670" s="18"/>
      <c r="F670" s="19"/>
      <c r="G670" s="20"/>
      <c r="H670" s="20"/>
      <c r="I670" s="21"/>
      <c r="J670" s="21"/>
      <c r="K670" s="25"/>
      <c r="L670" s="25"/>
      <c r="M670" s="25"/>
      <c r="O670" s="22"/>
    </row>
    <row r="671" spans="2:15" x14ac:dyDescent="0.25">
      <c r="B671" s="17" t="s">
        <v>392</v>
      </c>
      <c r="C671" s="16"/>
      <c r="E671" s="18"/>
      <c r="F671" s="19"/>
      <c r="G671" s="20"/>
      <c r="H671" s="20"/>
      <c r="I671" s="21"/>
      <c r="J671" s="21"/>
      <c r="K671" s="25"/>
      <c r="L671" s="25"/>
      <c r="M671" s="25"/>
      <c r="O671" s="22"/>
    </row>
    <row r="672" spans="2:15" x14ac:dyDescent="0.25">
      <c r="B672" s="17" t="s">
        <v>509</v>
      </c>
      <c r="C672" s="16"/>
      <c r="E672" s="18"/>
      <c r="F672" s="19"/>
      <c r="G672" s="20"/>
      <c r="H672" s="20"/>
      <c r="I672" s="21"/>
      <c r="J672" s="21"/>
      <c r="K672" s="25"/>
      <c r="L672" s="25"/>
      <c r="M672" s="25"/>
      <c r="O672" s="22"/>
    </row>
    <row r="673" spans="2:15" x14ac:dyDescent="0.25">
      <c r="B673" s="17" t="s">
        <v>500</v>
      </c>
      <c r="C673" s="16"/>
      <c r="E673" s="18"/>
      <c r="F673" s="19"/>
      <c r="G673" s="20"/>
      <c r="H673" s="20"/>
      <c r="I673" s="21"/>
      <c r="J673" s="21"/>
      <c r="K673" s="25"/>
      <c r="L673" s="25"/>
      <c r="M673" s="25"/>
      <c r="O673" s="22"/>
    </row>
    <row r="674" spans="2:15" x14ac:dyDescent="0.25">
      <c r="B674" s="17" t="s">
        <v>524</v>
      </c>
      <c r="C674" s="16"/>
      <c r="E674" s="18"/>
      <c r="F674" s="19"/>
      <c r="G674" s="20"/>
      <c r="H674" s="20"/>
      <c r="I674" s="21"/>
      <c r="J674" s="21"/>
      <c r="K674" s="25"/>
      <c r="L674" s="25"/>
      <c r="M674" s="25"/>
      <c r="O674" s="22"/>
    </row>
    <row r="675" spans="2:15" x14ac:dyDescent="0.25">
      <c r="B675" s="17" t="s">
        <v>679</v>
      </c>
      <c r="C675" s="16"/>
      <c r="E675" s="18"/>
      <c r="F675" s="19"/>
      <c r="G675" s="20"/>
      <c r="H675" s="20"/>
      <c r="I675" s="21"/>
      <c r="J675" s="21"/>
      <c r="K675" s="25"/>
      <c r="L675" s="25"/>
      <c r="M675" s="25"/>
      <c r="O675" s="22"/>
    </row>
    <row r="676" spans="2:15" x14ac:dyDescent="0.25">
      <c r="B676" s="17" t="s">
        <v>535</v>
      </c>
      <c r="C676" s="16"/>
      <c r="E676" s="18"/>
      <c r="F676" s="19"/>
      <c r="G676" s="20"/>
      <c r="H676" s="20"/>
      <c r="I676" s="21"/>
      <c r="J676" s="21"/>
      <c r="K676" s="25"/>
      <c r="L676" s="25"/>
      <c r="M676" s="25"/>
      <c r="O676" s="22"/>
    </row>
    <row r="677" spans="2:15" x14ac:dyDescent="0.25">
      <c r="B677" s="17" t="s">
        <v>561</v>
      </c>
      <c r="C677" s="16"/>
      <c r="E677" s="18"/>
      <c r="F677" s="19"/>
      <c r="G677" s="20"/>
      <c r="H677" s="20"/>
      <c r="I677" s="21"/>
      <c r="J677" s="21"/>
      <c r="K677" s="25"/>
      <c r="L677" s="25"/>
      <c r="M677" s="25"/>
      <c r="O677" s="22"/>
    </row>
    <row r="678" spans="2:15" x14ac:dyDescent="0.25">
      <c r="B678" s="17" t="s">
        <v>577</v>
      </c>
      <c r="C678" s="16"/>
      <c r="E678" s="18"/>
      <c r="F678" s="19"/>
      <c r="G678" s="20"/>
      <c r="H678" s="20"/>
      <c r="I678" s="21"/>
      <c r="J678" s="21"/>
      <c r="K678" s="25"/>
      <c r="L678" s="25"/>
      <c r="M678" s="25"/>
      <c r="O678" s="22"/>
    </row>
    <row r="679" spans="2:15" x14ac:dyDescent="0.25">
      <c r="B679" s="17" t="s">
        <v>1264</v>
      </c>
      <c r="C679" s="16"/>
      <c r="E679" s="18"/>
      <c r="F679" s="19"/>
      <c r="G679" s="20"/>
      <c r="H679" s="20"/>
      <c r="I679" s="21"/>
      <c r="J679" s="21"/>
      <c r="K679" s="25"/>
      <c r="L679" s="25"/>
      <c r="M679" s="25"/>
      <c r="O679" s="22"/>
    </row>
    <row r="680" spans="2:15" x14ac:dyDescent="0.25">
      <c r="B680" s="17" t="s">
        <v>1252</v>
      </c>
      <c r="C680" s="16"/>
      <c r="E680" s="18"/>
      <c r="F680" s="19"/>
      <c r="G680" s="20"/>
      <c r="H680" s="20"/>
      <c r="I680" s="21"/>
      <c r="J680" s="21"/>
      <c r="K680" s="25"/>
      <c r="L680" s="25"/>
      <c r="M680" s="25"/>
      <c r="O680" s="22"/>
    </row>
    <row r="681" spans="2:15" x14ac:dyDescent="0.25">
      <c r="B681" s="17" t="s">
        <v>579</v>
      </c>
      <c r="C681" s="16"/>
      <c r="E681" s="18"/>
      <c r="F681" s="19"/>
      <c r="G681" s="20"/>
      <c r="H681" s="20"/>
      <c r="I681" s="21"/>
      <c r="J681" s="21"/>
      <c r="K681" s="25"/>
      <c r="L681" s="25"/>
      <c r="M681" s="25"/>
      <c r="O681" s="22"/>
    </row>
    <row r="682" spans="2:15" x14ac:dyDescent="0.25">
      <c r="B682" s="17" t="s">
        <v>1404</v>
      </c>
      <c r="C682" s="16"/>
      <c r="E682" s="18"/>
      <c r="F682" s="19"/>
      <c r="G682" s="20"/>
      <c r="H682" s="20"/>
      <c r="I682" s="21"/>
      <c r="J682" s="21"/>
      <c r="K682" s="25"/>
      <c r="L682" s="25"/>
      <c r="M682" s="25"/>
      <c r="O682" s="22"/>
    </row>
    <row r="683" spans="2:15" x14ac:dyDescent="0.25">
      <c r="B683" s="17" t="s">
        <v>1341</v>
      </c>
      <c r="C683" s="16"/>
      <c r="E683" s="18"/>
      <c r="F683" s="19"/>
      <c r="G683" s="20"/>
      <c r="H683" s="20"/>
      <c r="I683" s="21"/>
      <c r="J683" s="21"/>
      <c r="K683" s="25"/>
      <c r="L683" s="25"/>
      <c r="M683" s="25"/>
      <c r="O683" s="22"/>
    </row>
    <row r="684" spans="2:15" x14ac:dyDescent="0.25">
      <c r="B684" s="17" t="s">
        <v>488</v>
      </c>
      <c r="C684" s="16"/>
      <c r="E684" s="18"/>
      <c r="F684" s="19"/>
      <c r="G684" s="20"/>
      <c r="H684" s="20"/>
      <c r="I684" s="21"/>
      <c r="J684" s="21"/>
      <c r="K684" s="25"/>
      <c r="L684" s="25"/>
      <c r="M684" s="25"/>
      <c r="O684" s="22"/>
    </row>
    <row r="685" spans="2:15" x14ac:dyDescent="0.25">
      <c r="B685" s="17" t="s">
        <v>760</v>
      </c>
      <c r="C685" s="16"/>
      <c r="E685" s="18"/>
      <c r="F685" s="19"/>
      <c r="G685" s="20"/>
      <c r="H685" s="20"/>
      <c r="I685" s="21"/>
      <c r="J685" s="21"/>
      <c r="K685" s="25"/>
      <c r="L685" s="25"/>
      <c r="M685" s="25"/>
      <c r="O685" s="22"/>
    </row>
    <row r="686" spans="2:15" x14ac:dyDescent="0.25">
      <c r="B686" s="17" t="s">
        <v>603</v>
      </c>
      <c r="C686" s="16"/>
      <c r="E686" s="18"/>
      <c r="F686" s="19"/>
      <c r="G686" s="20"/>
      <c r="H686" s="20"/>
      <c r="I686" s="21"/>
      <c r="J686" s="21"/>
      <c r="K686" s="25"/>
      <c r="L686" s="25"/>
      <c r="M686" s="25"/>
      <c r="O686" s="22"/>
    </row>
    <row r="687" spans="2:15" x14ac:dyDescent="0.25">
      <c r="B687" s="17" t="s">
        <v>975</v>
      </c>
      <c r="C687" s="16"/>
      <c r="E687" s="18"/>
      <c r="F687" s="19"/>
      <c r="G687" s="20"/>
      <c r="H687" s="20"/>
      <c r="I687" s="21"/>
      <c r="J687" s="21"/>
      <c r="K687" s="25"/>
      <c r="L687" s="25"/>
      <c r="M687" s="25"/>
      <c r="O687" s="22"/>
    </row>
    <row r="688" spans="2:15" x14ac:dyDescent="0.25">
      <c r="B688" s="17" t="s">
        <v>1528</v>
      </c>
      <c r="C688" s="16"/>
      <c r="E688" s="18"/>
      <c r="F688" s="19"/>
      <c r="G688" s="20"/>
      <c r="H688" s="20"/>
      <c r="I688" s="21"/>
      <c r="J688" s="21"/>
      <c r="K688" s="25"/>
      <c r="L688" s="25"/>
      <c r="M688" s="25"/>
      <c r="O688" s="22"/>
    </row>
    <row r="689" spans="2:15" x14ac:dyDescent="0.25">
      <c r="B689" s="17" t="s">
        <v>721</v>
      </c>
      <c r="C689" s="16"/>
      <c r="E689" s="18"/>
      <c r="F689" s="19"/>
      <c r="G689" s="20"/>
      <c r="H689" s="20"/>
      <c r="I689" s="21"/>
      <c r="J689" s="21"/>
      <c r="K689" s="25"/>
      <c r="L689" s="25"/>
      <c r="M689" s="25"/>
      <c r="O689" s="22"/>
    </row>
    <row r="690" spans="2:15" x14ac:dyDescent="0.25">
      <c r="B690" s="17" t="s">
        <v>418</v>
      </c>
      <c r="C690" s="16"/>
      <c r="E690" s="18"/>
      <c r="F690" s="19"/>
      <c r="G690" s="20"/>
      <c r="H690" s="20"/>
      <c r="I690" s="21"/>
      <c r="J690" s="21"/>
      <c r="K690" s="25"/>
      <c r="L690" s="25"/>
      <c r="M690" s="25"/>
      <c r="O690" s="22"/>
    </row>
    <row r="691" spans="2:15" x14ac:dyDescent="0.25">
      <c r="B691" s="17" t="s">
        <v>70</v>
      </c>
      <c r="C691" s="16"/>
      <c r="E691" s="18"/>
      <c r="F691" s="19"/>
      <c r="G691" s="20"/>
      <c r="H691" s="20"/>
      <c r="I691" s="21"/>
      <c r="J691" s="21"/>
      <c r="K691" s="25"/>
      <c r="L691" s="25"/>
      <c r="M691" s="25"/>
      <c r="O691" s="22"/>
    </row>
    <row r="692" spans="2:15" x14ac:dyDescent="0.25">
      <c r="B692" s="17" t="s">
        <v>636</v>
      </c>
      <c r="C692" s="16"/>
      <c r="E692" s="18"/>
      <c r="F692" s="19"/>
      <c r="G692" s="20"/>
      <c r="H692" s="20"/>
      <c r="I692" s="21"/>
      <c r="J692" s="21"/>
      <c r="K692" s="25"/>
      <c r="L692" s="25"/>
      <c r="M692" s="25"/>
      <c r="O692" s="22"/>
    </row>
    <row r="693" spans="2:15" x14ac:dyDescent="0.25">
      <c r="B693" s="17" t="s">
        <v>569</v>
      </c>
      <c r="C693" s="16"/>
      <c r="E693" s="18"/>
      <c r="F693" s="19"/>
      <c r="G693" s="20"/>
      <c r="H693" s="20"/>
      <c r="I693" s="21"/>
      <c r="J693" s="21"/>
      <c r="K693" s="25"/>
      <c r="L693" s="25"/>
      <c r="M693" s="25"/>
      <c r="O693" s="22"/>
    </row>
    <row r="694" spans="2:15" x14ac:dyDescent="0.25">
      <c r="B694" s="17" t="s">
        <v>698</v>
      </c>
      <c r="C694" s="16"/>
      <c r="E694" s="18"/>
      <c r="F694" s="19"/>
      <c r="G694" s="20"/>
      <c r="H694" s="20"/>
      <c r="I694" s="21"/>
      <c r="J694" s="21"/>
      <c r="K694" s="25"/>
      <c r="L694" s="25"/>
      <c r="M694" s="25"/>
      <c r="O694" s="22"/>
    </row>
    <row r="695" spans="2:15" x14ac:dyDescent="0.25">
      <c r="B695" s="17" t="s">
        <v>696</v>
      </c>
      <c r="C695" s="16"/>
      <c r="E695" s="18"/>
      <c r="F695" s="19"/>
      <c r="G695" s="20"/>
      <c r="H695" s="20"/>
      <c r="I695" s="21"/>
      <c r="J695" s="21"/>
      <c r="K695" s="25"/>
      <c r="L695" s="25"/>
      <c r="M695" s="25"/>
      <c r="O695" s="22"/>
    </row>
    <row r="696" spans="2:15" x14ac:dyDescent="0.25">
      <c r="B696" s="17" t="s">
        <v>560</v>
      </c>
      <c r="C696" s="16"/>
      <c r="E696" s="18"/>
      <c r="F696" s="19"/>
      <c r="G696" s="20"/>
      <c r="H696" s="20"/>
      <c r="I696" s="21"/>
      <c r="J696" s="21"/>
      <c r="K696" s="25"/>
      <c r="L696" s="25"/>
      <c r="M696" s="25"/>
      <c r="O696" s="22"/>
    </row>
    <row r="697" spans="2:15" x14ac:dyDescent="0.25">
      <c r="B697" s="17" t="s">
        <v>1420</v>
      </c>
      <c r="C697" s="16"/>
      <c r="E697" s="18"/>
      <c r="F697" s="19"/>
      <c r="G697" s="20"/>
      <c r="H697" s="20"/>
      <c r="I697" s="21"/>
      <c r="J697" s="21"/>
      <c r="K697" s="25"/>
      <c r="L697" s="25"/>
      <c r="M697" s="25"/>
      <c r="O697" s="22"/>
    </row>
    <row r="698" spans="2:15" x14ac:dyDescent="0.25">
      <c r="B698" s="17" t="s">
        <v>829</v>
      </c>
      <c r="C698" s="16"/>
      <c r="E698" s="18"/>
      <c r="F698" s="19"/>
      <c r="G698" s="20"/>
      <c r="H698" s="20"/>
      <c r="I698" s="21"/>
      <c r="J698" s="21"/>
      <c r="K698" s="25"/>
      <c r="L698" s="25"/>
      <c r="M698" s="25"/>
      <c r="O698" s="22"/>
    </row>
    <row r="699" spans="2:15" x14ac:dyDescent="0.25">
      <c r="B699" s="17" t="s">
        <v>610</v>
      </c>
      <c r="C699" s="16"/>
      <c r="E699" s="18"/>
      <c r="F699" s="19"/>
      <c r="G699" s="20"/>
      <c r="H699" s="20"/>
      <c r="I699" s="21"/>
      <c r="J699" s="21"/>
      <c r="K699" s="25"/>
      <c r="L699" s="25"/>
      <c r="M699" s="25"/>
      <c r="O699" s="22"/>
    </row>
    <row r="700" spans="2:15" x14ac:dyDescent="0.25">
      <c r="B700" s="17" t="s">
        <v>713</v>
      </c>
      <c r="C700" s="16"/>
      <c r="E700" s="18"/>
      <c r="F700" s="19"/>
      <c r="G700" s="20"/>
      <c r="H700" s="20"/>
      <c r="I700" s="21"/>
      <c r="J700" s="21"/>
      <c r="K700" s="25"/>
      <c r="L700" s="25"/>
      <c r="M700" s="25"/>
      <c r="O700" s="22"/>
    </row>
    <row r="701" spans="2:15" x14ac:dyDescent="0.25">
      <c r="B701" s="17" t="s">
        <v>705</v>
      </c>
      <c r="C701" s="16"/>
      <c r="E701" s="18"/>
      <c r="F701" s="19"/>
      <c r="G701" s="20"/>
      <c r="H701" s="20"/>
      <c r="I701" s="21"/>
      <c r="J701" s="21"/>
      <c r="K701" s="25"/>
      <c r="L701" s="25"/>
      <c r="M701" s="25"/>
      <c r="O701" s="22"/>
    </row>
    <row r="702" spans="2:15" x14ac:dyDescent="0.25">
      <c r="B702" s="17" t="s">
        <v>739</v>
      </c>
      <c r="C702" s="16"/>
      <c r="E702" s="18"/>
      <c r="F702" s="19"/>
      <c r="G702" s="20"/>
      <c r="H702" s="20"/>
      <c r="I702" s="21"/>
      <c r="J702" s="21"/>
      <c r="K702" s="25"/>
      <c r="L702" s="25"/>
      <c r="M702" s="25"/>
      <c r="O702" s="22"/>
    </row>
    <row r="703" spans="2:15" x14ac:dyDescent="0.25">
      <c r="B703" s="17" t="s">
        <v>570</v>
      </c>
      <c r="C703" s="16"/>
      <c r="E703" s="18"/>
      <c r="F703" s="23"/>
      <c r="G703" s="20"/>
      <c r="H703" s="20"/>
      <c r="I703" s="21"/>
      <c r="J703" s="21"/>
      <c r="K703" s="25"/>
      <c r="L703" s="25"/>
      <c r="M703" s="25"/>
      <c r="O703" s="22"/>
    </row>
    <row r="704" spans="2:15" x14ac:dyDescent="0.25">
      <c r="B704" s="17" t="s">
        <v>1015</v>
      </c>
      <c r="C704" s="16"/>
      <c r="E704" s="18"/>
      <c r="F704" s="19"/>
      <c r="G704" s="20"/>
      <c r="H704" s="20"/>
      <c r="I704" s="21"/>
      <c r="J704" s="21"/>
      <c r="K704" s="25"/>
      <c r="L704" s="25"/>
      <c r="M704" s="25"/>
      <c r="O704" s="22"/>
    </row>
    <row r="705" spans="2:15" x14ac:dyDescent="0.25">
      <c r="B705" s="17" t="s">
        <v>1125</v>
      </c>
      <c r="C705" s="16"/>
      <c r="E705" s="18"/>
      <c r="F705" s="19"/>
      <c r="G705" s="20"/>
      <c r="H705" s="20"/>
      <c r="I705" s="21"/>
      <c r="J705" s="21"/>
      <c r="K705" s="25"/>
      <c r="L705" s="25"/>
      <c r="M705" s="25"/>
      <c r="O705" s="22"/>
    </row>
    <row r="706" spans="2:15" x14ac:dyDescent="0.25">
      <c r="B706" s="17" t="s">
        <v>691</v>
      </c>
      <c r="C706" s="16"/>
      <c r="E706" s="18"/>
      <c r="F706" s="19"/>
      <c r="G706" s="20"/>
      <c r="H706" s="20"/>
      <c r="I706" s="21"/>
      <c r="J706" s="21"/>
      <c r="K706" s="25"/>
      <c r="L706" s="25"/>
      <c r="M706" s="25"/>
      <c r="O706" s="22"/>
    </row>
    <row r="707" spans="2:15" x14ac:dyDescent="0.25">
      <c r="B707" s="17" t="s">
        <v>703</v>
      </c>
      <c r="C707" s="16"/>
      <c r="E707" s="18"/>
      <c r="F707" s="19"/>
      <c r="G707" s="20"/>
      <c r="H707" s="20"/>
      <c r="I707" s="21"/>
      <c r="J707" s="21"/>
      <c r="K707" s="25"/>
      <c r="L707" s="25"/>
      <c r="M707" s="25"/>
      <c r="O707" s="22"/>
    </row>
    <row r="708" spans="2:15" x14ac:dyDescent="0.25">
      <c r="B708" s="17" t="s">
        <v>527</v>
      </c>
      <c r="C708" s="16"/>
      <c r="E708" s="18"/>
      <c r="F708" s="19"/>
      <c r="G708" s="20"/>
      <c r="H708" s="20"/>
      <c r="I708" s="21"/>
      <c r="J708" s="21"/>
      <c r="K708" s="25"/>
      <c r="L708" s="25"/>
      <c r="M708" s="25"/>
      <c r="O708" s="22"/>
    </row>
    <row r="709" spans="2:15" x14ac:dyDescent="0.25">
      <c r="B709" s="17" t="s">
        <v>1566</v>
      </c>
      <c r="C709" s="16"/>
      <c r="E709" s="18"/>
      <c r="F709" s="19"/>
      <c r="G709" s="20"/>
      <c r="H709" s="20"/>
      <c r="I709" s="21"/>
      <c r="J709" s="21"/>
      <c r="K709" s="25"/>
      <c r="L709" s="25"/>
      <c r="M709" s="25"/>
      <c r="O709" s="22"/>
    </row>
    <row r="710" spans="2:15" x14ac:dyDescent="0.25">
      <c r="B710" s="17" t="s">
        <v>735</v>
      </c>
      <c r="C710" s="16"/>
      <c r="E710" s="18"/>
      <c r="F710" s="19"/>
      <c r="G710" s="20"/>
      <c r="H710" s="20"/>
      <c r="I710" s="21"/>
      <c r="J710" s="21"/>
      <c r="K710" s="25"/>
      <c r="L710" s="25"/>
      <c r="M710" s="25"/>
      <c r="O710" s="22"/>
    </row>
    <row r="711" spans="2:15" x14ac:dyDescent="0.25">
      <c r="B711" s="17" t="s">
        <v>590</v>
      </c>
      <c r="C711" s="16"/>
      <c r="E711" s="18"/>
      <c r="F711" s="19"/>
      <c r="G711" s="20"/>
      <c r="H711" s="20"/>
      <c r="I711" s="21"/>
      <c r="J711" s="21"/>
      <c r="K711" s="25"/>
      <c r="L711" s="25"/>
      <c r="M711" s="25"/>
      <c r="O711" s="22"/>
    </row>
    <row r="712" spans="2:15" x14ac:dyDescent="0.25">
      <c r="B712" s="17" t="s">
        <v>766</v>
      </c>
      <c r="C712" s="16"/>
      <c r="E712" s="18"/>
      <c r="F712" s="19"/>
      <c r="G712" s="20"/>
      <c r="H712" s="20"/>
      <c r="I712" s="21"/>
      <c r="J712" s="21"/>
      <c r="K712" s="25"/>
      <c r="L712" s="25"/>
      <c r="M712" s="25"/>
      <c r="O712" s="22"/>
    </row>
    <row r="713" spans="2:15" x14ac:dyDescent="0.25">
      <c r="B713" s="17" t="s">
        <v>694</v>
      </c>
      <c r="C713" s="16"/>
      <c r="E713" s="18"/>
      <c r="F713" s="19"/>
      <c r="G713" s="20"/>
      <c r="H713" s="20"/>
      <c r="I713" s="21"/>
      <c r="J713" s="21"/>
      <c r="K713" s="25"/>
      <c r="L713" s="25"/>
      <c r="M713" s="25"/>
      <c r="O713" s="22"/>
    </row>
    <row r="714" spans="2:15" x14ac:dyDescent="0.25">
      <c r="B714" s="17" t="s">
        <v>620</v>
      </c>
      <c r="C714" s="16"/>
      <c r="E714" s="18"/>
      <c r="F714" s="19"/>
      <c r="G714" s="20"/>
      <c r="H714" s="20"/>
      <c r="I714" s="21"/>
      <c r="J714" s="21"/>
      <c r="K714" s="25"/>
      <c r="L714" s="25"/>
      <c r="M714" s="25"/>
      <c r="O714" s="22"/>
    </row>
    <row r="715" spans="2:15" x14ac:dyDescent="0.25">
      <c r="B715" s="17" t="s">
        <v>594</v>
      </c>
      <c r="C715" s="16"/>
      <c r="E715" s="18"/>
      <c r="F715" s="19"/>
      <c r="G715" s="20"/>
      <c r="H715" s="20"/>
      <c r="I715" s="21"/>
      <c r="J715" s="21"/>
      <c r="K715" s="25"/>
      <c r="L715" s="25"/>
      <c r="M715" s="25"/>
      <c r="O715" s="22"/>
    </row>
    <row r="716" spans="2:15" x14ac:dyDescent="0.25">
      <c r="B716" s="17" t="s">
        <v>1124</v>
      </c>
      <c r="C716" s="16"/>
      <c r="E716" s="18"/>
      <c r="F716" s="19"/>
      <c r="G716" s="20"/>
      <c r="H716" s="20"/>
      <c r="I716" s="21"/>
      <c r="J716" s="21"/>
      <c r="K716" s="25"/>
      <c r="L716" s="25"/>
      <c r="M716" s="25"/>
      <c r="O716" s="22"/>
    </row>
    <row r="717" spans="2:15" x14ac:dyDescent="0.25">
      <c r="B717" s="17" t="s">
        <v>650</v>
      </c>
      <c r="C717" s="16"/>
      <c r="E717" s="18"/>
      <c r="F717" s="19"/>
      <c r="G717" s="20"/>
      <c r="H717" s="20"/>
      <c r="I717" s="21"/>
      <c r="J717" s="21"/>
      <c r="K717" s="25"/>
      <c r="L717" s="25"/>
      <c r="M717" s="25"/>
      <c r="O717" s="22"/>
    </row>
    <row r="718" spans="2:15" x14ac:dyDescent="0.25">
      <c r="B718" s="17" t="s">
        <v>711</v>
      </c>
      <c r="C718" s="16"/>
      <c r="E718" s="18"/>
      <c r="F718" s="19"/>
      <c r="G718" s="20"/>
      <c r="H718" s="20"/>
      <c r="I718" s="21"/>
      <c r="J718" s="21"/>
      <c r="K718" s="25"/>
      <c r="L718" s="25"/>
      <c r="M718" s="25"/>
      <c r="O718" s="22"/>
    </row>
    <row r="719" spans="2:15" x14ac:dyDescent="0.25">
      <c r="B719" s="17" t="s">
        <v>750</v>
      </c>
      <c r="C719" s="16"/>
      <c r="E719" s="18"/>
      <c r="F719" s="19"/>
      <c r="G719" s="20"/>
      <c r="H719" s="20"/>
      <c r="I719" s="21"/>
      <c r="J719" s="21"/>
      <c r="K719" s="25"/>
      <c r="L719" s="25"/>
      <c r="M719" s="25"/>
      <c r="O719" s="22"/>
    </row>
    <row r="720" spans="2:15" x14ac:dyDescent="0.25">
      <c r="B720" s="17" t="s">
        <v>643</v>
      </c>
      <c r="C720" s="16"/>
      <c r="E720" s="18"/>
      <c r="F720" s="19"/>
      <c r="G720" s="20"/>
      <c r="H720" s="20"/>
      <c r="I720" s="21"/>
      <c r="J720" s="21"/>
      <c r="K720" s="25"/>
      <c r="L720" s="25"/>
      <c r="M720" s="25"/>
      <c r="O720" s="22"/>
    </row>
    <row r="721" spans="2:15" x14ac:dyDescent="0.25">
      <c r="B721" s="17" t="s">
        <v>1200</v>
      </c>
      <c r="C721" s="16"/>
      <c r="E721" s="18"/>
      <c r="F721" s="19"/>
      <c r="G721" s="20"/>
      <c r="H721" s="20"/>
      <c r="I721" s="21"/>
      <c r="J721" s="21"/>
      <c r="K721" s="25"/>
      <c r="L721" s="25"/>
      <c r="M721" s="25"/>
      <c r="O721" s="22"/>
    </row>
    <row r="722" spans="2:15" x14ac:dyDescent="0.25">
      <c r="B722" s="17" t="s">
        <v>779</v>
      </c>
      <c r="C722" s="16"/>
      <c r="E722" s="18"/>
      <c r="F722" s="19"/>
      <c r="G722" s="20"/>
      <c r="H722" s="20"/>
      <c r="I722" s="21"/>
      <c r="J722" s="21"/>
      <c r="K722" s="25"/>
      <c r="L722" s="25"/>
      <c r="M722" s="25"/>
      <c r="O722" s="22"/>
    </row>
    <row r="723" spans="2:15" x14ac:dyDescent="0.25">
      <c r="B723" s="17" t="s">
        <v>688</v>
      </c>
      <c r="C723" s="16"/>
      <c r="E723" s="18"/>
      <c r="F723" s="19"/>
      <c r="G723" s="20"/>
      <c r="H723" s="20"/>
      <c r="I723" s="21"/>
      <c r="J723" s="21"/>
      <c r="K723" s="25"/>
      <c r="L723" s="25"/>
      <c r="M723" s="25"/>
      <c r="O723" s="22"/>
    </row>
    <row r="724" spans="2:15" x14ac:dyDescent="0.25">
      <c r="B724" s="17" t="s">
        <v>712</v>
      </c>
      <c r="C724" s="16"/>
      <c r="E724" s="18"/>
      <c r="F724" s="19"/>
      <c r="G724" s="20"/>
      <c r="H724" s="20"/>
      <c r="I724" s="21"/>
      <c r="J724" s="21"/>
      <c r="K724" s="25"/>
      <c r="L724" s="25"/>
      <c r="M724" s="25"/>
      <c r="O724" s="22"/>
    </row>
    <row r="725" spans="2:15" x14ac:dyDescent="0.25">
      <c r="B725" s="17" t="s">
        <v>409</v>
      </c>
      <c r="C725" s="16"/>
      <c r="E725" s="18"/>
      <c r="F725" s="19"/>
      <c r="G725" s="20"/>
      <c r="H725" s="20"/>
      <c r="I725" s="21"/>
      <c r="J725" s="21"/>
      <c r="K725" s="25"/>
      <c r="L725" s="25"/>
      <c r="M725" s="25"/>
      <c r="O725" s="22"/>
    </row>
    <row r="726" spans="2:15" x14ac:dyDescent="0.25">
      <c r="B726" s="17" t="s">
        <v>1345</v>
      </c>
      <c r="C726" s="16"/>
      <c r="E726" s="18"/>
      <c r="F726" s="19"/>
      <c r="G726" s="20"/>
      <c r="H726" s="20"/>
      <c r="I726" s="21"/>
      <c r="J726" s="21"/>
      <c r="K726" s="25"/>
      <c r="L726" s="25"/>
      <c r="M726" s="25"/>
      <c r="O726" s="22"/>
    </row>
    <row r="727" spans="2:15" x14ac:dyDescent="0.25">
      <c r="B727" s="17" t="s">
        <v>752</v>
      </c>
      <c r="C727" s="16"/>
      <c r="E727" s="18"/>
      <c r="F727" s="19"/>
      <c r="G727" s="20"/>
      <c r="H727" s="20"/>
      <c r="I727" s="21"/>
      <c r="J727" s="21"/>
      <c r="K727" s="25"/>
      <c r="L727" s="25"/>
      <c r="M727" s="25"/>
      <c r="O727" s="22"/>
    </row>
    <row r="728" spans="2:15" x14ac:dyDescent="0.25">
      <c r="B728" s="17" t="s">
        <v>1410</v>
      </c>
      <c r="C728" s="16"/>
      <c r="E728" s="18"/>
      <c r="F728" s="19"/>
      <c r="G728" s="20"/>
      <c r="H728" s="20"/>
      <c r="I728" s="21"/>
      <c r="J728" s="21"/>
      <c r="K728" s="25"/>
      <c r="L728" s="25"/>
      <c r="M728" s="25"/>
      <c r="O728" s="22"/>
    </row>
    <row r="729" spans="2:15" x14ac:dyDescent="0.25">
      <c r="B729" s="17" t="s">
        <v>947</v>
      </c>
      <c r="C729" s="16"/>
      <c r="E729" s="18"/>
      <c r="F729" s="19"/>
      <c r="G729" s="20"/>
      <c r="H729" s="20"/>
      <c r="I729" s="21"/>
      <c r="J729" s="21"/>
      <c r="K729" s="25"/>
      <c r="L729" s="25"/>
      <c r="M729" s="25"/>
      <c r="O729" s="22"/>
    </row>
    <row r="730" spans="2:15" x14ac:dyDescent="0.25">
      <c r="B730" s="17" t="s">
        <v>595</v>
      </c>
      <c r="C730" s="16"/>
      <c r="E730" s="18"/>
      <c r="F730" s="19"/>
      <c r="G730" s="20"/>
      <c r="H730" s="20"/>
      <c r="I730" s="21"/>
      <c r="J730" s="21"/>
      <c r="K730" s="25"/>
      <c r="L730" s="25"/>
      <c r="M730" s="25"/>
      <c r="O730" s="22"/>
    </row>
    <row r="731" spans="2:15" x14ac:dyDescent="0.25">
      <c r="B731" s="17" t="s">
        <v>733</v>
      </c>
      <c r="C731" s="16"/>
      <c r="E731" s="18"/>
      <c r="F731" s="19"/>
      <c r="G731" s="20"/>
      <c r="H731" s="20"/>
      <c r="I731" s="21"/>
      <c r="J731" s="21"/>
      <c r="K731" s="25"/>
      <c r="L731" s="25"/>
      <c r="M731" s="25"/>
      <c r="O731" s="22"/>
    </row>
    <row r="732" spans="2:15" x14ac:dyDescent="0.25">
      <c r="B732" s="17" t="s">
        <v>634</v>
      </c>
      <c r="C732" s="16"/>
      <c r="E732" s="18"/>
      <c r="F732" s="19"/>
      <c r="G732" s="20"/>
      <c r="H732" s="20"/>
      <c r="I732" s="21"/>
      <c r="J732" s="21"/>
      <c r="K732" s="25"/>
      <c r="L732" s="25"/>
      <c r="M732" s="25"/>
      <c r="O732" s="22"/>
    </row>
    <row r="733" spans="2:15" x14ac:dyDescent="0.25">
      <c r="B733" s="17" t="s">
        <v>1567</v>
      </c>
      <c r="C733" s="16"/>
      <c r="E733" s="18"/>
      <c r="F733" s="19"/>
      <c r="G733" s="20"/>
      <c r="H733" s="20"/>
      <c r="I733" s="21"/>
      <c r="J733" s="21"/>
      <c r="K733" s="25"/>
      <c r="L733" s="25"/>
      <c r="M733" s="25"/>
      <c r="O733" s="22"/>
    </row>
    <row r="734" spans="2:15" x14ac:dyDescent="0.25">
      <c r="B734" s="17" t="s">
        <v>410</v>
      </c>
      <c r="C734" s="16"/>
      <c r="E734" s="18"/>
      <c r="F734" s="19"/>
      <c r="G734" s="20"/>
      <c r="H734" s="20"/>
      <c r="I734" s="21"/>
      <c r="J734" s="21"/>
      <c r="K734" s="25"/>
      <c r="L734" s="25"/>
      <c r="M734" s="25"/>
      <c r="O734" s="22"/>
    </row>
    <row r="735" spans="2:15" x14ac:dyDescent="0.25">
      <c r="B735" s="17" t="s">
        <v>798</v>
      </c>
      <c r="C735" s="16"/>
      <c r="E735" s="18"/>
      <c r="F735" s="19"/>
      <c r="G735" s="20"/>
      <c r="H735" s="20"/>
      <c r="I735" s="21"/>
      <c r="J735" s="21"/>
      <c r="K735" s="25"/>
      <c r="L735" s="25"/>
      <c r="M735" s="25"/>
      <c r="O735" s="22"/>
    </row>
    <row r="736" spans="2:15" x14ac:dyDescent="0.25">
      <c r="B736" s="17" t="s">
        <v>743</v>
      </c>
      <c r="C736" s="16"/>
      <c r="E736" s="18"/>
      <c r="F736" s="19"/>
      <c r="G736" s="20"/>
      <c r="H736" s="20"/>
      <c r="I736" s="21"/>
      <c r="J736" s="21"/>
      <c r="K736" s="25"/>
      <c r="L736" s="25"/>
      <c r="M736" s="25"/>
      <c r="O736" s="22"/>
    </row>
    <row r="737" spans="2:15" x14ac:dyDescent="0.25">
      <c r="B737" s="17" t="s">
        <v>615</v>
      </c>
      <c r="C737" s="16"/>
      <c r="E737" s="18"/>
      <c r="F737" s="19"/>
      <c r="G737" s="20"/>
      <c r="H737" s="20"/>
      <c r="I737" s="21"/>
      <c r="J737" s="21"/>
      <c r="K737" s="25"/>
      <c r="L737" s="25"/>
      <c r="M737" s="25"/>
      <c r="O737" s="22"/>
    </row>
    <row r="738" spans="2:15" x14ac:dyDescent="0.25">
      <c r="B738" s="17" t="s">
        <v>528</v>
      </c>
      <c r="C738" s="16"/>
      <c r="E738" s="18"/>
      <c r="F738" s="19"/>
      <c r="G738" s="20"/>
      <c r="H738" s="20"/>
      <c r="I738" s="21"/>
      <c r="J738" s="21"/>
      <c r="K738" s="25"/>
      <c r="L738" s="25"/>
      <c r="M738" s="25"/>
      <c r="O738" s="22"/>
    </row>
    <row r="739" spans="2:15" x14ac:dyDescent="0.25">
      <c r="B739" s="17" t="s">
        <v>1350</v>
      </c>
      <c r="C739" s="16"/>
      <c r="E739" s="18"/>
      <c r="F739" s="19"/>
      <c r="G739" s="20"/>
      <c r="H739" s="20"/>
      <c r="I739" s="21"/>
      <c r="J739" s="21"/>
      <c r="K739" s="25"/>
      <c r="L739" s="25"/>
      <c r="M739" s="25"/>
      <c r="O739" s="22"/>
    </row>
    <row r="740" spans="2:15" x14ac:dyDescent="0.25">
      <c r="B740" s="17" t="s">
        <v>707</v>
      </c>
      <c r="C740" s="16"/>
      <c r="E740" s="18"/>
      <c r="F740" s="19"/>
      <c r="G740" s="20"/>
      <c r="H740" s="20"/>
      <c r="I740" s="21"/>
      <c r="J740" s="21"/>
      <c r="K740" s="25"/>
      <c r="L740" s="25"/>
      <c r="M740" s="25"/>
      <c r="O740" s="22"/>
    </row>
    <row r="741" spans="2:15" x14ac:dyDescent="0.25">
      <c r="B741" s="17" t="s">
        <v>1394</v>
      </c>
      <c r="C741" s="16"/>
      <c r="E741" s="18"/>
      <c r="F741" s="19"/>
      <c r="G741" s="20"/>
      <c r="H741" s="20"/>
      <c r="I741" s="21"/>
      <c r="J741" s="21"/>
      <c r="K741" s="25"/>
      <c r="L741" s="25"/>
      <c r="M741" s="25"/>
      <c r="O741" s="22"/>
    </row>
    <row r="742" spans="2:15" x14ac:dyDescent="0.25">
      <c r="B742" s="17" t="s">
        <v>1303</v>
      </c>
      <c r="C742" s="16"/>
      <c r="E742" s="18"/>
      <c r="F742" s="19"/>
      <c r="G742" s="20"/>
      <c r="H742" s="20"/>
      <c r="I742" s="21"/>
      <c r="J742" s="21"/>
      <c r="K742" s="25"/>
      <c r="L742" s="25"/>
      <c r="M742" s="25"/>
      <c r="O742" s="22"/>
    </row>
    <row r="743" spans="2:15" x14ac:dyDescent="0.25">
      <c r="B743" s="17" t="s">
        <v>1418</v>
      </c>
      <c r="C743" s="16"/>
      <c r="E743" s="18"/>
      <c r="F743" s="19"/>
      <c r="G743" s="20"/>
      <c r="H743" s="20"/>
      <c r="I743" s="21"/>
      <c r="J743" s="21"/>
      <c r="K743" s="25"/>
      <c r="L743" s="25"/>
      <c r="M743" s="25"/>
      <c r="O743" s="22"/>
    </row>
    <row r="744" spans="2:15" x14ac:dyDescent="0.25">
      <c r="B744" s="17" t="s">
        <v>701</v>
      </c>
      <c r="C744" s="16"/>
      <c r="E744" s="18"/>
      <c r="F744" s="19"/>
      <c r="G744" s="20"/>
      <c r="H744" s="20"/>
      <c r="I744" s="21"/>
      <c r="J744" s="21"/>
      <c r="K744" s="25"/>
      <c r="L744" s="25"/>
      <c r="M744" s="25"/>
      <c r="O744" s="22"/>
    </row>
    <row r="745" spans="2:15" x14ac:dyDescent="0.25">
      <c r="B745" s="17" t="s">
        <v>654</v>
      </c>
      <c r="C745" s="16"/>
      <c r="E745" s="18"/>
      <c r="F745" s="19"/>
      <c r="G745" s="20"/>
      <c r="H745" s="20"/>
      <c r="I745" s="21"/>
      <c r="J745" s="21"/>
      <c r="K745" s="25"/>
      <c r="L745" s="25"/>
      <c r="M745" s="25"/>
      <c r="O745" s="22"/>
    </row>
    <row r="746" spans="2:15" x14ac:dyDescent="0.25">
      <c r="B746" s="17" t="s">
        <v>1265</v>
      </c>
      <c r="C746" s="16"/>
      <c r="E746" s="18"/>
      <c r="F746" s="19"/>
      <c r="G746" s="20"/>
      <c r="H746" s="20"/>
      <c r="I746" s="21"/>
      <c r="J746" s="21"/>
      <c r="K746" s="25"/>
      <c r="L746" s="25"/>
      <c r="M746" s="25"/>
      <c r="O746" s="22"/>
    </row>
    <row r="747" spans="2:15" x14ac:dyDescent="0.25">
      <c r="B747" s="17" t="s">
        <v>673</v>
      </c>
      <c r="C747" s="16"/>
      <c r="E747" s="18"/>
      <c r="F747" s="19"/>
      <c r="G747" s="20"/>
      <c r="H747" s="20"/>
      <c r="I747" s="21"/>
      <c r="J747" s="21"/>
      <c r="K747" s="25"/>
      <c r="L747" s="25"/>
      <c r="M747" s="25"/>
      <c r="O747" s="22"/>
    </row>
    <row r="748" spans="2:15" x14ac:dyDescent="0.25">
      <c r="B748" s="17" t="s">
        <v>718</v>
      </c>
      <c r="C748" s="16"/>
      <c r="E748" s="18"/>
      <c r="F748" s="19"/>
      <c r="G748" s="20"/>
      <c r="H748" s="20"/>
      <c r="I748" s="21"/>
      <c r="J748" s="21"/>
      <c r="K748" s="25"/>
      <c r="L748" s="25"/>
      <c r="M748" s="25"/>
      <c r="O748" s="22"/>
    </row>
    <row r="749" spans="2:15" x14ac:dyDescent="0.25">
      <c r="B749" s="17" t="s">
        <v>715</v>
      </c>
      <c r="C749" s="16"/>
      <c r="E749" s="18"/>
      <c r="F749" s="19"/>
      <c r="G749" s="20"/>
      <c r="H749" s="20"/>
      <c r="I749" s="21"/>
      <c r="J749" s="21"/>
      <c r="K749" s="25"/>
      <c r="L749" s="25"/>
      <c r="M749" s="25"/>
      <c r="O749" s="22"/>
    </row>
    <row r="750" spans="2:15" x14ac:dyDescent="0.25">
      <c r="B750" s="17" t="s">
        <v>1529</v>
      </c>
      <c r="C750" s="16"/>
      <c r="E750" s="18"/>
      <c r="F750" s="19"/>
      <c r="G750" s="20"/>
      <c r="H750" s="20"/>
      <c r="I750" s="21"/>
      <c r="J750" s="21"/>
      <c r="K750" s="25"/>
      <c r="L750" s="25"/>
      <c r="M750" s="25"/>
      <c r="O750" s="22"/>
    </row>
    <row r="751" spans="2:15" x14ac:dyDescent="0.25">
      <c r="B751" s="17" t="s">
        <v>1324</v>
      </c>
      <c r="C751" s="16"/>
      <c r="E751" s="18"/>
      <c r="F751" s="19"/>
      <c r="G751" s="20"/>
      <c r="H751" s="20"/>
      <c r="I751" s="21"/>
      <c r="J751" s="21"/>
      <c r="K751" s="25"/>
      <c r="L751" s="25"/>
      <c r="M751" s="25"/>
      <c r="O751" s="22"/>
    </row>
    <row r="752" spans="2:15" x14ac:dyDescent="0.25">
      <c r="B752" s="17" t="s">
        <v>827</v>
      </c>
      <c r="C752" s="16"/>
      <c r="E752" s="18"/>
      <c r="F752" s="19"/>
      <c r="G752" s="20"/>
      <c r="H752" s="20"/>
      <c r="I752" s="21"/>
      <c r="J752" s="21"/>
      <c r="K752" s="25"/>
      <c r="L752" s="25"/>
      <c r="M752" s="25"/>
      <c r="O752" s="22"/>
    </row>
    <row r="753" spans="2:15" x14ac:dyDescent="0.25">
      <c r="B753" s="17" t="s">
        <v>584</v>
      </c>
      <c r="C753" s="16"/>
      <c r="E753" s="18"/>
      <c r="F753" s="19"/>
      <c r="G753" s="20"/>
      <c r="H753" s="20"/>
      <c r="I753" s="21"/>
      <c r="J753" s="21"/>
      <c r="K753" s="25"/>
      <c r="L753" s="25"/>
      <c r="M753" s="25"/>
      <c r="O753" s="22"/>
    </row>
    <row r="754" spans="2:15" x14ac:dyDescent="0.25">
      <c r="B754" s="17" t="s">
        <v>854</v>
      </c>
      <c r="C754" s="16"/>
      <c r="E754" s="18"/>
      <c r="F754" s="19"/>
      <c r="G754" s="20"/>
      <c r="H754" s="20"/>
      <c r="I754" s="21"/>
      <c r="J754" s="21"/>
      <c r="K754" s="25"/>
      <c r="L754" s="25"/>
      <c r="M754" s="25"/>
      <c r="O754" s="22"/>
    </row>
    <row r="755" spans="2:15" x14ac:dyDescent="0.25">
      <c r="B755" s="17" t="s">
        <v>556</v>
      </c>
      <c r="C755" s="16"/>
      <c r="E755" s="18"/>
      <c r="F755" s="19"/>
      <c r="G755" s="20"/>
      <c r="H755" s="20"/>
      <c r="I755" s="21"/>
      <c r="J755" s="21"/>
      <c r="K755" s="25"/>
      <c r="L755" s="25"/>
      <c r="M755" s="25"/>
      <c r="O755" s="22"/>
    </row>
    <row r="756" spans="2:15" x14ac:dyDescent="0.25">
      <c r="B756" s="17" t="s">
        <v>582</v>
      </c>
      <c r="C756" s="16"/>
      <c r="E756" s="18"/>
      <c r="F756" s="19"/>
      <c r="G756" s="20"/>
      <c r="H756" s="20"/>
      <c r="I756" s="21"/>
      <c r="J756" s="21"/>
      <c r="K756" s="25"/>
      <c r="L756" s="25"/>
      <c r="M756" s="25"/>
      <c r="O756" s="22"/>
    </row>
    <row r="757" spans="2:15" x14ac:dyDescent="0.25">
      <c r="B757" s="17" t="s">
        <v>763</v>
      </c>
      <c r="C757" s="16"/>
      <c r="E757" s="18"/>
      <c r="F757" s="19"/>
      <c r="G757" s="20"/>
      <c r="H757" s="20"/>
      <c r="I757" s="21"/>
      <c r="J757" s="21"/>
      <c r="K757" s="25"/>
      <c r="L757" s="25"/>
      <c r="M757" s="25"/>
      <c r="O757" s="22"/>
    </row>
    <row r="758" spans="2:15" x14ac:dyDescent="0.25">
      <c r="B758" s="17" t="s">
        <v>786</v>
      </c>
      <c r="C758" s="16"/>
      <c r="E758" s="18"/>
      <c r="F758" s="19"/>
      <c r="G758" s="20"/>
      <c r="H758" s="20"/>
      <c r="I758" s="21"/>
      <c r="J758" s="21"/>
      <c r="K758" s="25"/>
      <c r="L758" s="25"/>
      <c r="M758" s="25"/>
      <c r="O758" s="22"/>
    </row>
    <row r="759" spans="2:15" x14ac:dyDescent="0.25">
      <c r="B759" s="17" t="s">
        <v>753</v>
      </c>
      <c r="C759" s="16"/>
      <c r="E759" s="18"/>
      <c r="F759" s="19"/>
      <c r="G759" s="20"/>
      <c r="H759" s="20"/>
      <c r="I759" s="21"/>
      <c r="J759" s="21"/>
      <c r="K759" s="25"/>
      <c r="L759" s="25"/>
      <c r="M759" s="25"/>
      <c r="O759" s="22"/>
    </row>
    <row r="760" spans="2:15" x14ac:dyDescent="0.25">
      <c r="B760" s="17" t="s">
        <v>689</v>
      </c>
      <c r="C760" s="16"/>
      <c r="E760" s="18"/>
      <c r="F760" s="19"/>
      <c r="G760" s="20"/>
      <c r="H760" s="20"/>
      <c r="I760" s="21"/>
      <c r="J760" s="21"/>
      <c r="K760" s="25"/>
      <c r="L760" s="25"/>
      <c r="M760" s="25"/>
      <c r="O760" s="22"/>
    </row>
    <row r="761" spans="2:15" x14ac:dyDescent="0.25">
      <c r="B761" s="17" t="s">
        <v>958</v>
      </c>
      <c r="C761" s="16"/>
      <c r="E761" s="18"/>
      <c r="F761" s="19"/>
      <c r="G761" s="20"/>
      <c r="H761" s="20"/>
      <c r="I761" s="21"/>
      <c r="J761" s="21"/>
      <c r="K761" s="25"/>
      <c r="L761" s="25"/>
      <c r="M761" s="25"/>
      <c r="O761" s="22"/>
    </row>
    <row r="762" spans="2:15" x14ac:dyDescent="0.25">
      <c r="B762" s="17" t="s">
        <v>710</v>
      </c>
      <c r="C762" s="16"/>
      <c r="E762" s="18"/>
      <c r="F762" s="19"/>
      <c r="G762" s="20"/>
      <c r="H762" s="20"/>
      <c r="I762" s="21"/>
      <c r="J762" s="21"/>
      <c r="K762" s="25"/>
      <c r="L762" s="25"/>
      <c r="M762" s="25"/>
      <c r="O762" s="22"/>
    </row>
    <row r="763" spans="2:15" x14ac:dyDescent="0.25">
      <c r="B763" s="17" t="s">
        <v>821</v>
      </c>
      <c r="C763" s="16"/>
      <c r="E763" s="18"/>
      <c r="F763" s="19"/>
      <c r="G763" s="20"/>
      <c r="H763" s="20"/>
      <c r="I763" s="21"/>
      <c r="J763" s="21"/>
      <c r="K763" s="25"/>
      <c r="L763" s="25"/>
      <c r="M763" s="25"/>
      <c r="O763" s="22"/>
    </row>
    <row r="764" spans="2:15" x14ac:dyDescent="0.25">
      <c r="B764" s="17" t="s">
        <v>619</v>
      </c>
      <c r="C764" s="16"/>
      <c r="E764" s="18"/>
      <c r="F764" s="19"/>
      <c r="G764" s="20"/>
      <c r="H764" s="20"/>
      <c r="I764" s="21"/>
      <c r="J764" s="21"/>
      <c r="K764" s="25"/>
      <c r="L764" s="25"/>
      <c r="M764" s="25"/>
      <c r="O764" s="22"/>
    </row>
    <row r="765" spans="2:15" x14ac:dyDescent="0.25">
      <c r="B765" s="17" t="s">
        <v>478</v>
      </c>
      <c r="C765" s="16"/>
      <c r="E765" s="18"/>
      <c r="F765" s="19"/>
      <c r="G765" s="20"/>
      <c r="H765" s="20"/>
      <c r="I765" s="21"/>
      <c r="J765" s="21"/>
      <c r="K765" s="25"/>
      <c r="L765" s="25"/>
      <c r="M765" s="25"/>
      <c r="O765" s="22"/>
    </row>
    <row r="766" spans="2:15" x14ac:dyDescent="0.25">
      <c r="B766" s="17" t="s">
        <v>549</v>
      </c>
      <c r="C766" s="16"/>
      <c r="E766" s="18"/>
      <c r="F766" s="19"/>
      <c r="G766" s="20"/>
      <c r="H766" s="20"/>
      <c r="I766" s="21"/>
      <c r="J766" s="21"/>
      <c r="K766" s="25"/>
      <c r="L766" s="25"/>
      <c r="M766" s="25"/>
      <c r="O766" s="22"/>
    </row>
    <row r="767" spans="2:15" x14ac:dyDescent="0.25">
      <c r="B767" s="17" t="s">
        <v>768</v>
      </c>
      <c r="C767" s="16"/>
      <c r="E767" s="18"/>
      <c r="F767" s="19"/>
      <c r="G767" s="20"/>
      <c r="H767" s="20"/>
      <c r="I767" s="21"/>
      <c r="J767" s="21"/>
      <c r="K767" s="25"/>
      <c r="L767" s="25"/>
      <c r="M767" s="25"/>
      <c r="O767" s="22"/>
    </row>
    <row r="768" spans="2:15" x14ac:dyDescent="0.25">
      <c r="B768" s="17" t="s">
        <v>731</v>
      </c>
      <c r="C768" s="16"/>
      <c r="E768" s="18"/>
      <c r="F768" s="19"/>
      <c r="G768" s="20"/>
      <c r="H768" s="20"/>
      <c r="I768" s="21"/>
      <c r="J768" s="21"/>
      <c r="K768" s="25"/>
      <c r="L768" s="25"/>
      <c r="M768" s="25"/>
      <c r="O768" s="22"/>
    </row>
    <row r="769" spans="2:15" x14ac:dyDescent="0.25">
      <c r="B769" s="17" t="s">
        <v>1154</v>
      </c>
      <c r="C769" s="16"/>
      <c r="E769" s="18"/>
      <c r="F769" s="19"/>
      <c r="G769" s="20"/>
      <c r="H769" s="20"/>
      <c r="I769" s="21"/>
      <c r="J769" s="21"/>
      <c r="K769" s="25"/>
      <c r="L769" s="25"/>
      <c r="M769" s="25"/>
      <c r="O769" s="22"/>
    </row>
    <row r="770" spans="2:15" x14ac:dyDescent="0.25">
      <c r="B770" s="17" t="s">
        <v>782</v>
      </c>
      <c r="C770" s="16"/>
      <c r="E770" s="18"/>
      <c r="F770" s="19"/>
      <c r="G770" s="20"/>
      <c r="H770" s="20"/>
      <c r="I770" s="21"/>
      <c r="J770" s="21"/>
      <c r="K770" s="25"/>
      <c r="L770" s="25"/>
      <c r="M770" s="25"/>
      <c r="O770" s="22"/>
    </row>
    <row r="771" spans="2:15" x14ac:dyDescent="0.25">
      <c r="B771" s="17" t="s">
        <v>606</v>
      </c>
      <c r="C771" s="16"/>
      <c r="E771" s="18"/>
      <c r="F771" s="19"/>
      <c r="G771" s="20"/>
      <c r="H771" s="20"/>
      <c r="I771" s="21"/>
      <c r="J771" s="21"/>
      <c r="K771" s="25"/>
      <c r="L771" s="25"/>
      <c r="M771" s="25"/>
      <c r="O771" s="22"/>
    </row>
    <row r="772" spans="2:15" x14ac:dyDescent="0.25">
      <c r="B772" s="17" t="s">
        <v>757</v>
      </c>
      <c r="C772" s="16"/>
      <c r="E772" s="18"/>
      <c r="F772" s="19"/>
      <c r="G772" s="20"/>
      <c r="H772" s="20"/>
      <c r="I772" s="21"/>
      <c r="J772" s="21"/>
      <c r="K772" s="25"/>
      <c r="L772" s="25"/>
      <c r="M772" s="25"/>
      <c r="O772" s="22"/>
    </row>
    <row r="773" spans="2:15" x14ac:dyDescent="0.25">
      <c r="B773" s="17" t="s">
        <v>604</v>
      </c>
      <c r="C773" s="16"/>
      <c r="E773" s="18"/>
      <c r="F773" s="19"/>
      <c r="G773" s="20"/>
      <c r="H773" s="20"/>
      <c r="I773" s="21"/>
      <c r="J773" s="21"/>
      <c r="K773" s="25"/>
      <c r="L773" s="25"/>
      <c r="M773" s="25"/>
      <c r="O773" s="22"/>
    </row>
    <row r="774" spans="2:15" x14ac:dyDescent="0.25">
      <c r="B774" s="17" t="s">
        <v>1424</v>
      </c>
      <c r="C774" s="16"/>
      <c r="E774" s="18"/>
      <c r="F774" s="19"/>
      <c r="G774" s="20"/>
      <c r="H774" s="20"/>
      <c r="I774" s="21"/>
      <c r="J774" s="21"/>
      <c r="K774" s="25"/>
      <c r="L774" s="25"/>
      <c r="M774" s="25"/>
      <c r="O774" s="22"/>
    </row>
    <row r="775" spans="2:15" x14ac:dyDescent="0.25">
      <c r="B775" s="17" t="s">
        <v>761</v>
      </c>
      <c r="C775" s="16"/>
      <c r="E775" s="18"/>
      <c r="F775" s="19"/>
      <c r="G775" s="20"/>
      <c r="H775" s="20"/>
      <c r="I775" s="21"/>
      <c r="J775" s="21"/>
      <c r="K775" s="25"/>
      <c r="L775" s="25"/>
      <c r="M775" s="25"/>
      <c r="O775" s="22"/>
    </row>
    <row r="776" spans="2:15" x14ac:dyDescent="0.25">
      <c r="B776" s="17" t="s">
        <v>692</v>
      </c>
      <c r="C776" s="16"/>
      <c r="E776" s="18"/>
      <c r="F776" s="19"/>
      <c r="G776" s="20"/>
      <c r="H776" s="20"/>
      <c r="I776" s="21"/>
      <c r="J776" s="21"/>
      <c r="K776" s="25"/>
      <c r="L776" s="25"/>
      <c r="M776" s="25"/>
      <c r="O776" s="22"/>
    </row>
    <row r="777" spans="2:15" x14ac:dyDescent="0.25">
      <c r="B777" s="17" t="s">
        <v>599</v>
      </c>
      <c r="C777" s="16"/>
      <c r="E777" s="18"/>
      <c r="F777" s="19"/>
      <c r="G777" s="20"/>
      <c r="H777" s="20"/>
      <c r="I777" s="21"/>
      <c r="J777" s="21"/>
      <c r="K777" s="25"/>
      <c r="L777" s="25"/>
      <c r="M777" s="25"/>
      <c r="O777" s="22"/>
    </row>
    <row r="778" spans="2:15" x14ac:dyDescent="0.25">
      <c r="B778" s="17" t="s">
        <v>751</v>
      </c>
      <c r="C778" s="16"/>
      <c r="E778" s="18"/>
      <c r="F778" s="19"/>
      <c r="G778" s="20"/>
      <c r="H778" s="20"/>
      <c r="I778" s="21"/>
      <c r="J778" s="21"/>
      <c r="K778" s="25"/>
      <c r="L778" s="25"/>
      <c r="M778" s="25"/>
      <c r="O778" s="22"/>
    </row>
    <row r="779" spans="2:15" x14ac:dyDescent="0.25">
      <c r="B779" s="17" t="s">
        <v>740</v>
      </c>
      <c r="C779" s="16"/>
      <c r="E779" s="18"/>
      <c r="F779" s="19"/>
      <c r="G779" s="20"/>
      <c r="H779" s="20"/>
      <c r="I779" s="21"/>
      <c r="J779" s="21"/>
      <c r="K779" s="25"/>
      <c r="L779" s="25"/>
      <c r="M779" s="25"/>
      <c r="O779" s="22"/>
    </row>
    <row r="780" spans="2:15" x14ac:dyDescent="0.25">
      <c r="B780" s="17" t="s">
        <v>1484</v>
      </c>
      <c r="C780" s="16"/>
      <c r="E780" s="18"/>
      <c r="F780" s="19"/>
      <c r="G780" s="20"/>
      <c r="H780" s="20"/>
      <c r="I780" s="21"/>
      <c r="J780" s="21"/>
      <c r="K780" s="25"/>
      <c r="L780" s="25"/>
      <c r="M780" s="25"/>
      <c r="O780" s="22"/>
    </row>
    <row r="781" spans="2:15" x14ac:dyDescent="0.25">
      <c r="B781" s="17" t="s">
        <v>608</v>
      </c>
      <c r="C781" s="16"/>
      <c r="E781" s="18"/>
      <c r="F781" s="19"/>
      <c r="G781" s="20"/>
      <c r="H781" s="20"/>
      <c r="I781" s="21"/>
      <c r="J781" s="21"/>
      <c r="K781" s="25"/>
      <c r="L781" s="25"/>
      <c r="M781" s="25"/>
      <c r="O781" s="22"/>
    </row>
    <row r="782" spans="2:15" x14ac:dyDescent="0.25">
      <c r="B782" s="17" t="s">
        <v>714</v>
      </c>
      <c r="C782" s="16"/>
      <c r="E782" s="18"/>
      <c r="F782" s="19"/>
      <c r="G782" s="20"/>
      <c r="H782" s="20"/>
      <c r="I782" s="21"/>
      <c r="J782" s="21"/>
      <c r="K782" s="25"/>
      <c r="L782" s="25"/>
      <c r="M782" s="25"/>
      <c r="O782" s="22"/>
    </row>
    <row r="783" spans="2:15" x14ac:dyDescent="0.25">
      <c r="B783" s="17" t="s">
        <v>795</v>
      </c>
      <c r="C783" s="16"/>
      <c r="E783" s="18"/>
      <c r="F783" s="19"/>
      <c r="G783" s="20"/>
      <c r="H783" s="20"/>
      <c r="I783" s="21"/>
      <c r="J783" s="21"/>
      <c r="K783" s="25"/>
      <c r="L783" s="25"/>
      <c r="M783" s="25"/>
      <c r="O783" s="22"/>
    </row>
    <row r="784" spans="2:15" x14ac:dyDescent="0.25">
      <c r="B784" s="17" t="s">
        <v>1228</v>
      </c>
      <c r="C784" s="16"/>
      <c r="E784" s="18"/>
      <c r="F784" s="19"/>
      <c r="G784" s="20"/>
      <c r="H784" s="20"/>
      <c r="I784" s="21"/>
      <c r="J784" s="21"/>
      <c r="K784" s="25"/>
      <c r="L784" s="25"/>
      <c r="M784" s="25"/>
      <c r="O784" s="22"/>
    </row>
    <row r="785" spans="2:15" x14ac:dyDescent="0.25">
      <c r="B785" s="17" t="s">
        <v>372</v>
      </c>
      <c r="C785" s="16"/>
      <c r="E785" s="18"/>
      <c r="F785" s="23"/>
      <c r="G785" s="20"/>
      <c r="H785" s="20"/>
      <c r="I785" s="21"/>
      <c r="J785" s="21"/>
      <c r="K785" s="25"/>
      <c r="L785" s="25"/>
      <c r="M785" s="25"/>
      <c r="O785" s="22"/>
    </row>
    <row r="786" spans="2:15" x14ac:dyDescent="0.25">
      <c r="B786" s="17" t="s">
        <v>772</v>
      </c>
      <c r="C786" s="16"/>
      <c r="E786" s="18"/>
      <c r="F786" s="19"/>
      <c r="G786" s="20"/>
      <c r="H786" s="20"/>
      <c r="I786" s="21"/>
      <c r="J786" s="21"/>
      <c r="K786" s="25"/>
      <c r="L786" s="25"/>
      <c r="M786" s="25"/>
      <c r="O786" s="22"/>
    </row>
    <row r="787" spans="2:15" x14ac:dyDescent="0.25">
      <c r="B787" s="17" t="s">
        <v>756</v>
      </c>
      <c r="C787" s="16"/>
      <c r="E787" s="18"/>
      <c r="F787" s="19"/>
      <c r="G787" s="20"/>
      <c r="H787" s="20"/>
      <c r="I787" s="21"/>
      <c r="J787" s="21"/>
      <c r="K787" s="25"/>
      <c r="L787" s="25"/>
      <c r="M787" s="25"/>
      <c r="O787" s="22"/>
    </row>
    <row r="788" spans="2:15" x14ac:dyDescent="0.25">
      <c r="B788" s="17" t="s">
        <v>794</v>
      </c>
      <c r="C788" s="16"/>
      <c r="E788" s="18"/>
      <c r="F788" s="19"/>
      <c r="G788" s="20"/>
      <c r="H788" s="20"/>
      <c r="I788" s="21"/>
      <c r="J788" s="21"/>
      <c r="K788" s="25"/>
      <c r="L788" s="25"/>
      <c r="M788" s="25"/>
      <c r="O788" s="22"/>
    </row>
    <row r="789" spans="2:15" x14ac:dyDescent="0.25">
      <c r="B789" s="17" t="s">
        <v>736</v>
      </c>
      <c r="C789" s="16"/>
      <c r="E789" s="18"/>
      <c r="F789" s="19"/>
      <c r="G789" s="20"/>
      <c r="H789" s="20"/>
      <c r="I789" s="21"/>
      <c r="J789" s="21"/>
      <c r="K789" s="25"/>
      <c r="L789" s="25"/>
      <c r="M789" s="25"/>
      <c r="O789" s="22"/>
    </row>
    <row r="790" spans="2:15" x14ac:dyDescent="0.25">
      <c r="B790" s="17" t="s">
        <v>719</v>
      </c>
      <c r="C790" s="16"/>
      <c r="E790" s="18"/>
      <c r="F790" s="23"/>
      <c r="G790" s="20"/>
      <c r="H790" s="20"/>
      <c r="I790" s="21"/>
      <c r="J790" s="21"/>
      <c r="K790" s="25"/>
      <c r="L790" s="25"/>
      <c r="M790" s="25"/>
      <c r="O790" s="22"/>
    </row>
    <row r="791" spans="2:15" x14ac:dyDescent="0.25">
      <c r="B791" s="17" t="s">
        <v>742</v>
      </c>
      <c r="C791" s="16"/>
      <c r="E791" s="18"/>
      <c r="F791" s="19"/>
      <c r="G791" s="20"/>
      <c r="H791" s="20"/>
      <c r="I791" s="21"/>
      <c r="J791" s="21"/>
      <c r="K791" s="25"/>
      <c r="L791" s="25"/>
      <c r="M791" s="25"/>
      <c r="O791" s="22"/>
    </row>
    <row r="792" spans="2:15" x14ac:dyDescent="0.25">
      <c r="B792" s="17" t="s">
        <v>716</v>
      </c>
      <c r="C792" s="16"/>
      <c r="E792" s="18"/>
      <c r="F792" s="19"/>
      <c r="G792" s="20"/>
      <c r="H792" s="20"/>
      <c r="I792" s="21"/>
      <c r="J792" s="21"/>
      <c r="K792" s="25"/>
      <c r="L792" s="25"/>
      <c r="M792" s="25"/>
      <c r="O792" s="22"/>
    </row>
    <row r="793" spans="2:15" x14ac:dyDescent="0.25">
      <c r="B793" s="17" t="s">
        <v>596</v>
      </c>
      <c r="C793" s="16"/>
      <c r="E793" s="18"/>
      <c r="F793" s="19"/>
      <c r="G793" s="20"/>
      <c r="H793" s="20"/>
      <c r="I793" s="21"/>
      <c r="J793" s="21"/>
      <c r="K793" s="25"/>
      <c r="L793" s="25"/>
      <c r="M793" s="25"/>
      <c r="O793" s="22"/>
    </row>
    <row r="794" spans="2:15" x14ac:dyDescent="0.25">
      <c r="B794" s="17" t="s">
        <v>732</v>
      </c>
      <c r="C794" s="16"/>
      <c r="E794" s="18"/>
      <c r="F794" s="19"/>
      <c r="G794" s="20"/>
      <c r="H794" s="20"/>
      <c r="I794" s="21"/>
      <c r="J794" s="21"/>
      <c r="K794" s="25"/>
      <c r="L794" s="25"/>
      <c r="M794" s="25"/>
      <c r="O794" s="22"/>
    </row>
    <row r="795" spans="2:15" x14ac:dyDescent="0.25">
      <c r="B795" s="17" t="s">
        <v>390</v>
      </c>
      <c r="C795" s="16"/>
      <c r="E795" s="18"/>
      <c r="F795" s="19"/>
      <c r="G795" s="20"/>
      <c r="H795" s="20"/>
      <c r="I795" s="21"/>
      <c r="J795" s="21"/>
      <c r="K795" s="25"/>
      <c r="L795" s="25"/>
      <c r="M795" s="25"/>
      <c r="O795" s="22"/>
    </row>
    <row r="796" spans="2:15" x14ac:dyDescent="0.25">
      <c r="B796" s="17" t="s">
        <v>495</v>
      </c>
      <c r="C796" s="16"/>
      <c r="E796" s="18"/>
      <c r="F796" s="19"/>
      <c r="G796" s="20"/>
      <c r="H796" s="20"/>
      <c r="I796" s="21"/>
      <c r="J796" s="21"/>
      <c r="K796" s="25"/>
      <c r="L796" s="25"/>
      <c r="M796" s="25"/>
      <c r="O796" s="22"/>
    </row>
    <row r="797" spans="2:15" x14ac:dyDescent="0.25">
      <c r="B797" s="17" t="s">
        <v>552</v>
      </c>
      <c r="C797" s="16"/>
      <c r="E797" s="18"/>
      <c r="F797" s="19"/>
      <c r="G797" s="20"/>
      <c r="H797" s="20"/>
      <c r="I797" s="21"/>
      <c r="J797" s="21"/>
      <c r="K797" s="25"/>
      <c r="L797" s="25"/>
      <c r="M797" s="25"/>
      <c r="O797" s="22"/>
    </row>
    <row r="798" spans="2:15" x14ac:dyDescent="0.25">
      <c r="B798" s="17" t="s">
        <v>1278</v>
      </c>
      <c r="C798" s="16"/>
      <c r="E798" s="18"/>
      <c r="F798" s="19"/>
      <c r="G798" s="20"/>
      <c r="H798" s="20"/>
      <c r="I798" s="21"/>
      <c r="J798" s="21"/>
      <c r="K798" s="25"/>
      <c r="L798" s="25"/>
      <c r="M798" s="25"/>
      <c r="O798" s="22"/>
    </row>
    <row r="799" spans="2:15" x14ac:dyDescent="0.25">
      <c r="B799" s="17" t="s">
        <v>709</v>
      </c>
      <c r="C799" s="16"/>
      <c r="E799" s="18"/>
      <c r="F799" s="19"/>
      <c r="G799" s="20"/>
      <c r="H799" s="20"/>
      <c r="I799" s="21"/>
      <c r="J799" s="21"/>
      <c r="K799" s="25"/>
      <c r="L799" s="25"/>
      <c r="M799" s="25"/>
      <c r="O799" s="22"/>
    </row>
    <row r="800" spans="2:15" x14ac:dyDescent="0.25">
      <c r="B800" s="17" t="s">
        <v>764</v>
      </c>
      <c r="C800" s="16"/>
      <c r="E800" s="18"/>
      <c r="F800" s="19"/>
      <c r="G800" s="20"/>
      <c r="H800" s="20"/>
      <c r="I800" s="21"/>
      <c r="J800" s="21"/>
      <c r="K800" s="25"/>
      <c r="L800" s="25"/>
      <c r="M800" s="25"/>
      <c r="O800" s="22"/>
    </row>
    <row r="801" spans="2:15" x14ac:dyDescent="0.25">
      <c r="B801" s="17" t="s">
        <v>729</v>
      </c>
      <c r="C801" s="16"/>
      <c r="E801" s="18"/>
      <c r="F801" s="19"/>
      <c r="G801" s="20"/>
      <c r="H801" s="20"/>
      <c r="I801" s="21"/>
      <c r="J801" s="21"/>
      <c r="K801" s="25"/>
      <c r="L801" s="25"/>
      <c r="M801" s="25"/>
      <c r="O801" s="22"/>
    </row>
    <row r="802" spans="2:15" x14ac:dyDescent="0.25">
      <c r="B802" s="17" t="s">
        <v>1408</v>
      </c>
      <c r="C802" s="16"/>
      <c r="E802" s="18"/>
      <c r="F802" s="19"/>
      <c r="G802" s="20"/>
      <c r="H802" s="20"/>
      <c r="I802" s="21"/>
      <c r="J802" s="21"/>
      <c r="K802" s="25"/>
      <c r="L802" s="25"/>
      <c r="M802" s="25"/>
      <c r="O802" s="22"/>
    </row>
    <row r="803" spans="2:15" x14ac:dyDescent="0.25">
      <c r="B803" s="17" t="s">
        <v>717</v>
      </c>
      <c r="C803" s="16"/>
      <c r="E803" s="18"/>
      <c r="F803" s="19"/>
      <c r="G803" s="20"/>
      <c r="H803" s="20"/>
      <c r="I803" s="21"/>
      <c r="J803" s="21"/>
      <c r="K803" s="25"/>
      <c r="L803" s="25"/>
      <c r="M803" s="25"/>
      <c r="O803" s="22"/>
    </row>
    <row r="804" spans="2:15" x14ac:dyDescent="0.25">
      <c r="B804" s="17" t="s">
        <v>810</v>
      </c>
      <c r="C804" s="16"/>
      <c r="E804" s="18"/>
      <c r="F804" s="19"/>
      <c r="G804" s="20"/>
      <c r="H804" s="20"/>
      <c r="I804" s="21"/>
      <c r="J804" s="21"/>
      <c r="K804" s="25"/>
      <c r="L804" s="25"/>
      <c r="M804" s="25"/>
      <c r="O804" s="22"/>
    </row>
    <row r="805" spans="2:15" x14ac:dyDescent="0.25">
      <c r="B805" s="17" t="s">
        <v>1449</v>
      </c>
      <c r="C805" s="16"/>
      <c r="E805" s="18"/>
      <c r="F805" s="23"/>
      <c r="G805" s="20"/>
      <c r="H805" s="20"/>
      <c r="I805" s="21"/>
      <c r="J805" s="21"/>
      <c r="K805" s="25"/>
      <c r="L805" s="25"/>
      <c r="M805" s="25"/>
      <c r="O805" s="22"/>
    </row>
    <row r="806" spans="2:15" x14ac:dyDescent="0.25">
      <c r="B806" s="17" t="s">
        <v>631</v>
      </c>
      <c r="C806" s="16"/>
      <c r="E806" s="18"/>
      <c r="F806" s="19"/>
      <c r="G806" s="20"/>
      <c r="H806" s="20"/>
      <c r="I806" s="21"/>
      <c r="J806" s="21"/>
      <c r="K806" s="25"/>
      <c r="L806" s="25"/>
      <c r="M806" s="25"/>
      <c r="O806" s="22"/>
    </row>
    <row r="807" spans="2:15" x14ac:dyDescent="0.25">
      <c r="B807" s="17" t="s">
        <v>563</v>
      </c>
      <c r="C807" s="16"/>
      <c r="E807" s="18"/>
      <c r="F807" s="19"/>
      <c r="G807" s="20"/>
      <c r="H807" s="20"/>
      <c r="I807" s="21"/>
      <c r="J807" s="21"/>
      <c r="K807" s="25"/>
      <c r="L807" s="25"/>
      <c r="M807" s="25"/>
      <c r="O807" s="22"/>
    </row>
    <row r="808" spans="2:15" x14ac:dyDescent="0.25">
      <c r="B808" s="17" t="s">
        <v>1020</v>
      </c>
      <c r="C808" s="16"/>
      <c r="E808" s="18"/>
      <c r="F808" s="19"/>
      <c r="G808" s="20"/>
      <c r="H808" s="20"/>
      <c r="I808" s="21"/>
      <c r="J808" s="21"/>
      <c r="K808" s="25"/>
      <c r="L808" s="25"/>
      <c r="M808" s="25"/>
      <c r="O808" s="22"/>
    </row>
    <row r="809" spans="2:15" x14ac:dyDescent="0.25">
      <c r="B809" s="17" t="s">
        <v>532</v>
      </c>
      <c r="C809" s="16"/>
      <c r="E809" s="18"/>
      <c r="F809" s="19"/>
      <c r="G809" s="20"/>
      <c r="H809" s="20"/>
      <c r="I809" s="21"/>
      <c r="J809" s="21"/>
      <c r="K809" s="25"/>
      <c r="L809" s="25"/>
      <c r="M809" s="25"/>
      <c r="O809" s="22"/>
    </row>
    <row r="810" spans="2:15" x14ac:dyDescent="0.25">
      <c r="B810" s="17" t="s">
        <v>625</v>
      </c>
      <c r="C810" s="16"/>
      <c r="E810" s="18"/>
      <c r="F810" s="19"/>
      <c r="G810" s="20"/>
      <c r="H810" s="20"/>
      <c r="I810" s="21"/>
      <c r="J810" s="21"/>
      <c r="K810" s="25"/>
      <c r="L810" s="25"/>
      <c r="M810" s="25"/>
      <c r="O810" s="22"/>
    </row>
    <row r="811" spans="2:15" x14ac:dyDescent="0.25">
      <c r="B811" s="17" t="s">
        <v>588</v>
      </c>
      <c r="C811" s="16"/>
      <c r="E811" s="18"/>
      <c r="F811" s="19"/>
      <c r="G811" s="20"/>
      <c r="H811" s="20"/>
      <c r="I811" s="21"/>
      <c r="J811" s="21"/>
      <c r="K811" s="25"/>
      <c r="L811" s="25"/>
      <c r="M811" s="25"/>
      <c r="O811" s="22"/>
    </row>
    <row r="812" spans="2:15" x14ac:dyDescent="0.25">
      <c r="B812" s="17" t="s">
        <v>575</v>
      </c>
      <c r="C812" s="16"/>
      <c r="E812" s="18"/>
      <c r="F812" s="19"/>
      <c r="G812" s="20"/>
      <c r="H812" s="20"/>
      <c r="I812" s="21"/>
      <c r="J812" s="21"/>
      <c r="K812" s="25"/>
      <c r="L812" s="25"/>
      <c r="M812" s="25"/>
      <c r="O812" s="22"/>
    </row>
    <row r="813" spans="2:15" x14ac:dyDescent="0.25">
      <c r="B813" s="17" t="s">
        <v>957</v>
      </c>
      <c r="C813" s="16"/>
      <c r="E813" s="18"/>
      <c r="F813" s="19"/>
      <c r="G813" s="20"/>
      <c r="H813" s="20"/>
      <c r="I813" s="21"/>
      <c r="J813" s="21"/>
      <c r="K813" s="25"/>
      <c r="L813" s="25"/>
      <c r="M813" s="25"/>
      <c r="O813" s="22"/>
    </row>
    <row r="814" spans="2:15" x14ac:dyDescent="0.25">
      <c r="B814" s="17" t="s">
        <v>1478</v>
      </c>
      <c r="C814" s="16"/>
      <c r="E814" s="18"/>
      <c r="F814" s="19"/>
      <c r="G814" s="20"/>
      <c r="H814" s="20"/>
      <c r="I814" s="21"/>
      <c r="J814" s="21"/>
      <c r="K814" s="25"/>
      <c r="L814" s="25"/>
      <c r="M814" s="25"/>
      <c r="O814" s="22"/>
    </row>
    <row r="815" spans="2:15" x14ac:dyDescent="0.25">
      <c r="B815" s="17" t="s">
        <v>987</v>
      </c>
      <c r="C815" s="16"/>
      <c r="E815" s="18"/>
      <c r="F815" s="19"/>
      <c r="G815" s="20"/>
      <c r="H815" s="20"/>
      <c r="I815" s="21"/>
      <c r="J815" s="21"/>
      <c r="K815" s="25"/>
      <c r="L815" s="25"/>
      <c r="M815" s="25"/>
      <c r="O815" s="22"/>
    </row>
    <row r="816" spans="2:15" x14ac:dyDescent="0.25">
      <c r="B816" s="17" t="s">
        <v>574</v>
      </c>
      <c r="C816" s="16"/>
      <c r="E816" s="18"/>
      <c r="F816" s="19"/>
      <c r="G816" s="20"/>
      <c r="H816" s="20"/>
      <c r="I816" s="21"/>
      <c r="J816" s="21"/>
      <c r="K816" s="25"/>
      <c r="L816" s="25"/>
      <c r="M816" s="25"/>
      <c r="O816" s="22"/>
    </row>
    <row r="817" spans="2:15" x14ac:dyDescent="0.25">
      <c r="B817" s="17" t="s">
        <v>708</v>
      </c>
      <c r="C817" s="16"/>
      <c r="E817" s="18"/>
      <c r="F817" s="19"/>
      <c r="G817" s="20"/>
      <c r="H817" s="20"/>
      <c r="I817" s="21"/>
      <c r="J817" s="21"/>
      <c r="K817" s="25"/>
      <c r="L817" s="25"/>
      <c r="M817" s="25"/>
      <c r="O817" s="22"/>
    </row>
    <row r="818" spans="2:15" x14ac:dyDescent="0.25">
      <c r="B818" s="17" t="s">
        <v>601</v>
      </c>
      <c r="C818" s="16"/>
      <c r="E818" s="18"/>
      <c r="F818" s="19"/>
      <c r="G818" s="20"/>
      <c r="H818" s="20"/>
      <c r="I818" s="21"/>
      <c r="J818" s="21"/>
      <c r="K818" s="25"/>
      <c r="L818" s="25"/>
      <c r="M818" s="25"/>
      <c r="O818" s="22"/>
    </row>
    <row r="819" spans="2:15" x14ac:dyDescent="0.25">
      <c r="B819" s="17" t="s">
        <v>1045</v>
      </c>
      <c r="C819" s="16"/>
      <c r="E819" s="18"/>
      <c r="F819" s="19"/>
      <c r="G819" s="20"/>
      <c r="H819" s="20"/>
      <c r="I819" s="21"/>
      <c r="J819" s="21"/>
      <c r="K819" s="25"/>
      <c r="L819" s="25"/>
      <c r="M819" s="25"/>
      <c r="O819" s="22"/>
    </row>
    <row r="820" spans="2:15" x14ac:dyDescent="0.25">
      <c r="B820" s="17" t="s">
        <v>767</v>
      </c>
      <c r="C820" s="16"/>
      <c r="E820" s="18"/>
      <c r="F820" s="19"/>
      <c r="G820" s="20"/>
      <c r="H820" s="20"/>
      <c r="I820" s="21"/>
      <c r="J820" s="21"/>
      <c r="K820" s="25"/>
      <c r="L820" s="25"/>
      <c r="M820" s="25"/>
      <c r="O820" s="22"/>
    </row>
    <row r="821" spans="2:15" x14ac:dyDescent="0.25">
      <c r="B821" s="17" t="s">
        <v>806</v>
      </c>
      <c r="C821" s="16"/>
      <c r="E821" s="18"/>
      <c r="F821" s="19"/>
      <c r="G821" s="20"/>
      <c r="H821" s="20"/>
      <c r="I821" s="21"/>
      <c r="J821" s="21"/>
      <c r="K821" s="25"/>
      <c r="L821" s="25"/>
      <c r="M821" s="25"/>
      <c r="O821" s="22"/>
    </row>
    <row r="822" spans="2:15" x14ac:dyDescent="0.25">
      <c r="B822" s="17" t="s">
        <v>642</v>
      </c>
      <c r="C822" s="16"/>
      <c r="E822" s="18"/>
      <c r="F822" s="19"/>
      <c r="G822" s="20"/>
      <c r="H822" s="20"/>
      <c r="I822" s="21"/>
      <c r="J822" s="21"/>
      <c r="K822" s="25"/>
      <c r="L822" s="25"/>
      <c r="M822" s="25"/>
      <c r="O822" s="22"/>
    </row>
    <row r="823" spans="2:15" x14ac:dyDescent="0.25">
      <c r="B823" s="17" t="s">
        <v>837</v>
      </c>
      <c r="C823" s="16"/>
      <c r="E823" s="18"/>
      <c r="F823" s="19"/>
      <c r="G823" s="20"/>
      <c r="H823" s="20"/>
      <c r="I823" s="21"/>
      <c r="J823" s="21"/>
      <c r="K823" s="25"/>
      <c r="L823" s="25"/>
      <c r="M823" s="25"/>
      <c r="O823" s="22"/>
    </row>
    <row r="824" spans="2:15" x14ac:dyDescent="0.25">
      <c r="B824" s="17" t="s">
        <v>1393</v>
      </c>
      <c r="C824" s="16"/>
      <c r="E824" s="18"/>
      <c r="F824" s="19"/>
      <c r="G824" s="20"/>
      <c r="H824" s="20"/>
      <c r="I824" s="21"/>
      <c r="J824" s="21"/>
      <c r="K824" s="25"/>
      <c r="L824" s="25"/>
      <c r="M824" s="25"/>
      <c r="O824" s="22"/>
    </row>
    <row r="825" spans="2:15" x14ac:dyDescent="0.25">
      <c r="B825" s="17" t="s">
        <v>744</v>
      </c>
      <c r="C825" s="16"/>
      <c r="E825" s="18"/>
      <c r="F825" s="19"/>
      <c r="G825" s="20"/>
      <c r="H825" s="20"/>
      <c r="I825" s="21"/>
      <c r="J825" s="21"/>
      <c r="K825" s="25"/>
      <c r="L825" s="25"/>
      <c r="M825" s="25"/>
      <c r="O825" s="22"/>
    </row>
    <row r="826" spans="2:15" x14ac:dyDescent="0.25">
      <c r="B826" s="17" t="s">
        <v>776</v>
      </c>
      <c r="C826" s="16"/>
      <c r="E826" s="18"/>
      <c r="F826" s="19"/>
      <c r="G826" s="20"/>
      <c r="H826" s="20"/>
      <c r="I826" s="21"/>
      <c r="J826" s="21"/>
      <c r="K826" s="25"/>
      <c r="L826" s="25"/>
      <c r="M826" s="25"/>
      <c r="O826" s="22"/>
    </row>
    <row r="827" spans="2:15" x14ac:dyDescent="0.25">
      <c r="B827" s="17" t="s">
        <v>857</v>
      </c>
      <c r="C827" s="16"/>
      <c r="E827" s="18"/>
      <c r="F827" s="19"/>
      <c r="G827" s="20"/>
      <c r="H827" s="20"/>
      <c r="I827" s="21"/>
      <c r="J827" s="21"/>
      <c r="K827" s="25"/>
      <c r="L827" s="25"/>
      <c r="M827" s="25"/>
      <c r="O827" s="22"/>
    </row>
    <row r="828" spans="2:15" x14ac:dyDescent="0.25">
      <c r="B828" s="17" t="s">
        <v>637</v>
      </c>
      <c r="C828" s="16"/>
      <c r="E828" s="18"/>
      <c r="F828" s="19"/>
      <c r="G828" s="20"/>
      <c r="H828" s="20"/>
      <c r="I828" s="21"/>
      <c r="J828" s="21"/>
      <c r="K828" s="25"/>
      <c r="L828" s="25"/>
      <c r="M828" s="25"/>
      <c r="O828" s="22"/>
    </row>
    <row r="829" spans="2:15" x14ac:dyDescent="0.25">
      <c r="B829" s="17" t="s">
        <v>726</v>
      </c>
      <c r="C829" s="16"/>
      <c r="E829" s="18"/>
      <c r="F829" s="19"/>
      <c r="G829" s="20"/>
      <c r="H829" s="20"/>
      <c r="I829" s="21"/>
      <c r="J829" s="21"/>
      <c r="K829" s="25"/>
      <c r="L829" s="25"/>
      <c r="M829" s="25"/>
      <c r="O829" s="22"/>
    </row>
    <row r="830" spans="2:15" x14ac:dyDescent="0.25">
      <c r="B830" s="17" t="s">
        <v>1168</v>
      </c>
      <c r="C830" s="16"/>
      <c r="E830" s="18"/>
      <c r="F830" s="19"/>
      <c r="G830" s="20"/>
      <c r="H830" s="20"/>
      <c r="I830" s="21"/>
      <c r="J830" s="21"/>
      <c r="K830" s="25"/>
      <c r="L830" s="25"/>
      <c r="M830" s="25"/>
      <c r="O830" s="22"/>
    </row>
    <row r="831" spans="2:15" x14ac:dyDescent="0.25">
      <c r="B831" s="17" t="s">
        <v>1135</v>
      </c>
      <c r="C831" s="16"/>
      <c r="E831" s="18"/>
      <c r="F831" s="19"/>
      <c r="G831" s="20"/>
      <c r="H831" s="20"/>
      <c r="I831" s="21"/>
      <c r="J831" s="21"/>
      <c r="K831" s="25"/>
      <c r="L831" s="25"/>
      <c r="M831" s="25"/>
      <c r="O831" s="22"/>
    </row>
    <row r="832" spans="2:15" x14ac:dyDescent="0.25">
      <c r="B832" s="17" t="s">
        <v>1348</v>
      </c>
      <c r="C832" s="16"/>
      <c r="E832" s="18"/>
      <c r="F832" s="19"/>
      <c r="G832" s="20"/>
      <c r="H832" s="20"/>
      <c r="I832" s="21"/>
      <c r="J832" s="21"/>
      <c r="K832" s="25"/>
      <c r="L832" s="25"/>
      <c r="M832" s="25"/>
      <c r="O832" s="22"/>
    </row>
    <row r="833" spans="2:15" x14ac:dyDescent="0.25">
      <c r="B833" s="17" t="s">
        <v>775</v>
      </c>
      <c r="C833" s="16"/>
      <c r="E833" s="18"/>
      <c r="F833" s="19"/>
      <c r="G833" s="20"/>
      <c r="H833" s="20"/>
      <c r="I833" s="21"/>
      <c r="J833" s="21"/>
      <c r="K833" s="25"/>
      <c r="L833" s="25"/>
      <c r="M833" s="25"/>
      <c r="O833" s="22"/>
    </row>
    <row r="834" spans="2:15" x14ac:dyDescent="0.25">
      <c r="B834" s="17" t="s">
        <v>1448</v>
      </c>
      <c r="C834" s="16"/>
      <c r="E834" s="18"/>
      <c r="F834" s="19"/>
      <c r="G834" s="20"/>
      <c r="H834" s="20"/>
      <c r="I834" s="21"/>
      <c r="J834" s="21"/>
      <c r="K834" s="25"/>
      <c r="L834" s="25"/>
      <c r="M834" s="25"/>
      <c r="O834" s="22"/>
    </row>
    <row r="835" spans="2:15" x14ac:dyDescent="0.25">
      <c r="B835" s="17" t="s">
        <v>555</v>
      </c>
      <c r="C835" s="16"/>
      <c r="E835" s="18"/>
      <c r="F835" s="19"/>
      <c r="G835" s="20"/>
      <c r="H835" s="20"/>
      <c r="I835" s="21"/>
      <c r="J835" s="21"/>
      <c r="K835" s="25"/>
      <c r="L835" s="25"/>
      <c r="M835" s="25"/>
      <c r="O835" s="22"/>
    </row>
    <row r="836" spans="2:15" x14ac:dyDescent="0.25">
      <c r="B836" s="17" t="s">
        <v>808</v>
      </c>
      <c r="C836" s="16"/>
      <c r="E836" s="18"/>
      <c r="F836" s="19"/>
      <c r="G836" s="20"/>
      <c r="H836" s="20"/>
      <c r="I836" s="21"/>
      <c r="J836" s="21"/>
      <c r="K836" s="25"/>
      <c r="L836" s="25"/>
      <c r="M836" s="25"/>
      <c r="O836" s="22"/>
    </row>
    <row r="837" spans="2:15" x14ac:dyDescent="0.25">
      <c r="B837" s="17" t="s">
        <v>622</v>
      </c>
      <c r="C837" s="16"/>
      <c r="E837" s="18"/>
      <c r="F837" s="19"/>
      <c r="G837" s="20"/>
      <c r="H837" s="20"/>
      <c r="I837" s="21"/>
      <c r="J837" s="21"/>
      <c r="K837" s="25"/>
      <c r="L837" s="25"/>
      <c r="M837" s="25"/>
      <c r="O837" s="22"/>
    </row>
    <row r="838" spans="2:15" x14ac:dyDescent="0.25">
      <c r="B838" s="17" t="s">
        <v>734</v>
      </c>
      <c r="C838" s="16"/>
      <c r="E838" s="18"/>
      <c r="F838" s="19"/>
      <c r="G838" s="20"/>
      <c r="H838" s="20"/>
      <c r="I838" s="21"/>
      <c r="J838" s="21"/>
      <c r="K838" s="25"/>
      <c r="L838" s="25"/>
      <c r="M838" s="25"/>
      <c r="O838" s="22"/>
    </row>
    <row r="839" spans="2:15" x14ac:dyDescent="0.25">
      <c r="B839" s="17" t="s">
        <v>758</v>
      </c>
      <c r="C839" s="16"/>
      <c r="E839" s="18"/>
      <c r="F839" s="19"/>
      <c r="G839" s="20"/>
      <c r="H839" s="20"/>
      <c r="I839" s="21"/>
      <c r="J839" s="21"/>
      <c r="K839" s="25"/>
      <c r="L839" s="25"/>
      <c r="M839" s="25"/>
      <c r="O839" s="22"/>
    </row>
    <row r="840" spans="2:15" x14ac:dyDescent="0.25">
      <c r="B840" s="17" t="s">
        <v>592</v>
      </c>
      <c r="C840" s="16"/>
      <c r="E840" s="18"/>
      <c r="F840" s="19"/>
      <c r="G840" s="20"/>
      <c r="H840" s="20"/>
      <c r="I840" s="21"/>
      <c r="J840" s="21"/>
      <c r="K840" s="25"/>
      <c r="L840" s="25"/>
      <c r="M840" s="25"/>
      <c r="O840" s="22"/>
    </row>
    <row r="841" spans="2:15" x14ac:dyDescent="0.25">
      <c r="B841" s="17" t="s">
        <v>624</v>
      </c>
      <c r="C841" s="16"/>
      <c r="E841" s="18"/>
      <c r="F841" s="19"/>
      <c r="G841" s="20"/>
      <c r="H841" s="20"/>
      <c r="I841" s="21"/>
      <c r="J841" s="21"/>
      <c r="K841" s="25"/>
      <c r="L841" s="25"/>
      <c r="M841" s="25"/>
      <c r="O841" s="22"/>
    </row>
    <row r="842" spans="2:15" x14ac:dyDescent="0.25">
      <c r="B842" s="17" t="s">
        <v>627</v>
      </c>
      <c r="C842" s="16"/>
      <c r="E842" s="18"/>
      <c r="F842" s="19"/>
      <c r="G842" s="20"/>
      <c r="H842" s="20"/>
      <c r="I842" s="21"/>
      <c r="J842" s="21"/>
      <c r="K842" s="25"/>
      <c r="L842" s="25"/>
      <c r="M842" s="25"/>
      <c r="O842" s="22"/>
    </row>
    <row r="843" spans="2:15" x14ac:dyDescent="0.25">
      <c r="B843" s="17" t="s">
        <v>539</v>
      </c>
      <c r="C843" s="16"/>
      <c r="E843" s="18"/>
      <c r="F843" s="19"/>
      <c r="G843" s="20"/>
      <c r="H843" s="20"/>
      <c r="I843" s="21"/>
      <c r="J843" s="21"/>
      <c r="K843" s="25"/>
      <c r="L843" s="25"/>
      <c r="M843" s="25"/>
      <c r="O843" s="22"/>
    </row>
    <row r="844" spans="2:15" x14ac:dyDescent="0.25">
      <c r="B844" s="17" t="s">
        <v>862</v>
      </c>
      <c r="C844" s="16"/>
      <c r="E844" s="18"/>
      <c r="F844" s="19"/>
      <c r="G844" s="20"/>
      <c r="H844" s="20"/>
      <c r="I844" s="21"/>
      <c r="J844" s="21"/>
      <c r="K844" s="25"/>
      <c r="L844" s="25"/>
      <c r="M844" s="25"/>
      <c r="O844" s="22"/>
    </row>
    <row r="845" spans="2:15" x14ac:dyDescent="0.25">
      <c r="B845" s="17" t="s">
        <v>1439</v>
      </c>
      <c r="C845" s="16"/>
      <c r="E845" s="18"/>
      <c r="F845" s="19"/>
      <c r="G845" s="20"/>
      <c r="H845" s="20"/>
      <c r="I845" s="21"/>
      <c r="J845" s="21"/>
      <c r="K845" s="25"/>
      <c r="L845" s="25"/>
      <c r="M845" s="25"/>
      <c r="O845" s="22"/>
    </row>
    <row r="846" spans="2:15" x14ac:dyDescent="0.25">
      <c r="B846" s="17" t="s">
        <v>811</v>
      </c>
      <c r="C846" s="16"/>
      <c r="E846" s="18"/>
      <c r="F846" s="19"/>
      <c r="G846" s="20"/>
      <c r="H846" s="20"/>
      <c r="I846" s="21"/>
      <c r="J846" s="21"/>
      <c r="K846" s="25"/>
      <c r="L846" s="25"/>
      <c r="M846" s="25"/>
      <c r="O846" s="22"/>
    </row>
    <row r="847" spans="2:15" x14ac:dyDescent="0.25">
      <c r="B847" s="17" t="s">
        <v>800</v>
      </c>
      <c r="C847" s="16"/>
      <c r="E847" s="18"/>
      <c r="F847" s="19"/>
      <c r="G847" s="20"/>
      <c r="H847" s="20"/>
      <c r="I847" s="21"/>
      <c r="J847" s="21"/>
      <c r="K847" s="25"/>
      <c r="L847" s="25"/>
      <c r="M847" s="25"/>
      <c r="O847" s="22"/>
    </row>
    <row r="848" spans="2:15" x14ac:dyDescent="0.25">
      <c r="B848" s="17" t="s">
        <v>747</v>
      </c>
      <c r="C848" s="16"/>
      <c r="E848" s="18"/>
      <c r="F848" s="19"/>
      <c r="G848" s="20"/>
      <c r="H848" s="20"/>
      <c r="I848" s="21"/>
      <c r="J848" s="21"/>
      <c r="K848" s="25"/>
      <c r="L848" s="25"/>
      <c r="M848" s="25"/>
      <c r="O848" s="22"/>
    </row>
    <row r="849" spans="2:15" x14ac:dyDescent="0.25">
      <c r="B849" s="17" t="s">
        <v>508</v>
      </c>
      <c r="C849" s="16"/>
      <c r="E849" s="18"/>
      <c r="F849" s="19"/>
      <c r="G849" s="20"/>
      <c r="H849" s="20"/>
      <c r="I849" s="21"/>
      <c r="J849" s="21"/>
      <c r="K849" s="25"/>
      <c r="L849" s="25"/>
      <c r="M849" s="25"/>
      <c r="O849" s="22"/>
    </row>
    <row r="850" spans="2:15" x14ac:dyDescent="0.25">
      <c r="B850" s="17" t="s">
        <v>651</v>
      </c>
      <c r="C850" s="16"/>
      <c r="E850" s="18"/>
      <c r="F850" s="19"/>
      <c r="G850" s="20"/>
      <c r="H850" s="20"/>
      <c r="I850" s="21"/>
      <c r="J850" s="21"/>
      <c r="K850" s="25"/>
      <c r="L850" s="25"/>
      <c r="M850" s="25"/>
      <c r="O850" s="22"/>
    </row>
    <row r="851" spans="2:15" x14ac:dyDescent="0.25">
      <c r="B851" s="17" t="s">
        <v>783</v>
      </c>
      <c r="C851" s="16"/>
      <c r="E851" s="18"/>
      <c r="F851" s="19"/>
      <c r="G851" s="20"/>
      <c r="H851" s="20"/>
      <c r="I851" s="21"/>
      <c r="J851" s="21"/>
      <c r="K851" s="25"/>
      <c r="L851" s="25"/>
      <c r="M851" s="25"/>
      <c r="O851" s="22"/>
    </row>
    <row r="852" spans="2:15" x14ac:dyDescent="0.25">
      <c r="B852" s="17" t="s">
        <v>792</v>
      </c>
      <c r="C852" s="16"/>
      <c r="E852" s="18"/>
      <c r="F852" s="19"/>
      <c r="G852" s="20"/>
      <c r="H852" s="20"/>
      <c r="I852" s="21"/>
      <c r="J852" s="21"/>
      <c r="K852" s="25"/>
      <c r="L852" s="25"/>
      <c r="M852" s="25"/>
      <c r="O852" s="22"/>
    </row>
    <row r="853" spans="2:15" x14ac:dyDescent="0.25">
      <c r="B853" s="17" t="s">
        <v>814</v>
      </c>
      <c r="C853" s="16"/>
      <c r="E853" s="18"/>
      <c r="F853" s="19"/>
      <c r="G853" s="20"/>
      <c r="H853" s="20"/>
      <c r="I853" s="21"/>
      <c r="J853" s="21"/>
      <c r="K853" s="25"/>
      <c r="L853" s="25"/>
      <c r="M853" s="25"/>
      <c r="O853" s="22"/>
    </row>
    <row r="854" spans="2:15" x14ac:dyDescent="0.25">
      <c r="B854" s="17" t="s">
        <v>745</v>
      </c>
      <c r="C854" s="16"/>
      <c r="E854" s="18"/>
      <c r="F854" s="19"/>
      <c r="G854" s="20"/>
      <c r="H854" s="20"/>
      <c r="I854" s="21"/>
      <c r="J854" s="21"/>
      <c r="K854" s="25"/>
      <c r="L854" s="25"/>
      <c r="M854" s="25"/>
      <c r="O854" s="22"/>
    </row>
    <row r="855" spans="2:15" x14ac:dyDescent="0.25">
      <c r="B855" s="17" t="s">
        <v>780</v>
      </c>
      <c r="C855" s="16"/>
      <c r="E855" s="18"/>
      <c r="F855" s="19"/>
      <c r="G855" s="20"/>
      <c r="H855" s="20"/>
      <c r="I855" s="21"/>
      <c r="J855" s="21"/>
      <c r="K855" s="25"/>
      <c r="L855" s="25"/>
      <c r="M855" s="25"/>
      <c r="O855" s="22"/>
    </row>
    <row r="856" spans="2:15" x14ac:dyDescent="0.25">
      <c r="B856" s="17" t="s">
        <v>641</v>
      </c>
      <c r="C856" s="16"/>
      <c r="E856" s="18"/>
      <c r="F856" s="19"/>
      <c r="G856" s="20"/>
      <c r="H856" s="20"/>
      <c r="I856" s="21"/>
      <c r="J856" s="21"/>
      <c r="K856" s="25"/>
      <c r="L856" s="25"/>
      <c r="M856" s="25"/>
      <c r="O856" s="22"/>
    </row>
    <row r="857" spans="2:15" x14ac:dyDescent="0.25">
      <c r="B857" s="17" t="s">
        <v>648</v>
      </c>
      <c r="C857" s="16"/>
      <c r="E857" s="18"/>
      <c r="F857" s="19"/>
      <c r="G857" s="20"/>
      <c r="H857" s="20"/>
      <c r="I857" s="21"/>
      <c r="J857" s="21"/>
      <c r="K857" s="25"/>
      <c r="L857" s="25"/>
      <c r="M857" s="25"/>
      <c r="O857" s="22"/>
    </row>
    <row r="858" spans="2:15" x14ac:dyDescent="0.25">
      <c r="B858" s="17" t="s">
        <v>797</v>
      </c>
      <c r="C858" s="16"/>
      <c r="E858" s="18"/>
      <c r="F858" s="19"/>
      <c r="G858" s="20"/>
      <c r="H858" s="20"/>
      <c r="I858" s="21"/>
      <c r="J858" s="21"/>
      <c r="K858" s="25"/>
      <c r="L858" s="25"/>
      <c r="M858" s="25"/>
      <c r="O858" s="22"/>
    </row>
    <row r="859" spans="2:15" x14ac:dyDescent="0.25">
      <c r="B859" s="17" t="s">
        <v>960</v>
      </c>
      <c r="C859" s="16"/>
      <c r="E859" s="18"/>
      <c r="F859" s="19"/>
      <c r="G859" s="20"/>
      <c r="H859" s="20"/>
      <c r="I859" s="21"/>
      <c r="J859" s="21"/>
      <c r="K859" s="25"/>
      <c r="L859" s="25"/>
      <c r="M859" s="25"/>
      <c r="O859" s="22"/>
    </row>
    <row r="860" spans="2:15" x14ac:dyDescent="0.25">
      <c r="B860" s="17" t="s">
        <v>813</v>
      </c>
      <c r="C860" s="16"/>
      <c r="E860" s="18"/>
      <c r="F860" s="19"/>
      <c r="G860" s="20"/>
      <c r="H860" s="20"/>
      <c r="I860" s="21"/>
      <c r="J860" s="21"/>
      <c r="K860" s="25"/>
      <c r="L860" s="25"/>
      <c r="M860" s="25"/>
      <c r="O860" s="22"/>
    </row>
    <row r="861" spans="2:15" x14ac:dyDescent="0.25">
      <c r="B861" s="17" t="s">
        <v>609</v>
      </c>
      <c r="C861" s="16"/>
      <c r="E861" s="18"/>
      <c r="F861" s="19"/>
      <c r="G861" s="20"/>
      <c r="H861" s="20"/>
      <c r="I861" s="21"/>
      <c r="J861" s="21"/>
      <c r="K861" s="25"/>
      <c r="L861" s="25"/>
      <c r="M861" s="25"/>
      <c r="O861" s="22"/>
    </row>
    <row r="862" spans="2:15" x14ac:dyDescent="0.25">
      <c r="B862" s="17" t="s">
        <v>803</v>
      </c>
      <c r="C862" s="16"/>
      <c r="E862" s="18"/>
      <c r="F862" s="19"/>
      <c r="G862" s="20"/>
      <c r="H862" s="20"/>
      <c r="I862" s="21"/>
      <c r="J862" s="21"/>
      <c r="K862" s="25"/>
      <c r="L862" s="25"/>
      <c r="M862" s="25"/>
      <c r="O862" s="22"/>
    </row>
    <row r="863" spans="2:15" x14ac:dyDescent="0.25">
      <c r="B863" s="17" t="s">
        <v>765</v>
      </c>
      <c r="C863" s="16"/>
      <c r="E863" s="18"/>
      <c r="F863" s="19"/>
      <c r="G863" s="20"/>
      <c r="H863" s="20"/>
      <c r="I863" s="21"/>
      <c r="J863" s="21"/>
      <c r="K863" s="25"/>
      <c r="L863" s="25"/>
      <c r="M863" s="25"/>
      <c r="O863" s="22"/>
    </row>
    <row r="864" spans="2:15" x14ac:dyDescent="0.25">
      <c r="B864" s="17" t="s">
        <v>585</v>
      </c>
      <c r="C864" s="16"/>
      <c r="E864" s="18"/>
      <c r="F864" s="23"/>
      <c r="G864" s="20"/>
      <c r="H864" s="20"/>
      <c r="I864" s="21"/>
      <c r="J864" s="21"/>
      <c r="K864" s="25"/>
      <c r="L864" s="25"/>
      <c r="M864" s="25"/>
      <c r="O864" s="22"/>
    </row>
    <row r="865" spans="2:15" x14ac:dyDescent="0.25">
      <c r="B865" s="17" t="s">
        <v>623</v>
      </c>
      <c r="C865" s="16"/>
      <c r="E865" s="18"/>
      <c r="F865" s="19"/>
      <c r="G865" s="20"/>
      <c r="H865" s="20"/>
      <c r="I865" s="21"/>
      <c r="J865" s="21"/>
      <c r="K865" s="25"/>
      <c r="L865" s="25"/>
      <c r="M865" s="25"/>
      <c r="O865" s="22"/>
    </row>
    <row r="866" spans="2:15" x14ac:dyDescent="0.25">
      <c r="B866" s="17" t="s">
        <v>640</v>
      </c>
      <c r="C866" s="16"/>
      <c r="E866" s="18"/>
      <c r="F866" s="19"/>
      <c r="G866" s="20"/>
      <c r="H866" s="20"/>
      <c r="I866" s="21"/>
      <c r="J866" s="21"/>
      <c r="K866" s="25"/>
      <c r="L866" s="25"/>
      <c r="M866" s="25"/>
      <c r="O866" s="22"/>
    </row>
    <row r="867" spans="2:15" x14ac:dyDescent="0.25">
      <c r="B867" s="17" t="s">
        <v>841</v>
      </c>
      <c r="C867" s="16"/>
      <c r="E867" s="18"/>
      <c r="F867" s="19"/>
      <c r="G867" s="20"/>
      <c r="H867" s="20"/>
      <c r="I867" s="21"/>
      <c r="J867" s="21"/>
      <c r="K867" s="25"/>
      <c r="L867" s="25"/>
      <c r="M867" s="25"/>
      <c r="O867" s="22"/>
    </row>
    <row r="868" spans="2:15" x14ac:dyDescent="0.25">
      <c r="B868" s="17" t="s">
        <v>802</v>
      </c>
      <c r="C868" s="16"/>
      <c r="E868" s="18"/>
      <c r="F868" s="19"/>
      <c r="G868" s="20"/>
      <c r="H868" s="20"/>
      <c r="I868" s="21"/>
      <c r="J868" s="21"/>
      <c r="K868" s="25"/>
      <c r="L868" s="25"/>
      <c r="M868" s="25"/>
      <c r="O868" s="22"/>
    </row>
    <row r="869" spans="2:15" x14ac:dyDescent="0.25">
      <c r="B869" s="17" t="s">
        <v>868</v>
      </c>
      <c r="C869" s="16"/>
      <c r="E869" s="18"/>
      <c r="F869" s="19"/>
      <c r="G869" s="20"/>
      <c r="H869" s="20"/>
      <c r="I869" s="21"/>
      <c r="J869" s="21"/>
      <c r="K869" s="25"/>
      <c r="L869" s="25"/>
      <c r="M869" s="25"/>
      <c r="O869" s="22"/>
    </row>
    <row r="870" spans="2:15" x14ac:dyDescent="0.25">
      <c r="B870" s="17" t="s">
        <v>536</v>
      </c>
      <c r="C870" s="16"/>
      <c r="E870" s="18"/>
      <c r="F870" s="19"/>
      <c r="G870" s="20"/>
      <c r="H870" s="20"/>
      <c r="I870" s="21"/>
      <c r="J870" s="21"/>
      <c r="K870" s="25"/>
      <c r="L870" s="25"/>
      <c r="M870" s="25"/>
      <c r="O870" s="22"/>
    </row>
    <row r="871" spans="2:15" x14ac:dyDescent="0.25">
      <c r="B871" s="17" t="s">
        <v>762</v>
      </c>
      <c r="C871" s="16"/>
      <c r="E871" s="18"/>
      <c r="F871" s="19"/>
      <c r="G871" s="20"/>
      <c r="H871" s="20"/>
      <c r="I871" s="21"/>
      <c r="J871" s="21"/>
      <c r="K871" s="25"/>
      <c r="L871" s="25"/>
      <c r="M871" s="25"/>
      <c r="O871" s="22"/>
    </row>
    <row r="872" spans="2:15" x14ac:dyDescent="0.25">
      <c r="B872" s="17" t="s">
        <v>816</v>
      </c>
      <c r="C872" s="16"/>
      <c r="E872" s="18"/>
      <c r="F872" s="19"/>
      <c r="G872" s="20"/>
      <c r="H872" s="20"/>
      <c r="I872" s="21"/>
      <c r="J872" s="21"/>
      <c r="K872" s="25"/>
      <c r="L872" s="25"/>
      <c r="M872" s="25"/>
      <c r="O872" s="22"/>
    </row>
    <row r="873" spans="2:15" x14ac:dyDescent="0.25">
      <c r="B873" s="17" t="s">
        <v>871</v>
      </c>
      <c r="C873" s="16"/>
      <c r="E873" s="18"/>
      <c r="F873" s="19"/>
      <c r="G873" s="20"/>
      <c r="H873" s="20"/>
      <c r="I873" s="21"/>
      <c r="J873" s="21"/>
      <c r="K873" s="25"/>
      <c r="L873" s="25"/>
      <c r="M873" s="25"/>
      <c r="O873" s="22"/>
    </row>
    <row r="874" spans="2:15" x14ac:dyDescent="0.25">
      <c r="B874" s="17" t="s">
        <v>859</v>
      </c>
      <c r="C874" s="16"/>
      <c r="E874" s="18"/>
      <c r="F874" s="19"/>
      <c r="G874" s="20"/>
      <c r="H874" s="20"/>
      <c r="I874" s="21"/>
      <c r="J874" s="21"/>
      <c r="K874" s="25"/>
      <c r="L874" s="25"/>
      <c r="M874" s="25"/>
      <c r="O874" s="22"/>
    </row>
    <row r="875" spans="2:15" x14ac:dyDescent="0.25">
      <c r="B875" s="17" t="s">
        <v>525</v>
      </c>
      <c r="C875" s="16"/>
      <c r="E875" s="18"/>
      <c r="F875" s="19"/>
      <c r="G875" s="20"/>
      <c r="H875" s="20"/>
      <c r="I875" s="21"/>
      <c r="J875" s="21"/>
      <c r="K875" s="25"/>
      <c r="L875" s="25"/>
      <c r="M875" s="25"/>
      <c r="O875" s="22"/>
    </row>
    <row r="876" spans="2:15" x14ac:dyDescent="0.25">
      <c r="B876" s="17" t="s">
        <v>799</v>
      </c>
      <c r="C876" s="16"/>
      <c r="E876" s="18"/>
      <c r="F876" s="19"/>
      <c r="G876" s="20"/>
      <c r="H876" s="20"/>
      <c r="I876" s="21"/>
      <c r="J876" s="21"/>
      <c r="K876" s="25"/>
      <c r="L876" s="25"/>
      <c r="M876" s="25"/>
      <c r="O876" s="22"/>
    </row>
    <row r="877" spans="2:15" x14ac:dyDescent="0.25">
      <c r="B877" s="17" t="s">
        <v>738</v>
      </c>
      <c r="C877" s="16"/>
      <c r="E877" s="18"/>
      <c r="F877" s="19"/>
      <c r="G877" s="20"/>
      <c r="H877" s="20"/>
      <c r="I877" s="21"/>
      <c r="J877" s="21"/>
      <c r="K877" s="25"/>
      <c r="L877" s="25"/>
      <c r="M877" s="25"/>
      <c r="O877" s="22"/>
    </row>
    <row r="878" spans="2:15" x14ac:dyDescent="0.25">
      <c r="B878" s="17" t="s">
        <v>628</v>
      </c>
      <c r="C878" s="16"/>
      <c r="E878" s="18"/>
      <c r="F878" s="19"/>
      <c r="G878" s="20"/>
      <c r="H878" s="20"/>
      <c r="I878" s="21"/>
      <c r="J878" s="21"/>
      <c r="K878" s="25"/>
      <c r="L878" s="25"/>
      <c r="M878" s="25"/>
      <c r="O878" s="22"/>
    </row>
    <row r="879" spans="2:15" x14ac:dyDescent="0.25">
      <c r="B879" s="17" t="s">
        <v>542</v>
      </c>
      <c r="C879" s="16"/>
      <c r="E879" s="18"/>
      <c r="F879" s="19"/>
      <c r="G879" s="20"/>
      <c r="H879" s="20"/>
      <c r="I879" s="21"/>
      <c r="J879" s="21"/>
      <c r="K879" s="25"/>
      <c r="L879" s="25"/>
      <c r="M879" s="25"/>
      <c r="O879" s="22"/>
    </row>
    <row r="880" spans="2:15" x14ac:dyDescent="0.25">
      <c r="B880" s="17" t="s">
        <v>847</v>
      </c>
      <c r="C880" s="16"/>
      <c r="E880" s="18"/>
      <c r="F880" s="19"/>
      <c r="G880" s="20"/>
      <c r="H880" s="20"/>
      <c r="I880" s="21"/>
      <c r="J880" s="21"/>
      <c r="K880" s="25"/>
      <c r="L880" s="25"/>
      <c r="M880" s="25"/>
      <c r="O880" s="22"/>
    </row>
    <row r="881" spans="2:15" x14ac:dyDescent="0.25">
      <c r="B881" s="17" t="s">
        <v>741</v>
      </c>
      <c r="C881" s="16"/>
      <c r="E881" s="18"/>
      <c r="F881" s="19"/>
      <c r="G881" s="20"/>
      <c r="H881" s="20"/>
      <c r="I881" s="21"/>
      <c r="J881" s="21"/>
      <c r="K881" s="25"/>
      <c r="L881" s="25"/>
      <c r="M881" s="25"/>
      <c r="O881" s="22"/>
    </row>
    <row r="882" spans="2:15" x14ac:dyDescent="0.25">
      <c r="B882" s="17" t="s">
        <v>600</v>
      </c>
      <c r="C882" s="16"/>
      <c r="E882" s="18"/>
      <c r="F882" s="19"/>
      <c r="G882" s="20"/>
      <c r="H882" s="20"/>
      <c r="I882" s="21"/>
      <c r="J882" s="21"/>
      <c r="K882" s="25"/>
      <c r="L882" s="25"/>
      <c r="M882" s="25"/>
      <c r="O882" s="22"/>
    </row>
    <row r="883" spans="2:15" x14ac:dyDescent="0.25">
      <c r="B883" s="17" t="s">
        <v>966</v>
      </c>
      <c r="C883" s="16"/>
      <c r="E883" s="18"/>
      <c r="F883" s="19"/>
      <c r="G883" s="20"/>
      <c r="H883" s="20"/>
      <c r="I883" s="21"/>
      <c r="J883" s="21"/>
      <c r="K883" s="25"/>
      <c r="L883" s="25"/>
      <c r="M883" s="25"/>
      <c r="O883" s="22"/>
    </row>
    <row r="884" spans="2:15" x14ac:dyDescent="0.25">
      <c r="B884" s="17" t="s">
        <v>824</v>
      </c>
      <c r="C884" s="16"/>
      <c r="E884" s="18"/>
      <c r="F884" s="19"/>
      <c r="G884" s="20"/>
      <c r="H884" s="20"/>
      <c r="I884" s="21"/>
      <c r="J884" s="21"/>
      <c r="K884" s="25"/>
      <c r="L884" s="25"/>
      <c r="M884" s="25"/>
      <c r="O884" s="22"/>
    </row>
    <row r="885" spans="2:15" x14ac:dyDescent="0.25">
      <c r="B885" s="17" t="s">
        <v>848</v>
      </c>
      <c r="C885" s="16"/>
      <c r="E885" s="18"/>
      <c r="F885" s="19"/>
      <c r="G885" s="20"/>
      <c r="H885" s="20"/>
      <c r="I885" s="21"/>
      <c r="J885" s="21"/>
      <c r="K885" s="25"/>
      <c r="L885" s="25"/>
      <c r="M885" s="25"/>
      <c r="O885" s="22"/>
    </row>
    <row r="886" spans="2:15" x14ac:dyDescent="0.25">
      <c r="B886" s="17" t="s">
        <v>722</v>
      </c>
      <c r="C886" s="16"/>
      <c r="E886" s="18"/>
      <c r="F886" s="19"/>
      <c r="G886" s="20"/>
      <c r="H886" s="20"/>
      <c r="I886" s="21"/>
      <c r="J886" s="21"/>
      <c r="K886" s="25"/>
      <c r="L886" s="25"/>
      <c r="M886" s="25"/>
      <c r="O886" s="22"/>
    </row>
    <row r="887" spans="2:15" x14ac:dyDescent="0.25">
      <c r="B887" s="17" t="s">
        <v>886</v>
      </c>
      <c r="C887" s="16"/>
      <c r="E887" s="18"/>
      <c r="F887" s="19"/>
      <c r="G887" s="20"/>
      <c r="H887" s="20"/>
      <c r="I887" s="21"/>
      <c r="J887" s="21"/>
      <c r="K887" s="25"/>
      <c r="L887" s="25"/>
      <c r="M887" s="25"/>
      <c r="O887" s="22"/>
    </row>
    <row r="888" spans="2:15" x14ac:dyDescent="0.25">
      <c r="B888" s="17" t="s">
        <v>823</v>
      </c>
      <c r="C888" s="16"/>
      <c r="E888" s="18"/>
      <c r="F888" s="19"/>
      <c r="G888" s="20"/>
      <c r="H888" s="20"/>
      <c r="I888" s="21"/>
      <c r="J888" s="21"/>
      <c r="K888" s="25"/>
      <c r="L888" s="25"/>
      <c r="M888" s="25"/>
      <c r="O888" s="22"/>
    </row>
    <row r="889" spans="2:15" x14ac:dyDescent="0.25">
      <c r="B889" s="17" t="s">
        <v>720</v>
      </c>
      <c r="C889" s="16"/>
      <c r="E889" s="18"/>
      <c r="F889" s="19"/>
      <c r="G889" s="20"/>
      <c r="H889" s="20"/>
      <c r="I889" s="21"/>
      <c r="J889" s="21"/>
      <c r="K889" s="25"/>
      <c r="L889" s="25"/>
      <c r="M889" s="25"/>
      <c r="O889" s="22"/>
    </row>
    <row r="890" spans="2:15" x14ac:dyDescent="0.25">
      <c r="B890" s="17" t="s">
        <v>483</v>
      </c>
      <c r="C890" s="16"/>
      <c r="E890" s="18"/>
      <c r="F890" s="19"/>
      <c r="G890" s="20"/>
      <c r="H890" s="20"/>
      <c r="I890" s="21"/>
      <c r="J890" s="21"/>
      <c r="K890" s="25"/>
      <c r="L890" s="25"/>
      <c r="M890" s="25"/>
      <c r="O890" s="22"/>
    </row>
    <row r="891" spans="2:15" x14ac:dyDescent="0.25">
      <c r="B891" s="17" t="s">
        <v>849</v>
      </c>
      <c r="C891" s="16"/>
      <c r="E891" s="18"/>
      <c r="F891" s="19"/>
      <c r="G891" s="20"/>
      <c r="H891" s="20"/>
      <c r="I891" s="21"/>
      <c r="J891" s="21"/>
      <c r="K891" s="25"/>
      <c r="L891" s="25"/>
      <c r="M891" s="25"/>
      <c r="O891" s="22"/>
    </row>
    <row r="892" spans="2:15" x14ac:dyDescent="0.25">
      <c r="B892" s="17" t="s">
        <v>646</v>
      </c>
      <c r="C892" s="16"/>
      <c r="E892" s="18"/>
      <c r="F892" s="19"/>
      <c r="G892" s="20"/>
      <c r="H892" s="20"/>
      <c r="I892" s="21"/>
      <c r="J892" s="21"/>
      <c r="K892" s="25"/>
      <c r="L892" s="25"/>
      <c r="M892" s="25"/>
      <c r="O892" s="22"/>
    </row>
    <row r="893" spans="2:15" x14ac:dyDescent="0.25">
      <c r="B893" s="17" t="s">
        <v>880</v>
      </c>
      <c r="C893" s="16"/>
      <c r="E893" s="18"/>
      <c r="F893" s="19"/>
      <c r="G893" s="20"/>
      <c r="H893" s="20"/>
      <c r="I893" s="21"/>
      <c r="J893" s="21"/>
      <c r="K893" s="25"/>
      <c r="L893" s="25"/>
      <c r="M893" s="25"/>
      <c r="O893" s="22"/>
    </row>
    <row r="894" spans="2:15" x14ac:dyDescent="0.25">
      <c r="B894" s="17" t="s">
        <v>1281</v>
      </c>
      <c r="C894" s="16"/>
      <c r="E894" s="18"/>
      <c r="F894" s="19"/>
      <c r="G894" s="20"/>
      <c r="H894" s="20"/>
      <c r="I894" s="21"/>
      <c r="J894" s="21"/>
      <c r="K894" s="25"/>
      <c r="L894" s="25"/>
      <c r="M894" s="25"/>
      <c r="O894" s="22"/>
    </row>
    <row r="895" spans="2:15" x14ac:dyDescent="0.25">
      <c r="B895" s="17" t="s">
        <v>826</v>
      </c>
      <c r="C895" s="16"/>
      <c r="E895" s="18"/>
      <c r="F895" s="19"/>
      <c r="G895" s="20"/>
      <c r="H895" s="20"/>
      <c r="I895" s="21"/>
      <c r="J895" s="21"/>
      <c r="K895" s="25"/>
      <c r="L895" s="25"/>
      <c r="M895" s="25"/>
      <c r="O895" s="22"/>
    </row>
    <row r="896" spans="2:15" x14ac:dyDescent="0.25">
      <c r="B896" s="17" t="s">
        <v>617</v>
      </c>
      <c r="C896" s="16"/>
      <c r="E896" s="18"/>
      <c r="F896" s="19"/>
      <c r="G896" s="20"/>
      <c r="H896" s="20"/>
      <c r="I896" s="21"/>
      <c r="J896" s="21"/>
      <c r="K896" s="25"/>
      <c r="L896" s="25"/>
      <c r="M896" s="25"/>
      <c r="O896" s="22"/>
    </row>
    <row r="897" spans="2:15" x14ac:dyDescent="0.25">
      <c r="B897" s="17" t="s">
        <v>851</v>
      </c>
      <c r="C897" s="16"/>
      <c r="E897" s="18"/>
      <c r="F897" s="19"/>
      <c r="G897" s="20"/>
      <c r="H897" s="20"/>
      <c r="I897" s="21"/>
      <c r="J897" s="21"/>
      <c r="K897" s="25"/>
      <c r="L897" s="25"/>
      <c r="M897" s="25"/>
      <c r="O897" s="22"/>
    </row>
    <row r="898" spans="2:15" x14ac:dyDescent="0.25">
      <c r="B898" s="17" t="s">
        <v>521</v>
      </c>
      <c r="C898" s="16"/>
      <c r="E898" s="18"/>
      <c r="F898" s="19"/>
      <c r="G898" s="20"/>
      <c r="H898" s="20"/>
      <c r="I898" s="21"/>
      <c r="J898" s="21"/>
      <c r="K898" s="25"/>
      <c r="L898" s="25"/>
      <c r="M898" s="25"/>
      <c r="O898" s="22"/>
    </row>
    <row r="899" spans="2:15" x14ac:dyDescent="0.25">
      <c r="B899" s="17" t="s">
        <v>865</v>
      </c>
      <c r="C899" s="16"/>
      <c r="E899" s="18"/>
      <c r="F899" s="19"/>
      <c r="G899" s="20"/>
      <c r="H899" s="20"/>
      <c r="I899" s="21"/>
      <c r="J899" s="21"/>
      <c r="K899" s="25"/>
      <c r="L899" s="25"/>
      <c r="M899" s="25"/>
      <c r="O899" s="22"/>
    </row>
    <row r="900" spans="2:15" x14ac:dyDescent="0.25">
      <c r="B900" s="17" t="s">
        <v>1349</v>
      </c>
      <c r="C900" s="16"/>
      <c r="E900" s="18"/>
      <c r="F900" s="19"/>
      <c r="G900" s="20"/>
      <c r="H900" s="20"/>
      <c r="I900" s="21"/>
      <c r="J900" s="21"/>
      <c r="K900" s="25"/>
      <c r="L900" s="25"/>
      <c r="M900" s="25"/>
      <c r="O900" s="22"/>
    </row>
    <row r="901" spans="2:15" x14ac:dyDescent="0.25">
      <c r="B901" s="17" t="s">
        <v>770</v>
      </c>
      <c r="C901" s="16"/>
      <c r="E901" s="18"/>
      <c r="F901" s="19"/>
      <c r="G901" s="20"/>
      <c r="H901" s="20"/>
      <c r="I901" s="21"/>
      <c r="J901" s="21"/>
      <c r="K901" s="25"/>
      <c r="L901" s="25"/>
      <c r="M901" s="25"/>
      <c r="O901" s="22"/>
    </row>
    <row r="902" spans="2:15" x14ac:dyDescent="0.25">
      <c r="B902" s="17" t="s">
        <v>818</v>
      </c>
      <c r="C902" s="16"/>
      <c r="E902" s="18"/>
      <c r="F902" s="19"/>
      <c r="G902" s="20"/>
      <c r="H902" s="20"/>
      <c r="I902" s="21"/>
      <c r="J902" s="21"/>
      <c r="K902" s="25"/>
      <c r="L902" s="25"/>
      <c r="M902" s="25"/>
      <c r="O902" s="22"/>
    </row>
    <row r="903" spans="2:15" x14ac:dyDescent="0.25">
      <c r="B903" s="17" t="s">
        <v>1388</v>
      </c>
      <c r="C903" s="16"/>
      <c r="E903" s="18"/>
      <c r="F903" s="19"/>
      <c r="G903" s="20"/>
      <c r="H903" s="20"/>
      <c r="I903" s="21"/>
      <c r="J903" s="21"/>
      <c r="K903" s="25"/>
      <c r="L903" s="25"/>
      <c r="M903" s="25"/>
      <c r="O903" s="22"/>
    </row>
    <row r="904" spans="2:15" x14ac:dyDescent="0.25">
      <c r="B904" s="17" t="s">
        <v>656</v>
      </c>
      <c r="C904" s="16"/>
      <c r="E904" s="18"/>
      <c r="F904" s="19"/>
      <c r="G904" s="20"/>
      <c r="H904" s="20"/>
      <c r="I904" s="21"/>
      <c r="J904" s="21"/>
      <c r="K904" s="25"/>
      <c r="L904" s="25"/>
      <c r="M904" s="25"/>
      <c r="O904" s="22"/>
    </row>
    <row r="905" spans="2:15" x14ac:dyDescent="0.25">
      <c r="B905" s="17" t="s">
        <v>907</v>
      </c>
      <c r="C905" s="16"/>
      <c r="E905" s="18"/>
      <c r="F905" s="19"/>
      <c r="G905" s="20"/>
      <c r="H905" s="20"/>
      <c r="I905" s="21"/>
      <c r="J905" s="21"/>
      <c r="K905" s="25"/>
      <c r="L905" s="25"/>
      <c r="M905" s="25"/>
      <c r="O905" s="22"/>
    </row>
    <row r="906" spans="2:15" x14ac:dyDescent="0.25">
      <c r="B906" s="17" t="s">
        <v>949</v>
      </c>
      <c r="C906" s="16"/>
      <c r="E906" s="18"/>
      <c r="F906" s="19"/>
      <c r="G906" s="20"/>
      <c r="H906" s="20"/>
      <c r="I906" s="21"/>
      <c r="J906" s="21"/>
      <c r="K906" s="25"/>
      <c r="L906" s="25"/>
      <c r="M906" s="25"/>
      <c r="O906" s="22"/>
    </row>
    <row r="907" spans="2:15" x14ac:dyDescent="0.25">
      <c r="B907" s="17" t="s">
        <v>855</v>
      </c>
      <c r="C907" s="16"/>
      <c r="E907" s="18"/>
      <c r="F907" s="19"/>
      <c r="G907" s="20"/>
      <c r="H907" s="20"/>
      <c r="I907" s="21"/>
      <c r="J907" s="21"/>
      <c r="K907" s="25"/>
      <c r="L907" s="25"/>
      <c r="M907" s="25"/>
      <c r="O907" s="22"/>
    </row>
    <row r="908" spans="2:15" x14ac:dyDescent="0.25">
      <c r="B908" s="17" t="s">
        <v>920</v>
      </c>
      <c r="C908" s="16"/>
      <c r="E908" s="18"/>
      <c r="F908" s="19"/>
      <c r="G908" s="20"/>
      <c r="H908" s="20"/>
      <c r="I908" s="21"/>
      <c r="J908" s="21"/>
      <c r="K908" s="25"/>
      <c r="L908" s="25"/>
      <c r="M908" s="25"/>
      <c r="O908" s="22"/>
    </row>
    <row r="909" spans="2:15" x14ac:dyDescent="0.25">
      <c r="B909" s="17" t="s">
        <v>867</v>
      </c>
      <c r="C909" s="16"/>
      <c r="E909" s="18"/>
      <c r="F909" s="19"/>
      <c r="G909" s="20"/>
      <c r="H909" s="20"/>
      <c r="I909" s="21"/>
      <c r="J909" s="21"/>
      <c r="K909" s="25"/>
      <c r="L909" s="25"/>
      <c r="M909" s="25"/>
      <c r="O909" s="22"/>
    </row>
    <row r="910" spans="2:15" x14ac:dyDescent="0.25">
      <c r="B910" s="17" t="s">
        <v>881</v>
      </c>
      <c r="C910" s="16"/>
      <c r="E910" s="18"/>
      <c r="F910" s="19"/>
      <c r="G910" s="20"/>
      <c r="H910" s="20"/>
      <c r="I910" s="21"/>
      <c r="J910" s="21"/>
      <c r="K910" s="25"/>
      <c r="L910" s="25"/>
      <c r="M910" s="25"/>
      <c r="O910" s="22"/>
    </row>
    <row r="911" spans="2:15" x14ac:dyDescent="0.25">
      <c r="B911" s="17" t="s">
        <v>644</v>
      </c>
      <c r="C911" s="16"/>
      <c r="E911" s="18"/>
      <c r="F911" s="19"/>
      <c r="G911" s="20"/>
      <c r="H911" s="20"/>
      <c r="I911" s="21"/>
      <c r="J911" s="21"/>
      <c r="K911" s="25"/>
      <c r="L911" s="25"/>
      <c r="M911" s="25"/>
      <c r="O911" s="22"/>
    </row>
    <row r="912" spans="2:15" x14ac:dyDescent="0.25">
      <c r="B912" s="17" t="s">
        <v>789</v>
      </c>
      <c r="C912" s="16"/>
      <c r="E912" s="18"/>
      <c r="F912" s="19"/>
      <c r="G912" s="20"/>
      <c r="H912" s="20"/>
      <c r="I912" s="21"/>
      <c r="J912" s="21"/>
      <c r="K912" s="25"/>
      <c r="L912" s="25"/>
      <c r="M912" s="25"/>
      <c r="O912" s="22"/>
    </row>
    <row r="913" spans="2:15" x14ac:dyDescent="0.25">
      <c r="B913" s="17" t="s">
        <v>791</v>
      </c>
      <c r="C913" s="16"/>
      <c r="E913" s="18"/>
      <c r="F913" s="19"/>
      <c r="G913" s="20"/>
      <c r="H913" s="20"/>
      <c r="I913" s="21"/>
      <c r="J913" s="21"/>
      <c r="K913" s="25"/>
      <c r="L913" s="25"/>
      <c r="M913" s="25"/>
      <c r="O913" s="22"/>
    </row>
    <row r="914" spans="2:15" x14ac:dyDescent="0.25">
      <c r="B914" s="17" t="s">
        <v>807</v>
      </c>
      <c r="C914" s="16"/>
      <c r="E914" s="18"/>
      <c r="F914" s="19"/>
      <c r="G914" s="20"/>
      <c r="H914" s="20"/>
      <c r="I914" s="21"/>
      <c r="J914" s="21"/>
      <c r="K914" s="25"/>
      <c r="L914" s="25"/>
      <c r="M914" s="25"/>
      <c r="O914" s="22"/>
    </row>
    <row r="915" spans="2:15" x14ac:dyDescent="0.25">
      <c r="B915" s="17" t="s">
        <v>964</v>
      </c>
      <c r="C915" s="16"/>
      <c r="E915" s="18"/>
      <c r="F915" s="19"/>
      <c r="G915" s="20"/>
      <c r="H915" s="20"/>
      <c r="I915" s="21"/>
      <c r="J915" s="21"/>
      <c r="K915" s="25"/>
      <c r="L915" s="25"/>
      <c r="M915" s="25"/>
      <c r="O915" s="22"/>
    </row>
    <row r="916" spans="2:15" x14ac:dyDescent="0.25">
      <c r="B916" s="17" t="s">
        <v>612</v>
      </c>
      <c r="C916" s="16"/>
      <c r="E916" s="18"/>
      <c r="F916" s="19"/>
      <c r="G916" s="20"/>
      <c r="H916" s="20"/>
      <c r="I916" s="21"/>
      <c r="J916" s="21"/>
      <c r="K916" s="25"/>
      <c r="L916" s="25"/>
      <c r="M916" s="25"/>
      <c r="O916" s="22"/>
    </row>
    <row r="917" spans="2:15" x14ac:dyDescent="0.25">
      <c r="B917" s="17" t="s">
        <v>877</v>
      </c>
      <c r="C917" s="16"/>
      <c r="E917" s="18"/>
      <c r="F917" s="19"/>
      <c r="G917" s="20"/>
      <c r="H917" s="20"/>
      <c r="I917" s="21"/>
      <c r="J917" s="21"/>
      <c r="K917" s="25"/>
      <c r="L917" s="25"/>
      <c r="M917" s="25"/>
      <c r="O917" s="22"/>
    </row>
    <row r="918" spans="2:15" x14ac:dyDescent="0.25">
      <c r="B918" s="17" t="s">
        <v>835</v>
      </c>
      <c r="C918" s="16"/>
      <c r="E918" s="18"/>
      <c r="F918" s="23"/>
      <c r="G918" s="20"/>
      <c r="H918" s="20"/>
      <c r="I918" s="21"/>
      <c r="J918" s="21"/>
      <c r="K918" s="25"/>
      <c r="L918" s="25"/>
      <c r="M918" s="25"/>
      <c r="O918" s="22"/>
    </row>
    <row r="919" spans="2:15" x14ac:dyDescent="0.25">
      <c r="B919" s="17" t="s">
        <v>817</v>
      </c>
      <c r="C919" s="16"/>
      <c r="E919" s="18"/>
      <c r="F919" s="19"/>
      <c r="G919" s="20"/>
      <c r="H919" s="20"/>
      <c r="I919" s="21"/>
      <c r="J919" s="21"/>
      <c r="K919" s="25"/>
      <c r="L919" s="25"/>
      <c r="M919" s="25"/>
      <c r="O919" s="22"/>
    </row>
    <row r="920" spans="2:15" x14ac:dyDescent="0.25">
      <c r="B920" s="17" t="s">
        <v>853</v>
      </c>
      <c r="C920" s="16"/>
      <c r="E920" s="18"/>
      <c r="F920" s="19"/>
      <c r="G920" s="20"/>
      <c r="H920" s="20"/>
      <c r="I920" s="21"/>
      <c r="J920" s="21"/>
      <c r="K920" s="25"/>
      <c r="L920" s="25"/>
      <c r="M920" s="25"/>
      <c r="O920" s="22"/>
    </row>
    <row r="921" spans="2:15" x14ac:dyDescent="0.25">
      <c r="B921" s="17" t="s">
        <v>414</v>
      </c>
      <c r="C921" s="16"/>
      <c r="E921" s="18"/>
      <c r="F921" s="19"/>
      <c r="G921" s="20"/>
      <c r="H921" s="20"/>
      <c r="I921" s="21"/>
      <c r="J921" s="21"/>
      <c r="K921" s="25"/>
      <c r="L921" s="25"/>
      <c r="M921" s="25"/>
      <c r="O921" s="22"/>
    </row>
    <row r="922" spans="2:15" x14ac:dyDescent="0.25">
      <c r="B922" s="17" t="s">
        <v>815</v>
      </c>
      <c r="C922" s="16"/>
      <c r="E922" s="18"/>
      <c r="F922" s="19"/>
      <c r="G922" s="20"/>
      <c r="H922" s="20"/>
      <c r="I922" s="21"/>
      <c r="J922" s="21"/>
      <c r="K922" s="25"/>
      <c r="L922" s="25"/>
      <c r="M922" s="25"/>
      <c r="O922" s="22"/>
    </row>
    <row r="923" spans="2:15" x14ac:dyDescent="0.25">
      <c r="B923" s="17" t="s">
        <v>759</v>
      </c>
      <c r="C923" s="16"/>
      <c r="E923" s="18"/>
      <c r="F923" s="19"/>
      <c r="G923" s="20"/>
      <c r="H923" s="20"/>
      <c r="I923" s="21"/>
      <c r="J923" s="21"/>
      <c r="K923" s="25"/>
      <c r="L923" s="25"/>
      <c r="M923" s="25"/>
      <c r="O923" s="22"/>
    </row>
    <row r="924" spans="2:15" x14ac:dyDescent="0.25">
      <c r="B924" s="17" t="s">
        <v>832</v>
      </c>
      <c r="C924" s="16"/>
      <c r="E924" s="18"/>
      <c r="F924" s="19"/>
      <c r="G924" s="20"/>
      <c r="H924" s="20"/>
      <c r="I924" s="21"/>
      <c r="J924" s="21"/>
      <c r="K924" s="25"/>
      <c r="L924" s="25"/>
      <c r="M924" s="25"/>
      <c r="O924" s="22"/>
    </row>
    <row r="925" spans="2:15" x14ac:dyDescent="0.25">
      <c r="B925" s="17" t="s">
        <v>614</v>
      </c>
      <c r="C925" s="16"/>
      <c r="E925" s="18"/>
      <c r="F925" s="19"/>
      <c r="G925" s="20"/>
      <c r="H925" s="20"/>
      <c r="I925" s="21"/>
      <c r="J925" s="21"/>
      <c r="K925" s="25"/>
      <c r="L925" s="25"/>
      <c r="M925" s="25"/>
      <c r="O925" s="22"/>
    </row>
    <row r="926" spans="2:15" x14ac:dyDescent="0.25">
      <c r="B926" s="17" t="s">
        <v>1246</v>
      </c>
      <c r="C926" s="16"/>
      <c r="E926" s="18"/>
      <c r="F926" s="19"/>
      <c r="G926" s="20"/>
      <c r="H926" s="20"/>
      <c r="I926" s="21"/>
      <c r="J926" s="21"/>
      <c r="K926" s="25"/>
      <c r="L926" s="25"/>
      <c r="M926" s="25"/>
      <c r="O926" s="22"/>
    </row>
    <row r="927" spans="2:15" x14ac:dyDescent="0.25">
      <c r="B927" s="17" t="s">
        <v>1087</v>
      </c>
      <c r="C927" s="16"/>
      <c r="E927" s="18"/>
      <c r="F927" s="19"/>
      <c r="G927" s="20"/>
      <c r="H927" s="20"/>
      <c r="I927" s="21"/>
      <c r="J927" s="21"/>
      <c r="K927" s="25"/>
      <c r="L927" s="25"/>
      <c r="M927" s="25"/>
      <c r="O927" s="22"/>
    </row>
    <row r="928" spans="2:15" x14ac:dyDescent="0.25">
      <c r="B928" s="17" t="s">
        <v>1305</v>
      </c>
      <c r="C928" s="16"/>
      <c r="E928" s="18"/>
      <c r="F928" s="19"/>
      <c r="G928" s="20"/>
      <c r="H928" s="20"/>
      <c r="I928" s="21"/>
      <c r="J928" s="21"/>
      <c r="K928" s="25"/>
      <c r="L928" s="25"/>
      <c r="M928" s="25"/>
      <c r="O928" s="22"/>
    </row>
    <row r="929" spans="2:15" x14ac:dyDescent="0.25">
      <c r="B929" s="17" t="s">
        <v>890</v>
      </c>
      <c r="C929" s="16"/>
      <c r="E929" s="18"/>
      <c r="F929" s="19"/>
      <c r="G929" s="20"/>
      <c r="H929" s="20"/>
      <c r="I929" s="21"/>
      <c r="J929" s="21"/>
      <c r="K929" s="25"/>
      <c r="L929" s="25"/>
      <c r="M929" s="25"/>
      <c r="O929" s="22"/>
    </row>
    <row r="930" spans="2:15" x14ac:dyDescent="0.25">
      <c r="B930" s="17" t="s">
        <v>618</v>
      </c>
      <c r="C930" s="16"/>
      <c r="E930" s="18"/>
      <c r="F930" s="19"/>
      <c r="G930" s="20"/>
      <c r="H930" s="20"/>
      <c r="I930" s="21"/>
      <c r="J930" s="21"/>
      <c r="K930" s="25"/>
      <c r="L930" s="25"/>
      <c r="M930" s="25"/>
      <c r="O930" s="22"/>
    </row>
    <row r="931" spans="2:15" x14ac:dyDescent="0.25">
      <c r="B931" s="17" t="s">
        <v>777</v>
      </c>
      <c r="C931" s="16"/>
      <c r="E931" s="18"/>
      <c r="F931" s="23"/>
      <c r="G931" s="20"/>
      <c r="H931" s="20"/>
      <c r="I931" s="21"/>
      <c r="J931" s="21"/>
      <c r="K931" s="25"/>
      <c r="L931" s="25"/>
      <c r="M931" s="25"/>
      <c r="O931" s="22"/>
    </row>
    <row r="932" spans="2:15" x14ac:dyDescent="0.25">
      <c r="B932" s="17" t="s">
        <v>653</v>
      </c>
      <c r="C932" s="16"/>
      <c r="E932" s="18"/>
      <c r="F932" s="19"/>
      <c r="G932" s="20"/>
      <c r="H932" s="20"/>
      <c r="I932" s="21"/>
      <c r="J932" s="21"/>
      <c r="K932" s="25"/>
      <c r="L932" s="25"/>
      <c r="M932" s="25"/>
      <c r="O932" s="22"/>
    </row>
    <row r="933" spans="2:15" x14ac:dyDescent="0.25">
      <c r="B933" s="17" t="s">
        <v>844</v>
      </c>
      <c r="C933" s="16"/>
      <c r="E933" s="18"/>
      <c r="F933" s="19"/>
      <c r="G933" s="20"/>
      <c r="H933" s="20"/>
      <c r="I933" s="21"/>
      <c r="J933" s="21"/>
      <c r="K933" s="25"/>
      <c r="L933" s="25"/>
      <c r="M933" s="25"/>
      <c r="O933" s="22"/>
    </row>
    <row r="934" spans="2:15" x14ac:dyDescent="0.25">
      <c r="B934" s="17" t="s">
        <v>629</v>
      </c>
      <c r="C934" s="16"/>
      <c r="E934" s="18"/>
      <c r="F934" s="19"/>
      <c r="G934" s="20"/>
      <c r="H934" s="20"/>
      <c r="I934" s="21"/>
      <c r="J934" s="21"/>
      <c r="K934" s="25"/>
      <c r="L934" s="25"/>
      <c r="M934" s="25"/>
      <c r="O934" s="22"/>
    </row>
    <row r="935" spans="2:15" x14ac:dyDescent="0.25">
      <c r="B935" s="17" t="s">
        <v>839</v>
      </c>
      <c r="C935" s="16"/>
      <c r="E935" s="18"/>
      <c r="F935" s="19"/>
      <c r="G935" s="20"/>
      <c r="H935" s="20"/>
      <c r="I935" s="21"/>
      <c r="J935" s="21"/>
      <c r="K935" s="25"/>
      <c r="L935" s="25"/>
      <c r="M935" s="25"/>
      <c r="O935" s="22"/>
    </row>
    <row r="936" spans="2:15" x14ac:dyDescent="0.25">
      <c r="B936" s="17" t="s">
        <v>630</v>
      </c>
      <c r="C936" s="16"/>
      <c r="E936" s="18"/>
      <c r="F936" s="19"/>
      <c r="G936" s="20"/>
      <c r="H936" s="20"/>
      <c r="I936" s="21"/>
      <c r="J936" s="21"/>
      <c r="K936" s="25"/>
      <c r="L936" s="25"/>
      <c r="M936" s="25"/>
      <c r="O936" s="22"/>
    </row>
    <row r="937" spans="2:15" x14ac:dyDescent="0.25">
      <c r="B937" s="17" t="s">
        <v>901</v>
      </c>
      <c r="C937" s="16"/>
      <c r="E937" s="18"/>
      <c r="F937" s="19"/>
      <c r="G937" s="20"/>
      <c r="H937" s="20"/>
      <c r="I937" s="21"/>
      <c r="J937" s="21"/>
      <c r="K937" s="25"/>
      <c r="L937" s="25"/>
      <c r="M937" s="25"/>
      <c r="O937" s="22"/>
    </row>
    <row r="938" spans="2:15" x14ac:dyDescent="0.25">
      <c r="B938" s="17" t="s">
        <v>869</v>
      </c>
      <c r="C938" s="16"/>
      <c r="E938" s="18"/>
      <c r="F938" s="23"/>
      <c r="G938" s="20"/>
      <c r="H938" s="20"/>
      <c r="I938" s="21"/>
      <c r="J938" s="21"/>
      <c r="K938" s="25"/>
      <c r="L938" s="25"/>
      <c r="M938" s="25"/>
      <c r="O938" s="22"/>
    </row>
    <row r="939" spans="2:15" x14ac:dyDescent="0.25">
      <c r="B939" s="17" t="s">
        <v>863</v>
      </c>
      <c r="C939" s="16"/>
      <c r="E939" s="18"/>
      <c r="F939" s="19"/>
      <c r="G939" s="20"/>
      <c r="H939" s="20"/>
      <c r="I939" s="21"/>
      <c r="J939" s="21"/>
      <c r="K939" s="25"/>
      <c r="L939" s="25"/>
      <c r="M939" s="25"/>
      <c r="O939" s="22"/>
    </row>
    <row r="940" spans="2:15" x14ac:dyDescent="0.25">
      <c r="B940" s="17" t="s">
        <v>876</v>
      </c>
      <c r="C940" s="16"/>
      <c r="E940" s="18"/>
      <c r="F940" s="19"/>
      <c r="G940" s="20"/>
      <c r="H940" s="20"/>
      <c r="I940" s="21"/>
      <c r="J940" s="21"/>
      <c r="K940" s="25"/>
      <c r="L940" s="25"/>
      <c r="M940" s="25"/>
      <c r="O940" s="22"/>
    </row>
    <row r="941" spans="2:15" x14ac:dyDescent="0.25">
      <c r="B941" s="17" t="s">
        <v>804</v>
      </c>
      <c r="C941" s="16"/>
      <c r="E941" s="18"/>
      <c r="F941" s="19"/>
      <c r="G941" s="20"/>
      <c r="H941" s="20"/>
      <c r="I941" s="21"/>
      <c r="J941" s="21"/>
      <c r="K941" s="25"/>
      <c r="L941" s="25"/>
      <c r="M941" s="25"/>
      <c r="O941" s="22"/>
    </row>
    <row r="942" spans="2:15" x14ac:dyDescent="0.25">
      <c r="B942" s="17" t="s">
        <v>888</v>
      </c>
      <c r="C942" s="16"/>
      <c r="E942" s="18"/>
      <c r="F942" s="19"/>
      <c r="G942" s="20"/>
      <c r="H942" s="20"/>
      <c r="I942" s="21"/>
      <c r="J942" s="21"/>
      <c r="K942" s="25"/>
      <c r="L942" s="25"/>
      <c r="M942" s="25"/>
      <c r="O942" s="22"/>
    </row>
    <row r="943" spans="2:15" x14ac:dyDescent="0.25">
      <c r="B943" s="17" t="s">
        <v>616</v>
      </c>
      <c r="C943" s="16"/>
      <c r="E943" s="18"/>
      <c r="F943" s="19"/>
      <c r="G943" s="20"/>
      <c r="H943" s="20"/>
      <c r="I943" s="21"/>
      <c r="J943" s="21"/>
      <c r="K943" s="25"/>
      <c r="L943" s="25"/>
      <c r="M943" s="25"/>
      <c r="O943" s="22"/>
    </row>
    <row r="944" spans="2:15" x14ac:dyDescent="0.25">
      <c r="B944" s="17" t="s">
        <v>892</v>
      </c>
      <c r="C944" s="16"/>
      <c r="E944" s="18"/>
      <c r="F944" s="19"/>
      <c r="G944" s="20"/>
      <c r="H944" s="20"/>
      <c r="I944" s="21"/>
      <c r="J944" s="21"/>
      <c r="K944" s="25"/>
      <c r="L944" s="25"/>
      <c r="M944" s="25"/>
      <c r="O944" s="22"/>
    </row>
    <row r="945" spans="2:15" x14ac:dyDescent="0.25">
      <c r="B945" s="17" t="s">
        <v>861</v>
      </c>
      <c r="C945" s="16"/>
      <c r="E945" s="18"/>
      <c r="F945" s="19"/>
      <c r="G945" s="20"/>
      <c r="H945" s="20"/>
      <c r="I945" s="21"/>
      <c r="J945" s="21"/>
      <c r="K945" s="25"/>
      <c r="L945" s="25"/>
      <c r="M945" s="25"/>
      <c r="O945" s="22"/>
    </row>
    <row r="946" spans="2:15" x14ac:dyDescent="0.25">
      <c r="B946" s="17" t="s">
        <v>1340</v>
      </c>
      <c r="C946" s="16"/>
      <c r="E946" s="18"/>
      <c r="F946" s="19"/>
      <c r="G946" s="20"/>
      <c r="H946" s="20"/>
      <c r="I946" s="21"/>
      <c r="J946" s="21"/>
      <c r="K946" s="25"/>
      <c r="L946" s="25"/>
      <c r="M946" s="25"/>
      <c r="O946" s="22"/>
    </row>
    <row r="947" spans="2:15" x14ac:dyDescent="0.25">
      <c r="B947" s="17" t="s">
        <v>899</v>
      </c>
      <c r="C947" s="16"/>
      <c r="E947" s="18"/>
      <c r="F947" s="19"/>
      <c r="G947" s="20"/>
      <c r="H947" s="20"/>
      <c r="I947" s="21"/>
      <c r="J947" s="21"/>
      <c r="K947" s="25"/>
      <c r="L947" s="25"/>
      <c r="M947" s="25"/>
      <c r="O947" s="22"/>
    </row>
    <row r="948" spans="2:15" x14ac:dyDescent="0.25">
      <c r="B948" s="17" t="s">
        <v>898</v>
      </c>
      <c r="C948" s="16"/>
      <c r="E948" s="18"/>
      <c r="F948" s="19"/>
      <c r="G948" s="20"/>
      <c r="H948" s="20"/>
      <c r="I948" s="21"/>
      <c r="J948" s="21"/>
      <c r="K948" s="25"/>
      <c r="L948" s="25"/>
      <c r="M948" s="25"/>
      <c r="O948" s="22"/>
    </row>
    <row r="949" spans="2:15" x14ac:dyDescent="0.25">
      <c r="B949" s="17" t="s">
        <v>660</v>
      </c>
      <c r="C949" s="16"/>
      <c r="E949" s="18"/>
      <c r="F949" s="19"/>
      <c r="G949" s="20"/>
      <c r="H949" s="20"/>
      <c r="I949" s="21"/>
      <c r="J949" s="21"/>
      <c r="K949" s="25"/>
      <c r="L949" s="25"/>
      <c r="M949" s="25"/>
      <c r="O949" s="22"/>
    </row>
    <row r="950" spans="2:15" x14ac:dyDescent="0.25">
      <c r="B950" s="17" t="s">
        <v>639</v>
      </c>
      <c r="C950" s="16"/>
      <c r="E950" s="18"/>
      <c r="F950" s="19"/>
      <c r="G950" s="20"/>
      <c r="H950" s="20"/>
      <c r="I950" s="21"/>
      <c r="J950" s="21"/>
      <c r="K950" s="25"/>
      <c r="L950" s="25"/>
      <c r="M950" s="25"/>
      <c r="O950" s="22"/>
    </row>
    <row r="951" spans="2:15" x14ac:dyDescent="0.25">
      <c r="B951" s="17" t="s">
        <v>649</v>
      </c>
      <c r="C951" s="16"/>
      <c r="E951" s="18"/>
      <c r="F951" s="19"/>
      <c r="G951" s="20"/>
      <c r="H951" s="20"/>
      <c r="I951" s="21"/>
      <c r="J951" s="21"/>
      <c r="K951" s="25"/>
      <c r="L951" s="25"/>
      <c r="M951" s="25"/>
      <c r="O951" s="22"/>
    </row>
    <row r="952" spans="2:15" x14ac:dyDescent="0.25">
      <c r="B952" s="17" t="s">
        <v>587</v>
      </c>
      <c r="C952" s="16"/>
      <c r="E952" s="18"/>
      <c r="F952" s="19"/>
      <c r="G952" s="20"/>
      <c r="H952" s="20"/>
      <c r="I952" s="21"/>
      <c r="J952" s="21"/>
      <c r="K952" s="25"/>
      <c r="L952" s="25"/>
      <c r="M952" s="25"/>
      <c r="O952" s="22"/>
    </row>
    <row r="953" spans="2:15" x14ac:dyDescent="0.25">
      <c r="B953" s="17" t="s">
        <v>875</v>
      </c>
      <c r="C953" s="16"/>
      <c r="E953" s="18"/>
      <c r="F953" s="19"/>
      <c r="G953" s="20"/>
      <c r="H953" s="20"/>
      <c r="I953" s="21"/>
      <c r="J953" s="21"/>
      <c r="K953" s="25"/>
      <c r="L953" s="25"/>
      <c r="M953" s="25"/>
      <c r="O953" s="22"/>
    </row>
    <row r="954" spans="2:15" x14ac:dyDescent="0.25">
      <c r="B954" s="17" t="s">
        <v>910</v>
      </c>
      <c r="C954" s="16"/>
      <c r="E954" s="18"/>
      <c r="F954" s="19"/>
      <c r="G954" s="20"/>
      <c r="H954" s="20"/>
      <c r="I954" s="21"/>
      <c r="J954" s="21"/>
      <c r="K954" s="25"/>
      <c r="L954" s="25"/>
      <c r="M954" s="25"/>
      <c r="O954" s="22"/>
    </row>
    <row r="955" spans="2:15" x14ac:dyDescent="0.25">
      <c r="B955" s="17" t="s">
        <v>872</v>
      </c>
      <c r="C955" s="16"/>
      <c r="E955" s="18"/>
      <c r="F955" s="19"/>
      <c r="G955" s="20"/>
      <c r="H955" s="20"/>
      <c r="I955" s="21"/>
      <c r="J955" s="21"/>
      <c r="K955" s="25"/>
      <c r="L955" s="25"/>
      <c r="M955" s="25"/>
      <c r="O955" s="22"/>
    </row>
    <row r="956" spans="2:15" x14ac:dyDescent="0.25">
      <c r="B956" s="17" t="s">
        <v>918</v>
      </c>
      <c r="C956" s="16"/>
      <c r="E956" s="18"/>
      <c r="F956" s="19"/>
      <c r="G956" s="20"/>
      <c r="H956" s="20"/>
      <c r="I956" s="21"/>
      <c r="J956" s="21"/>
      <c r="K956" s="25"/>
      <c r="L956" s="25"/>
      <c r="M956" s="25"/>
      <c r="O956" s="22"/>
    </row>
    <row r="957" spans="2:15" x14ac:dyDescent="0.25">
      <c r="B957" s="17" t="s">
        <v>908</v>
      </c>
      <c r="C957" s="16"/>
      <c r="E957" s="18"/>
      <c r="F957" s="19"/>
      <c r="G957" s="20"/>
      <c r="H957" s="20"/>
      <c r="I957" s="21"/>
      <c r="J957" s="21"/>
      <c r="K957" s="25"/>
      <c r="L957" s="25"/>
      <c r="M957" s="25"/>
      <c r="O957" s="22"/>
    </row>
    <row r="958" spans="2:15" x14ac:dyDescent="0.25">
      <c r="B958" s="17" t="s">
        <v>860</v>
      </c>
      <c r="C958" s="16"/>
      <c r="E958" s="18"/>
      <c r="F958" s="19"/>
      <c r="G958" s="20"/>
      <c r="H958" s="20"/>
      <c r="I958" s="21"/>
      <c r="J958" s="21"/>
      <c r="K958" s="25"/>
      <c r="L958" s="25"/>
      <c r="M958" s="25"/>
      <c r="O958" s="22"/>
    </row>
    <row r="959" spans="2:15" x14ac:dyDescent="0.25">
      <c r="B959" s="17" t="s">
        <v>911</v>
      </c>
      <c r="C959" s="16"/>
      <c r="E959" s="18"/>
      <c r="F959" s="19"/>
      <c r="G959" s="20"/>
      <c r="H959" s="20"/>
      <c r="I959" s="21"/>
      <c r="J959" s="21"/>
      <c r="K959" s="25"/>
      <c r="L959" s="25"/>
      <c r="M959" s="25"/>
      <c r="O959" s="22"/>
    </row>
    <row r="960" spans="2:15" x14ac:dyDescent="0.25">
      <c r="B960" s="17" t="s">
        <v>913</v>
      </c>
      <c r="C960" s="16"/>
      <c r="E960" s="18"/>
      <c r="F960" s="19"/>
      <c r="G960" s="20"/>
      <c r="H960" s="20"/>
      <c r="I960" s="21"/>
      <c r="J960" s="21"/>
      <c r="K960" s="25"/>
      <c r="L960" s="25"/>
      <c r="M960" s="25"/>
      <c r="O960" s="22"/>
    </row>
    <row r="961" spans="2:15" x14ac:dyDescent="0.25">
      <c r="B961" s="17" t="s">
        <v>1453</v>
      </c>
      <c r="C961" s="16"/>
      <c r="E961" s="18"/>
      <c r="F961" s="19"/>
      <c r="G961" s="20"/>
      <c r="H961" s="20"/>
      <c r="I961" s="21"/>
      <c r="J961" s="21"/>
      <c r="K961" s="25"/>
      <c r="L961" s="25"/>
      <c r="M961" s="25"/>
      <c r="O961" s="22"/>
    </row>
    <row r="962" spans="2:15" x14ac:dyDescent="0.25">
      <c r="B962" s="17" t="s">
        <v>1034</v>
      </c>
      <c r="C962" s="16"/>
      <c r="E962" s="18"/>
      <c r="F962" s="19"/>
      <c r="G962" s="20"/>
      <c r="H962" s="20"/>
      <c r="I962" s="21"/>
      <c r="J962" s="21"/>
      <c r="K962" s="25"/>
      <c r="L962" s="25"/>
      <c r="M962" s="25"/>
      <c r="O962" s="22"/>
    </row>
    <row r="963" spans="2:15" x14ac:dyDescent="0.25">
      <c r="B963" s="17" t="s">
        <v>902</v>
      </c>
      <c r="C963" s="16"/>
      <c r="E963" s="18"/>
      <c r="F963" s="19"/>
      <c r="G963" s="20"/>
      <c r="H963" s="20"/>
      <c r="I963" s="21"/>
      <c r="J963" s="21"/>
      <c r="K963" s="25"/>
      <c r="L963" s="25"/>
      <c r="M963" s="25"/>
      <c r="O963" s="22"/>
    </row>
    <row r="964" spans="2:15" x14ac:dyDescent="0.25">
      <c r="B964" s="17" t="s">
        <v>645</v>
      </c>
      <c r="C964" s="16"/>
      <c r="E964" s="18"/>
      <c r="F964" s="19"/>
      <c r="G964" s="20"/>
      <c r="H964" s="20"/>
      <c r="I964" s="21"/>
      <c r="J964" s="21"/>
      <c r="K964" s="25"/>
      <c r="L964" s="25"/>
      <c r="M964" s="25"/>
      <c r="O964" s="22"/>
    </row>
    <row r="965" spans="2:15" x14ac:dyDescent="0.25">
      <c r="B965" s="17" t="s">
        <v>915</v>
      </c>
      <c r="C965" s="16"/>
      <c r="E965" s="18"/>
      <c r="F965" s="19"/>
      <c r="G965" s="20"/>
      <c r="H965" s="20"/>
      <c r="I965" s="21"/>
      <c r="J965" s="21"/>
      <c r="K965" s="25"/>
      <c r="L965" s="25"/>
      <c r="M965" s="25"/>
      <c r="O965" s="22"/>
    </row>
    <row r="966" spans="2:15" x14ac:dyDescent="0.25">
      <c r="B966" s="17" t="s">
        <v>1004</v>
      </c>
      <c r="C966" s="16"/>
      <c r="E966" s="18"/>
      <c r="F966" s="19"/>
      <c r="G966" s="20"/>
      <c r="H966" s="20"/>
      <c r="I966" s="21"/>
      <c r="J966" s="21"/>
      <c r="K966" s="25"/>
      <c r="L966" s="25"/>
      <c r="M966" s="25"/>
      <c r="O966" s="22"/>
    </row>
    <row r="967" spans="2:15" x14ac:dyDescent="0.25">
      <c r="B967" s="17" t="s">
        <v>663</v>
      </c>
      <c r="C967" s="16"/>
      <c r="E967" s="18"/>
      <c r="F967" s="19"/>
      <c r="G967" s="20"/>
      <c r="H967" s="20"/>
      <c r="I967" s="21"/>
      <c r="J967" s="21"/>
      <c r="K967" s="25"/>
      <c r="L967" s="25"/>
      <c r="M967" s="25"/>
      <c r="O967" s="22"/>
    </row>
    <row r="968" spans="2:15" x14ac:dyDescent="0.25">
      <c r="B968" s="17" t="s">
        <v>917</v>
      </c>
      <c r="C968" s="16"/>
      <c r="E968" s="18"/>
      <c r="F968" s="19"/>
      <c r="G968" s="20"/>
      <c r="H968" s="20"/>
      <c r="I968" s="21"/>
      <c r="J968" s="21"/>
      <c r="K968" s="25"/>
      <c r="L968" s="25"/>
      <c r="M968" s="25"/>
      <c r="O968" s="22"/>
    </row>
    <row r="969" spans="2:15" x14ac:dyDescent="0.25">
      <c r="B969" s="17" t="s">
        <v>662</v>
      </c>
      <c r="C969" s="16"/>
      <c r="E969" s="18"/>
      <c r="F969" s="19"/>
      <c r="G969" s="20"/>
      <c r="H969" s="20"/>
      <c r="I969" s="21"/>
      <c r="J969" s="21"/>
      <c r="K969" s="25"/>
      <c r="L969" s="25"/>
      <c r="M969" s="25"/>
      <c r="O969" s="22"/>
    </row>
    <row r="970" spans="2:15" x14ac:dyDescent="0.25">
      <c r="B970" s="17" t="s">
        <v>921</v>
      </c>
      <c r="C970" s="16"/>
      <c r="E970" s="18"/>
      <c r="F970" s="19"/>
      <c r="G970" s="20"/>
      <c r="H970" s="20"/>
      <c r="I970" s="21"/>
      <c r="J970" s="21"/>
      <c r="K970" s="25"/>
      <c r="L970" s="25"/>
      <c r="M970" s="25"/>
      <c r="O970" s="22"/>
    </row>
    <row r="971" spans="2:15" x14ac:dyDescent="0.25">
      <c r="B971" s="17" t="s">
        <v>659</v>
      </c>
      <c r="C971" s="16"/>
      <c r="E971" s="18"/>
      <c r="F971" s="19"/>
      <c r="G971" s="20"/>
      <c r="H971" s="20"/>
      <c r="I971" s="21"/>
      <c r="J971" s="21"/>
      <c r="K971" s="25"/>
      <c r="L971" s="25"/>
      <c r="M971" s="25"/>
      <c r="O971" s="22"/>
    </row>
    <row r="972" spans="2:15" x14ac:dyDescent="0.25">
      <c r="B972" s="17" t="s">
        <v>922</v>
      </c>
      <c r="C972" s="16"/>
      <c r="E972" s="18"/>
      <c r="F972" s="19"/>
      <c r="G972" s="20"/>
      <c r="H972" s="20"/>
      <c r="I972" s="21"/>
      <c r="J972" s="21"/>
      <c r="K972" s="25"/>
      <c r="L972" s="25"/>
      <c r="M972" s="25"/>
      <c r="O972" s="22"/>
    </row>
    <row r="973" spans="2:15" x14ac:dyDescent="0.25">
      <c r="B973" s="17" t="s">
        <v>661</v>
      </c>
      <c r="C973" s="16"/>
      <c r="E973" s="18"/>
      <c r="F973" s="19"/>
      <c r="G973" s="20"/>
      <c r="H973" s="20"/>
      <c r="I973" s="21"/>
      <c r="J973" s="21"/>
      <c r="K973" s="25"/>
      <c r="L973" s="25"/>
      <c r="M973" s="25"/>
      <c r="O973" s="22"/>
    </row>
    <row r="974" spans="2:15" x14ac:dyDescent="0.25">
      <c r="B974" s="17" t="s">
        <v>923</v>
      </c>
      <c r="C974" s="16"/>
      <c r="E974" s="18"/>
      <c r="F974" s="19"/>
      <c r="G974" s="20"/>
      <c r="H974" s="20"/>
      <c r="I974" s="21"/>
      <c r="J974" s="21"/>
      <c r="K974" s="25"/>
      <c r="L974" s="25"/>
      <c r="M974" s="25"/>
      <c r="O974" s="22"/>
    </row>
    <row r="975" spans="2:15" x14ac:dyDescent="0.25">
      <c r="B975" s="17" t="s">
        <v>781</v>
      </c>
      <c r="C975" s="16"/>
      <c r="E975" s="18"/>
      <c r="F975" s="19"/>
      <c r="G975" s="20"/>
      <c r="H975" s="20"/>
      <c r="I975" s="21"/>
      <c r="J975" s="21"/>
      <c r="K975" s="25"/>
      <c r="L975" s="25"/>
      <c r="M975" s="25"/>
      <c r="O975" s="22"/>
    </row>
    <row r="976" spans="2:15" x14ac:dyDescent="0.25">
      <c r="B976" s="17" t="s">
        <v>543</v>
      </c>
      <c r="C976" s="16"/>
      <c r="E976" s="18"/>
      <c r="F976" s="19"/>
      <c r="G976" s="20"/>
      <c r="H976" s="20"/>
      <c r="I976" s="21"/>
      <c r="J976" s="21"/>
      <c r="K976" s="25"/>
      <c r="L976" s="25"/>
      <c r="M976" s="25"/>
      <c r="O976" s="22"/>
    </row>
    <row r="977" spans="2:15" x14ac:dyDescent="0.25">
      <c r="B977" s="17" t="s">
        <v>830</v>
      </c>
      <c r="C977" s="16"/>
      <c r="E977" s="18"/>
      <c r="F977" s="19"/>
      <c r="G977" s="20"/>
      <c r="H977" s="20"/>
      <c r="I977" s="21"/>
      <c r="J977" s="21"/>
      <c r="K977" s="25"/>
      <c r="L977" s="25"/>
      <c r="M977" s="25"/>
      <c r="O977" s="22"/>
    </row>
    <row r="978" spans="2:15" x14ac:dyDescent="0.25">
      <c r="B978" s="17" t="s">
        <v>497</v>
      </c>
      <c r="C978" s="16"/>
      <c r="E978" s="18"/>
      <c r="F978" s="19"/>
      <c r="G978" s="20"/>
      <c r="H978" s="20"/>
      <c r="I978" s="21"/>
      <c r="J978" s="21"/>
      <c r="K978" s="25"/>
      <c r="L978" s="25"/>
      <c r="M978" s="25"/>
      <c r="O978" s="22"/>
    </row>
    <row r="979" spans="2:15" x14ac:dyDescent="0.25">
      <c r="B979" s="17" t="s">
        <v>724</v>
      </c>
      <c r="C979" s="16"/>
      <c r="E979" s="18"/>
      <c r="F979" s="19"/>
      <c r="G979" s="20"/>
      <c r="H979" s="20"/>
      <c r="I979" s="21"/>
      <c r="J979" s="21"/>
      <c r="K979" s="25"/>
      <c r="L979" s="25"/>
      <c r="M979" s="25"/>
      <c r="O979" s="22"/>
    </row>
    <row r="980" spans="2:15" x14ac:dyDescent="0.25">
      <c r="B980" s="17" t="s">
        <v>450</v>
      </c>
      <c r="C980" s="16"/>
      <c r="E980" s="18"/>
      <c r="F980" s="19"/>
      <c r="G980" s="20"/>
      <c r="H980" s="20"/>
      <c r="I980" s="21"/>
      <c r="J980" s="21"/>
      <c r="K980" s="25"/>
      <c r="L980" s="25"/>
      <c r="M980" s="25"/>
      <c r="O980" s="22"/>
    </row>
    <row r="981" spans="2:15" x14ac:dyDescent="0.25">
      <c r="B981" s="17" t="s">
        <v>668</v>
      </c>
      <c r="C981" s="16"/>
      <c r="E981" s="18"/>
      <c r="F981" s="23"/>
      <c r="G981" s="20"/>
      <c r="H981" s="20"/>
      <c r="I981" s="21"/>
      <c r="J981" s="21"/>
      <c r="K981" s="25"/>
      <c r="L981" s="25"/>
      <c r="M981" s="25"/>
      <c r="O981" s="22"/>
    </row>
    <row r="982" spans="2:15" x14ac:dyDescent="0.25">
      <c r="B982" s="17" t="s">
        <v>1395</v>
      </c>
      <c r="C982" s="16"/>
      <c r="E982" s="18"/>
      <c r="F982" s="19"/>
      <c r="G982" s="20"/>
      <c r="H982" s="20"/>
      <c r="I982" s="21"/>
      <c r="J982" s="21"/>
      <c r="K982" s="25"/>
      <c r="L982" s="25"/>
      <c r="M982" s="25"/>
      <c r="O982" s="22"/>
    </row>
    <row r="983" spans="2:15" x14ac:dyDescent="0.25">
      <c r="B983" s="17" t="s">
        <v>517</v>
      </c>
      <c r="C983" s="16"/>
      <c r="E983" s="18"/>
      <c r="F983" s="23"/>
      <c r="G983" s="20"/>
      <c r="H983" s="20"/>
      <c r="I983" s="21"/>
      <c r="J983" s="21"/>
      <c r="K983" s="25"/>
      <c r="L983" s="25"/>
      <c r="M983" s="25"/>
      <c r="O983" s="22"/>
    </row>
    <row r="984" spans="2:15" x14ac:dyDescent="0.25">
      <c r="B984" s="17" t="s">
        <v>504</v>
      </c>
      <c r="C984" s="16"/>
      <c r="E984" s="18"/>
      <c r="F984" s="19"/>
      <c r="G984" s="20"/>
      <c r="H984" s="20"/>
      <c r="I984" s="21"/>
      <c r="J984" s="21"/>
      <c r="K984" s="25"/>
      <c r="L984" s="25"/>
      <c r="M984" s="25"/>
      <c r="O984" s="22"/>
    </row>
    <row r="985" spans="2:15" x14ac:dyDescent="0.25">
      <c r="B985" s="17" t="s">
        <v>353</v>
      </c>
      <c r="C985" s="16"/>
      <c r="E985" s="18"/>
      <c r="F985" s="19"/>
      <c r="G985" s="20"/>
      <c r="H985" s="20"/>
      <c r="I985" s="21"/>
      <c r="J985" s="21"/>
      <c r="K985" s="25"/>
      <c r="L985" s="25"/>
      <c r="M985" s="25"/>
      <c r="O985" s="22"/>
    </row>
    <row r="986" spans="2:15" x14ac:dyDescent="0.25">
      <c r="B986" s="17" t="s">
        <v>511</v>
      </c>
      <c r="C986" s="16"/>
      <c r="E986" s="18"/>
      <c r="F986" s="19"/>
      <c r="G986" s="20"/>
      <c r="H986" s="20"/>
      <c r="I986" s="21"/>
      <c r="J986" s="21"/>
      <c r="K986" s="25"/>
      <c r="L986" s="25"/>
      <c r="M986" s="25"/>
      <c r="O986" s="22"/>
    </row>
    <row r="987" spans="2:15" x14ac:dyDescent="0.25">
      <c r="B987" s="17" t="s">
        <v>686</v>
      </c>
      <c r="C987" s="16"/>
      <c r="E987" s="18"/>
      <c r="F987" s="19"/>
      <c r="G987" s="20"/>
      <c r="H987" s="20"/>
      <c r="I987" s="21"/>
      <c r="J987" s="21"/>
      <c r="K987" s="25"/>
      <c r="L987" s="25"/>
      <c r="M987" s="25"/>
      <c r="O987" s="22"/>
    </row>
    <row r="988" spans="2:15" x14ac:dyDescent="0.25">
      <c r="B988" s="17" t="s">
        <v>498</v>
      </c>
      <c r="C988" s="16"/>
      <c r="E988" s="18"/>
      <c r="F988" s="19"/>
      <c r="G988" s="20"/>
      <c r="H988" s="20"/>
      <c r="I988" s="21"/>
      <c r="J988" s="21"/>
      <c r="K988" s="25"/>
      <c r="L988" s="25"/>
      <c r="M988" s="25"/>
      <c r="O988" s="22"/>
    </row>
    <row r="989" spans="2:15" x14ac:dyDescent="0.25">
      <c r="B989" s="17" t="s">
        <v>675</v>
      </c>
      <c r="C989" s="16"/>
      <c r="E989" s="18"/>
      <c r="F989" s="19"/>
      <c r="G989" s="20"/>
      <c r="H989" s="20"/>
      <c r="I989" s="21"/>
      <c r="J989" s="21"/>
      <c r="K989" s="25"/>
      <c r="L989" s="25"/>
      <c r="M989" s="25"/>
      <c r="O989" s="22"/>
    </row>
    <row r="990" spans="2:15" x14ac:dyDescent="0.25">
      <c r="B990" s="17" t="s">
        <v>796</v>
      </c>
      <c r="C990" s="16"/>
      <c r="E990" s="18"/>
      <c r="F990" s="19"/>
      <c r="G990" s="20"/>
      <c r="H990" s="20"/>
      <c r="I990" s="21"/>
      <c r="J990" s="21"/>
      <c r="K990" s="25"/>
      <c r="L990" s="25"/>
      <c r="M990" s="25"/>
      <c r="O990" s="22"/>
    </row>
    <row r="991" spans="2:15" x14ac:dyDescent="0.25">
      <c r="B991" s="17" t="s">
        <v>670</v>
      </c>
      <c r="C991" s="16"/>
      <c r="E991" s="18"/>
      <c r="F991" s="19"/>
      <c r="G991" s="20"/>
      <c r="H991" s="20"/>
      <c r="I991" s="21"/>
      <c r="J991" s="21"/>
      <c r="K991" s="25"/>
      <c r="L991" s="25"/>
      <c r="M991" s="25"/>
      <c r="O991" s="22"/>
    </row>
    <row r="992" spans="2:15" x14ac:dyDescent="0.25">
      <c r="B992" s="17" t="s">
        <v>699</v>
      </c>
      <c r="C992" s="16"/>
      <c r="E992" s="18"/>
      <c r="F992" s="19"/>
      <c r="G992" s="20"/>
      <c r="H992" s="20"/>
      <c r="I992" s="21"/>
      <c r="J992" s="21"/>
      <c r="K992" s="25"/>
      <c r="L992" s="25"/>
      <c r="M992" s="25"/>
      <c r="O992" s="22"/>
    </row>
    <row r="993" spans="2:15" x14ac:dyDescent="0.25">
      <c r="B993" s="17" t="s">
        <v>671</v>
      </c>
      <c r="C993" s="16"/>
      <c r="E993" s="18"/>
      <c r="F993" s="19"/>
      <c r="G993" s="20"/>
      <c r="H993" s="20"/>
      <c r="I993" s="21"/>
      <c r="J993" s="21"/>
      <c r="K993" s="25"/>
      <c r="L993" s="25"/>
      <c r="M993" s="25"/>
      <c r="O993" s="22"/>
    </row>
    <row r="994" spans="2:15" x14ac:dyDescent="0.25">
      <c r="B994" s="17" t="s">
        <v>664</v>
      </c>
      <c r="C994" s="16"/>
      <c r="E994" s="18"/>
      <c r="F994" s="19"/>
      <c r="G994" s="20"/>
      <c r="H994" s="20"/>
      <c r="I994" s="21"/>
      <c r="J994" s="21"/>
      <c r="K994" s="25"/>
      <c r="L994" s="25"/>
      <c r="M994" s="25"/>
      <c r="O994" s="22"/>
    </row>
    <row r="995" spans="2:15" x14ac:dyDescent="0.25">
      <c r="B995" s="17" t="s">
        <v>455</v>
      </c>
      <c r="C995" s="16"/>
      <c r="E995" s="18"/>
      <c r="F995" s="19"/>
      <c r="G995" s="20"/>
      <c r="H995" s="20"/>
      <c r="I995" s="21"/>
      <c r="J995" s="21"/>
      <c r="K995" s="25"/>
      <c r="L995" s="25"/>
      <c r="M995" s="25"/>
      <c r="O995" s="22"/>
    </row>
    <row r="996" spans="2:15" x14ac:dyDescent="0.25">
      <c r="B996" s="17" t="s">
        <v>1212</v>
      </c>
      <c r="C996" s="16"/>
      <c r="E996" s="18"/>
      <c r="F996" s="19"/>
      <c r="G996" s="20"/>
      <c r="H996" s="20"/>
      <c r="I996" s="21"/>
      <c r="J996" s="21"/>
      <c r="K996" s="25"/>
      <c r="L996" s="25"/>
      <c r="M996" s="25"/>
      <c r="O996" s="22"/>
    </row>
    <row r="997" spans="2:15" x14ac:dyDescent="0.25">
      <c r="B997" s="17" t="s">
        <v>1347</v>
      </c>
      <c r="C997" s="16"/>
      <c r="E997" s="18"/>
      <c r="F997" s="19"/>
      <c r="G997" s="20"/>
      <c r="H997" s="20"/>
      <c r="I997" s="21"/>
      <c r="J997" s="21"/>
      <c r="K997" s="25"/>
      <c r="L997" s="25"/>
      <c r="M997" s="25"/>
      <c r="O997" s="22"/>
    </row>
    <row r="998" spans="2:15" x14ac:dyDescent="0.25">
      <c r="B998" s="17" t="s">
        <v>773</v>
      </c>
      <c r="C998" s="16"/>
      <c r="E998" s="18"/>
      <c r="F998" s="19"/>
      <c r="G998" s="20"/>
      <c r="H998" s="20"/>
      <c r="I998" s="21"/>
      <c r="J998" s="21"/>
      <c r="K998" s="25"/>
      <c r="L998" s="25"/>
      <c r="M998" s="25"/>
      <c r="O998" s="22"/>
    </row>
    <row r="999" spans="2:15" x14ac:dyDescent="0.25">
      <c r="B999" s="17" t="s">
        <v>891</v>
      </c>
      <c r="C999" s="16"/>
      <c r="E999" s="18"/>
      <c r="F999" s="19"/>
      <c r="G999" s="20"/>
      <c r="H999" s="20"/>
      <c r="I999" s="21"/>
      <c r="J999" s="21"/>
      <c r="K999" s="25"/>
      <c r="L999" s="25"/>
      <c r="M999" s="25"/>
      <c r="O999" s="22"/>
    </row>
    <row r="1000" spans="2:15" x14ac:dyDescent="0.25">
      <c r="B1000" s="17" t="s">
        <v>820</v>
      </c>
      <c r="C1000" s="16"/>
      <c r="E1000" s="18"/>
      <c r="F1000" s="19"/>
      <c r="G1000" s="20"/>
      <c r="H1000" s="20"/>
      <c r="I1000" s="21"/>
      <c r="J1000" s="21"/>
      <c r="K1000" s="25"/>
      <c r="L1000" s="25"/>
      <c r="M1000" s="25"/>
      <c r="O1000" s="22"/>
    </row>
    <row r="1001" spans="2:15" x14ac:dyDescent="0.25">
      <c r="B1001" s="17" t="s">
        <v>655</v>
      </c>
      <c r="C1001" s="16"/>
      <c r="E1001" s="18"/>
      <c r="F1001" s="19"/>
      <c r="G1001" s="20"/>
      <c r="H1001" s="20"/>
      <c r="I1001" s="21"/>
      <c r="J1001" s="21"/>
      <c r="K1001" s="25"/>
      <c r="L1001" s="25"/>
      <c r="M1001" s="25"/>
      <c r="O1001" s="22"/>
    </row>
    <row r="1002" spans="2:15" x14ac:dyDescent="0.25">
      <c r="B1002" s="17" t="s">
        <v>674</v>
      </c>
      <c r="C1002" s="16"/>
      <c r="E1002" s="18"/>
      <c r="F1002" s="19"/>
      <c r="G1002" s="20"/>
      <c r="H1002" s="20"/>
      <c r="I1002" s="21"/>
      <c r="J1002" s="21"/>
      <c r="K1002" s="25"/>
      <c r="L1002" s="25"/>
      <c r="M1002" s="25"/>
      <c r="O1002" s="22"/>
    </row>
    <row r="1003" spans="2:15" x14ac:dyDescent="0.25">
      <c r="B1003" s="17" t="s">
        <v>490</v>
      </c>
      <c r="C1003" s="16"/>
      <c r="E1003" s="18"/>
      <c r="F1003" s="19"/>
      <c r="G1003" s="20"/>
      <c r="H1003" s="20"/>
      <c r="I1003" s="21"/>
      <c r="J1003" s="21"/>
      <c r="K1003" s="25"/>
      <c r="L1003" s="25"/>
      <c r="M1003" s="25"/>
      <c r="O1003" s="22"/>
    </row>
    <row r="1004" spans="2:15" x14ac:dyDescent="0.25">
      <c r="B1004" s="17" t="s">
        <v>856</v>
      </c>
      <c r="C1004" s="16"/>
      <c r="E1004" s="18"/>
      <c r="F1004" s="19"/>
      <c r="G1004" s="20"/>
      <c r="H1004" s="20"/>
      <c r="I1004" s="21"/>
      <c r="J1004" s="21"/>
      <c r="K1004" s="25"/>
      <c r="L1004" s="25"/>
      <c r="M1004" s="25"/>
      <c r="O1004" s="22"/>
    </row>
    <row r="1005" spans="2:15" x14ac:dyDescent="0.25">
      <c r="B1005" s="17" t="s">
        <v>749</v>
      </c>
      <c r="C1005" s="16"/>
      <c r="E1005" s="18"/>
      <c r="F1005" s="19"/>
      <c r="G1005" s="20"/>
      <c r="H1005" s="20"/>
      <c r="I1005" s="21"/>
      <c r="J1005" s="21"/>
      <c r="K1005" s="25"/>
      <c r="L1005" s="25"/>
      <c r="M1005" s="25"/>
      <c r="O1005" s="22"/>
    </row>
    <row r="1006" spans="2:15" x14ac:dyDescent="0.25">
      <c r="B1006" s="17" t="s">
        <v>565</v>
      </c>
      <c r="C1006" s="16"/>
      <c r="E1006" s="18"/>
      <c r="F1006" s="19"/>
      <c r="G1006" s="20"/>
      <c r="H1006" s="20"/>
      <c r="I1006" s="21"/>
      <c r="J1006" s="21"/>
      <c r="K1006" s="25"/>
      <c r="L1006" s="25"/>
      <c r="M1006" s="25"/>
      <c r="O1006" s="22"/>
    </row>
    <row r="1007" spans="2:15" x14ac:dyDescent="0.25">
      <c r="B1007" s="17" t="s">
        <v>581</v>
      </c>
      <c r="C1007" s="16"/>
      <c r="E1007" s="18"/>
      <c r="F1007" s="19"/>
      <c r="G1007" s="20"/>
      <c r="H1007" s="20"/>
      <c r="I1007" s="21"/>
      <c r="J1007" s="21"/>
      <c r="K1007" s="25"/>
      <c r="L1007" s="25"/>
      <c r="M1007" s="25"/>
      <c r="O1007" s="22"/>
    </row>
    <row r="1008" spans="2:15" x14ac:dyDescent="0.25">
      <c r="B1008" s="17" t="s">
        <v>1482</v>
      </c>
      <c r="C1008" s="16"/>
      <c r="E1008" s="18"/>
      <c r="F1008" s="19"/>
      <c r="G1008" s="20"/>
      <c r="H1008" s="20"/>
      <c r="I1008" s="21"/>
      <c r="J1008" s="21"/>
      <c r="K1008" s="25"/>
      <c r="L1008" s="25"/>
      <c r="M1008" s="25"/>
      <c r="O1008" s="22"/>
    </row>
    <row r="1009" spans="2:15" x14ac:dyDescent="0.25">
      <c r="B1009" s="17" t="s">
        <v>727</v>
      </c>
      <c r="C1009" s="16"/>
      <c r="E1009" s="18"/>
      <c r="F1009" s="19"/>
      <c r="G1009" s="20"/>
      <c r="H1009" s="20"/>
      <c r="I1009" s="21"/>
      <c r="J1009" s="21"/>
      <c r="K1009" s="25"/>
      <c r="L1009" s="25"/>
      <c r="M1009" s="25"/>
      <c r="O1009" s="22"/>
    </row>
    <row r="1010" spans="2:15" x14ac:dyDescent="0.25">
      <c r="B1010" s="17" t="s">
        <v>989</v>
      </c>
      <c r="C1010" s="16"/>
      <c r="E1010" s="18"/>
      <c r="F1010" s="19"/>
      <c r="G1010" s="20"/>
      <c r="H1010" s="20"/>
      <c r="I1010" s="21"/>
      <c r="J1010" s="21"/>
      <c r="K1010" s="25"/>
      <c r="L1010" s="25"/>
      <c r="M1010" s="25"/>
      <c r="O1010" s="22"/>
    </row>
    <row r="1011" spans="2:15" x14ac:dyDescent="0.25">
      <c r="B1011" s="17" t="s">
        <v>676</v>
      </c>
      <c r="C1011" s="16"/>
      <c r="E1011" s="18"/>
      <c r="F1011" s="19"/>
      <c r="G1011" s="20"/>
      <c r="H1011" s="20"/>
      <c r="I1011" s="21"/>
      <c r="J1011" s="21"/>
      <c r="K1011" s="25"/>
      <c r="L1011" s="25"/>
      <c r="M1011" s="25"/>
      <c r="O1011" s="22"/>
    </row>
    <row r="1012" spans="2:15" x14ac:dyDescent="0.25">
      <c r="B1012" s="17" t="s">
        <v>562</v>
      </c>
      <c r="C1012" s="16"/>
      <c r="E1012" s="18"/>
      <c r="F1012" s="19"/>
      <c r="G1012" s="20"/>
      <c r="H1012" s="20"/>
      <c r="I1012" s="21"/>
      <c r="J1012" s="21"/>
      <c r="K1012" s="25"/>
      <c r="L1012" s="25"/>
      <c r="M1012" s="25"/>
      <c r="O1012" s="22"/>
    </row>
    <row r="1013" spans="2:15" x14ac:dyDescent="0.25">
      <c r="B1013" s="17" t="s">
        <v>896</v>
      </c>
      <c r="C1013" s="16"/>
      <c r="E1013" s="18"/>
      <c r="F1013" s="19"/>
      <c r="G1013" s="20"/>
      <c r="H1013" s="20"/>
      <c r="I1013" s="21"/>
      <c r="J1013" s="21"/>
      <c r="K1013" s="25"/>
      <c r="L1013" s="25"/>
      <c r="M1013" s="25"/>
      <c r="O1013" s="22"/>
    </row>
    <row r="1014" spans="2:15" x14ac:dyDescent="0.25">
      <c r="B1014" s="17" t="s">
        <v>683</v>
      </c>
      <c r="C1014" s="16"/>
      <c r="E1014" s="18"/>
      <c r="F1014" s="19"/>
      <c r="G1014" s="20"/>
      <c r="H1014" s="20"/>
      <c r="I1014" s="21"/>
      <c r="J1014" s="21"/>
      <c r="K1014" s="25"/>
      <c r="L1014" s="25"/>
      <c r="M1014" s="25"/>
      <c r="O1014" s="22"/>
    </row>
    <row r="1015" spans="2:15" x14ac:dyDescent="0.25">
      <c r="B1015" s="17" t="s">
        <v>784</v>
      </c>
      <c r="C1015" s="16"/>
      <c r="E1015" s="18"/>
      <c r="F1015" s="19"/>
      <c r="G1015" s="20"/>
      <c r="H1015" s="20"/>
      <c r="I1015" s="21"/>
      <c r="J1015" s="21"/>
      <c r="K1015" s="25"/>
      <c r="L1015" s="25"/>
      <c r="M1015" s="25"/>
      <c r="O1015" s="22"/>
    </row>
    <row r="1016" spans="2:15" x14ac:dyDescent="0.25">
      <c r="B1016" s="17" t="s">
        <v>704</v>
      </c>
      <c r="C1016" s="16"/>
      <c r="E1016" s="18"/>
      <c r="F1016" s="23"/>
      <c r="G1016" s="20"/>
      <c r="H1016" s="20"/>
      <c r="I1016" s="21"/>
      <c r="J1016" s="21"/>
      <c r="K1016" s="25"/>
      <c r="L1016" s="25"/>
      <c r="M1016" s="25"/>
      <c r="O1016" s="22"/>
    </row>
    <row r="1017" spans="2:15" x14ac:dyDescent="0.25">
      <c r="B1017" s="17" t="s">
        <v>547</v>
      </c>
      <c r="C1017" s="16"/>
      <c r="E1017" s="18"/>
      <c r="F1017" s="19"/>
      <c r="G1017" s="20"/>
      <c r="H1017" s="20"/>
      <c r="I1017" s="21"/>
      <c r="J1017" s="21"/>
      <c r="K1017" s="25"/>
      <c r="L1017" s="25"/>
      <c r="M1017" s="25"/>
      <c r="O1017" s="22"/>
    </row>
    <row r="1018" spans="2:15" x14ac:dyDescent="0.25">
      <c r="B1018" s="17" t="s">
        <v>812</v>
      </c>
      <c r="C1018" s="16"/>
      <c r="E1018" s="18"/>
      <c r="F1018" s="19"/>
      <c r="G1018" s="20"/>
      <c r="H1018" s="20"/>
      <c r="I1018" s="21"/>
      <c r="J1018" s="21"/>
      <c r="K1018" s="25"/>
      <c r="L1018" s="25"/>
      <c r="M1018" s="25"/>
      <c r="O1018" s="22"/>
    </row>
    <row r="1019" spans="2:15" x14ac:dyDescent="0.25">
      <c r="B1019" s="17" t="s">
        <v>785</v>
      </c>
      <c r="C1019" s="16"/>
      <c r="E1019" s="18"/>
      <c r="F1019" s="19"/>
      <c r="G1019" s="20"/>
      <c r="H1019" s="20"/>
      <c r="I1019" s="21"/>
      <c r="J1019" s="21"/>
      <c r="K1019" s="25"/>
      <c r="L1019" s="25"/>
      <c r="M1019" s="25"/>
      <c r="O1019" s="22"/>
    </row>
    <row r="1020" spans="2:15" x14ac:dyDescent="0.25">
      <c r="B1020" s="17" t="s">
        <v>754</v>
      </c>
      <c r="C1020" s="16"/>
      <c r="E1020" s="18"/>
      <c r="F1020" s="19"/>
      <c r="G1020" s="20"/>
      <c r="H1020" s="20"/>
      <c r="I1020" s="21"/>
      <c r="J1020" s="21"/>
      <c r="K1020" s="25"/>
      <c r="L1020" s="25"/>
      <c r="M1020" s="25"/>
      <c r="O1020" s="22"/>
    </row>
    <row r="1021" spans="2:15" x14ac:dyDescent="0.25">
      <c r="B1021" s="17" t="s">
        <v>725</v>
      </c>
      <c r="C1021" s="16"/>
      <c r="E1021" s="18"/>
      <c r="F1021" s="19"/>
      <c r="G1021" s="20"/>
      <c r="H1021" s="20"/>
      <c r="I1021" s="21"/>
      <c r="J1021" s="21"/>
      <c r="K1021" s="25"/>
      <c r="L1021" s="25"/>
      <c r="M1021" s="25"/>
      <c r="O1021" s="22"/>
    </row>
    <row r="1022" spans="2:15" x14ac:dyDescent="0.25">
      <c r="B1022" s="17" t="s">
        <v>790</v>
      </c>
      <c r="C1022" s="16"/>
      <c r="E1022" s="18"/>
      <c r="F1022" s="19"/>
      <c r="G1022" s="20"/>
      <c r="H1022" s="20"/>
      <c r="I1022" s="21"/>
      <c r="J1022" s="21"/>
      <c r="K1022" s="25"/>
      <c r="L1022" s="25"/>
      <c r="M1022" s="25"/>
      <c r="O1022" s="22"/>
    </row>
    <row r="1023" spans="2:15" x14ac:dyDescent="0.25">
      <c r="B1023" s="17" t="s">
        <v>551</v>
      </c>
      <c r="C1023" s="16"/>
      <c r="E1023" s="18"/>
      <c r="F1023" s="19"/>
      <c r="G1023" s="20"/>
      <c r="H1023" s="20"/>
      <c r="I1023" s="21"/>
      <c r="J1023" s="21"/>
      <c r="K1023" s="25"/>
      <c r="L1023" s="25"/>
      <c r="M1023" s="25"/>
      <c r="O1023" s="22"/>
    </row>
    <row r="1024" spans="2:15" x14ac:dyDescent="0.25">
      <c r="B1024" s="17" t="s">
        <v>678</v>
      </c>
      <c r="C1024" s="16"/>
      <c r="E1024" s="18"/>
      <c r="F1024" s="19"/>
      <c r="G1024" s="20"/>
      <c r="H1024" s="20"/>
      <c r="I1024" s="21"/>
      <c r="J1024" s="21"/>
      <c r="K1024" s="25"/>
      <c r="L1024" s="25"/>
      <c r="M1024" s="25"/>
      <c r="O1024" s="22"/>
    </row>
    <row r="1025" spans="2:15" x14ac:dyDescent="0.25">
      <c r="B1025" s="17" t="s">
        <v>793</v>
      </c>
      <c r="C1025" s="16"/>
      <c r="E1025" s="18"/>
      <c r="F1025" s="19"/>
      <c r="G1025" s="20"/>
      <c r="H1025" s="20"/>
      <c r="I1025" s="21"/>
      <c r="J1025" s="21"/>
      <c r="K1025" s="25"/>
      <c r="L1025" s="25"/>
      <c r="M1025" s="25"/>
      <c r="O1025" s="22"/>
    </row>
    <row r="1026" spans="2:15" x14ac:dyDescent="0.25">
      <c r="B1026" s="17" t="s">
        <v>748</v>
      </c>
      <c r="C1026" s="16"/>
      <c r="E1026" s="18"/>
      <c r="F1026" s="19"/>
      <c r="G1026" s="20"/>
      <c r="H1026" s="20"/>
      <c r="I1026" s="21"/>
      <c r="J1026" s="21"/>
      <c r="K1026" s="25"/>
      <c r="L1026" s="25"/>
      <c r="M1026" s="25"/>
      <c r="O1026" s="22"/>
    </row>
    <row r="1027" spans="2:15" x14ac:dyDescent="0.25">
      <c r="B1027" s="17" t="s">
        <v>1137</v>
      </c>
      <c r="C1027" s="16"/>
      <c r="E1027" s="18"/>
      <c r="F1027" s="19"/>
      <c r="G1027" s="20"/>
      <c r="H1027" s="20"/>
      <c r="I1027" s="21"/>
      <c r="J1027" s="21"/>
      <c r="K1027" s="25"/>
      <c r="L1027" s="25"/>
      <c r="M1027" s="25"/>
      <c r="O1027" s="22"/>
    </row>
    <row r="1028" spans="2:15" x14ac:dyDescent="0.25">
      <c r="B1028" s="17" t="s">
        <v>809</v>
      </c>
      <c r="C1028" s="16"/>
      <c r="E1028" s="18"/>
      <c r="F1028" s="19"/>
      <c r="G1028" s="20"/>
      <c r="H1028" s="20"/>
      <c r="I1028" s="21"/>
      <c r="J1028" s="21"/>
      <c r="K1028" s="25"/>
      <c r="L1028" s="25"/>
      <c r="M1028" s="25"/>
      <c r="O1028" s="22"/>
    </row>
    <row r="1029" spans="2:15" x14ac:dyDescent="0.25">
      <c r="B1029" s="17" t="s">
        <v>838</v>
      </c>
      <c r="C1029" s="16"/>
      <c r="E1029" s="18"/>
      <c r="F1029" s="19"/>
      <c r="G1029" s="20"/>
      <c r="H1029" s="20"/>
      <c r="I1029" s="21"/>
      <c r="J1029" s="21"/>
      <c r="K1029" s="25"/>
      <c r="L1029" s="25"/>
      <c r="M1029" s="25"/>
      <c r="O1029" s="22"/>
    </row>
    <row r="1030" spans="2:15" x14ac:dyDescent="0.25">
      <c r="B1030" s="17" t="s">
        <v>866</v>
      </c>
      <c r="C1030" s="16"/>
      <c r="E1030" s="18"/>
      <c r="F1030" s="19"/>
      <c r="G1030" s="20"/>
      <c r="H1030" s="20"/>
      <c r="I1030" s="21"/>
      <c r="J1030" s="21"/>
      <c r="K1030" s="25"/>
      <c r="L1030" s="25"/>
      <c r="M1030" s="25"/>
      <c r="O1030" s="22"/>
    </row>
    <row r="1031" spans="2:15" x14ac:dyDescent="0.25">
      <c r="B1031" s="17" t="s">
        <v>819</v>
      </c>
      <c r="C1031" s="16"/>
      <c r="E1031" s="18"/>
      <c r="F1031" s="19"/>
      <c r="G1031" s="20"/>
      <c r="H1031" s="20"/>
      <c r="I1031" s="21"/>
      <c r="J1031" s="21"/>
      <c r="K1031" s="25"/>
      <c r="L1031" s="25"/>
      <c r="M1031" s="25"/>
      <c r="O1031" s="22"/>
    </row>
    <row r="1032" spans="2:15" x14ac:dyDescent="0.25">
      <c r="B1032" s="17" t="s">
        <v>1107</v>
      </c>
      <c r="C1032" s="16"/>
      <c r="E1032" s="18"/>
      <c r="F1032" s="19"/>
      <c r="G1032" s="20"/>
      <c r="H1032" s="20"/>
      <c r="I1032" s="21"/>
      <c r="J1032" s="21"/>
      <c r="K1032" s="25"/>
      <c r="L1032" s="25"/>
      <c r="M1032" s="25"/>
      <c r="O1032" s="22"/>
    </row>
    <row r="1033" spans="2:15" x14ac:dyDescent="0.25">
      <c r="B1033" s="17" t="s">
        <v>874</v>
      </c>
      <c r="C1033" s="16"/>
      <c r="E1033" s="18"/>
      <c r="F1033" s="19"/>
      <c r="G1033" s="20"/>
      <c r="H1033" s="20"/>
      <c r="I1033" s="21"/>
      <c r="J1033" s="21"/>
      <c r="K1033" s="25"/>
      <c r="L1033" s="25"/>
      <c r="M1033" s="25"/>
      <c r="O1033" s="22"/>
    </row>
    <row r="1034" spans="2:15" x14ac:dyDescent="0.25">
      <c r="B1034" s="17" t="s">
        <v>788</v>
      </c>
      <c r="C1034" s="16"/>
      <c r="E1034" s="18"/>
      <c r="F1034" s="19"/>
      <c r="G1034" s="20"/>
      <c r="H1034" s="20"/>
      <c r="I1034" s="21"/>
      <c r="J1034" s="21"/>
      <c r="K1034" s="25"/>
      <c r="L1034" s="25"/>
      <c r="M1034" s="25"/>
      <c r="O1034" s="22"/>
    </row>
    <row r="1035" spans="2:15" x14ac:dyDescent="0.25">
      <c r="B1035" s="17" t="s">
        <v>778</v>
      </c>
      <c r="C1035" s="16"/>
      <c r="E1035" s="18"/>
      <c r="F1035" s="23"/>
      <c r="G1035" s="20"/>
      <c r="H1035" s="20"/>
      <c r="I1035" s="21"/>
      <c r="J1035" s="21"/>
      <c r="K1035" s="25"/>
      <c r="L1035" s="25"/>
      <c r="M1035" s="25"/>
      <c r="O1035" s="22"/>
    </row>
    <row r="1036" spans="2:15" x14ac:dyDescent="0.25">
      <c r="B1036" s="17" t="s">
        <v>746</v>
      </c>
      <c r="C1036" s="16"/>
      <c r="E1036" s="18"/>
      <c r="F1036" s="19"/>
      <c r="G1036" s="20"/>
      <c r="H1036" s="20"/>
      <c r="I1036" s="21"/>
      <c r="J1036" s="21"/>
      <c r="K1036" s="25"/>
      <c r="L1036" s="25"/>
      <c r="M1036" s="25"/>
      <c r="O1036" s="22"/>
    </row>
    <row r="1037" spans="2:15" x14ac:dyDescent="0.25">
      <c r="B1037" s="17" t="s">
        <v>873</v>
      </c>
      <c r="C1037" s="16"/>
      <c r="E1037" s="18"/>
      <c r="F1037" s="19"/>
      <c r="G1037" s="20"/>
      <c r="H1037" s="20"/>
      <c r="I1037" s="21"/>
      <c r="J1037" s="21"/>
      <c r="K1037" s="25"/>
      <c r="L1037" s="25"/>
      <c r="M1037" s="25"/>
      <c r="O1037" s="22"/>
    </row>
    <row r="1038" spans="2:15" x14ac:dyDescent="0.25">
      <c r="B1038" s="17" t="s">
        <v>774</v>
      </c>
      <c r="C1038" s="16"/>
      <c r="E1038" s="18"/>
      <c r="F1038" s="19"/>
      <c r="G1038" s="20"/>
      <c r="H1038" s="20"/>
      <c r="I1038" s="21"/>
      <c r="J1038" s="21"/>
      <c r="K1038" s="25"/>
      <c r="L1038" s="25"/>
      <c r="M1038" s="25"/>
      <c r="O1038" s="22"/>
    </row>
    <row r="1039" spans="2:15" x14ac:dyDescent="0.25">
      <c r="B1039" s="17" t="s">
        <v>658</v>
      </c>
      <c r="C1039" s="16"/>
      <c r="E1039" s="18"/>
      <c r="F1039" s="19"/>
      <c r="G1039" s="20"/>
      <c r="H1039" s="20"/>
      <c r="I1039" s="21"/>
      <c r="J1039" s="21"/>
      <c r="K1039" s="25"/>
      <c r="L1039" s="25"/>
      <c r="M1039" s="25"/>
      <c r="O1039" s="22"/>
    </row>
    <row r="1040" spans="2:15" x14ac:dyDescent="0.25">
      <c r="B1040" s="17" t="s">
        <v>638</v>
      </c>
      <c r="C1040" s="16"/>
      <c r="E1040" s="18"/>
      <c r="F1040" s="19"/>
      <c r="G1040" s="20"/>
      <c r="H1040" s="20"/>
      <c r="I1040" s="21"/>
      <c r="J1040" s="21"/>
      <c r="K1040" s="25"/>
      <c r="L1040" s="25"/>
      <c r="M1040" s="25"/>
      <c r="O1040" s="22"/>
    </row>
    <row r="1041" spans="2:15" x14ac:dyDescent="0.25">
      <c r="B1041" s="17" t="s">
        <v>885</v>
      </c>
      <c r="C1041" s="16"/>
      <c r="E1041" s="18"/>
      <c r="F1041" s="19"/>
      <c r="G1041" s="20"/>
      <c r="H1041" s="20"/>
      <c r="I1041" s="21"/>
      <c r="J1041" s="21"/>
      <c r="K1041" s="25"/>
      <c r="L1041" s="25"/>
      <c r="M1041" s="25"/>
      <c r="O1041" s="22"/>
    </row>
    <row r="1042" spans="2:15" x14ac:dyDescent="0.25">
      <c r="B1042" s="17" t="s">
        <v>833</v>
      </c>
      <c r="C1042" s="16"/>
      <c r="E1042" s="18"/>
      <c r="F1042" s="19"/>
      <c r="G1042" s="20"/>
      <c r="H1042" s="20"/>
      <c r="I1042" s="21"/>
      <c r="J1042" s="21"/>
      <c r="K1042" s="25"/>
      <c r="L1042" s="25"/>
      <c r="M1042" s="25"/>
      <c r="O1042" s="22"/>
    </row>
    <row r="1043" spans="2:15" x14ac:dyDescent="0.25">
      <c r="B1043" s="17" t="s">
        <v>647</v>
      </c>
      <c r="C1043" s="16"/>
      <c r="E1043" s="18"/>
      <c r="F1043" s="19"/>
      <c r="G1043" s="20"/>
      <c r="H1043" s="20"/>
      <c r="I1043" s="21"/>
      <c r="J1043" s="21"/>
      <c r="K1043" s="25"/>
      <c r="L1043" s="25"/>
      <c r="M1043" s="25"/>
      <c r="O1043" s="22"/>
    </row>
    <row r="1044" spans="2:15" x14ac:dyDescent="0.25">
      <c r="B1044" s="17" t="s">
        <v>822</v>
      </c>
      <c r="C1044" s="16"/>
      <c r="E1044" s="18"/>
      <c r="F1044" s="19"/>
      <c r="G1044" s="20"/>
      <c r="H1044" s="20"/>
      <c r="I1044" s="21"/>
      <c r="J1044" s="21"/>
      <c r="K1044" s="25"/>
      <c r="L1044" s="25"/>
      <c r="M1044" s="25"/>
      <c r="O1044" s="22"/>
    </row>
    <row r="1045" spans="2:15" x14ac:dyDescent="0.25">
      <c r="B1045" s="17" t="s">
        <v>846</v>
      </c>
      <c r="C1045" s="16"/>
      <c r="E1045" s="18"/>
      <c r="F1045" s="19"/>
      <c r="G1045" s="20"/>
      <c r="H1045" s="20"/>
      <c r="I1045" s="21"/>
      <c r="J1045" s="21"/>
      <c r="K1045" s="25"/>
      <c r="L1045" s="25"/>
      <c r="M1045" s="25"/>
      <c r="O1045" s="22"/>
    </row>
    <row r="1046" spans="2:15" x14ac:dyDescent="0.25">
      <c r="B1046" s="17" t="s">
        <v>1351</v>
      </c>
      <c r="C1046" s="16"/>
      <c r="I1046" s="21"/>
      <c r="J1046" s="21"/>
      <c r="K1046" s="25"/>
      <c r="L1046" s="25"/>
      <c r="M1046" s="25"/>
      <c r="O1046" s="22"/>
    </row>
    <row r="1047" spans="2:15" x14ac:dyDescent="0.25">
      <c r="B1047" s="17" t="s">
        <v>801</v>
      </c>
      <c r="C1047" s="16"/>
      <c r="E1047" s="18"/>
      <c r="F1047" s="19"/>
      <c r="G1047" s="20"/>
      <c r="H1047" s="20"/>
      <c r="I1047" s="21"/>
      <c r="J1047" s="21"/>
      <c r="K1047" s="25"/>
      <c r="L1047" s="25"/>
      <c r="M1047" s="25"/>
      <c r="O1047" s="22"/>
    </row>
    <row r="1048" spans="2:15" x14ac:dyDescent="0.25">
      <c r="B1048" s="17" t="s">
        <v>828</v>
      </c>
      <c r="C1048" s="16"/>
      <c r="E1048" s="18"/>
      <c r="F1048" s="19"/>
      <c r="G1048" s="20"/>
      <c r="H1048" s="20"/>
      <c r="I1048" s="21"/>
      <c r="J1048" s="21"/>
      <c r="K1048" s="25"/>
      <c r="L1048" s="25"/>
      <c r="M1048" s="25"/>
      <c r="O1048" s="22"/>
    </row>
    <row r="1049" spans="2:15" x14ac:dyDescent="0.25">
      <c r="B1049" s="17" t="s">
        <v>755</v>
      </c>
      <c r="C1049" s="16"/>
      <c r="E1049" s="18"/>
      <c r="F1049" s="19"/>
      <c r="G1049" s="20"/>
      <c r="H1049" s="20"/>
      <c r="I1049" s="21"/>
      <c r="J1049" s="21"/>
      <c r="K1049" s="25"/>
      <c r="L1049" s="25"/>
      <c r="M1049" s="25"/>
      <c r="O1049" s="22"/>
    </row>
    <row r="1050" spans="2:15" x14ac:dyDescent="0.25">
      <c r="B1050" s="17" t="s">
        <v>1003</v>
      </c>
      <c r="C1050" s="16"/>
      <c r="E1050" s="18"/>
      <c r="F1050" s="19"/>
      <c r="G1050" s="20"/>
      <c r="H1050" s="20"/>
      <c r="I1050" s="21"/>
      <c r="J1050" s="21"/>
      <c r="K1050" s="25"/>
      <c r="L1050" s="25"/>
      <c r="M1050" s="25"/>
      <c r="O1050" s="22"/>
    </row>
    <row r="1051" spans="2:15" x14ac:dyDescent="0.25">
      <c r="B1051" s="17" t="s">
        <v>842</v>
      </c>
      <c r="C1051" s="16"/>
      <c r="E1051" s="18"/>
      <c r="F1051" s="19"/>
      <c r="G1051" s="20"/>
      <c r="H1051" s="20"/>
      <c r="I1051" s="21"/>
      <c r="J1051" s="21"/>
      <c r="K1051" s="25"/>
      <c r="L1051" s="25"/>
      <c r="M1051" s="25"/>
      <c r="O1051" s="22"/>
    </row>
    <row r="1052" spans="2:15" x14ac:dyDescent="0.25">
      <c r="B1052" s="17" t="s">
        <v>879</v>
      </c>
      <c r="C1052" s="16"/>
      <c r="E1052" s="18"/>
      <c r="F1052" s="19"/>
      <c r="G1052" s="20"/>
      <c r="H1052" s="20"/>
      <c r="I1052" s="21"/>
      <c r="J1052" s="21"/>
      <c r="K1052" s="25"/>
      <c r="L1052" s="25"/>
      <c r="M1052" s="25"/>
      <c r="O1052" s="22"/>
    </row>
    <row r="1053" spans="2:15" x14ac:dyDescent="0.25">
      <c r="B1053" s="17" t="s">
        <v>843</v>
      </c>
      <c r="C1053" s="16"/>
      <c r="E1053" s="18"/>
      <c r="F1053" s="19"/>
      <c r="G1053" s="20"/>
      <c r="H1053" s="20"/>
      <c r="I1053" s="21"/>
      <c r="J1053" s="21"/>
      <c r="K1053" s="25"/>
      <c r="L1053" s="25"/>
      <c r="M1053" s="25"/>
      <c r="O1053" s="22"/>
    </row>
    <row r="1054" spans="2:15" x14ac:dyDescent="0.25">
      <c r="B1054" s="17" t="s">
        <v>845</v>
      </c>
      <c r="C1054" s="16"/>
      <c r="E1054" s="18"/>
      <c r="F1054" s="19"/>
      <c r="G1054" s="20"/>
      <c r="H1054" s="20"/>
      <c r="I1054" s="21"/>
      <c r="J1054" s="21"/>
      <c r="K1054" s="25"/>
      <c r="L1054" s="25"/>
      <c r="M1054" s="25"/>
      <c r="O1054" s="22"/>
    </row>
    <row r="1055" spans="2:15" x14ac:dyDescent="0.25">
      <c r="B1055" s="17" t="s">
        <v>840</v>
      </c>
      <c r="C1055" s="16"/>
      <c r="E1055" s="18"/>
      <c r="F1055" s="19"/>
      <c r="G1055" s="20"/>
      <c r="H1055" s="20"/>
      <c r="I1055" s="21"/>
      <c r="J1055" s="21"/>
      <c r="K1055" s="25"/>
      <c r="L1055" s="25"/>
      <c r="M1055" s="25"/>
      <c r="O1055" s="22"/>
    </row>
    <row r="1056" spans="2:15" x14ac:dyDescent="0.25">
      <c r="B1056" s="17" t="s">
        <v>900</v>
      </c>
      <c r="C1056" s="16"/>
      <c r="E1056" s="18"/>
      <c r="F1056" s="19"/>
      <c r="G1056" s="20"/>
      <c r="H1056" s="20"/>
      <c r="I1056" s="21"/>
      <c r="J1056" s="21"/>
      <c r="K1056" s="25"/>
      <c r="L1056" s="25"/>
      <c r="M1056" s="25"/>
      <c r="O1056" s="22"/>
    </row>
    <row r="1057" spans="2:15" x14ac:dyDescent="0.25">
      <c r="B1057" s="17" t="s">
        <v>858</v>
      </c>
      <c r="C1057" s="16"/>
      <c r="E1057" s="18"/>
      <c r="F1057" s="19"/>
      <c r="G1057" s="20"/>
      <c r="H1057" s="20"/>
      <c r="I1057" s="21"/>
      <c r="J1057" s="21"/>
      <c r="K1057" s="25"/>
      <c r="L1057" s="25"/>
      <c r="M1057" s="25"/>
      <c r="O1057" s="22"/>
    </row>
    <row r="1058" spans="2:15" x14ac:dyDescent="0.25">
      <c r="B1058" s="17" t="s">
        <v>831</v>
      </c>
      <c r="C1058" s="16"/>
      <c r="E1058" s="18"/>
      <c r="F1058" s="19"/>
      <c r="G1058" s="20"/>
      <c r="H1058" s="20"/>
      <c r="I1058" s="21"/>
      <c r="J1058" s="21"/>
      <c r="K1058" s="25"/>
      <c r="L1058" s="25"/>
      <c r="M1058" s="25"/>
      <c r="O1058" s="22"/>
    </row>
    <row r="1059" spans="2:15" x14ac:dyDescent="0.25">
      <c r="B1059" s="17" t="s">
        <v>1171</v>
      </c>
      <c r="C1059" s="16"/>
      <c r="E1059" s="18"/>
      <c r="F1059" s="19"/>
      <c r="G1059" s="20"/>
      <c r="H1059" s="20"/>
      <c r="I1059" s="21"/>
      <c r="J1059" s="21"/>
      <c r="K1059" s="25"/>
      <c r="L1059" s="25"/>
      <c r="M1059" s="25"/>
      <c r="O1059" s="22"/>
    </row>
    <row r="1060" spans="2:15" x14ac:dyDescent="0.25">
      <c r="B1060" s="17" t="s">
        <v>723</v>
      </c>
      <c r="C1060" s="16"/>
      <c r="E1060" s="18"/>
      <c r="F1060" s="19"/>
      <c r="G1060" s="20"/>
      <c r="H1060" s="20"/>
      <c r="I1060" s="21"/>
      <c r="J1060" s="21"/>
      <c r="K1060" s="25"/>
      <c r="L1060" s="25"/>
      <c r="M1060" s="25"/>
      <c r="O1060" s="22"/>
    </row>
    <row r="1061" spans="2:15" x14ac:dyDescent="0.25">
      <c r="B1061" s="17" t="s">
        <v>889</v>
      </c>
      <c r="C1061" s="16"/>
      <c r="E1061" s="18"/>
      <c r="F1061" s="19"/>
      <c r="G1061" s="20"/>
      <c r="H1061" s="20"/>
      <c r="I1061" s="21"/>
      <c r="J1061" s="21"/>
      <c r="K1061" s="25"/>
      <c r="L1061" s="25"/>
      <c r="M1061" s="25"/>
      <c r="O1061" s="22"/>
    </row>
    <row r="1062" spans="2:15" x14ac:dyDescent="0.25">
      <c r="B1062" s="17" t="s">
        <v>897</v>
      </c>
      <c r="C1062" s="16"/>
      <c r="E1062" s="18"/>
      <c r="F1062" s="19"/>
      <c r="G1062" s="20"/>
      <c r="H1062" s="20"/>
      <c r="I1062" s="21"/>
      <c r="J1062" s="21"/>
      <c r="K1062" s="25"/>
      <c r="L1062" s="25"/>
      <c r="M1062" s="25"/>
      <c r="O1062" s="22"/>
    </row>
    <row r="1063" spans="2:15" x14ac:dyDescent="0.25">
      <c r="B1063" s="17" t="s">
        <v>870</v>
      </c>
      <c r="C1063" s="16"/>
      <c r="E1063" s="18"/>
      <c r="F1063" s="19"/>
      <c r="G1063" s="20"/>
      <c r="H1063" s="20"/>
      <c r="I1063" s="21"/>
      <c r="J1063" s="21"/>
      <c r="K1063" s="25"/>
      <c r="L1063" s="25"/>
      <c r="M1063" s="25"/>
      <c r="O1063" s="22"/>
    </row>
    <row r="1064" spans="2:15" x14ac:dyDescent="0.25">
      <c r="B1064" s="17" t="s">
        <v>878</v>
      </c>
      <c r="C1064" s="16"/>
      <c r="E1064" s="18"/>
      <c r="F1064" s="19"/>
      <c r="G1064" s="20"/>
      <c r="H1064" s="20"/>
      <c r="I1064" s="21"/>
      <c r="J1064" s="21"/>
      <c r="K1064" s="25"/>
      <c r="L1064" s="25"/>
      <c r="M1064" s="25"/>
      <c r="O1064" s="22"/>
    </row>
    <row r="1065" spans="2:15" x14ac:dyDescent="0.25">
      <c r="B1065" s="17" t="s">
        <v>893</v>
      </c>
      <c r="C1065" s="16"/>
      <c r="E1065" s="18"/>
      <c r="F1065" s="19"/>
      <c r="G1065" s="20"/>
      <c r="H1065" s="20"/>
      <c r="I1065" s="21"/>
      <c r="J1065" s="21"/>
      <c r="K1065" s="25"/>
      <c r="L1065" s="25"/>
      <c r="M1065" s="25"/>
      <c r="O1065" s="22"/>
    </row>
    <row r="1066" spans="2:15" x14ac:dyDescent="0.25">
      <c r="B1066" s="17" t="s">
        <v>850</v>
      </c>
      <c r="C1066" s="16"/>
      <c r="E1066" s="18"/>
      <c r="F1066" s="19"/>
      <c r="G1066" s="20"/>
      <c r="H1066" s="20"/>
      <c r="I1066" s="21"/>
      <c r="J1066" s="21"/>
      <c r="K1066" s="25"/>
      <c r="L1066" s="25"/>
      <c r="M1066" s="25"/>
      <c r="O1066" s="22"/>
    </row>
    <row r="1067" spans="2:15" x14ac:dyDescent="0.25">
      <c r="B1067" s="17" t="s">
        <v>894</v>
      </c>
      <c r="C1067" s="16"/>
      <c r="E1067" s="18"/>
      <c r="F1067" s="19"/>
      <c r="G1067" s="20"/>
      <c r="H1067" s="20"/>
      <c r="I1067" s="21"/>
      <c r="J1067" s="21"/>
      <c r="K1067" s="25"/>
      <c r="L1067" s="25"/>
      <c r="M1067" s="25"/>
      <c r="O1067" s="22"/>
    </row>
    <row r="1068" spans="2:15" x14ac:dyDescent="0.25">
      <c r="B1068" s="17" t="s">
        <v>825</v>
      </c>
      <c r="C1068" s="16"/>
      <c r="E1068" s="18"/>
      <c r="F1068" s="19"/>
      <c r="G1068" s="20"/>
      <c r="H1068" s="20"/>
      <c r="I1068" s="21"/>
      <c r="J1068" s="21"/>
      <c r="K1068" s="25"/>
      <c r="L1068" s="25"/>
      <c r="M1068" s="25"/>
      <c r="O1068" s="22"/>
    </row>
    <row r="1069" spans="2:15" x14ac:dyDescent="0.25">
      <c r="B1069" s="17" t="s">
        <v>882</v>
      </c>
      <c r="C1069" s="16"/>
      <c r="E1069" s="18"/>
      <c r="F1069" s="19"/>
      <c r="G1069" s="20"/>
      <c r="H1069" s="20"/>
      <c r="I1069" s="21"/>
      <c r="J1069" s="21"/>
      <c r="K1069" s="25"/>
      <c r="L1069" s="25"/>
      <c r="M1069" s="25"/>
      <c r="O1069" s="22"/>
    </row>
    <row r="1070" spans="2:15" x14ac:dyDescent="0.25">
      <c r="B1070" s="17" t="s">
        <v>834</v>
      </c>
      <c r="C1070" s="16"/>
      <c r="E1070" s="18"/>
      <c r="F1070" s="19"/>
      <c r="G1070" s="20"/>
      <c r="H1070" s="20"/>
      <c r="I1070" s="21"/>
      <c r="J1070" s="21"/>
      <c r="K1070" s="25"/>
      <c r="L1070" s="25"/>
      <c r="M1070" s="25"/>
      <c r="O1070" s="22"/>
    </row>
    <row r="1071" spans="2:15" x14ac:dyDescent="0.25">
      <c r="B1071" s="17" t="s">
        <v>887</v>
      </c>
      <c r="C1071" s="16"/>
      <c r="E1071" s="18"/>
      <c r="F1071" s="19"/>
      <c r="G1071" s="20"/>
      <c r="H1071" s="20"/>
      <c r="I1071" s="21"/>
      <c r="J1071" s="21"/>
      <c r="K1071" s="25"/>
      <c r="L1071" s="25"/>
      <c r="M1071" s="25"/>
      <c r="O1071" s="22"/>
    </row>
    <row r="1072" spans="2:15" x14ac:dyDescent="0.25">
      <c r="B1072" s="17" t="s">
        <v>905</v>
      </c>
      <c r="C1072" s="16"/>
      <c r="E1072" s="18"/>
      <c r="F1072" s="19"/>
      <c r="G1072" s="20"/>
      <c r="H1072" s="20"/>
      <c r="I1072" s="21"/>
      <c r="J1072" s="21"/>
      <c r="K1072" s="25"/>
      <c r="L1072" s="25"/>
      <c r="M1072" s="25"/>
      <c r="O1072" s="22"/>
    </row>
    <row r="1073" spans="2:15" x14ac:dyDescent="0.25">
      <c r="B1073" s="17" t="s">
        <v>883</v>
      </c>
      <c r="C1073" s="16"/>
      <c r="E1073" s="18"/>
      <c r="F1073" s="19"/>
      <c r="G1073" s="20"/>
      <c r="H1073" s="20"/>
      <c r="I1073" s="21"/>
      <c r="J1073" s="21"/>
      <c r="K1073" s="25"/>
      <c r="L1073" s="25"/>
      <c r="M1073" s="25"/>
      <c r="O1073" s="22"/>
    </row>
    <row r="1074" spans="2:15" x14ac:dyDescent="0.25">
      <c r="B1074" s="17" t="s">
        <v>852</v>
      </c>
      <c r="C1074" s="16"/>
      <c r="E1074" s="18"/>
      <c r="F1074" s="19"/>
      <c r="G1074" s="20"/>
      <c r="H1074" s="20"/>
      <c r="I1074" s="21"/>
      <c r="J1074" s="21"/>
      <c r="K1074" s="25"/>
      <c r="L1074" s="25"/>
      <c r="M1074" s="25"/>
      <c r="O1074" s="22"/>
    </row>
    <row r="1075" spans="2:15" x14ac:dyDescent="0.25">
      <c r="B1075" s="17" t="s">
        <v>909</v>
      </c>
      <c r="C1075" s="16"/>
      <c r="E1075" s="18"/>
      <c r="F1075" s="19"/>
      <c r="G1075" s="20"/>
      <c r="H1075" s="20"/>
      <c r="I1075" s="21"/>
      <c r="J1075" s="21"/>
      <c r="K1075" s="25"/>
      <c r="L1075" s="25"/>
      <c r="M1075" s="25"/>
      <c r="O1075" s="22"/>
    </row>
    <row r="1076" spans="2:15" x14ac:dyDescent="0.25">
      <c r="B1076" s="17" t="s">
        <v>864</v>
      </c>
      <c r="C1076" s="16"/>
      <c r="E1076" s="18"/>
      <c r="F1076" s="19"/>
      <c r="G1076" s="20"/>
      <c r="H1076" s="20"/>
      <c r="I1076" s="21"/>
      <c r="J1076" s="21"/>
      <c r="K1076" s="25"/>
      <c r="L1076" s="25"/>
      <c r="M1076" s="25"/>
      <c r="O1076" s="22"/>
    </row>
    <row r="1077" spans="2:15" x14ac:dyDescent="0.25">
      <c r="B1077" s="17" t="s">
        <v>652</v>
      </c>
      <c r="C1077" s="16"/>
      <c r="E1077" s="18"/>
      <c r="F1077" s="19"/>
      <c r="G1077" s="20"/>
      <c r="H1077" s="20"/>
      <c r="I1077" s="21"/>
      <c r="J1077" s="21"/>
      <c r="K1077" s="25"/>
      <c r="L1077" s="25"/>
      <c r="M1077" s="25"/>
      <c r="O1077" s="22"/>
    </row>
    <row r="1078" spans="2:15" x14ac:dyDescent="0.25">
      <c r="B1078" s="17" t="s">
        <v>836</v>
      </c>
      <c r="C1078" s="16"/>
      <c r="E1078" s="18"/>
      <c r="F1078" s="19"/>
      <c r="G1078" s="20"/>
      <c r="H1078" s="20"/>
      <c r="I1078" s="21"/>
      <c r="J1078" s="21"/>
      <c r="K1078" s="25"/>
      <c r="L1078" s="25"/>
      <c r="M1078" s="25"/>
      <c r="O1078" s="22"/>
    </row>
    <row r="1079" spans="2:15" x14ac:dyDescent="0.25">
      <c r="B1079" s="17" t="s">
        <v>916</v>
      </c>
      <c r="C1079" s="16"/>
      <c r="E1079" s="18"/>
      <c r="F1079" s="19"/>
      <c r="G1079" s="20"/>
      <c r="H1079" s="20"/>
      <c r="I1079" s="21"/>
      <c r="J1079" s="21"/>
      <c r="K1079" s="25"/>
      <c r="L1079" s="25"/>
      <c r="M1079" s="25"/>
      <c r="O1079" s="22"/>
    </row>
    <row r="1080" spans="2:15" x14ac:dyDescent="0.25">
      <c r="B1080" s="17" t="s">
        <v>895</v>
      </c>
      <c r="C1080" s="16"/>
      <c r="E1080" s="18"/>
      <c r="F1080" s="19"/>
      <c r="G1080" s="20"/>
      <c r="H1080" s="20"/>
      <c r="I1080" s="21"/>
      <c r="J1080" s="21"/>
      <c r="K1080" s="25"/>
      <c r="L1080" s="25"/>
      <c r="M1080" s="25"/>
      <c r="O1080" s="22"/>
    </row>
    <row r="1081" spans="2:15" x14ac:dyDescent="0.25">
      <c r="B1081" s="17" t="s">
        <v>884</v>
      </c>
      <c r="C1081" s="16"/>
      <c r="E1081" s="18"/>
      <c r="F1081" s="19"/>
      <c r="G1081" s="20"/>
      <c r="H1081" s="20"/>
      <c r="I1081" s="21"/>
      <c r="J1081" s="21"/>
      <c r="K1081" s="25"/>
      <c r="L1081" s="25"/>
      <c r="M1081" s="25"/>
      <c r="O1081" s="22"/>
    </row>
    <row r="1082" spans="2:15" x14ac:dyDescent="0.25">
      <c r="B1082" s="17" t="s">
        <v>904</v>
      </c>
      <c r="C1082" s="16"/>
      <c r="E1082" s="18"/>
      <c r="F1082" s="19"/>
      <c r="G1082" s="20"/>
      <c r="H1082" s="20"/>
      <c r="I1082" s="21"/>
      <c r="J1082" s="21"/>
      <c r="K1082" s="25"/>
      <c r="L1082" s="25"/>
      <c r="M1082" s="25"/>
      <c r="O1082" s="22"/>
    </row>
    <row r="1083" spans="2:15" x14ac:dyDescent="0.25">
      <c r="B1083" s="17" t="s">
        <v>903</v>
      </c>
      <c r="C1083" s="16"/>
      <c r="E1083" s="18"/>
      <c r="F1083" s="19"/>
      <c r="G1083" s="20"/>
      <c r="H1083" s="20"/>
      <c r="I1083" s="21"/>
      <c r="J1083" s="21"/>
      <c r="K1083" s="25"/>
      <c r="L1083" s="25"/>
      <c r="M1083" s="25"/>
      <c r="O1083" s="22"/>
    </row>
    <row r="1084" spans="2:15" x14ac:dyDescent="0.25">
      <c r="B1084" s="17" t="s">
        <v>906</v>
      </c>
      <c r="C1084" s="16"/>
      <c r="E1084" s="18"/>
      <c r="F1084" s="19"/>
      <c r="G1084" s="20"/>
      <c r="H1084" s="20"/>
      <c r="I1084" s="21"/>
      <c r="J1084" s="21"/>
      <c r="K1084" s="25"/>
      <c r="L1084" s="25"/>
      <c r="M1084" s="25"/>
      <c r="O1084" s="22"/>
    </row>
    <row r="1085" spans="2:15" x14ac:dyDescent="0.25">
      <c r="B1085" s="17" t="s">
        <v>914</v>
      </c>
      <c r="C1085" s="16"/>
      <c r="E1085" s="18"/>
      <c r="F1085" s="19"/>
      <c r="G1085" s="20"/>
      <c r="H1085" s="20"/>
      <c r="I1085" s="21"/>
      <c r="J1085" s="21"/>
      <c r="K1085" s="25"/>
      <c r="L1085" s="25"/>
      <c r="M1085" s="25"/>
      <c r="O1085" s="22"/>
    </row>
    <row r="1086" spans="2:15" x14ac:dyDescent="0.25">
      <c r="B1086" s="17" t="s">
        <v>635</v>
      </c>
      <c r="C1086" s="16"/>
      <c r="E1086" s="18"/>
      <c r="F1086" s="19"/>
      <c r="G1086" s="20"/>
      <c r="H1086" s="20"/>
      <c r="I1086" s="21"/>
      <c r="J1086" s="21"/>
      <c r="K1086" s="25"/>
      <c r="L1086" s="25"/>
      <c r="M1086" s="25"/>
      <c r="O1086" s="22"/>
    </row>
    <row r="1087" spans="2:15" x14ac:dyDescent="0.25">
      <c r="B1087" s="17" t="s">
        <v>919</v>
      </c>
      <c r="C1087" s="16"/>
      <c r="E1087" s="18"/>
      <c r="F1087" s="19"/>
      <c r="G1087" s="20"/>
      <c r="H1087" s="20"/>
      <c r="I1087" s="21"/>
      <c r="J1087" s="21"/>
      <c r="K1087" s="25"/>
      <c r="L1087" s="25"/>
      <c r="M1087" s="25"/>
      <c r="O1087" s="22"/>
    </row>
    <row r="1088" spans="2:15" x14ac:dyDescent="0.25">
      <c r="B1088" s="17" t="s">
        <v>657</v>
      </c>
      <c r="C1088" s="16"/>
      <c r="E1088" s="18"/>
      <c r="F1088" s="19"/>
      <c r="G1088" s="20"/>
      <c r="H1088" s="20"/>
      <c r="I1088" s="21"/>
      <c r="J1088" s="21"/>
      <c r="K1088" s="25"/>
      <c r="L1088" s="25"/>
      <c r="M1088" s="25"/>
      <c r="O1088" s="22"/>
    </row>
    <row r="1089" spans="2:15" x14ac:dyDescent="0.25">
      <c r="B1089" s="17" t="s">
        <v>1624</v>
      </c>
      <c r="C1089" s="16"/>
      <c r="E1089" s="18"/>
      <c r="F1089" s="19"/>
      <c r="G1089" s="20"/>
      <c r="H1089" s="20"/>
      <c r="I1089" s="21"/>
      <c r="J1089" s="21"/>
      <c r="K1089" s="25"/>
      <c r="L1089" s="25"/>
      <c r="M1089" s="25"/>
      <c r="O1089" s="22"/>
    </row>
    <row r="1090" spans="2:15" x14ac:dyDescent="0.25">
      <c r="B1090" s="17" t="s">
        <v>1392</v>
      </c>
      <c r="C1090" s="16"/>
      <c r="E1090" s="18"/>
      <c r="F1090" s="19"/>
      <c r="G1090" s="20"/>
      <c r="H1090" s="20"/>
      <c r="I1090" s="21"/>
      <c r="J1090" s="21"/>
      <c r="K1090" s="25"/>
      <c r="L1090" s="25"/>
      <c r="M1090" s="25"/>
      <c r="O1090" s="22"/>
    </row>
    <row r="1091" spans="2:15" x14ac:dyDescent="0.25">
      <c r="B1091" s="17" t="s">
        <v>1627</v>
      </c>
      <c r="C1091" s="16"/>
      <c r="E1091" s="18"/>
      <c r="F1091" s="19"/>
      <c r="G1091" s="20"/>
      <c r="H1091" s="20"/>
      <c r="I1091" s="21"/>
      <c r="J1091" s="21"/>
      <c r="K1091" s="25"/>
      <c r="L1091" s="25"/>
      <c r="M1091" s="25"/>
      <c r="O1091" s="22"/>
    </row>
    <row r="1092" spans="2:15" x14ac:dyDescent="0.25">
      <c r="B1092" s="17" t="s">
        <v>1574</v>
      </c>
      <c r="C1092" s="16"/>
      <c r="E1092" s="18"/>
      <c r="F1092" s="19"/>
      <c r="G1092" s="20"/>
      <c r="H1092" s="20"/>
      <c r="I1092" s="21"/>
      <c r="J1092" s="21"/>
      <c r="K1092" s="25"/>
      <c r="L1092" s="25"/>
      <c r="M1092" s="25"/>
      <c r="O1092" s="22"/>
    </row>
    <row r="1093" spans="2:15" x14ac:dyDescent="0.25">
      <c r="B1093" s="17" t="s">
        <v>1555</v>
      </c>
      <c r="C1093" s="16"/>
      <c r="E1093" s="18"/>
      <c r="F1093" s="19"/>
      <c r="G1093" s="20"/>
      <c r="H1093" s="20"/>
      <c r="I1093" s="21"/>
      <c r="J1093" s="21"/>
      <c r="K1093" s="25"/>
      <c r="L1093" s="25"/>
      <c r="M1093" s="25"/>
      <c r="O1093" s="22"/>
    </row>
    <row r="1094" spans="2:15" x14ac:dyDescent="0.25">
      <c r="B1094" s="17" t="s">
        <v>1628</v>
      </c>
      <c r="C1094" s="16"/>
      <c r="E1094" s="18"/>
      <c r="F1094" s="19"/>
      <c r="G1094" s="20"/>
      <c r="H1094" s="20"/>
      <c r="I1094" s="21"/>
      <c r="J1094" s="21"/>
      <c r="K1094" s="25"/>
      <c r="L1094" s="25"/>
      <c r="M1094" s="25"/>
      <c r="O1094" s="22"/>
    </row>
    <row r="1095" spans="2:15" x14ac:dyDescent="0.25">
      <c r="B1095" s="17" t="s">
        <v>1576</v>
      </c>
      <c r="C1095" s="16"/>
      <c r="E1095" s="18"/>
      <c r="F1095" s="19"/>
      <c r="G1095" s="20"/>
      <c r="H1095" s="20"/>
      <c r="I1095" s="21"/>
      <c r="J1095" s="21"/>
      <c r="K1095" s="25"/>
      <c r="L1095" s="25"/>
      <c r="M1095" s="25"/>
      <c r="O1095" s="22"/>
    </row>
    <row r="1096" spans="2:15" x14ac:dyDescent="0.25">
      <c r="B1096" s="17" t="s">
        <v>1625</v>
      </c>
      <c r="C1096" s="16"/>
      <c r="E1096" s="18"/>
      <c r="F1096" s="19"/>
      <c r="G1096" s="20"/>
      <c r="H1096" s="20"/>
      <c r="I1096" s="21"/>
      <c r="J1096" s="21"/>
      <c r="K1096" s="25"/>
      <c r="L1096" s="25"/>
      <c r="M1096" s="25"/>
      <c r="O1096" s="22"/>
    </row>
    <row r="1097" spans="2:15" x14ac:dyDescent="0.25">
      <c r="B1097" s="17" t="s">
        <v>1539</v>
      </c>
      <c r="C1097" s="16"/>
      <c r="E1097" s="18"/>
      <c r="F1097" s="19"/>
      <c r="G1097" s="20"/>
      <c r="H1097" s="20"/>
      <c r="I1097" s="21"/>
      <c r="J1097" s="21"/>
      <c r="K1097" s="25"/>
      <c r="L1097" s="25"/>
      <c r="M1097" s="25"/>
      <c r="O1097" s="22"/>
    </row>
    <row r="1098" spans="2:15" x14ac:dyDescent="0.25">
      <c r="B1098" s="17" t="s">
        <v>1621</v>
      </c>
      <c r="C1098" s="16"/>
      <c r="I1098" s="21"/>
      <c r="J1098" s="21"/>
      <c r="K1098" s="25"/>
      <c r="L1098" s="25"/>
      <c r="M1098" s="25"/>
      <c r="O1098" s="22"/>
    </row>
    <row r="1099" spans="2:15" x14ac:dyDescent="0.25">
      <c r="B1099" s="17" t="s">
        <v>1537</v>
      </c>
      <c r="C1099" s="16"/>
      <c r="E1099" s="18"/>
      <c r="F1099" s="19"/>
      <c r="G1099" s="20"/>
      <c r="H1099" s="20"/>
      <c r="I1099" s="21"/>
      <c r="J1099" s="21"/>
      <c r="K1099" s="25"/>
      <c r="L1099" s="25"/>
      <c r="M1099" s="25"/>
      <c r="O1099" s="22"/>
    </row>
    <row r="1100" spans="2:15" x14ac:dyDescent="0.25">
      <c r="B1100" s="17" t="s">
        <v>1477</v>
      </c>
      <c r="C1100" s="16"/>
      <c r="E1100" s="18"/>
      <c r="F1100" s="19"/>
      <c r="G1100" s="20"/>
      <c r="H1100" s="20"/>
      <c r="I1100" s="21"/>
      <c r="J1100" s="21"/>
      <c r="K1100" s="25"/>
      <c r="L1100" s="25"/>
      <c r="M1100" s="25"/>
      <c r="O1100" s="22"/>
    </row>
    <row r="1101" spans="2:15" x14ac:dyDescent="0.25">
      <c r="B1101" s="17" t="s">
        <v>1558</v>
      </c>
      <c r="C1101" s="16"/>
      <c r="E1101" s="18"/>
      <c r="F1101" s="19"/>
      <c r="G1101" s="20"/>
      <c r="H1101" s="20"/>
      <c r="I1101" s="21"/>
      <c r="J1101" s="21"/>
      <c r="K1101" s="25"/>
      <c r="L1101" s="25"/>
      <c r="M1101" s="25"/>
      <c r="O1101" s="22"/>
    </row>
    <row r="1102" spans="2:15" x14ac:dyDescent="0.25">
      <c r="B1102" s="17" t="s">
        <v>1612</v>
      </c>
      <c r="C1102" s="16"/>
      <c r="E1102" s="18"/>
      <c r="F1102" s="19"/>
      <c r="G1102" s="20"/>
      <c r="H1102" s="20"/>
      <c r="I1102" s="21"/>
      <c r="J1102" s="21"/>
      <c r="K1102" s="25"/>
      <c r="L1102" s="25"/>
      <c r="M1102" s="25"/>
      <c r="O1102" s="22"/>
    </row>
    <row r="1103" spans="2:15" x14ac:dyDescent="0.25">
      <c r="B1103" s="17" t="s">
        <v>1604</v>
      </c>
      <c r="C1103" s="16"/>
      <c r="E1103" s="18"/>
      <c r="F1103" s="19"/>
      <c r="G1103" s="20"/>
      <c r="H1103" s="20"/>
      <c r="I1103" s="21"/>
      <c r="J1103" s="21"/>
      <c r="K1103" s="25"/>
      <c r="L1103" s="25"/>
      <c r="M1103" s="25"/>
      <c r="O1103" s="22"/>
    </row>
    <row r="1104" spans="2:15" x14ac:dyDescent="0.25">
      <c r="B1104" s="17" t="s">
        <v>1485</v>
      </c>
      <c r="C1104" s="16"/>
      <c r="E1104" s="18"/>
      <c r="F1104" s="19"/>
      <c r="G1104" s="20"/>
      <c r="H1104" s="20"/>
      <c r="I1104" s="21"/>
      <c r="J1104" s="21"/>
      <c r="K1104" s="25"/>
      <c r="L1104" s="25"/>
      <c r="M1104" s="25"/>
      <c r="O1104" s="22"/>
    </row>
    <row r="1105" spans="2:15" x14ac:dyDescent="0.25">
      <c r="B1105" s="17" t="s">
        <v>1640</v>
      </c>
      <c r="C1105" s="16"/>
      <c r="E1105" s="18"/>
      <c r="F1105" s="19"/>
      <c r="G1105" s="20"/>
      <c r="H1105" s="20"/>
      <c r="I1105" s="21"/>
      <c r="J1105" s="21"/>
      <c r="K1105" s="25"/>
      <c r="L1105" s="25"/>
      <c r="M1105" s="25"/>
      <c r="O1105" s="22"/>
    </row>
    <row r="1106" spans="2:15" x14ac:dyDescent="0.25">
      <c r="B1106" s="17" t="s">
        <v>1617</v>
      </c>
      <c r="C1106" s="16"/>
      <c r="E1106" s="18"/>
      <c r="F1106" s="19"/>
      <c r="G1106" s="20"/>
      <c r="H1106" s="20"/>
      <c r="I1106" s="21"/>
      <c r="J1106" s="21"/>
      <c r="K1106" s="25"/>
      <c r="L1106" s="25"/>
      <c r="M1106" s="25"/>
      <c r="O1106" s="22"/>
    </row>
    <row r="1107" spans="2:15" x14ac:dyDescent="0.25">
      <c r="B1107" s="17" t="s">
        <v>1508</v>
      </c>
      <c r="C1107" s="16"/>
      <c r="E1107" s="18"/>
      <c r="F1107" s="19"/>
      <c r="G1107" s="20"/>
      <c r="H1107" s="20"/>
      <c r="I1107" s="21"/>
      <c r="J1107" s="21"/>
      <c r="K1107" s="25"/>
      <c r="L1107" s="25"/>
      <c r="M1107" s="25"/>
      <c r="O1107" s="22"/>
    </row>
    <row r="1108" spans="2:15" x14ac:dyDescent="0.25">
      <c r="B1108" s="17" t="s">
        <v>1577</v>
      </c>
      <c r="C1108" s="16"/>
      <c r="E1108" s="18"/>
      <c r="F1108" s="19"/>
      <c r="G1108" s="20"/>
      <c r="H1108" s="20"/>
      <c r="I1108" s="21"/>
      <c r="J1108" s="21"/>
      <c r="K1108" s="25"/>
      <c r="L1108" s="25"/>
      <c r="M1108" s="25"/>
      <c r="O1108" s="22"/>
    </row>
    <row r="1109" spans="2:15" x14ac:dyDescent="0.25">
      <c r="B1109" s="17" t="s">
        <v>1598</v>
      </c>
      <c r="C1109" s="16"/>
      <c r="E1109" s="18"/>
      <c r="F1109" s="19"/>
      <c r="G1109" s="20"/>
      <c r="H1109" s="20"/>
      <c r="I1109" s="21"/>
      <c r="J1109" s="21"/>
      <c r="K1109" s="25"/>
      <c r="L1109" s="25"/>
      <c r="M1109" s="25"/>
      <c r="O1109" s="22"/>
    </row>
    <row r="1110" spans="2:15" x14ac:dyDescent="0.25">
      <c r="B1110" s="17" t="s">
        <v>1629</v>
      </c>
      <c r="C1110" s="16"/>
      <c r="E1110" s="18"/>
      <c r="F1110" s="19"/>
      <c r="G1110" s="20"/>
      <c r="H1110" s="20"/>
      <c r="I1110" s="21"/>
      <c r="J1110" s="21"/>
      <c r="K1110" s="25"/>
      <c r="L1110" s="25"/>
      <c r="M1110" s="25"/>
      <c r="O1110" s="22"/>
    </row>
    <row r="1111" spans="2:15" x14ac:dyDescent="0.25">
      <c r="B1111" s="17" t="s">
        <v>1611</v>
      </c>
      <c r="C1111" s="16"/>
      <c r="E1111" s="18"/>
      <c r="F1111" s="19"/>
      <c r="G1111" s="20"/>
      <c r="H1111" s="20"/>
      <c r="I1111" s="21"/>
      <c r="J1111" s="21"/>
      <c r="K1111" s="25"/>
      <c r="L1111" s="25"/>
      <c r="M1111" s="25"/>
      <c r="O1111" s="22"/>
    </row>
    <row r="1112" spans="2:15" x14ac:dyDescent="0.25">
      <c r="B1112" s="17" t="s">
        <v>1636</v>
      </c>
      <c r="C1112" s="16"/>
      <c r="I1112" s="21"/>
      <c r="J1112" s="21"/>
      <c r="K1112" s="25"/>
      <c r="L1112" s="25"/>
      <c r="M1112" s="25"/>
      <c r="O1112" s="22"/>
    </row>
    <row r="1113" spans="2:15" x14ac:dyDescent="0.25">
      <c r="B1113" s="17" t="s">
        <v>1610</v>
      </c>
      <c r="C1113" s="16"/>
      <c r="I1113" s="21"/>
      <c r="J1113" s="21"/>
      <c r="K1113" s="25"/>
      <c r="L1113" s="25"/>
      <c r="M1113" s="25"/>
      <c r="O1113" s="22"/>
    </row>
    <row r="1114" spans="2:15" x14ac:dyDescent="0.25">
      <c r="B1114" s="17" t="s">
        <v>1626</v>
      </c>
      <c r="C1114" s="16"/>
      <c r="I1114" s="21"/>
      <c r="J1114" s="21"/>
      <c r="K1114" s="25"/>
      <c r="L1114" s="25"/>
      <c r="M1114" s="25"/>
      <c r="O1114" s="22"/>
    </row>
    <row r="1115" spans="2:15" x14ac:dyDescent="0.25">
      <c r="B1115" s="17" t="s">
        <v>1630</v>
      </c>
      <c r="C1115" s="16"/>
      <c r="I1115" s="21"/>
      <c r="J1115" s="21"/>
      <c r="K1115" s="25"/>
      <c r="L1115" s="25"/>
      <c r="M1115" s="25"/>
      <c r="O1115" s="22"/>
    </row>
    <row r="1116" spans="2:15" x14ac:dyDescent="0.25">
      <c r="B1116" s="17" t="s">
        <v>1536</v>
      </c>
      <c r="C1116" s="16"/>
      <c r="I1116" s="21"/>
      <c r="J1116" s="21"/>
      <c r="K1116" s="25"/>
      <c r="L1116" s="25"/>
      <c r="M1116" s="25"/>
      <c r="O1116" s="22"/>
    </row>
    <row r="1117" spans="2:15" x14ac:dyDescent="0.25">
      <c r="B1117" s="17" t="s">
        <v>1545</v>
      </c>
      <c r="C1117" s="16"/>
      <c r="I1117" s="21"/>
      <c r="J1117" s="21"/>
      <c r="K1117" s="25"/>
      <c r="L1117" s="25"/>
      <c r="M1117" s="25"/>
      <c r="O1117" s="22"/>
    </row>
    <row r="1118" spans="2:15" x14ac:dyDescent="0.25">
      <c r="B1118" s="17" t="s">
        <v>974</v>
      </c>
      <c r="C1118" s="16"/>
      <c r="I1118" s="21"/>
      <c r="J1118" s="21"/>
      <c r="K1118" s="25"/>
      <c r="L1118" s="25"/>
      <c r="M1118" s="25"/>
      <c r="O1118" s="22"/>
    </row>
    <row r="1119" spans="2:15" x14ac:dyDescent="0.25">
      <c r="B1119" s="17" t="s">
        <v>997</v>
      </c>
      <c r="C1119" s="16"/>
      <c r="I1119" s="21"/>
      <c r="J1119" s="21"/>
      <c r="K1119" s="25"/>
      <c r="L1119" s="25"/>
      <c r="M1119" s="25"/>
      <c r="O1119" s="22"/>
    </row>
    <row r="1120" spans="2:15" x14ac:dyDescent="0.25">
      <c r="B1120" s="17" t="s">
        <v>1569</v>
      </c>
      <c r="C1120" s="16"/>
      <c r="I1120" s="21"/>
      <c r="J1120" s="21"/>
      <c r="K1120" s="25"/>
      <c r="L1120" s="25"/>
      <c r="M1120" s="25"/>
      <c r="O1120" s="22"/>
    </row>
    <row r="1121" spans="2:15" x14ac:dyDescent="0.25">
      <c r="B1121" s="17" t="s">
        <v>1543</v>
      </c>
      <c r="C1121" s="16"/>
      <c r="I1121" s="21"/>
      <c r="J1121" s="21"/>
      <c r="K1121" s="25"/>
      <c r="L1121" s="25"/>
      <c r="M1121" s="25"/>
      <c r="O1121" s="22"/>
    </row>
    <row r="1122" spans="2:15" x14ac:dyDescent="0.25">
      <c r="B1122" s="17" t="s">
        <v>934</v>
      </c>
      <c r="C1122" s="16"/>
      <c r="I1122" s="21"/>
      <c r="J1122" s="21"/>
      <c r="K1122" s="25"/>
      <c r="L1122" s="25"/>
      <c r="M1122" s="25"/>
      <c r="O1122" s="22"/>
    </row>
    <row r="1123" spans="2:15" x14ac:dyDescent="0.25">
      <c r="B1123" s="17" t="s">
        <v>1544</v>
      </c>
      <c r="C1123" s="16"/>
      <c r="I1123" s="21"/>
      <c r="J1123" s="21"/>
      <c r="K1123" s="25"/>
      <c r="L1123" s="25"/>
      <c r="M1123" s="25"/>
      <c r="O1123" s="22"/>
    </row>
    <row r="1124" spans="2:15" x14ac:dyDescent="0.25">
      <c r="B1124" s="17" t="s">
        <v>1609</v>
      </c>
      <c r="C1124" s="16"/>
      <c r="I1124" s="21"/>
      <c r="J1124" s="21"/>
      <c r="K1124" s="25"/>
      <c r="L1124" s="25"/>
      <c r="M1124" s="25"/>
      <c r="O1124" s="22"/>
    </row>
    <row r="1125" spans="2:15" x14ac:dyDescent="0.25">
      <c r="B1125" s="17" t="s">
        <v>1572</v>
      </c>
      <c r="C1125" s="16"/>
      <c r="I1125" s="21"/>
      <c r="J1125" s="21"/>
      <c r="K1125" s="25"/>
      <c r="L1125" s="25"/>
      <c r="M1125" s="25"/>
      <c r="O1125" s="22"/>
    </row>
    <row r="1126" spans="2:15" x14ac:dyDescent="0.25">
      <c r="B1126" s="17" t="s">
        <v>1464</v>
      </c>
      <c r="C1126" s="16"/>
      <c r="I1126" s="21"/>
      <c r="J1126" s="21"/>
      <c r="K1126" s="25"/>
      <c r="L1126" s="25"/>
      <c r="M1126" s="25"/>
      <c r="O1126" s="22"/>
    </row>
    <row r="1127" spans="2:15" x14ac:dyDescent="0.25">
      <c r="B1127" s="17" t="s">
        <v>1597</v>
      </c>
      <c r="C1127" s="16"/>
      <c r="I1127" s="21"/>
      <c r="J1127" s="21"/>
      <c r="K1127" s="25"/>
      <c r="L1127" s="25"/>
      <c r="M1127" s="25"/>
      <c r="O1127" s="22"/>
    </row>
    <row r="1128" spans="2:15" x14ac:dyDescent="0.25">
      <c r="B1128" s="17" t="s">
        <v>1514</v>
      </c>
      <c r="C1128" s="16"/>
      <c r="I1128" s="21"/>
      <c r="J1128" s="21"/>
      <c r="K1128" s="25"/>
      <c r="L1128" s="25"/>
      <c r="M1128" s="25"/>
      <c r="O1128" s="22"/>
    </row>
    <row r="1129" spans="2:15" x14ac:dyDescent="0.25">
      <c r="B1129" s="17" t="s">
        <v>1235</v>
      </c>
      <c r="C1129" s="16"/>
      <c r="I1129" s="21"/>
      <c r="J1129" s="21"/>
      <c r="K1129" s="25"/>
      <c r="L1129" s="25"/>
      <c r="M1129" s="25"/>
      <c r="O1129" s="22"/>
    </row>
    <row r="1130" spans="2:15" x14ac:dyDescent="0.25">
      <c r="B1130" s="17" t="s">
        <v>1587</v>
      </c>
      <c r="C1130" s="16"/>
      <c r="I1130" s="21"/>
      <c r="J1130" s="21"/>
      <c r="K1130" s="25"/>
      <c r="L1130" s="25"/>
      <c r="M1130" s="25"/>
      <c r="O1130" s="22"/>
    </row>
    <row r="1131" spans="2:15" x14ac:dyDescent="0.25">
      <c r="B1131" s="17" t="s">
        <v>927</v>
      </c>
      <c r="C1131" s="16"/>
      <c r="I1131" s="21"/>
      <c r="J1131" s="21"/>
      <c r="K1131" s="25"/>
      <c r="L1131" s="25"/>
      <c r="M1131" s="25"/>
      <c r="O1131" s="22"/>
    </row>
    <row r="1132" spans="2:15" x14ac:dyDescent="0.25">
      <c r="B1132" s="17" t="s">
        <v>1463</v>
      </c>
      <c r="C1132" s="16"/>
      <c r="I1132" s="21"/>
      <c r="J1132" s="21"/>
      <c r="K1132" s="25"/>
      <c r="L1132" s="25"/>
      <c r="M1132" s="25"/>
      <c r="O1132" s="22"/>
    </row>
    <row r="1133" spans="2:15" x14ac:dyDescent="0.25">
      <c r="B1133" s="17" t="s">
        <v>1534</v>
      </c>
      <c r="C1133" s="16"/>
      <c r="I1133" s="21"/>
      <c r="J1133" s="21"/>
      <c r="K1133" s="25"/>
      <c r="L1133" s="25"/>
      <c r="M1133" s="25"/>
      <c r="O1133" s="22"/>
    </row>
    <row r="1134" spans="2:15" x14ac:dyDescent="0.25">
      <c r="B1134" s="17" t="s">
        <v>926</v>
      </c>
      <c r="C1134" s="16"/>
      <c r="I1134" s="21"/>
      <c r="J1134" s="21"/>
      <c r="K1134" s="25"/>
      <c r="L1134" s="25"/>
      <c r="M1134" s="25"/>
      <c r="O1134" s="22"/>
    </row>
    <row r="1135" spans="2:15" x14ac:dyDescent="0.25">
      <c r="B1135" s="17" t="s">
        <v>1302</v>
      </c>
      <c r="C1135" s="16"/>
      <c r="I1135" s="21"/>
      <c r="J1135" s="21"/>
      <c r="K1135" s="25"/>
      <c r="L1135" s="25"/>
      <c r="M1135" s="25"/>
      <c r="O1135" s="22"/>
    </row>
    <row r="1136" spans="2:15" x14ac:dyDescent="0.25">
      <c r="B1136" s="17" t="s">
        <v>1454</v>
      </c>
      <c r="C1136" s="16"/>
      <c r="I1136" s="21"/>
      <c r="J1136" s="21"/>
      <c r="K1136" s="25"/>
      <c r="L1136" s="25"/>
      <c r="M1136" s="25"/>
      <c r="O1136" s="22"/>
    </row>
    <row r="1137" spans="2:15" x14ac:dyDescent="0.25">
      <c r="B1137" s="17" t="s">
        <v>1160</v>
      </c>
      <c r="C1137" s="16"/>
      <c r="I1137" s="21"/>
      <c r="J1137" s="21"/>
      <c r="K1137" s="25"/>
      <c r="L1137" s="25"/>
      <c r="M1137" s="25"/>
      <c r="O1137" s="22"/>
    </row>
    <row r="1138" spans="2:15" x14ac:dyDescent="0.25">
      <c r="B1138" s="17" t="s">
        <v>1293</v>
      </c>
      <c r="C1138" s="16"/>
      <c r="I1138" s="21"/>
      <c r="J1138" s="21"/>
      <c r="K1138" s="25"/>
      <c r="L1138" s="25"/>
      <c r="M1138" s="25"/>
      <c r="O1138" s="22"/>
    </row>
    <row r="1139" spans="2:15" x14ac:dyDescent="0.25">
      <c r="B1139" s="17" t="s">
        <v>1631</v>
      </c>
      <c r="C1139" s="16"/>
      <c r="I1139" s="21"/>
      <c r="J1139" s="21"/>
      <c r="K1139" s="25"/>
      <c r="L1139" s="25"/>
      <c r="M1139" s="25"/>
      <c r="O1139" s="22"/>
    </row>
    <row r="1140" spans="2:15" x14ac:dyDescent="0.25">
      <c r="B1140" s="17" t="s">
        <v>1486</v>
      </c>
      <c r="C1140" s="16"/>
      <c r="I1140" s="21"/>
      <c r="J1140" s="21"/>
      <c r="K1140" s="25"/>
      <c r="L1140" s="25"/>
      <c r="M1140" s="25"/>
      <c r="O1140" s="22"/>
    </row>
    <row r="1141" spans="2:15" x14ac:dyDescent="0.25">
      <c r="B1141" s="17" t="s">
        <v>950</v>
      </c>
      <c r="C1141" s="16"/>
      <c r="I1141" s="21"/>
      <c r="J1141" s="21"/>
      <c r="K1141" s="25"/>
      <c r="L1141" s="25"/>
      <c r="M1141" s="25"/>
      <c r="O1141" s="22"/>
    </row>
    <row r="1142" spans="2:15" x14ac:dyDescent="0.25">
      <c r="B1142" s="17" t="s">
        <v>1599</v>
      </c>
      <c r="C1142" s="16"/>
      <c r="I1142" s="21"/>
      <c r="J1142" s="21"/>
      <c r="K1142" s="25"/>
      <c r="L1142" s="25"/>
      <c r="M1142" s="25"/>
      <c r="O1142" s="22"/>
    </row>
    <row r="1143" spans="2:15" x14ac:dyDescent="0.25">
      <c r="B1143" s="17" t="s">
        <v>1535</v>
      </c>
      <c r="C1143" s="16"/>
      <c r="I1143" s="21"/>
      <c r="J1143" s="21"/>
      <c r="K1143" s="25"/>
      <c r="L1143" s="25"/>
      <c r="M1143" s="25"/>
      <c r="O1143" s="22"/>
    </row>
    <row r="1144" spans="2:15" x14ac:dyDescent="0.25">
      <c r="B1144" s="17" t="s">
        <v>1632</v>
      </c>
      <c r="C1144" s="16"/>
      <c r="I1144" s="21"/>
      <c r="J1144" s="21"/>
      <c r="K1144" s="25"/>
      <c r="L1144" s="25"/>
      <c r="M1144" s="25"/>
      <c r="O1144" s="22"/>
    </row>
    <row r="1145" spans="2:15" x14ac:dyDescent="0.25">
      <c r="B1145" s="17" t="s">
        <v>1633</v>
      </c>
      <c r="C1145" s="16"/>
      <c r="I1145" s="21"/>
      <c r="J1145" s="21"/>
      <c r="K1145" s="25"/>
      <c r="L1145" s="25"/>
      <c r="M1145" s="25"/>
      <c r="O1145" s="22"/>
    </row>
    <row r="1146" spans="2:15" x14ac:dyDescent="0.25">
      <c r="B1146" s="17" t="s">
        <v>951</v>
      </c>
      <c r="C1146" s="16"/>
      <c r="I1146" s="21"/>
      <c r="J1146" s="21"/>
      <c r="K1146" s="25"/>
      <c r="L1146" s="25"/>
      <c r="M1146" s="25"/>
      <c r="O1146" s="22"/>
    </row>
    <row r="1147" spans="2:15" x14ac:dyDescent="0.25">
      <c r="B1147" s="17" t="s">
        <v>1540</v>
      </c>
      <c r="C1147" s="16"/>
      <c r="I1147" s="21"/>
      <c r="J1147" s="21"/>
      <c r="K1147" s="25"/>
      <c r="L1147" s="25"/>
      <c r="M1147" s="25"/>
      <c r="O1147" s="22"/>
    </row>
    <row r="1148" spans="2:15" x14ac:dyDescent="0.25">
      <c r="B1148" s="17" t="s">
        <v>1559</v>
      </c>
      <c r="C1148" s="16"/>
      <c r="I1148" s="21"/>
      <c r="J1148" s="21"/>
      <c r="K1148" s="25"/>
      <c r="L1148" s="25"/>
      <c r="M1148" s="25"/>
      <c r="O1148" s="22"/>
    </row>
    <row r="1149" spans="2:15" x14ac:dyDescent="0.25">
      <c r="B1149" s="17" t="s">
        <v>936</v>
      </c>
      <c r="C1149" s="16"/>
      <c r="I1149" s="21"/>
      <c r="J1149" s="21"/>
      <c r="K1149" s="25"/>
      <c r="L1149" s="25"/>
      <c r="M1149" s="25"/>
      <c r="O1149" s="22"/>
    </row>
    <row r="1150" spans="2:15" x14ac:dyDescent="0.25">
      <c r="B1150" s="17" t="s">
        <v>1530</v>
      </c>
      <c r="C1150" s="16"/>
      <c r="I1150" s="21"/>
      <c r="J1150" s="21"/>
      <c r="K1150" s="25"/>
      <c r="L1150" s="25"/>
      <c r="M1150" s="25"/>
      <c r="O1150" s="22"/>
    </row>
    <row r="1151" spans="2:15" x14ac:dyDescent="0.25">
      <c r="B1151" s="17" t="s">
        <v>1237</v>
      </c>
      <c r="C1151" s="16"/>
      <c r="I1151" s="21"/>
      <c r="J1151" s="21"/>
      <c r="K1151" s="25"/>
      <c r="L1151" s="25"/>
      <c r="M1151" s="25"/>
      <c r="O1151" s="22"/>
    </row>
    <row r="1152" spans="2:15" x14ac:dyDescent="0.25">
      <c r="B1152" s="17" t="s">
        <v>1638</v>
      </c>
      <c r="C1152" s="16"/>
      <c r="I1152" s="21"/>
      <c r="J1152" s="21"/>
      <c r="K1152" s="25"/>
      <c r="L1152" s="25"/>
      <c r="M1152" s="25"/>
      <c r="O1152" s="22"/>
    </row>
    <row r="1153" spans="2:15" x14ac:dyDescent="0.25">
      <c r="B1153" s="17" t="s">
        <v>1618</v>
      </c>
      <c r="C1153" s="16"/>
      <c r="I1153" s="21"/>
      <c r="J1153" s="21"/>
      <c r="K1153" s="25"/>
      <c r="L1153" s="25"/>
      <c r="M1153" s="25"/>
      <c r="O1153" s="22"/>
    </row>
    <row r="1154" spans="2:15" x14ac:dyDescent="0.25">
      <c r="B1154" s="17" t="s">
        <v>1005</v>
      </c>
      <c r="C1154" s="16"/>
      <c r="I1154" s="21"/>
      <c r="J1154" s="21"/>
      <c r="K1154" s="25"/>
      <c r="L1154" s="25"/>
      <c r="M1154" s="25"/>
      <c r="O1154" s="22"/>
    </row>
    <row r="1155" spans="2:15" x14ac:dyDescent="0.25">
      <c r="B1155" s="17" t="s">
        <v>1437</v>
      </c>
      <c r="C1155" s="16"/>
      <c r="I1155" s="21"/>
      <c r="J1155" s="21"/>
      <c r="K1155" s="25"/>
      <c r="L1155" s="25"/>
      <c r="M1155" s="25"/>
      <c r="O1155" s="22"/>
    </row>
    <row r="1156" spans="2:15" x14ac:dyDescent="0.25">
      <c r="B1156" s="17" t="s">
        <v>394</v>
      </c>
      <c r="C1156" s="16"/>
      <c r="I1156" s="21"/>
      <c r="J1156" s="21"/>
      <c r="K1156" s="25"/>
      <c r="L1156" s="25"/>
      <c r="M1156" s="25"/>
      <c r="O1156" s="22"/>
    </row>
    <row r="1157" spans="2:15" x14ac:dyDescent="0.25">
      <c r="B1157" s="17" t="s">
        <v>1637</v>
      </c>
      <c r="C1157" s="16"/>
      <c r="I1157" s="21"/>
      <c r="J1157" s="21"/>
      <c r="K1157" s="25"/>
      <c r="L1157" s="25"/>
      <c r="M1157" s="25"/>
      <c r="O1157" s="22"/>
    </row>
    <row r="1158" spans="2:15" x14ac:dyDescent="0.25">
      <c r="B1158" s="17" t="s">
        <v>1541</v>
      </c>
      <c r="C1158" s="16"/>
      <c r="I1158" s="21"/>
      <c r="J1158" s="21"/>
      <c r="K1158" s="25"/>
      <c r="L1158" s="25"/>
      <c r="M1158" s="25"/>
      <c r="O1158" s="22"/>
    </row>
    <row r="1159" spans="2:15" x14ac:dyDescent="0.25">
      <c r="B1159" s="17" t="s">
        <v>1620</v>
      </c>
      <c r="C1159" s="16"/>
      <c r="I1159" s="21"/>
      <c r="J1159" s="21"/>
      <c r="K1159" s="25"/>
      <c r="L1159" s="25"/>
      <c r="M1159" s="25"/>
      <c r="O1159" s="22"/>
    </row>
    <row r="1160" spans="2:15" x14ac:dyDescent="0.25">
      <c r="B1160" s="17" t="s">
        <v>1634</v>
      </c>
      <c r="C1160" s="16"/>
      <c r="I1160" s="21"/>
      <c r="J1160" s="21"/>
      <c r="K1160" s="25"/>
      <c r="L1160" s="25"/>
      <c r="M1160" s="25"/>
      <c r="O1160" s="22"/>
    </row>
    <row r="1161" spans="2:15" x14ac:dyDescent="0.25">
      <c r="B1161" s="17" t="s">
        <v>1041</v>
      </c>
      <c r="C1161" s="16"/>
      <c r="I1161" s="21"/>
      <c r="J1161" s="21"/>
      <c r="K1161" s="25"/>
      <c r="L1161" s="25"/>
      <c r="M1161" s="25"/>
      <c r="O1161" s="22"/>
    </row>
    <row r="1162" spans="2:15" x14ac:dyDescent="0.25">
      <c r="B1162" s="17" t="s">
        <v>1608</v>
      </c>
      <c r="C1162" s="16"/>
      <c r="I1162" s="21"/>
      <c r="J1162" s="21"/>
      <c r="K1162" s="25"/>
      <c r="L1162" s="25"/>
      <c r="M1162" s="25"/>
      <c r="O1162" s="22"/>
    </row>
    <row r="1163" spans="2:15" x14ac:dyDescent="0.25">
      <c r="B1163" s="17" t="s">
        <v>1036</v>
      </c>
      <c r="C1163" s="16"/>
      <c r="I1163" s="21"/>
      <c r="J1163" s="21"/>
      <c r="K1163" s="25"/>
      <c r="L1163" s="25"/>
      <c r="M1163" s="25"/>
      <c r="O1163" s="22"/>
    </row>
    <row r="1164" spans="2:15" x14ac:dyDescent="0.25">
      <c r="B1164" s="17" t="s">
        <v>1520</v>
      </c>
      <c r="C1164" s="16"/>
      <c r="I1164" s="21"/>
      <c r="J1164" s="21"/>
      <c r="K1164" s="25"/>
      <c r="L1164" s="25"/>
      <c r="M1164" s="25"/>
      <c r="O1164" s="22"/>
    </row>
    <row r="1165" spans="2:15" x14ac:dyDescent="0.25">
      <c r="B1165" s="17" t="s">
        <v>1286</v>
      </c>
      <c r="C1165" s="16"/>
      <c r="I1165" s="21"/>
      <c r="J1165" s="21"/>
      <c r="K1165" s="25"/>
      <c r="L1165" s="25"/>
      <c r="M1165" s="25"/>
      <c r="O1165" s="22"/>
    </row>
    <row r="1166" spans="2:15" x14ac:dyDescent="0.25">
      <c r="B1166" s="17" t="s">
        <v>1112</v>
      </c>
      <c r="C1166" s="16"/>
      <c r="I1166" s="21"/>
      <c r="J1166" s="21"/>
      <c r="K1166" s="25"/>
      <c r="L1166" s="25"/>
      <c r="M1166" s="25"/>
      <c r="O1166" s="22"/>
    </row>
    <row r="1167" spans="2:15" x14ac:dyDescent="0.25">
      <c r="B1167" s="17" t="s">
        <v>1002</v>
      </c>
      <c r="C1167" s="16"/>
      <c r="I1167" s="21"/>
      <c r="J1167" s="21"/>
      <c r="K1167" s="25"/>
      <c r="L1167" s="25"/>
      <c r="M1167" s="25"/>
      <c r="O1167" s="22"/>
    </row>
    <row r="1168" spans="2:15" x14ac:dyDescent="0.25">
      <c r="B1168" s="17" t="s">
        <v>1531</v>
      </c>
      <c r="C1168" s="16"/>
      <c r="I1168" s="21"/>
      <c r="J1168" s="21"/>
      <c r="K1168" s="25"/>
      <c r="L1168" s="25"/>
      <c r="M1168" s="25"/>
      <c r="O1168" s="22"/>
    </row>
    <row r="1169" spans="2:15" x14ac:dyDescent="0.25">
      <c r="B1169" s="17" t="s">
        <v>1562</v>
      </c>
      <c r="C1169" s="16"/>
      <c r="I1169" s="21"/>
      <c r="J1169" s="21"/>
      <c r="K1169" s="25"/>
      <c r="L1169" s="25"/>
      <c r="M1169" s="25"/>
      <c r="O1169" s="22"/>
    </row>
    <row r="1170" spans="2:15" x14ac:dyDescent="0.25">
      <c r="B1170" s="17" t="s">
        <v>1602</v>
      </c>
      <c r="C1170" s="16"/>
      <c r="I1170" s="21"/>
      <c r="J1170" s="21"/>
      <c r="K1170" s="25"/>
      <c r="L1170" s="25"/>
      <c r="M1170" s="25"/>
      <c r="O1170" s="22"/>
    </row>
    <row r="1171" spans="2:15" x14ac:dyDescent="0.25">
      <c r="B1171" s="17" t="s">
        <v>1042</v>
      </c>
      <c r="C1171" s="16"/>
      <c r="I1171" s="21"/>
      <c r="J1171" s="21"/>
      <c r="K1171" s="25"/>
      <c r="L1171" s="25"/>
      <c r="M1171" s="25"/>
      <c r="O1171" s="22"/>
    </row>
    <row r="1172" spans="2:15" x14ac:dyDescent="0.25">
      <c r="B1172" s="17" t="s">
        <v>959</v>
      </c>
      <c r="C1172" s="16"/>
      <c r="I1172" s="21"/>
      <c r="J1172" s="21"/>
      <c r="K1172" s="25"/>
      <c r="L1172" s="25"/>
      <c r="M1172" s="25"/>
      <c r="O1172" s="22"/>
    </row>
    <row r="1173" spans="2:15" x14ac:dyDescent="0.25">
      <c r="B1173" s="17" t="s">
        <v>995</v>
      </c>
      <c r="C1173" s="16"/>
      <c r="I1173" s="21"/>
      <c r="J1173" s="21"/>
      <c r="K1173" s="25"/>
      <c r="L1173" s="25"/>
      <c r="M1173" s="25"/>
      <c r="O1173" s="22"/>
    </row>
    <row r="1174" spans="2:15" x14ac:dyDescent="0.25">
      <c r="B1174" s="17" t="s">
        <v>1557</v>
      </c>
      <c r="C1174" s="16"/>
      <c r="I1174" s="21"/>
      <c r="J1174" s="21"/>
      <c r="K1174" s="25"/>
      <c r="L1174" s="25"/>
      <c r="M1174" s="25"/>
      <c r="O1174" s="22"/>
    </row>
    <row r="1175" spans="2:15" x14ac:dyDescent="0.25">
      <c r="B1175" s="17" t="s">
        <v>1596</v>
      </c>
      <c r="C1175" s="16"/>
      <c r="K1175" s="25"/>
      <c r="L1175" s="25"/>
      <c r="M1175" s="25"/>
      <c r="O1175" s="22"/>
    </row>
    <row r="1176" spans="2:15" x14ac:dyDescent="0.25">
      <c r="B1176" s="17" t="s">
        <v>1526</v>
      </c>
      <c r="C1176" s="16"/>
      <c r="K1176" s="25"/>
      <c r="L1176" s="25"/>
      <c r="M1176" s="25"/>
      <c r="O1176" s="22"/>
    </row>
    <row r="1177" spans="2:15" x14ac:dyDescent="0.25">
      <c r="B1177" s="17" t="s">
        <v>1038</v>
      </c>
      <c r="C1177" s="16"/>
      <c r="K1177" s="25"/>
      <c r="L1177" s="25"/>
      <c r="M1177" s="25"/>
      <c r="O1177" s="22"/>
    </row>
    <row r="1178" spans="2:15" x14ac:dyDescent="0.25">
      <c r="B1178" s="17" t="s">
        <v>1063</v>
      </c>
      <c r="C1178" s="16"/>
      <c r="K1178" s="25"/>
      <c r="L1178" s="25"/>
      <c r="M1178" s="25"/>
      <c r="O1178" s="22"/>
    </row>
    <row r="1179" spans="2:15" x14ac:dyDescent="0.25">
      <c r="B1179" s="17" t="s">
        <v>1328</v>
      </c>
      <c r="C1179" s="16"/>
      <c r="K1179" s="25"/>
      <c r="L1179" s="25"/>
      <c r="M1179" s="25"/>
      <c r="O1179" s="22"/>
    </row>
    <row r="1180" spans="2:15" x14ac:dyDescent="0.25">
      <c r="B1180" s="17" t="s">
        <v>1450</v>
      </c>
      <c r="C1180" s="16"/>
      <c r="K1180" s="25"/>
      <c r="L1180" s="25"/>
      <c r="M1180" s="25"/>
      <c r="O1180" s="22"/>
    </row>
    <row r="1181" spans="2:15" x14ac:dyDescent="0.25">
      <c r="B1181" s="17" t="s">
        <v>275</v>
      </c>
      <c r="C1181" s="16"/>
      <c r="K1181" s="25"/>
      <c r="L1181" s="25"/>
      <c r="M1181" s="25"/>
      <c r="O1181" s="22"/>
    </row>
    <row r="1182" spans="2:15" x14ac:dyDescent="0.25">
      <c r="B1182" s="17" t="s">
        <v>1417</v>
      </c>
      <c r="C1182" s="16"/>
      <c r="K1182" s="25"/>
      <c r="L1182" s="25"/>
      <c r="M1182" s="25"/>
      <c r="O1182" s="22"/>
    </row>
    <row r="1183" spans="2:15" x14ac:dyDescent="0.25">
      <c r="B1183" s="17" t="s">
        <v>1446</v>
      </c>
      <c r="C1183" s="16"/>
      <c r="K1183" s="25"/>
      <c r="L1183" s="25"/>
      <c r="M1183" s="25"/>
      <c r="O1183" s="22"/>
    </row>
    <row r="1184" spans="2:15" x14ac:dyDescent="0.25">
      <c r="B1184" s="17" t="s">
        <v>369</v>
      </c>
      <c r="C1184" s="16"/>
      <c r="K1184" s="25"/>
      <c r="L1184" s="25"/>
      <c r="M1184" s="25"/>
      <c r="O1184" s="22"/>
    </row>
    <row r="1185" spans="2:15" x14ac:dyDescent="0.25">
      <c r="B1185" s="17" t="s">
        <v>930</v>
      </c>
      <c r="C1185" s="16"/>
      <c r="K1185" s="25"/>
      <c r="L1185" s="25"/>
      <c r="M1185" s="25"/>
      <c r="O1185" s="22"/>
    </row>
    <row r="1186" spans="2:15" x14ac:dyDescent="0.25">
      <c r="B1186" s="17" t="s">
        <v>1077</v>
      </c>
      <c r="C1186" s="16"/>
      <c r="K1186" s="25"/>
      <c r="L1186" s="25"/>
      <c r="M1186" s="25"/>
      <c r="O1186" s="22"/>
    </row>
    <row r="1187" spans="2:15" x14ac:dyDescent="0.25">
      <c r="B1187" s="17" t="s">
        <v>929</v>
      </c>
      <c r="C1187" s="16"/>
      <c r="K1187" s="25"/>
      <c r="L1187" s="25"/>
      <c r="M1187" s="25"/>
      <c r="O1187" s="22"/>
    </row>
    <row r="1188" spans="2:15" x14ac:dyDescent="0.25">
      <c r="B1188" s="17" t="s">
        <v>1639</v>
      </c>
      <c r="C1188" s="16"/>
      <c r="K1188" s="25"/>
      <c r="L1188" s="25"/>
      <c r="M1188" s="25"/>
      <c r="O1188" s="22"/>
    </row>
    <row r="1189" spans="2:15" x14ac:dyDescent="0.25">
      <c r="B1189" s="17" t="s">
        <v>971</v>
      </c>
      <c r="C1189" s="16"/>
      <c r="K1189" s="25"/>
      <c r="L1189" s="25"/>
      <c r="M1189" s="25"/>
      <c r="O1189" s="22"/>
    </row>
    <row r="1190" spans="2:15" x14ac:dyDescent="0.25">
      <c r="B1190" s="17" t="s">
        <v>1234</v>
      </c>
      <c r="C1190" s="16"/>
      <c r="K1190" s="25"/>
      <c r="L1190" s="25"/>
      <c r="M1190" s="25"/>
      <c r="O1190" s="22"/>
    </row>
    <row r="1191" spans="2:15" x14ac:dyDescent="0.25">
      <c r="B1191" s="17" t="s">
        <v>1442</v>
      </c>
      <c r="C1191" s="16"/>
      <c r="K1191" s="25"/>
      <c r="L1191" s="25"/>
      <c r="M1191" s="25"/>
      <c r="O1191" s="22"/>
    </row>
    <row r="1192" spans="2:15" x14ac:dyDescent="0.25">
      <c r="B1192" s="17" t="s">
        <v>1331</v>
      </c>
      <c r="C1192" s="16"/>
      <c r="K1192" s="25"/>
      <c r="L1192" s="25"/>
      <c r="M1192" s="25"/>
      <c r="O1192" s="22"/>
    </row>
    <row r="1193" spans="2:15" x14ac:dyDescent="0.25">
      <c r="B1193" s="17" t="s">
        <v>1083</v>
      </c>
      <c r="C1193" s="16"/>
      <c r="K1193" s="25"/>
      <c r="L1193" s="25"/>
      <c r="M1193" s="25"/>
      <c r="O1193" s="22"/>
    </row>
    <row r="1194" spans="2:15" x14ac:dyDescent="0.25">
      <c r="B1194" s="17" t="s">
        <v>970</v>
      </c>
      <c r="C1194" s="16"/>
      <c r="K1194" s="25"/>
      <c r="L1194" s="25"/>
      <c r="M1194" s="25"/>
      <c r="O1194" s="22"/>
    </row>
    <row r="1195" spans="2:15" x14ac:dyDescent="0.25">
      <c r="B1195" s="17" t="s">
        <v>387</v>
      </c>
      <c r="C1195" s="16"/>
      <c r="K1195" s="25"/>
      <c r="L1195" s="25"/>
      <c r="M1195" s="25"/>
      <c r="O1195" s="22"/>
    </row>
    <row r="1196" spans="2:15" x14ac:dyDescent="0.25">
      <c r="B1196" s="17" t="s">
        <v>1523</v>
      </c>
      <c r="C1196" s="16"/>
      <c r="K1196" s="25"/>
      <c r="L1196" s="25"/>
      <c r="M1196" s="25"/>
      <c r="O1196" s="22"/>
    </row>
    <row r="1197" spans="2:15" x14ac:dyDescent="0.25">
      <c r="B1197" s="17" t="s">
        <v>1140</v>
      </c>
      <c r="C1197" s="16"/>
      <c r="K1197" s="25"/>
      <c r="L1197" s="25"/>
      <c r="M1197" s="25"/>
      <c r="O1197" s="22"/>
    </row>
    <row r="1198" spans="2:15" x14ac:dyDescent="0.25">
      <c r="B1198" s="17" t="s">
        <v>981</v>
      </c>
      <c r="C1198" s="16"/>
      <c r="K1198" s="25"/>
      <c r="L1198" s="25"/>
      <c r="M1198" s="25"/>
      <c r="O1198" s="22"/>
    </row>
    <row r="1199" spans="2:15" x14ac:dyDescent="0.25">
      <c r="B1199" s="17" t="s">
        <v>1363</v>
      </c>
      <c r="C1199" s="16"/>
      <c r="K1199" s="25"/>
      <c r="L1199" s="25"/>
      <c r="M1199" s="25"/>
      <c r="O1199" s="22"/>
    </row>
    <row r="1200" spans="2:15" x14ac:dyDescent="0.25">
      <c r="B1200" s="17" t="s">
        <v>1444</v>
      </c>
      <c r="C1200" s="16"/>
      <c r="K1200" s="25"/>
      <c r="L1200" s="25"/>
      <c r="M1200" s="25"/>
      <c r="O1200" s="22"/>
    </row>
    <row r="1201" spans="2:15" x14ac:dyDescent="0.25">
      <c r="B1201" s="17" t="s">
        <v>1614</v>
      </c>
      <c r="C1201" s="16"/>
      <c r="K1201" s="25"/>
      <c r="L1201" s="25"/>
      <c r="M1201" s="25"/>
      <c r="O1201" s="22"/>
    </row>
    <row r="1202" spans="2:15" x14ac:dyDescent="0.25">
      <c r="B1202" s="17" t="s">
        <v>1622</v>
      </c>
      <c r="C1202" s="16"/>
      <c r="K1202" s="25"/>
      <c r="L1202" s="25"/>
      <c r="M1202" s="25"/>
      <c r="O1202" s="22"/>
    </row>
    <row r="1203" spans="2:15" x14ac:dyDescent="0.25">
      <c r="B1203" s="17" t="s">
        <v>935</v>
      </c>
      <c r="C1203" s="16"/>
      <c r="K1203" s="25"/>
      <c r="L1203" s="25"/>
      <c r="M1203" s="25"/>
      <c r="O1203" s="22"/>
    </row>
    <row r="1204" spans="2:15" x14ac:dyDescent="0.25">
      <c r="B1204" s="17" t="s">
        <v>1391</v>
      </c>
      <c r="C1204" s="16"/>
      <c r="K1204" s="25"/>
      <c r="L1204" s="25"/>
      <c r="M1204" s="25"/>
      <c r="O1204" s="22"/>
    </row>
    <row r="1205" spans="2:15" x14ac:dyDescent="0.25">
      <c r="B1205" s="17" t="s">
        <v>1044</v>
      </c>
      <c r="C1205" s="16"/>
      <c r="K1205" s="25"/>
      <c r="L1205" s="25"/>
      <c r="M1205" s="25"/>
      <c r="O1205" s="22"/>
    </row>
    <row r="1206" spans="2:15" x14ac:dyDescent="0.25">
      <c r="B1206" s="17" t="s">
        <v>1256</v>
      </c>
      <c r="C1206" s="16"/>
      <c r="K1206" s="25"/>
      <c r="L1206" s="25"/>
      <c r="M1206" s="25"/>
      <c r="O1206" s="22"/>
    </row>
    <row r="1207" spans="2:15" x14ac:dyDescent="0.25">
      <c r="B1207" s="17" t="s">
        <v>955</v>
      </c>
      <c r="C1207" s="16"/>
      <c r="K1207" s="25"/>
      <c r="L1207" s="25"/>
      <c r="M1207" s="25"/>
      <c r="O1207" s="22"/>
    </row>
    <row r="1208" spans="2:15" x14ac:dyDescent="0.25">
      <c r="B1208" s="17" t="s">
        <v>1039</v>
      </c>
      <c r="C1208" s="16"/>
      <c r="K1208" s="25"/>
      <c r="L1208" s="25"/>
      <c r="M1208" s="25"/>
      <c r="O1208" s="22"/>
    </row>
    <row r="1209" spans="2:15" x14ac:dyDescent="0.25">
      <c r="B1209" s="17" t="s">
        <v>980</v>
      </c>
      <c r="C1209" s="16"/>
      <c r="K1209" s="25"/>
      <c r="L1209" s="25"/>
      <c r="M1209" s="25"/>
      <c r="O1209" s="22"/>
    </row>
    <row r="1210" spans="2:15" x14ac:dyDescent="0.25">
      <c r="B1210" s="17" t="s">
        <v>1430</v>
      </c>
      <c r="C1210" s="16"/>
      <c r="K1210" s="25"/>
      <c r="L1210" s="25"/>
      <c r="M1210" s="25"/>
      <c r="O1210" s="22"/>
    </row>
    <row r="1211" spans="2:15" x14ac:dyDescent="0.25">
      <c r="B1211" s="17" t="s">
        <v>1473</v>
      </c>
      <c r="C1211" s="16"/>
      <c r="K1211" s="25"/>
      <c r="L1211" s="25"/>
      <c r="M1211" s="25"/>
      <c r="O1211" s="22"/>
    </row>
    <row r="1212" spans="2:15" x14ac:dyDescent="0.25">
      <c r="B1212" s="17" t="s">
        <v>1066</v>
      </c>
      <c r="C1212" s="16"/>
      <c r="K1212" s="25"/>
      <c r="L1212" s="25"/>
      <c r="M1212" s="25"/>
      <c r="O1212" s="22"/>
    </row>
    <row r="1213" spans="2:15" x14ac:dyDescent="0.25">
      <c r="B1213" s="17" t="s">
        <v>973</v>
      </c>
      <c r="C1213" s="16"/>
      <c r="K1213" s="25"/>
      <c r="L1213" s="25"/>
      <c r="M1213" s="25"/>
      <c r="O1213" s="22"/>
    </row>
    <row r="1214" spans="2:15" x14ac:dyDescent="0.25">
      <c r="B1214" s="17" t="s">
        <v>1294</v>
      </c>
      <c r="C1214" s="16"/>
      <c r="K1214" s="25"/>
      <c r="L1214" s="25"/>
      <c r="M1214" s="25"/>
      <c r="O1214" s="22"/>
    </row>
    <row r="1215" spans="2:15" x14ac:dyDescent="0.25">
      <c r="B1215" s="17" t="s">
        <v>1489</v>
      </c>
      <c r="C1215" s="16"/>
      <c r="K1215" s="25"/>
      <c r="L1215" s="25"/>
      <c r="M1215" s="25"/>
      <c r="O1215" s="22"/>
    </row>
    <row r="1216" spans="2:15" x14ac:dyDescent="0.25">
      <c r="B1216" s="17" t="s">
        <v>999</v>
      </c>
      <c r="C1216" s="16"/>
      <c r="K1216" s="25"/>
      <c r="L1216" s="25"/>
      <c r="M1216" s="25"/>
      <c r="O1216" s="22"/>
    </row>
    <row r="1217" spans="2:15" x14ac:dyDescent="0.25">
      <c r="B1217" s="17" t="s">
        <v>1013</v>
      </c>
      <c r="C1217" s="16"/>
      <c r="K1217" s="25"/>
      <c r="L1217" s="25"/>
      <c r="M1217" s="25"/>
      <c r="O1217" s="22"/>
    </row>
    <row r="1218" spans="2:15" x14ac:dyDescent="0.25">
      <c r="B1218" s="17" t="s">
        <v>1088</v>
      </c>
      <c r="C1218" s="16"/>
      <c r="K1218" s="25"/>
      <c r="L1218" s="25"/>
      <c r="M1218" s="25"/>
      <c r="O1218" s="22"/>
    </row>
    <row r="1219" spans="2:15" x14ac:dyDescent="0.25">
      <c r="B1219" s="17" t="s">
        <v>933</v>
      </c>
      <c r="C1219" s="16"/>
      <c r="K1219" s="25"/>
      <c r="L1219" s="25"/>
      <c r="M1219" s="25"/>
      <c r="O1219" s="22"/>
    </row>
    <row r="1220" spans="2:15" x14ac:dyDescent="0.25">
      <c r="B1220" s="17" t="s">
        <v>986</v>
      </c>
      <c r="C1220" s="16"/>
      <c r="K1220" s="25"/>
      <c r="L1220" s="25"/>
      <c r="M1220" s="25"/>
      <c r="O1220" s="22"/>
    </row>
    <row r="1221" spans="2:15" x14ac:dyDescent="0.25">
      <c r="B1221" s="17" t="s">
        <v>931</v>
      </c>
      <c r="C1221" s="16"/>
      <c r="K1221" s="25"/>
      <c r="L1221" s="25"/>
      <c r="M1221" s="25"/>
      <c r="O1221" s="22"/>
    </row>
    <row r="1222" spans="2:15" x14ac:dyDescent="0.25">
      <c r="B1222" s="17" t="s">
        <v>1061</v>
      </c>
      <c r="C1222" s="16"/>
      <c r="K1222" s="25"/>
      <c r="L1222" s="25"/>
      <c r="M1222" s="25"/>
      <c r="O1222" s="22"/>
    </row>
    <row r="1223" spans="2:15" x14ac:dyDescent="0.25">
      <c r="B1223" s="17" t="s">
        <v>1245</v>
      </c>
      <c r="C1223" s="16"/>
      <c r="K1223" s="25"/>
      <c r="L1223" s="25"/>
      <c r="M1223" s="25"/>
      <c r="O1223" s="22"/>
    </row>
    <row r="1224" spans="2:15" x14ac:dyDescent="0.25">
      <c r="B1224" s="17" t="s">
        <v>1389</v>
      </c>
      <c r="C1224" s="16"/>
      <c r="K1224" s="25"/>
      <c r="L1224" s="25"/>
      <c r="M1224" s="25"/>
      <c r="O1224" s="22"/>
    </row>
    <row r="1225" spans="2:15" x14ac:dyDescent="0.25">
      <c r="B1225" s="17" t="s">
        <v>384</v>
      </c>
      <c r="C1225" s="16"/>
      <c r="K1225" s="25"/>
      <c r="L1225" s="25"/>
      <c r="M1225" s="25"/>
      <c r="O1225" s="22"/>
    </row>
    <row r="1226" spans="2:15" x14ac:dyDescent="0.25">
      <c r="B1226" s="17" t="s">
        <v>1222</v>
      </c>
      <c r="C1226" s="16"/>
      <c r="K1226" s="25"/>
      <c r="L1226" s="25"/>
      <c r="M1226" s="25"/>
      <c r="O1226" s="22"/>
    </row>
    <row r="1227" spans="2:15" x14ac:dyDescent="0.25">
      <c r="B1227" s="17" t="s">
        <v>1619</v>
      </c>
      <c r="C1227" s="16"/>
      <c r="K1227" s="25"/>
      <c r="L1227" s="25"/>
      <c r="M1227" s="25"/>
      <c r="O1227" s="22"/>
    </row>
    <row r="1228" spans="2:15" x14ac:dyDescent="0.25">
      <c r="B1228" s="17" t="s">
        <v>1098</v>
      </c>
      <c r="C1228" s="16"/>
      <c r="K1228" s="25"/>
      <c r="L1228" s="25"/>
      <c r="M1228" s="25"/>
      <c r="O1228" s="22"/>
    </row>
    <row r="1229" spans="2:15" x14ac:dyDescent="0.25">
      <c r="B1229" s="17" t="s">
        <v>1089</v>
      </c>
      <c r="C1229" s="16"/>
      <c r="K1229" s="25"/>
      <c r="L1229" s="25"/>
      <c r="M1229" s="25"/>
      <c r="O1229" s="22"/>
    </row>
    <row r="1230" spans="2:15" x14ac:dyDescent="0.25">
      <c r="B1230" s="17" t="s">
        <v>991</v>
      </c>
      <c r="C1230" s="16"/>
      <c r="K1230" s="25"/>
      <c r="L1230" s="25"/>
      <c r="M1230" s="25"/>
      <c r="O1230" s="22"/>
    </row>
    <row r="1231" spans="2:15" x14ac:dyDescent="0.25">
      <c r="B1231" s="17" t="s">
        <v>1062</v>
      </c>
      <c r="C1231" s="16"/>
      <c r="K1231" s="25"/>
      <c r="L1231" s="25"/>
      <c r="M1231" s="25"/>
      <c r="O1231" s="22"/>
    </row>
    <row r="1232" spans="2:15" x14ac:dyDescent="0.25">
      <c r="B1232" s="17" t="s">
        <v>1011</v>
      </c>
      <c r="C1232" s="16"/>
      <c r="K1232" s="25"/>
      <c r="L1232" s="25"/>
      <c r="M1232" s="25"/>
      <c r="O1232" s="22"/>
    </row>
    <row r="1233" spans="2:15" x14ac:dyDescent="0.25">
      <c r="B1233" s="17" t="s">
        <v>993</v>
      </c>
      <c r="C1233" s="16"/>
      <c r="K1233" s="25"/>
      <c r="L1233" s="25"/>
      <c r="M1233" s="25"/>
      <c r="O1233" s="22"/>
    </row>
    <row r="1234" spans="2:15" x14ac:dyDescent="0.25">
      <c r="B1234" s="17" t="s">
        <v>1491</v>
      </c>
      <c r="C1234" s="16"/>
      <c r="K1234" s="25"/>
      <c r="L1234" s="25"/>
      <c r="M1234" s="25"/>
      <c r="O1234" s="22"/>
    </row>
    <row r="1235" spans="2:15" x14ac:dyDescent="0.25">
      <c r="B1235" s="17" t="s">
        <v>1565</v>
      </c>
      <c r="C1235" s="16"/>
      <c r="K1235" s="25"/>
      <c r="L1235" s="25"/>
      <c r="M1235" s="25"/>
      <c r="O1235" s="22"/>
    </row>
    <row r="1236" spans="2:15" x14ac:dyDescent="0.25">
      <c r="B1236" s="17" t="s">
        <v>1037</v>
      </c>
      <c r="C1236" s="16"/>
      <c r="K1236" s="25"/>
      <c r="L1236" s="25"/>
      <c r="M1236" s="25"/>
      <c r="O1236" s="22"/>
    </row>
    <row r="1237" spans="2:15" x14ac:dyDescent="0.25">
      <c r="B1237" s="17" t="s">
        <v>1170</v>
      </c>
      <c r="C1237" s="16"/>
      <c r="K1237" s="25"/>
      <c r="L1237" s="25"/>
      <c r="M1237" s="25"/>
      <c r="O1237" s="22"/>
    </row>
    <row r="1238" spans="2:15" x14ac:dyDescent="0.25">
      <c r="B1238" s="17" t="s">
        <v>1277</v>
      </c>
      <c r="C1238" s="16"/>
      <c r="K1238" s="25"/>
      <c r="L1238" s="25"/>
      <c r="M1238" s="25"/>
      <c r="O1238" s="22"/>
    </row>
    <row r="1239" spans="2:15" x14ac:dyDescent="0.25">
      <c r="B1239" s="17" t="s">
        <v>446</v>
      </c>
      <c r="C1239" s="16"/>
      <c r="K1239" s="25"/>
      <c r="L1239" s="25"/>
      <c r="M1239" s="25"/>
      <c r="O1239" s="22"/>
    </row>
    <row r="1240" spans="2:15" x14ac:dyDescent="0.25">
      <c r="B1240" s="17" t="s">
        <v>1051</v>
      </c>
      <c r="C1240" s="16"/>
      <c r="K1240" s="25"/>
      <c r="L1240" s="25"/>
      <c r="M1240" s="25"/>
      <c r="O1240" s="22"/>
    </row>
    <row r="1241" spans="2:15" x14ac:dyDescent="0.25">
      <c r="B1241" s="17" t="s">
        <v>1511</v>
      </c>
      <c r="C1241" s="16"/>
      <c r="K1241" s="25"/>
      <c r="L1241" s="25"/>
      <c r="M1241" s="25"/>
      <c r="O1241" s="22"/>
    </row>
    <row r="1242" spans="2:15" x14ac:dyDescent="0.25">
      <c r="B1242" s="17" t="s">
        <v>1072</v>
      </c>
      <c r="C1242" s="16"/>
      <c r="K1242" s="25"/>
      <c r="L1242" s="25"/>
      <c r="M1242" s="25"/>
      <c r="O1242" s="22"/>
    </row>
    <row r="1243" spans="2:15" x14ac:dyDescent="0.25">
      <c r="B1243" s="17" t="s">
        <v>1355</v>
      </c>
      <c r="C1243" s="16"/>
      <c r="K1243" s="25"/>
      <c r="L1243" s="25"/>
      <c r="M1243" s="25"/>
      <c r="O1243" s="22"/>
    </row>
    <row r="1244" spans="2:15" x14ac:dyDescent="0.25">
      <c r="B1244" s="17" t="s">
        <v>1239</v>
      </c>
      <c r="C1244" s="16"/>
      <c r="K1244" s="25"/>
      <c r="L1244" s="25"/>
      <c r="M1244" s="25"/>
      <c r="O1244" s="22"/>
    </row>
    <row r="1245" spans="2:15" x14ac:dyDescent="0.25">
      <c r="B1245" s="17" t="s">
        <v>1362</v>
      </c>
      <c r="C1245" s="16"/>
      <c r="K1245" s="25"/>
      <c r="L1245" s="25"/>
      <c r="M1245" s="25"/>
      <c r="O1245" s="22"/>
    </row>
    <row r="1246" spans="2:15" x14ac:dyDescent="0.25">
      <c r="B1246" s="17" t="s">
        <v>1321</v>
      </c>
      <c r="C1246" s="16"/>
      <c r="K1246" s="25"/>
      <c r="L1246" s="25"/>
      <c r="M1246" s="25"/>
      <c r="O1246" s="22"/>
    </row>
    <row r="1247" spans="2:15" x14ac:dyDescent="0.25">
      <c r="B1247" s="17" t="s">
        <v>1564</v>
      </c>
      <c r="C1247" s="16"/>
      <c r="K1247" s="25"/>
      <c r="L1247" s="25"/>
      <c r="M1247" s="25"/>
      <c r="O1247" s="22"/>
    </row>
    <row r="1248" spans="2:15" x14ac:dyDescent="0.25">
      <c r="B1248" s="17" t="s">
        <v>1242</v>
      </c>
      <c r="C1248" s="16"/>
      <c r="K1248" s="25"/>
      <c r="L1248" s="25"/>
      <c r="M1248" s="25"/>
      <c r="O1248" s="22"/>
    </row>
    <row r="1249" spans="2:15" x14ac:dyDescent="0.25">
      <c r="B1249" s="17" t="s">
        <v>1189</v>
      </c>
      <c r="C1249" s="16"/>
      <c r="K1249" s="25"/>
      <c r="L1249" s="25"/>
      <c r="M1249" s="25"/>
      <c r="O1249" s="22"/>
    </row>
    <row r="1250" spans="2:15" x14ac:dyDescent="0.25">
      <c r="B1250" s="17" t="s">
        <v>956</v>
      </c>
      <c r="C1250" s="16"/>
      <c r="K1250" s="25"/>
      <c r="L1250" s="25"/>
      <c r="M1250" s="25"/>
      <c r="O1250" s="22"/>
    </row>
    <row r="1251" spans="2:15" x14ac:dyDescent="0.25">
      <c r="B1251" s="17" t="s">
        <v>1275</v>
      </c>
      <c r="C1251" s="16"/>
      <c r="K1251" s="25"/>
      <c r="L1251" s="25"/>
      <c r="M1251" s="25"/>
      <c r="O1251" s="22"/>
    </row>
    <row r="1252" spans="2:15" x14ac:dyDescent="0.25">
      <c r="B1252" s="17" t="s">
        <v>963</v>
      </c>
      <c r="C1252" s="16"/>
      <c r="K1252" s="25"/>
      <c r="L1252" s="25"/>
      <c r="M1252" s="25"/>
      <c r="O1252" s="22"/>
    </row>
    <row r="1253" spans="2:15" x14ac:dyDescent="0.25">
      <c r="B1253" s="17" t="s">
        <v>1384</v>
      </c>
      <c r="C1253" s="16"/>
      <c r="K1253" s="25"/>
      <c r="L1253" s="25"/>
      <c r="M1253" s="25"/>
      <c r="O1253" s="22"/>
    </row>
    <row r="1254" spans="2:15" x14ac:dyDescent="0.25">
      <c r="B1254" s="17" t="s">
        <v>1220</v>
      </c>
      <c r="C1254" s="16"/>
      <c r="K1254" s="25"/>
      <c r="L1254" s="25"/>
      <c r="M1254" s="25"/>
      <c r="O1254" s="22"/>
    </row>
    <row r="1255" spans="2:15" x14ac:dyDescent="0.25">
      <c r="B1255" s="17" t="s">
        <v>1387</v>
      </c>
      <c r="C1255" s="16"/>
      <c r="K1255" s="25"/>
      <c r="L1255" s="25"/>
      <c r="M1255" s="25"/>
      <c r="O1255" s="22"/>
    </row>
    <row r="1256" spans="2:15" x14ac:dyDescent="0.25">
      <c r="B1256" s="17" t="s">
        <v>983</v>
      </c>
      <c r="C1256" s="16"/>
      <c r="K1256" s="25"/>
      <c r="L1256" s="25"/>
      <c r="M1256" s="25"/>
      <c r="O1256" s="22"/>
    </row>
    <row r="1257" spans="2:15" x14ac:dyDescent="0.25">
      <c r="B1257" s="17" t="s">
        <v>1075</v>
      </c>
      <c r="C1257" s="16"/>
      <c r="K1257" s="25"/>
      <c r="L1257" s="25"/>
      <c r="M1257" s="25"/>
      <c r="O1257" s="22"/>
    </row>
    <row r="1258" spans="2:15" x14ac:dyDescent="0.25">
      <c r="B1258" s="17" t="s">
        <v>1501</v>
      </c>
      <c r="C1258" s="16"/>
      <c r="K1258" s="25"/>
      <c r="L1258" s="25"/>
      <c r="M1258" s="25"/>
      <c r="O1258" s="22"/>
    </row>
    <row r="1259" spans="2:15" x14ac:dyDescent="0.25">
      <c r="B1259" s="17" t="s">
        <v>992</v>
      </c>
      <c r="C1259" s="16"/>
      <c r="K1259" s="25"/>
      <c r="L1259" s="25"/>
      <c r="M1259" s="25"/>
      <c r="O1259" s="22"/>
    </row>
    <row r="1260" spans="2:15" x14ac:dyDescent="0.25">
      <c r="B1260" s="17" t="s">
        <v>1381</v>
      </c>
      <c r="C1260" s="16"/>
      <c r="K1260" s="25"/>
      <c r="L1260" s="25"/>
      <c r="M1260" s="25"/>
      <c r="O1260" s="22"/>
    </row>
    <row r="1261" spans="2:15" x14ac:dyDescent="0.25">
      <c r="B1261" s="17" t="s">
        <v>1076</v>
      </c>
      <c r="C1261" s="16"/>
      <c r="K1261" s="25"/>
      <c r="L1261" s="25"/>
      <c r="M1261" s="25"/>
      <c r="O1261" s="22"/>
    </row>
    <row r="1262" spans="2:15" x14ac:dyDescent="0.25">
      <c r="B1262" s="17" t="s">
        <v>1052</v>
      </c>
      <c r="C1262" s="16"/>
      <c r="K1262" s="25"/>
      <c r="L1262" s="25"/>
      <c r="M1262" s="25"/>
      <c r="O1262" s="22"/>
    </row>
    <row r="1263" spans="2:15" x14ac:dyDescent="0.25">
      <c r="B1263" s="17" t="s">
        <v>1126</v>
      </c>
      <c r="C1263" s="16"/>
      <c r="K1263" s="25"/>
      <c r="L1263" s="25"/>
      <c r="M1263" s="25"/>
      <c r="O1263" s="22"/>
    </row>
    <row r="1264" spans="2:15" x14ac:dyDescent="0.25">
      <c r="B1264" s="17" t="s">
        <v>1017</v>
      </c>
      <c r="C1264" s="16"/>
      <c r="K1264" s="25"/>
      <c r="L1264" s="25"/>
      <c r="M1264" s="25"/>
      <c r="O1264" s="22"/>
    </row>
    <row r="1265" spans="2:15" x14ac:dyDescent="0.25">
      <c r="B1265" s="17" t="s">
        <v>1091</v>
      </c>
      <c r="C1265" s="16"/>
      <c r="K1265" s="25"/>
      <c r="L1265" s="25"/>
      <c r="M1265" s="25"/>
      <c r="O1265" s="22"/>
    </row>
    <row r="1266" spans="2:15" x14ac:dyDescent="0.25">
      <c r="B1266" s="17" t="s">
        <v>1372</v>
      </c>
      <c r="C1266" s="16"/>
      <c r="K1266" s="25"/>
      <c r="L1266" s="25"/>
      <c r="M1266" s="25"/>
      <c r="O1266" s="22"/>
    </row>
    <row r="1267" spans="2:15" x14ac:dyDescent="0.25">
      <c r="B1267" s="17" t="s">
        <v>1094</v>
      </c>
      <c r="C1267" s="16"/>
      <c r="K1267" s="25"/>
      <c r="L1267" s="25"/>
      <c r="M1267" s="25"/>
      <c r="O1267" s="22"/>
    </row>
    <row r="1268" spans="2:15" x14ac:dyDescent="0.25">
      <c r="B1268" s="17" t="s">
        <v>597</v>
      </c>
      <c r="C1268" s="16"/>
      <c r="K1268" s="25"/>
      <c r="L1268" s="25"/>
      <c r="M1268" s="25"/>
      <c r="O1268" s="22"/>
    </row>
    <row r="1269" spans="2:15" x14ac:dyDescent="0.25">
      <c r="B1269" s="17" t="s">
        <v>1000</v>
      </c>
      <c r="C1269" s="16"/>
      <c r="K1269" s="25"/>
      <c r="L1269" s="25"/>
      <c r="M1269" s="25"/>
      <c r="O1269" s="22"/>
    </row>
    <row r="1270" spans="2:15" x14ac:dyDescent="0.25">
      <c r="B1270" s="17" t="s">
        <v>1380</v>
      </c>
      <c r="C1270" s="16"/>
      <c r="K1270" s="25"/>
      <c r="L1270" s="25"/>
      <c r="M1270" s="25"/>
      <c r="O1270" s="22"/>
    </row>
    <row r="1271" spans="2:15" x14ac:dyDescent="0.25">
      <c r="B1271" s="17" t="s">
        <v>1111</v>
      </c>
      <c r="C1271" s="16"/>
      <c r="K1271" s="25"/>
      <c r="L1271" s="25"/>
      <c r="M1271" s="25"/>
      <c r="O1271" s="22"/>
    </row>
    <row r="1272" spans="2:15" x14ac:dyDescent="0.25">
      <c r="B1272" s="17" t="s">
        <v>1014</v>
      </c>
      <c r="C1272" s="16"/>
      <c r="K1272" s="25"/>
      <c r="L1272" s="25"/>
      <c r="M1272" s="25"/>
      <c r="O1272" s="22"/>
    </row>
    <row r="1273" spans="2:15" x14ac:dyDescent="0.25">
      <c r="B1273" s="17" t="s">
        <v>1198</v>
      </c>
      <c r="C1273" s="16"/>
      <c r="K1273" s="25"/>
      <c r="L1273" s="25"/>
      <c r="M1273" s="25"/>
      <c r="O1273" s="22"/>
    </row>
    <row r="1274" spans="2:15" x14ac:dyDescent="0.25">
      <c r="B1274" s="17" t="s">
        <v>1028</v>
      </c>
      <c r="C1274" s="16"/>
      <c r="K1274" s="25"/>
      <c r="L1274" s="25"/>
      <c r="M1274" s="25"/>
      <c r="O1274" s="22"/>
    </row>
    <row r="1275" spans="2:15" x14ac:dyDescent="0.25">
      <c r="B1275" s="17" t="s">
        <v>1269</v>
      </c>
      <c r="C1275" s="16"/>
      <c r="K1275" s="25"/>
      <c r="L1275" s="25"/>
      <c r="M1275" s="25"/>
      <c r="O1275" s="22"/>
    </row>
    <row r="1276" spans="2:15" x14ac:dyDescent="0.25">
      <c r="B1276" s="17" t="s">
        <v>1142</v>
      </c>
      <c r="C1276" s="16"/>
      <c r="K1276" s="25"/>
      <c r="L1276" s="25"/>
      <c r="M1276" s="25"/>
      <c r="O1276" s="22"/>
    </row>
    <row r="1277" spans="2:15" x14ac:dyDescent="0.25">
      <c r="B1277" s="17" t="s">
        <v>1186</v>
      </c>
      <c r="C1277" s="16"/>
      <c r="K1277" s="25"/>
      <c r="L1277" s="25"/>
      <c r="M1277" s="25"/>
      <c r="O1277" s="22"/>
    </row>
    <row r="1278" spans="2:15" x14ac:dyDescent="0.25">
      <c r="B1278" s="17" t="s">
        <v>1033</v>
      </c>
      <c r="C1278" s="16"/>
      <c r="K1278" s="25"/>
      <c r="L1278" s="25"/>
      <c r="M1278" s="25"/>
      <c r="O1278" s="22"/>
    </row>
    <row r="1279" spans="2:15" x14ac:dyDescent="0.25">
      <c r="B1279" s="17" t="s">
        <v>1054</v>
      </c>
      <c r="C1279" s="16"/>
      <c r="K1279" s="25"/>
      <c r="L1279" s="25"/>
      <c r="M1279" s="25"/>
      <c r="O1279" s="22"/>
    </row>
    <row r="1280" spans="2:15" x14ac:dyDescent="0.25">
      <c r="B1280" s="17" t="s">
        <v>1022</v>
      </c>
      <c r="C1280" s="16"/>
      <c r="K1280" s="25"/>
      <c r="L1280" s="25"/>
      <c r="M1280" s="25"/>
      <c r="O1280" s="22"/>
    </row>
    <row r="1281" spans="2:15" x14ac:dyDescent="0.25">
      <c r="B1281" s="17" t="s">
        <v>984</v>
      </c>
      <c r="C1281" s="16"/>
      <c r="K1281" s="25"/>
      <c r="L1281" s="25"/>
      <c r="M1281" s="25"/>
      <c r="O1281" s="22"/>
    </row>
    <row r="1282" spans="2:15" x14ac:dyDescent="0.25">
      <c r="B1282" s="17" t="s">
        <v>985</v>
      </c>
      <c r="C1282" s="16"/>
      <c r="K1282" s="25"/>
      <c r="L1282" s="25"/>
      <c r="M1282" s="25"/>
      <c r="O1282" s="22"/>
    </row>
    <row r="1283" spans="2:15" x14ac:dyDescent="0.25">
      <c r="B1283" s="17" t="s">
        <v>1027</v>
      </c>
      <c r="C1283" s="16"/>
      <c r="K1283" s="25"/>
      <c r="L1283" s="25"/>
      <c r="M1283" s="25"/>
      <c r="O1283" s="22"/>
    </row>
    <row r="1284" spans="2:15" x14ac:dyDescent="0.25">
      <c r="B1284" s="17" t="s">
        <v>1282</v>
      </c>
      <c r="C1284" s="16"/>
      <c r="K1284" s="25"/>
      <c r="L1284" s="25"/>
      <c r="M1284" s="25"/>
      <c r="O1284" s="22"/>
    </row>
    <row r="1285" spans="2:15" x14ac:dyDescent="0.25">
      <c r="B1285" s="17" t="s">
        <v>1074</v>
      </c>
      <c r="C1285" s="16"/>
      <c r="K1285" s="25"/>
      <c r="L1285" s="25"/>
      <c r="M1285" s="25"/>
      <c r="O1285" s="22"/>
    </row>
    <row r="1286" spans="2:15" x14ac:dyDescent="0.25">
      <c r="B1286" s="17" t="s">
        <v>942</v>
      </c>
      <c r="C1286" s="16"/>
      <c r="K1286" s="25"/>
      <c r="L1286" s="25"/>
      <c r="M1286" s="25"/>
      <c r="O1286" s="22"/>
    </row>
    <row r="1287" spans="2:15" x14ac:dyDescent="0.25">
      <c r="B1287" s="17" t="s">
        <v>1053</v>
      </c>
      <c r="C1287" s="16"/>
      <c r="K1287" s="25"/>
      <c r="L1287" s="25"/>
      <c r="M1287" s="25"/>
      <c r="O1287" s="22"/>
    </row>
    <row r="1288" spans="2:15" x14ac:dyDescent="0.25">
      <c r="B1288" s="17" t="s">
        <v>1025</v>
      </c>
      <c r="C1288" s="16"/>
      <c r="K1288" s="25"/>
      <c r="L1288" s="25"/>
      <c r="M1288" s="25"/>
      <c r="O1288" s="22"/>
    </row>
    <row r="1289" spans="2:15" x14ac:dyDescent="0.25">
      <c r="B1289" s="17" t="s">
        <v>1040</v>
      </c>
      <c r="C1289" s="16"/>
      <c r="K1289" s="25"/>
      <c r="L1289" s="25"/>
      <c r="M1289" s="25"/>
      <c r="O1289" s="22"/>
    </row>
    <row r="1290" spans="2:15" x14ac:dyDescent="0.25">
      <c r="B1290" s="17" t="s">
        <v>1035</v>
      </c>
      <c r="C1290" s="16"/>
      <c r="K1290" s="25"/>
      <c r="L1290" s="25"/>
      <c r="M1290" s="25"/>
      <c r="O1290" s="22"/>
    </row>
    <row r="1291" spans="2:15" x14ac:dyDescent="0.25">
      <c r="B1291" s="17" t="s">
        <v>1060</v>
      </c>
      <c r="C1291" s="16"/>
      <c r="K1291" s="25"/>
      <c r="L1291" s="25"/>
      <c r="M1291" s="25"/>
      <c r="O1291" s="22"/>
    </row>
    <row r="1292" spans="2:15" x14ac:dyDescent="0.25">
      <c r="B1292" s="17" t="s">
        <v>1096</v>
      </c>
      <c r="C1292" s="16"/>
      <c r="K1292" s="25"/>
      <c r="L1292" s="25"/>
      <c r="M1292" s="25"/>
      <c r="O1292" s="22"/>
    </row>
    <row r="1293" spans="2:15" x14ac:dyDescent="0.25">
      <c r="B1293" s="17" t="s">
        <v>977</v>
      </c>
      <c r="C1293" s="16"/>
      <c r="K1293" s="25"/>
      <c r="L1293" s="25"/>
      <c r="M1293" s="25"/>
      <c r="O1293" s="22"/>
    </row>
    <row r="1294" spans="2:15" x14ac:dyDescent="0.25">
      <c r="B1294" s="17" t="s">
        <v>953</v>
      </c>
      <c r="C1294" s="16"/>
      <c r="K1294" s="25"/>
      <c r="L1294" s="25"/>
      <c r="M1294" s="25"/>
      <c r="O1294" s="22"/>
    </row>
    <row r="1295" spans="2:15" x14ac:dyDescent="0.25">
      <c r="B1295" s="17" t="s">
        <v>1369</v>
      </c>
      <c r="C1295" s="16"/>
      <c r="K1295" s="25"/>
      <c r="L1295" s="25"/>
      <c r="M1295" s="25"/>
      <c r="O1295" s="22"/>
    </row>
    <row r="1296" spans="2:15" x14ac:dyDescent="0.25">
      <c r="B1296" s="17" t="s">
        <v>1103</v>
      </c>
      <c r="C1296" s="16"/>
      <c r="K1296" s="25"/>
      <c r="L1296" s="25"/>
      <c r="M1296" s="25"/>
      <c r="O1296" s="22"/>
    </row>
    <row r="1297" spans="2:15" x14ac:dyDescent="0.25">
      <c r="B1297" s="17" t="s">
        <v>1095</v>
      </c>
      <c r="C1297" s="16"/>
      <c r="K1297" s="25"/>
      <c r="L1297" s="25"/>
      <c r="M1297" s="25"/>
      <c r="O1297" s="22"/>
    </row>
    <row r="1298" spans="2:15" x14ac:dyDescent="0.25">
      <c r="B1298" s="17" t="s">
        <v>1048</v>
      </c>
      <c r="C1298" s="16"/>
      <c r="K1298" s="25"/>
      <c r="L1298" s="25"/>
      <c r="M1298" s="25"/>
      <c r="O1298" s="22"/>
    </row>
    <row r="1299" spans="2:15" x14ac:dyDescent="0.25">
      <c r="B1299" s="17" t="s">
        <v>1312</v>
      </c>
      <c r="C1299" s="16"/>
      <c r="K1299" s="25"/>
      <c r="L1299" s="25"/>
      <c r="M1299" s="25"/>
      <c r="O1299" s="22"/>
    </row>
    <row r="1300" spans="2:15" x14ac:dyDescent="0.25">
      <c r="B1300" s="17" t="s">
        <v>1361</v>
      </c>
      <c r="C1300" s="16"/>
      <c r="K1300" s="25"/>
      <c r="L1300" s="25"/>
      <c r="M1300" s="25"/>
      <c r="O1300" s="22"/>
    </row>
    <row r="1301" spans="2:15" x14ac:dyDescent="0.25">
      <c r="B1301" s="17" t="s">
        <v>1304</v>
      </c>
      <c r="C1301" s="16"/>
      <c r="K1301" s="25"/>
      <c r="L1301" s="25"/>
      <c r="M1301" s="25"/>
      <c r="O1301" s="22"/>
    </row>
    <row r="1302" spans="2:15" x14ac:dyDescent="0.25">
      <c r="B1302" s="17" t="s">
        <v>1467</v>
      </c>
      <c r="C1302" s="16"/>
      <c r="K1302" s="25"/>
      <c r="L1302" s="25"/>
      <c r="M1302" s="25"/>
      <c r="O1302" s="22"/>
    </row>
    <row r="1303" spans="2:15" x14ac:dyDescent="0.25">
      <c r="B1303" s="17" t="s">
        <v>1493</v>
      </c>
      <c r="C1303" s="16"/>
      <c r="K1303" s="25"/>
      <c r="L1303" s="25"/>
      <c r="M1303" s="25"/>
      <c r="O1303" s="22"/>
    </row>
    <row r="1304" spans="2:15" x14ac:dyDescent="0.25">
      <c r="B1304" s="17" t="s">
        <v>1078</v>
      </c>
      <c r="C1304" s="16"/>
      <c r="K1304" s="25"/>
      <c r="L1304" s="25"/>
      <c r="M1304" s="25"/>
      <c r="O1304" s="22"/>
    </row>
    <row r="1305" spans="2:15" x14ac:dyDescent="0.25">
      <c r="B1305" s="17" t="s">
        <v>1018</v>
      </c>
      <c r="C1305" s="16"/>
      <c r="K1305" s="25"/>
      <c r="L1305" s="25"/>
      <c r="M1305" s="25"/>
      <c r="O1305" s="22"/>
    </row>
    <row r="1306" spans="2:15" x14ac:dyDescent="0.25">
      <c r="B1306" s="17" t="s">
        <v>1390</v>
      </c>
      <c r="C1306" s="16"/>
      <c r="K1306" s="25"/>
      <c r="L1306" s="25"/>
      <c r="M1306" s="25"/>
      <c r="O1306" s="22"/>
    </row>
    <row r="1307" spans="2:15" x14ac:dyDescent="0.25">
      <c r="B1307" s="17" t="s">
        <v>1296</v>
      </c>
      <c r="C1307" s="16"/>
      <c r="K1307" s="25"/>
      <c r="L1307" s="25"/>
      <c r="M1307" s="25"/>
      <c r="O1307" s="22"/>
    </row>
    <row r="1308" spans="2:15" x14ac:dyDescent="0.25">
      <c r="B1308" s="17" t="s">
        <v>1371</v>
      </c>
      <c r="C1308" s="16"/>
      <c r="K1308" s="25"/>
      <c r="L1308" s="25"/>
      <c r="M1308" s="25"/>
      <c r="O1308" s="22"/>
    </row>
    <row r="1309" spans="2:15" x14ac:dyDescent="0.25">
      <c r="B1309" s="17" t="s">
        <v>967</v>
      </c>
      <c r="C1309" s="16"/>
      <c r="K1309" s="25"/>
      <c r="L1309" s="25"/>
      <c r="M1309" s="25"/>
      <c r="O1309" s="22"/>
    </row>
    <row r="1310" spans="2:15" x14ac:dyDescent="0.25">
      <c r="B1310" s="17" t="s">
        <v>1386</v>
      </c>
      <c r="C1310" s="16"/>
      <c r="K1310" s="25"/>
      <c r="L1310" s="25"/>
      <c r="M1310" s="25"/>
      <c r="O1310" s="22"/>
    </row>
    <row r="1311" spans="2:15" x14ac:dyDescent="0.25">
      <c r="B1311" s="17" t="s">
        <v>928</v>
      </c>
      <c r="C1311" s="16"/>
      <c r="K1311" s="25"/>
      <c r="L1311" s="25"/>
      <c r="M1311" s="25"/>
      <c r="O1311" s="22"/>
    </row>
    <row r="1312" spans="2:15" x14ac:dyDescent="0.25">
      <c r="B1312" s="17" t="s">
        <v>1071</v>
      </c>
      <c r="C1312" s="16"/>
      <c r="K1312" s="25"/>
      <c r="L1312" s="25"/>
      <c r="M1312" s="25"/>
      <c r="O1312" s="22"/>
    </row>
    <row r="1313" spans="2:15" x14ac:dyDescent="0.25">
      <c r="B1313" s="17" t="s">
        <v>998</v>
      </c>
      <c r="C1313" s="16"/>
      <c r="K1313" s="25"/>
      <c r="L1313" s="25"/>
      <c r="M1313" s="25"/>
      <c r="O1313" s="22"/>
    </row>
    <row r="1314" spans="2:15" x14ac:dyDescent="0.25">
      <c r="B1314" s="17" t="s">
        <v>962</v>
      </c>
      <c r="C1314" s="16"/>
      <c r="K1314" s="25"/>
      <c r="L1314" s="25"/>
      <c r="M1314" s="25"/>
      <c r="O1314" s="22"/>
    </row>
    <row r="1315" spans="2:15" x14ac:dyDescent="0.25">
      <c r="B1315" s="17" t="s">
        <v>1116</v>
      </c>
      <c r="C1315" s="16"/>
      <c r="K1315" s="25"/>
      <c r="L1315" s="25"/>
      <c r="M1315" s="25"/>
      <c r="O1315" s="22"/>
    </row>
    <row r="1316" spans="2:15" x14ac:dyDescent="0.25">
      <c r="B1316" s="17" t="s">
        <v>1108</v>
      </c>
      <c r="C1316" s="16"/>
      <c r="K1316" s="25"/>
      <c r="L1316" s="25"/>
      <c r="M1316" s="25"/>
      <c r="O1316" s="22"/>
    </row>
    <row r="1317" spans="2:15" x14ac:dyDescent="0.25">
      <c r="B1317" s="17" t="s">
        <v>1043</v>
      </c>
      <c r="C1317" s="16"/>
      <c r="K1317" s="25"/>
      <c r="L1317" s="25"/>
      <c r="M1317" s="25"/>
      <c r="O1317" s="22"/>
    </row>
    <row r="1318" spans="2:15" x14ac:dyDescent="0.25">
      <c r="B1318" s="17" t="s">
        <v>1396</v>
      </c>
      <c r="C1318" s="16"/>
      <c r="K1318" s="25"/>
      <c r="L1318" s="25"/>
      <c r="M1318" s="25"/>
      <c r="O1318" s="22"/>
    </row>
    <row r="1319" spans="2:15" x14ac:dyDescent="0.25">
      <c r="B1319" s="17" t="s">
        <v>1085</v>
      </c>
      <c r="C1319" s="16"/>
      <c r="K1319" s="25"/>
      <c r="L1319" s="25"/>
      <c r="M1319" s="25"/>
      <c r="O1319" s="22"/>
    </row>
    <row r="1320" spans="2:15" x14ac:dyDescent="0.25">
      <c r="B1320" s="17" t="s">
        <v>1099</v>
      </c>
      <c r="C1320" s="16"/>
      <c r="K1320" s="25"/>
      <c r="L1320" s="25"/>
      <c r="M1320" s="25"/>
      <c r="O1320" s="22"/>
    </row>
    <row r="1321" spans="2:15" x14ac:dyDescent="0.25">
      <c r="B1321" s="17" t="s">
        <v>1635</v>
      </c>
      <c r="C1321" s="16"/>
      <c r="K1321" s="25"/>
      <c r="L1321" s="25"/>
      <c r="M1321" s="25"/>
      <c r="O1321" s="22"/>
    </row>
    <row r="1322" spans="2:15" x14ac:dyDescent="0.25">
      <c r="B1322" s="17" t="s">
        <v>943</v>
      </c>
      <c r="C1322" s="16"/>
      <c r="K1322" s="25"/>
      <c r="L1322" s="25"/>
      <c r="M1322" s="25"/>
      <c r="O1322" s="22"/>
    </row>
    <row r="1323" spans="2:15" x14ac:dyDescent="0.25">
      <c r="B1323" s="17" t="s">
        <v>1026</v>
      </c>
      <c r="C1323" s="16"/>
      <c r="K1323" s="25"/>
      <c r="L1323" s="25"/>
      <c r="M1323" s="25"/>
      <c r="O1323" s="22"/>
    </row>
    <row r="1324" spans="2:15" x14ac:dyDescent="0.25">
      <c r="B1324" s="17" t="s">
        <v>988</v>
      </c>
      <c r="C1324" s="16"/>
      <c r="K1324" s="25"/>
      <c r="L1324" s="25"/>
      <c r="M1324" s="25"/>
      <c r="O1324" s="22"/>
    </row>
    <row r="1325" spans="2:15" x14ac:dyDescent="0.25">
      <c r="B1325" s="17" t="s">
        <v>1008</v>
      </c>
      <c r="C1325" s="16"/>
      <c r="K1325" s="25"/>
      <c r="L1325" s="25"/>
      <c r="M1325" s="25"/>
      <c r="O1325" s="22"/>
    </row>
    <row r="1326" spans="2:15" x14ac:dyDescent="0.25">
      <c r="B1326" s="17" t="s">
        <v>1500</v>
      </c>
      <c r="C1326" s="16"/>
      <c r="K1326" s="25"/>
      <c r="L1326" s="25"/>
      <c r="M1326" s="25"/>
      <c r="O1326" s="22"/>
    </row>
    <row r="1327" spans="2:15" x14ac:dyDescent="0.25">
      <c r="B1327" s="17" t="s">
        <v>1064</v>
      </c>
      <c r="C1327" s="16"/>
      <c r="K1327" s="25"/>
      <c r="L1327" s="25"/>
      <c r="M1327" s="25"/>
      <c r="O1327" s="22"/>
    </row>
    <row r="1328" spans="2:15" x14ac:dyDescent="0.25">
      <c r="B1328" s="17" t="s">
        <v>1019</v>
      </c>
      <c r="C1328" s="16"/>
      <c r="K1328" s="25"/>
      <c r="L1328" s="25"/>
      <c r="M1328" s="25"/>
      <c r="O1328" s="22"/>
    </row>
    <row r="1329" spans="2:15" x14ac:dyDescent="0.25">
      <c r="B1329" s="17" t="s">
        <v>1047</v>
      </c>
      <c r="C1329" s="16"/>
      <c r="K1329" s="25"/>
      <c r="L1329" s="25"/>
      <c r="M1329" s="25"/>
      <c r="O1329" s="22"/>
    </row>
    <row r="1330" spans="2:15" x14ac:dyDescent="0.25">
      <c r="B1330" s="17" t="s">
        <v>1021</v>
      </c>
      <c r="C1330" s="16"/>
      <c r="K1330" s="25"/>
      <c r="L1330" s="25"/>
      <c r="M1330" s="25"/>
      <c r="O1330" s="22"/>
    </row>
    <row r="1331" spans="2:15" x14ac:dyDescent="0.25">
      <c r="B1331" s="17" t="s">
        <v>1055</v>
      </c>
      <c r="C1331" s="16"/>
      <c r="K1331" s="25"/>
      <c r="L1331" s="25"/>
      <c r="M1331" s="25"/>
      <c r="O1331" s="22"/>
    </row>
    <row r="1332" spans="2:15" x14ac:dyDescent="0.25">
      <c r="B1332" s="17" t="s">
        <v>1058</v>
      </c>
      <c r="C1332" s="16"/>
      <c r="K1332" s="25"/>
      <c r="L1332" s="25"/>
      <c r="M1332" s="25"/>
      <c r="O1332" s="22"/>
    </row>
    <row r="1333" spans="2:15" x14ac:dyDescent="0.25">
      <c r="B1333" s="17" t="s">
        <v>1079</v>
      </c>
      <c r="C1333" s="16"/>
      <c r="K1333" s="25"/>
      <c r="L1333" s="25"/>
      <c r="M1333" s="25"/>
      <c r="O1333" s="22"/>
    </row>
    <row r="1334" spans="2:15" x14ac:dyDescent="0.25">
      <c r="B1334" s="17" t="s">
        <v>1068</v>
      </c>
      <c r="C1334" s="16"/>
      <c r="K1334" s="25"/>
      <c r="L1334" s="25"/>
      <c r="M1334" s="25"/>
      <c r="O1334" s="22"/>
    </row>
    <row r="1335" spans="2:15" x14ac:dyDescent="0.25">
      <c r="B1335" s="17" t="s">
        <v>1032</v>
      </c>
      <c r="C1335" s="16"/>
      <c r="K1335" s="25"/>
      <c r="L1335" s="25"/>
      <c r="M1335" s="25"/>
      <c r="O1335" s="22"/>
    </row>
    <row r="1336" spans="2:15" x14ac:dyDescent="0.25">
      <c r="B1336" s="17" t="s">
        <v>1070</v>
      </c>
      <c r="C1336" s="16"/>
      <c r="K1336" s="25"/>
      <c r="L1336" s="25"/>
      <c r="M1336" s="25"/>
      <c r="O1336" s="22"/>
    </row>
    <row r="1337" spans="2:15" x14ac:dyDescent="0.25">
      <c r="B1337" s="17" t="s">
        <v>954</v>
      </c>
      <c r="C1337" s="16"/>
      <c r="K1337" s="25"/>
      <c r="L1337" s="25"/>
      <c r="M1337" s="25"/>
      <c r="O1337" s="22"/>
    </row>
    <row r="1338" spans="2:15" x14ac:dyDescent="0.25">
      <c r="B1338" s="17" t="s">
        <v>1006</v>
      </c>
      <c r="C1338" s="16"/>
      <c r="K1338" s="25"/>
      <c r="L1338" s="25"/>
      <c r="M1338" s="25"/>
      <c r="O1338" s="22"/>
    </row>
    <row r="1339" spans="2:15" x14ac:dyDescent="0.25">
      <c r="B1339" s="17" t="s">
        <v>1059</v>
      </c>
      <c r="C1339" s="16"/>
      <c r="K1339" s="25"/>
      <c r="L1339" s="25"/>
      <c r="M1339" s="25"/>
      <c r="O1339" s="22"/>
    </row>
    <row r="1340" spans="2:15" x14ac:dyDescent="0.25">
      <c r="B1340" s="17" t="s">
        <v>1024</v>
      </c>
      <c r="C1340" s="16"/>
      <c r="K1340" s="25"/>
      <c r="L1340" s="25"/>
      <c r="M1340" s="25"/>
      <c r="O1340" s="22"/>
    </row>
    <row r="1341" spans="2:15" x14ac:dyDescent="0.25">
      <c r="B1341" s="17" t="s">
        <v>1320</v>
      </c>
      <c r="C1341" s="16"/>
      <c r="K1341" s="25"/>
      <c r="L1341" s="25"/>
      <c r="M1341" s="25"/>
      <c r="O1341" s="22"/>
    </row>
    <row r="1342" spans="2:15" x14ac:dyDescent="0.25">
      <c r="B1342" s="17" t="s">
        <v>965</v>
      </c>
      <c r="C1342" s="16"/>
      <c r="K1342" s="25"/>
      <c r="L1342" s="25"/>
      <c r="M1342" s="25"/>
      <c r="O1342" s="22"/>
    </row>
    <row r="1343" spans="2:15" x14ac:dyDescent="0.25">
      <c r="B1343" s="17" t="s">
        <v>1009</v>
      </c>
      <c r="C1343" s="16"/>
      <c r="K1343" s="25"/>
      <c r="L1343" s="25"/>
      <c r="M1343" s="25"/>
      <c r="O1343" s="22"/>
    </row>
    <row r="1344" spans="2:15" x14ac:dyDescent="0.25">
      <c r="B1344" s="17" t="s">
        <v>1092</v>
      </c>
      <c r="C1344" s="16"/>
      <c r="K1344" s="25"/>
      <c r="L1344" s="25"/>
      <c r="M1344" s="25"/>
      <c r="O1344" s="22"/>
    </row>
    <row r="1345" spans="2:15" x14ac:dyDescent="0.25">
      <c r="B1345" s="17" t="s">
        <v>1073</v>
      </c>
      <c r="C1345" s="16"/>
      <c r="K1345" s="25"/>
      <c r="L1345" s="25"/>
      <c r="M1345" s="25"/>
      <c r="O1345" s="22"/>
    </row>
    <row r="1346" spans="2:15" x14ac:dyDescent="0.25">
      <c r="B1346" s="17" t="s">
        <v>1105</v>
      </c>
      <c r="C1346" s="16"/>
      <c r="K1346" s="25"/>
      <c r="L1346" s="25"/>
      <c r="M1346" s="25"/>
      <c r="O1346" s="22"/>
    </row>
    <row r="1347" spans="2:15" x14ac:dyDescent="0.25">
      <c r="B1347" s="17" t="s">
        <v>1115</v>
      </c>
      <c r="C1347" s="16"/>
      <c r="K1347" s="25"/>
      <c r="L1347" s="25"/>
      <c r="M1347" s="25"/>
      <c r="O1347" s="22"/>
    </row>
    <row r="1348" spans="2:15" x14ac:dyDescent="0.25">
      <c r="B1348" s="17" t="s">
        <v>1298</v>
      </c>
      <c r="C1348" s="16"/>
      <c r="K1348" s="25"/>
      <c r="L1348" s="25"/>
      <c r="M1348" s="25"/>
      <c r="O1348" s="22"/>
    </row>
    <row r="1349" spans="2:15" x14ac:dyDescent="0.25">
      <c r="B1349" s="17" t="s">
        <v>996</v>
      </c>
      <c r="C1349" s="16"/>
      <c r="K1349" s="25"/>
      <c r="L1349" s="25"/>
      <c r="M1349" s="25"/>
      <c r="O1349" s="22"/>
    </row>
    <row r="1350" spans="2:15" x14ac:dyDescent="0.25">
      <c r="B1350" s="17" t="s">
        <v>1046</v>
      </c>
      <c r="C1350" s="16"/>
      <c r="K1350" s="25"/>
      <c r="L1350" s="25"/>
      <c r="M1350" s="25"/>
      <c r="O1350" s="22"/>
    </row>
    <row r="1351" spans="2:15" x14ac:dyDescent="0.25">
      <c r="B1351" s="17" t="s">
        <v>1499</v>
      </c>
      <c r="C1351" s="16"/>
      <c r="K1351" s="25"/>
      <c r="L1351" s="25"/>
      <c r="M1351" s="25"/>
      <c r="O1351" s="22"/>
    </row>
    <row r="1352" spans="2:15" x14ac:dyDescent="0.25">
      <c r="B1352" s="17" t="s">
        <v>1102</v>
      </c>
      <c r="C1352" s="16"/>
      <c r="K1352" s="25"/>
      <c r="L1352" s="25"/>
      <c r="M1352" s="25"/>
      <c r="O1352" s="22"/>
    </row>
    <row r="1353" spans="2:15" x14ac:dyDescent="0.25">
      <c r="B1353" s="17" t="s">
        <v>982</v>
      </c>
      <c r="C1353" s="16"/>
      <c r="K1353" s="25"/>
      <c r="L1353" s="25"/>
      <c r="M1353" s="25"/>
      <c r="O1353" s="22"/>
    </row>
    <row r="1354" spans="2:15" x14ac:dyDescent="0.25">
      <c r="B1354" s="17" t="s">
        <v>1266</v>
      </c>
      <c r="C1354" s="16"/>
      <c r="K1354" s="25"/>
      <c r="L1354" s="25"/>
      <c r="M1354" s="25"/>
      <c r="O1354" s="22"/>
    </row>
    <row r="1355" spans="2:15" x14ac:dyDescent="0.25">
      <c r="B1355" s="17" t="s">
        <v>1030</v>
      </c>
      <c r="C1355" s="16"/>
      <c r="K1355" s="25"/>
      <c r="L1355" s="25"/>
      <c r="M1355" s="25"/>
      <c r="O1355" s="22"/>
    </row>
    <row r="1356" spans="2:15" x14ac:dyDescent="0.25">
      <c r="B1356" s="17" t="s">
        <v>1023</v>
      </c>
      <c r="C1356" s="16"/>
      <c r="K1356" s="25"/>
      <c r="L1356" s="25"/>
      <c r="M1356" s="25"/>
      <c r="O1356" s="22"/>
    </row>
    <row r="1357" spans="2:15" x14ac:dyDescent="0.25">
      <c r="B1357" s="17" t="s">
        <v>979</v>
      </c>
      <c r="C1357" s="16"/>
      <c r="K1357" s="25"/>
      <c r="L1357" s="25"/>
      <c r="M1357" s="25"/>
      <c r="O1357" s="22"/>
    </row>
    <row r="1358" spans="2:15" x14ac:dyDescent="0.25">
      <c r="B1358" s="17" t="s">
        <v>1012</v>
      </c>
      <c r="C1358" s="16"/>
      <c r="K1358" s="25"/>
      <c r="L1358" s="25"/>
      <c r="M1358" s="25"/>
      <c r="O1358" s="22"/>
    </row>
    <row r="1359" spans="2:15" x14ac:dyDescent="0.25">
      <c r="B1359" s="17" t="s">
        <v>1164</v>
      </c>
      <c r="C1359" s="16"/>
      <c r="K1359" s="25"/>
      <c r="L1359" s="25"/>
      <c r="M1359" s="25"/>
      <c r="O1359" s="22"/>
    </row>
    <row r="1360" spans="2:15" x14ac:dyDescent="0.25">
      <c r="B1360" s="17" t="s">
        <v>1093</v>
      </c>
      <c r="C1360" s="16"/>
      <c r="K1360" s="25"/>
      <c r="L1360" s="25"/>
      <c r="M1360" s="25"/>
      <c r="O1360" s="22"/>
    </row>
    <row r="1361" spans="2:15" x14ac:dyDescent="0.25">
      <c r="B1361" s="17" t="s">
        <v>1065</v>
      </c>
      <c r="C1361" s="16"/>
      <c r="K1361" s="25"/>
      <c r="L1361" s="25"/>
      <c r="M1361" s="25"/>
      <c r="O1361" s="22"/>
    </row>
    <row r="1362" spans="2:15" x14ac:dyDescent="0.25">
      <c r="B1362" s="17" t="s">
        <v>1104</v>
      </c>
      <c r="C1362" s="16"/>
      <c r="K1362" s="25"/>
      <c r="L1362" s="25"/>
      <c r="M1362" s="25"/>
      <c r="O1362" s="22"/>
    </row>
    <row r="1363" spans="2:15" x14ac:dyDescent="0.25">
      <c r="B1363" s="17" t="s">
        <v>1109</v>
      </c>
      <c r="C1363" s="16"/>
      <c r="K1363" s="25"/>
      <c r="L1363" s="25"/>
      <c r="M1363" s="25"/>
      <c r="O1363" s="22"/>
    </row>
    <row r="1364" spans="2:15" x14ac:dyDescent="0.25">
      <c r="B1364" s="17" t="s">
        <v>1050</v>
      </c>
      <c r="C1364" s="16"/>
      <c r="K1364" s="25"/>
      <c r="L1364" s="25"/>
      <c r="M1364" s="25"/>
      <c r="O1364" s="22"/>
    </row>
    <row r="1365" spans="2:15" x14ac:dyDescent="0.25">
      <c r="B1365" s="17" t="s">
        <v>1113</v>
      </c>
      <c r="C1365" s="16"/>
      <c r="K1365" s="25"/>
      <c r="L1365" s="25"/>
      <c r="M1365" s="25"/>
      <c r="O1365" s="22"/>
    </row>
    <row r="1366" spans="2:15" x14ac:dyDescent="0.25">
      <c r="B1366" s="17" t="s">
        <v>1031</v>
      </c>
      <c r="C1366" s="16"/>
      <c r="K1366" s="25"/>
      <c r="L1366" s="25"/>
      <c r="M1366" s="25"/>
      <c r="O1366" s="22"/>
    </row>
    <row r="1367" spans="2:15" x14ac:dyDescent="0.25">
      <c r="B1367" s="17" t="s">
        <v>1100</v>
      </c>
      <c r="C1367" s="16"/>
      <c r="K1367" s="25"/>
      <c r="L1367" s="25"/>
      <c r="M1367" s="25"/>
      <c r="O1367" s="22"/>
    </row>
    <row r="1368" spans="2:15" x14ac:dyDescent="0.25">
      <c r="B1368" s="17" t="s">
        <v>1101</v>
      </c>
      <c r="C1368" s="16"/>
      <c r="K1368" s="25"/>
      <c r="L1368" s="25"/>
      <c r="M1368" s="25"/>
      <c r="O1368" s="22"/>
    </row>
    <row r="1369" spans="2:15" x14ac:dyDescent="0.25">
      <c r="B1369" s="17" t="s">
        <v>1110</v>
      </c>
      <c r="C1369" s="16"/>
      <c r="K1369" s="25"/>
      <c r="L1369" s="25"/>
      <c r="M1369" s="25"/>
      <c r="O1369" s="22"/>
    </row>
    <row r="1370" spans="2:15" x14ac:dyDescent="0.25">
      <c r="B1370" s="17" t="s">
        <v>1114</v>
      </c>
      <c r="C1370" s="16"/>
      <c r="K1370" s="25"/>
      <c r="L1370" s="25"/>
      <c r="M1370" s="25"/>
      <c r="O1370" s="22"/>
    </row>
    <row r="1371" spans="2:15" x14ac:dyDescent="0.25">
      <c r="B1371" s="17" t="s">
        <v>1106</v>
      </c>
      <c r="C1371" s="16"/>
      <c r="K1371" s="25"/>
      <c r="L1371" s="25"/>
      <c r="M1371" s="25"/>
      <c r="O1371" s="22"/>
    </row>
    <row r="1372" spans="2:15" x14ac:dyDescent="0.25">
      <c r="B1372" s="17" t="s">
        <v>1016</v>
      </c>
      <c r="C1372" s="16"/>
      <c r="K1372" s="25"/>
      <c r="L1372" s="25"/>
      <c r="M1372" s="25"/>
      <c r="O1372" s="22"/>
    </row>
    <row r="1373" spans="2:15" x14ac:dyDescent="0.25">
      <c r="B1373" s="17" t="s">
        <v>1097</v>
      </c>
      <c r="C1373" s="16"/>
      <c r="K1373" s="25"/>
      <c r="L1373" s="25"/>
      <c r="M1373" s="25"/>
      <c r="O1373" s="22"/>
    </row>
    <row r="1374" spans="2:15" x14ac:dyDescent="0.25">
      <c r="B1374" s="17" t="s">
        <v>1090</v>
      </c>
      <c r="C1374" s="16"/>
      <c r="K1374" s="25"/>
      <c r="L1374" s="25"/>
      <c r="M1374" s="25"/>
      <c r="O1374" s="22"/>
    </row>
    <row r="1375" spans="2:15" x14ac:dyDescent="0.25">
      <c r="B1375" s="17" t="s">
        <v>1086</v>
      </c>
      <c r="C1375" s="16"/>
      <c r="K1375" s="25"/>
      <c r="L1375" s="25"/>
      <c r="M1375" s="25"/>
      <c r="O1375" s="22"/>
    </row>
    <row r="1376" spans="2:15" x14ac:dyDescent="0.25">
      <c r="B1376" s="17" t="s">
        <v>1468</v>
      </c>
      <c r="C1376" s="16"/>
      <c r="K1376" s="25"/>
      <c r="L1376" s="25"/>
      <c r="M1376" s="25"/>
      <c r="O1376" s="22"/>
    </row>
    <row r="1377" spans="2:15" x14ac:dyDescent="0.25">
      <c r="B1377" s="17" t="s">
        <v>1081</v>
      </c>
      <c r="C1377" s="16"/>
      <c r="K1377" s="25"/>
      <c r="L1377" s="25"/>
      <c r="M1377" s="25"/>
      <c r="O1377" s="22"/>
    </row>
    <row r="1378" spans="2:15" x14ac:dyDescent="0.25">
      <c r="B1378" s="17" t="s">
        <v>1069</v>
      </c>
      <c r="C1378" s="16"/>
      <c r="K1378" s="25"/>
      <c r="L1378" s="25"/>
      <c r="M1378" s="25"/>
      <c r="O1378" s="22"/>
    </row>
    <row r="1379" spans="2:15" x14ac:dyDescent="0.25">
      <c r="B1379" s="17" t="s">
        <v>1082</v>
      </c>
      <c r="C1379" s="16"/>
      <c r="K1379" s="25"/>
      <c r="L1379" s="25"/>
      <c r="M1379" s="25"/>
      <c r="O1379" s="22"/>
    </row>
    <row r="1380" spans="2:15" x14ac:dyDescent="0.25">
      <c r="B1380" s="17" t="s">
        <v>1411</v>
      </c>
      <c r="C1380" s="16"/>
      <c r="K1380" s="25"/>
      <c r="L1380" s="25"/>
      <c r="M1380" s="25"/>
      <c r="O1380" s="22"/>
    </row>
    <row r="1381" spans="2:15" x14ac:dyDescent="0.25">
      <c r="B1381" s="17" t="s">
        <v>1084</v>
      </c>
      <c r="C1381" s="16"/>
      <c r="K1381" s="25"/>
      <c r="L1381" s="25"/>
      <c r="M1381" s="25"/>
      <c r="O1381" s="22"/>
    </row>
    <row r="1382" spans="2:15" x14ac:dyDescent="0.25">
      <c r="B1382" s="17" t="s">
        <v>1049</v>
      </c>
      <c r="C1382" s="16"/>
      <c r="K1382" s="25"/>
      <c r="L1382" s="25"/>
      <c r="M1382" s="25"/>
      <c r="O1382" s="22"/>
    </row>
    <row r="1383" spans="2:15" x14ac:dyDescent="0.25">
      <c r="B1383" s="17" t="s">
        <v>1080</v>
      </c>
      <c r="C1383" s="16"/>
      <c r="K1383" s="25"/>
      <c r="L1383" s="25"/>
      <c r="M1383" s="25"/>
      <c r="O1383" s="22"/>
    </row>
    <row r="1384" spans="2:15" x14ac:dyDescent="0.25">
      <c r="B1384" s="17" t="s">
        <v>1056</v>
      </c>
      <c r="C1384" s="16"/>
      <c r="K1384" s="25"/>
      <c r="L1384" s="25"/>
      <c r="M1384" s="25"/>
      <c r="O1384" s="22"/>
    </row>
    <row r="1385" spans="2:15" x14ac:dyDescent="0.25">
      <c r="B1385" s="17" t="s">
        <v>1001</v>
      </c>
      <c r="C1385" s="16"/>
      <c r="K1385" s="25"/>
      <c r="L1385" s="25"/>
      <c r="M1385" s="25"/>
      <c r="O1385" s="22"/>
    </row>
    <row r="1386" spans="2:15" x14ac:dyDescent="0.25">
      <c r="B1386" s="17" t="s">
        <v>961</v>
      </c>
      <c r="C1386" s="16"/>
      <c r="D1386" s="70"/>
      <c r="K1386" s="25"/>
      <c r="L1386" s="25"/>
      <c r="M1386" s="25"/>
      <c r="O1386" s="22"/>
    </row>
    <row r="1387" spans="2:15" x14ac:dyDescent="0.25">
      <c r="B1387" s="17" t="s">
        <v>968</v>
      </c>
      <c r="C1387" s="16"/>
      <c r="K1387" s="25"/>
      <c r="L1387" s="25"/>
      <c r="M1387" s="25"/>
      <c r="O1387" s="22"/>
    </row>
    <row r="1388" spans="2:15" x14ac:dyDescent="0.25">
      <c r="B1388" s="17" t="s">
        <v>994</v>
      </c>
      <c r="C1388" s="16"/>
      <c r="K1388" s="25"/>
      <c r="L1388" s="25"/>
      <c r="M1388" s="25"/>
      <c r="O1388" s="22"/>
    </row>
    <row r="1389" spans="2:15" x14ac:dyDescent="0.25">
      <c r="B1389" s="17" t="s">
        <v>1067</v>
      </c>
      <c r="C1389" s="16"/>
      <c r="K1389" s="25"/>
      <c r="L1389" s="25"/>
      <c r="M1389" s="25"/>
      <c r="O1389" s="22"/>
    </row>
    <row r="1390" spans="2:15" x14ac:dyDescent="0.25">
      <c r="B1390" s="17" t="s">
        <v>1029</v>
      </c>
      <c r="C1390" s="16"/>
      <c r="K1390" s="25"/>
      <c r="L1390" s="25"/>
      <c r="M1390" s="25"/>
      <c r="O1390" s="22"/>
    </row>
    <row r="1391" spans="2:15" x14ac:dyDescent="0.25">
      <c r="B1391" s="17" t="s">
        <v>990</v>
      </c>
      <c r="C1391" s="16"/>
      <c r="K1391" s="25"/>
      <c r="L1391" s="25"/>
      <c r="M1391" s="25"/>
      <c r="O1391" s="22"/>
    </row>
    <row r="1392" spans="2:15" x14ac:dyDescent="0.25">
      <c r="B1392" s="17" t="s">
        <v>1174</v>
      </c>
      <c r="C1392" s="16"/>
      <c r="K1392" s="25"/>
      <c r="L1392" s="25"/>
      <c r="M1392" s="25"/>
      <c r="O1392" s="22"/>
    </row>
    <row r="1393" spans="2:15" x14ac:dyDescent="0.25">
      <c r="B1393" s="17" t="s">
        <v>1010</v>
      </c>
      <c r="C1393" s="16"/>
      <c r="K1393" s="25"/>
      <c r="L1393" s="25"/>
      <c r="M1393" s="25"/>
      <c r="O1393" s="22"/>
    </row>
    <row r="1394" spans="2:15" x14ac:dyDescent="0.25">
      <c r="B1394" s="17" t="s">
        <v>426</v>
      </c>
      <c r="C1394" s="16"/>
      <c r="K1394" s="25"/>
      <c r="L1394" s="25"/>
      <c r="M1394" s="25"/>
      <c r="O1394" s="22"/>
    </row>
    <row r="1395" spans="2:15" x14ac:dyDescent="0.25">
      <c r="B1395" s="17" t="s">
        <v>1516</v>
      </c>
      <c r="C1395" s="16"/>
      <c r="K1395" s="25"/>
      <c r="L1395" s="25"/>
      <c r="M1395" s="25"/>
      <c r="O1395" s="22"/>
    </row>
    <row r="1396" spans="2:15" x14ac:dyDescent="0.25">
      <c r="B1396" s="17" t="s">
        <v>1515</v>
      </c>
      <c r="C1396" s="16"/>
      <c r="K1396" s="25"/>
      <c r="L1396" s="25"/>
      <c r="M1396" s="25"/>
      <c r="O1396" s="22"/>
    </row>
    <row r="1397" spans="2:15" x14ac:dyDescent="0.25">
      <c r="B1397" s="17" t="s">
        <v>1613</v>
      </c>
      <c r="C1397" s="16"/>
      <c r="K1397" s="25"/>
      <c r="L1397" s="25"/>
      <c r="M1397" s="25"/>
      <c r="O1397" s="22"/>
    </row>
    <row r="1398" spans="2:15" x14ac:dyDescent="0.25">
      <c r="B1398" s="17" t="s">
        <v>681</v>
      </c>
      <c r="C1398" s="16"/>
      <c r="K1398" s="25"/>
      <c r="L1398" s="25"/>
      <c r="M1398" s="25"/>
      <c r="O1398" s="22"/>
    </row>
    <row r="1399" spans="2:15" x14ac:dyDescent="0.25">
      <c r="B1399" s="17" t="s">
        <v>946</v>
      </c>
      <c r="C1399" s="16"/>
      <c r="K1399" s="25"/>
      <c r="L1399" s="25"/>
      <c r="M1399" s="25"/>
      <c r="O1399" s="22"/>
    </row>
    <row r="1400" spans="2:15" x14ac:dyDescent="0.25">
      <c r="B1400" s="17" t="s">
        <v>1443</v>
      </c>
      <c r="C1400" s="16"/>
      <c r="K1400" s="25"/>
      <c r="L1400" s="25"/>
      <c r="M1400" s="25"/>
      <c r="O1400" s="22"/>
    </row>
    <row r="1401" spans="2:15" x14ac:dyDescent="0.25">
      <c r="B1401" s="17" t="s">
        <v>1497</v>
      </c>
      <c r="C1401" s="16"/>
      <c r="K1401" s="25"/>
      <c r="L1401" s="25"/>
      <c r="M1401" s="25"/>
      <c r="O1401" s="22"/>
    </row>
    <row r="1402" spans="2:15" x14ac:dyDescent="0.25">
      <c r="B1402" s="17" t="s">
        <v>1606</v>
      </c>
      <c r="C1402" s="16"/>
      <c r="K1402" s="25"/>
      <c r="L1402" s="25"/>
      <c r="M1402" s="25"/>
      <c r="O1402" s="22"/>
    </row>
    <row r="1403" spans="2:15" x14ac:dyDescent="0.25">
      <c r="B1403" s="17" t="s">
        <v>1607</v>
      </c>
      <c r="C1403" s="16"/>
      <c r="K1403" s="25"/>
      <c r="L1403" s="25"/>
      <c r="M1403" s="25"/>
      <c r="O1403" s="22"/>
    </row>
    <row r="1404" spans="2:15" x14ac:dyDescent="0.25">
      <c r="K1404" s="25"/>
      <c r="L1404" s="25"/>
      <c r="M1404" s="25"/>
    </row>
    <row r="1405" spans="2:15" x14ac:dyDescent="0.25">
      <c r="K1405" s="25"/>
      <c r="L1405" s="25"/>
      <c r="M1405" s="25"/>
    </row>
    <row r="1406" spans="2:15" x14ac:dyDescent="0.25">
      <c r="K1406" s="25"/>
      <c r="L1406" s="25"/>
      <c r="M1406" s="25"/>
    </row>
    <row r="1407" spans="2:15" x14ac:dyDescent="0.25">
      <c r="K1407" s="25"/>
      <c r="L1407" s="25"/>
      <c r="M1407" s="25"/>
    </row>
    <row r="1408" spans="2:15" x14ac:dyDescent="0.25">
      <c r="K1408" s="25"/>
      <c r="L1408" s="25"/>
      <c r="M1408" s="25"/>
    </row>
    <row r="1409" spans="11:13" x14ac:dyDescent="0.25">
      <c r="K1409" s="25"/>
      <c r="L1409" s="25"/>
      <c r="M1409" s="25"/>
    </row>
    <row r="1410" spans="11:13" x14ac:dyDescent="0.25">
      <c r="K1410" s="25"/>
      <c r="L1410" s="25"/>
      <c r="M1410" s="25"/>
    </row>
    <row r="1411" spans="11:13" x14ac:dyDescent="0.25">
      <c r="K1411" s="25"/>
      <c r="L1411" s="25"/>
      <c r="M1411" s="25"/>
    </row>
    <row r="1412" spans="11:13" x14ac:dyDescent="0.25">
      <c r="K1412" s="25"/>
      <c r="L1412" s="25"/>
      <c r="M1412" s="25"/>
    </row>
    <row r="1413" spans="11:13" x14ac:dyDescent="0.25">
      <c r="K1413" s="25"/>
      <c r="L1413" s="25"/>
      <c r="M1413" s="25"/>
    </row>
    <row r="1414" spans="11:13" x14ac:dyDescent="0.25">
      <c r="K1414" s="25"/>
      <c r="L1414" s="25"/>
      <c r="M1414" s="25"/>
    </row>
    <row r="1415" spans="11:13" x14ac:dyDescent="0.25">
      <c r="K1415" s="25"/>
      <c r="L1415" s="25"/>
      <c r="M1415" s="25"/>
    </row>
    <row r="1416" spans="11:13" x14ac:dyDescent="0.25">
      <c r="K1416" s="25"/>
      <c r="L1416" s="25"/>
      <c r="M1416" s="25"/>
    </row>
    <row r="1417" spans="11:13" x14ac:dyDescent="0.25">
      <c r="K1417" s="25"/>
      <c r="L1417" s="25"/>
      <c r="M1417" s="25"/>
    </row>
    <row r="1418" spans="11:13" x14ac:dyDescent="0.25">
      <c r="K1418" s="25"/>
      <c r="L1418" s="25"/>
      <c r="M1418" s="25"/>
    </row>
    <row r="1419" spans="11:13" x14ac:dyDescent="0.25">
      <c r="K1419" s="25"/>
      <c r="L1419" s="25"/>
      <c r="M1419" s="25"/>
    </row>
    <row r="1420" spans="11:13" x14ac:dyDescent="0.25">
      <c r="K1420" s="25"/>
      <c r="L1420" s="25"/>
      <c r="M1420" s="25"/>
    </row>
    <row r="1421" spans="11:13" x14ac:dyDescent="0.25">
      <c r="K1421" s="25"/>
      <c r="L1421" s="25"/>
      <c r="M1421" s="25"/>
    </row>
    <row r="1422" spans="11:13" x14ac:dyDescent="0.25">
      <c r="K1422" s="25"/>
      <c r="L1422" s="25"/>
      <c r="M1422" s="25"/>
    </row>
    <row r="1423" spans="11:13" x14ac:dyDescent="0.25">
      <c r="K1423" s="25"/>
      <c r="L1423" s="25"/>
      <c r="M1423" s="25"/>
    </row>
    <row r="1424" spans="11:13" x14ac:dyDescent="0.25">
      <c r="K1424" s="25"/>
      <c r="L1424" s="25"/>
      <c r="M1424" s="25"/>
    </row>
    <row r="1425" spans="11:13" x14ac:dyDescent="0.25">
      <c r="K1425" s="25"/>
      <c r="L1425" s="25"/>
      <c r="M1425" s="25"/>
    </row>
    <row r="1426" spans="11:13" x14ac:dyDescent="0.25">
      <c r="K1426" s="25"/>
      <c r="L1426" s="25"/>
      <c r="M1426" s="25"/>
    </row>
    <row r="1427" spans="11:13" x14ac:dyDescent="0.25">
      <c r="K1427" s="25"/>
      <c r="L1427" s="25"/>
      <c r="M1427" s="25"/>
    </row>
    <row r="1428" spans="11:13" x14ac:dyDescent="0.25">
      <c r="K1428" s="25"/>
      <c r="L1428" s="25"/>
      <c r="M1428" s="25"/>
    </row>
    <row r="1429" spans="11:13" x14ac:dyDescent="0.25">
      <c r="K1429" s="25"/>
      <c r="L1429" s="25"/>
      <c r="M1429" s="25"/>
    </row>
    <row r="1430" spans="11:13" x14ac:dyDescent="0.25">
      <c r="K1430" s="25"/>
      <c r="L1430" s="25"/>
      <c r="M1430" s="25"/>
    </row>
    <row r="1431" spans="11:13" x14ac:dyDescent="0.25">
      <c r="K1431" s="25"/>
      <c r="L1431" s="25"/>
      <c r="M1431" s="25"/>
    </row>
    <row r="1432" spans="11:13" x14ac:dyDescent="0.25">
      <c r="K1432" s="25"/>
      <c r="L1432" s="25"/>
      <c r="M1432" s="25"/>
    </row>
    <row r="1433" spans="11:13" x14ac:dyDescent="0.25">
      <c r="K1433" s="25"/>
      <c r="L1433" s="25"/>
      <c r="M1433" s="25"/>
    </row>
    <row r="1434" spans="11:13" x14ac:dyDescent="0.25">
      <c r="K1434" s="25"/>
      <c r="L1434" s="25"/>
      <c r="M1434" s="25"/>
    </row>
    <row r="1435" spans="11:13" x14ac:dyDescent="0.25">
      <c r="K1435" s="25"/>
      <c r="L1435" s="25"/>
      <c r="M1435" s="25"/>
    </row>
    <row r="1436" spans="11:13" x14ac:dyDescent="0.25">
      <c r="K1436" s="25"/>
      <c r="L1436" s="25"/>
      <c r="M1436" s="25"/>
    </row>
    <row r="1437" spans="11:13" x14ac:dyDescent="0.25">
      <c r="K1437" s="25"/>
      <c r="L1437" s="25"/>
      <c r="M1437" s="25"/>
    </row>
    <row r="1438" spans="11:13" x14ac:dyDescent="0.25">
      <c r="K1438" s="25"/>
      <c r="L1438" s="25"/>
      <c r="M1438" s="25"/>
    </row>
    <row r="1439" spans="11:13" x14ac:dyDescent="0.25">
      <c r="K1439" s="25"/>
      <c r="L1439" s="25"/>
      <c r="M1439" s="25"/>
    </row>
    <row r="1440" spans="11:13" x14ac:dyDescent="0.25">
      <c r="K1440" s="25"/>
      <c r="L1440" s="25"/>
      <c r="M1440" s="25"/>
    </row>
    <row r="1441" spans="11:13" x14ac:dyDescent="0.25">
      <c r="K1441" s="25"/>
      <c r="L1441" s="25"/>
      <c r="M1441" s="25"/>
    </row>
    <row r="1442" spans="11:13" x14ac:dyDescent="0.25">
      <c r="K1442" s="25"/>
      <c r="L1442" s="25"/>
      <c r="M1442" s="25"/>
    </row>
    <row r="1443" spans="11:13" x14ac:dyDescent="0.25">
      <c r="K1443" s="25"/>
      <c r="L1443" s="25"/>
      <c r="M1443" s="25"/>
    </row>
    <row r="1444" spans="11:13" x14ac:dyDescent="0.25">
      <c r="K1444" s="25"/>
      <c r="L1444" s="25"/>
      <c r="M1444" s="25"/>
    </row>
    <row r="1445" spans="11:13" x14ac:dyDescent="0.25">
      <c r="K1445" s="25"/>
      <c r="L1445" s="25"/>
      <c r="M1445" s="25"/>
    </row>
    <row r="1446" spans="11:13" x14ac:dyDescent="0.25">
      <c r="K1446" s="25"/>
      <c r="L1446" s="25"/>
      <c r="M1446" s="25"/>
    </row>
    <row r="1447" spans="11:13" x14ac:dyDescent="0.25">
      <c r="K1447" s="25"/>
      <c r="L1447" s="25"/>
      <c r="M1447" s="25"/>
    </row>
    <row r="1448" spans="11:13" x14ac:dyDescent="0.25">
      <c r="K1448" s="25"/>
      <c r="L1448" s="25"/>
      <c r="M1448" s="25"/>
    </row>
    <row r="1449" spans="11:13" x14ac:dyDescent="0.25">
      <c r="K1449" s="25"/>
      <c r="L1449" s="25"/>
      <c r="M1449" s="25"/>
    </row>
    <row r="1450" spans="11:13" x14ac:dyDescent="0.25">
      <c r="K1450" s="25"/>
      <c r="L1450" s="25"/>
      <c r="M1450" s="25"/>
    </row>
    <row r="1451" spans="11:13" x14ac:dyDescent="0.25">
      <c r="K1451" s="25"/>
      <c r="L1451" s="25"/>
      <c r="M1451" s="25"/>
    </row>
    <row r="1452" spans="11:13" x14ac:dyDescent="0.25">
      <c r="K1452" s="25"/>
      <c r="L1452" s="25"/>
      <c r="M1452" s="25"/>
    </row>
    <row r="1453" spans="11:13" x14ac:dyDescent="0.25">
      <c r="K1453" s="25"/>
      <c r="L1453" s="25"/>
      <c r="M1453" s="25"/>
    </row>
    <row r="1454" spans="11:13" x14ac:dyDescent="0.25">
      <c r="K1454" s="25"/>
      <c r="L1454" s="25"/>
      <c r="M1454" s="25"/>
    </row>
    <row r="1455" spans="11:13" x14ac:dyDescent="0.25">
      <c r="K1455" s="25"/>
      <c r="L1455" s="25"/>
      <c r="M1455" s="25"/>
    </row>
    <row r="1456" spans="11:13" x14ac:dyDescent="0.25">
      <c r="K1456" s="25"/>
      <c r="L1456" s="25"/>
      <c r="M1456" s="25"/>
    </row>
    <row r="1457" spans="11:13" x14ac:dyDescent="0.25">
      <c r="K1457" s="25"/>
      <c r="L1457" s="25"/>
      <c r="M1457" s="25"/>
    </row>
    <row r="1458" spans="11:13" x14ac:dyDescent="0.25">
      <c r="K1458" s="25"/>
      <c r="L1458" s="25"/>
      <c r="M1458" s="25"/>
    </row>
    <row r="1459" spans="11:13" x14ac:dyDescent="0.25">
      <c r="K1459" s="25"/>
      <c r="L1459" s="25"/>
      <c r="M1459" s="25"/>
    </row>
    <row r="1460" spans="11:13" x14ac:dyDescent="0.25">
      <c r="K1460" s="25"/>
      <c r="L1460" s="25"/>
      <c r="M1460" s="25"/>
    </row>
    <row r="1461" spans="11:13" x14ac:dyDescent="0.25">
      <c r="K1461" s="25"/>
      <c r="L1461" s="25"/>
      <c r="M1461" s="25"/>
    </row>
    <row r="1462" spans="11:13" x14ac:dyDescent="0.25">
      <c r="K1462" s="25"/>
      <c r="L1462" s="25"/>
      <c r="M1462" s="25"/>
    </row>
    <row r="1463" spans="11:13" x14ac:dyDescent="0.25">
      <c r="K1463" s="25"/>
      <c r="L1463" s="25"/>
      <c r="M1463" s="25"/>
    </row>
    <row r="1464" spans="11:13" x14ac:dyDescent="0.25">
      <c r="K1464" s="25"/>
      <c r="L1464" s="25"/>
      <c r="M1464" s="25"/>
    </row>
    <row r="1465" spans="11:13" x14ac:dyDescent="0.25">
      <c r="K1465" s="25"/>
      <c r="L1465" s="25"/>
      <c r="M1465" s="25"/>
    </row>
    <row r="1466" spans="11:13" x14ac:dyDescent="0.25">
      <c r="K1466" s="25"/>
      <c r="L1466" s="25"/>
      <c r="M1466" s="25"/>
    </row>
    <row r="1467" spans="11:13" x14ac:dyDescent="0.25">
      <c r="K1467" s="25"/>
      <c r="L1467" s="25"/>
      <c r="M1467" s="25"/>
    </row>
    <row r="1468" spans="11:13" x14ac:dyDescent="0.25">
      <c r="K1468" s="25"/>
      <c r="L1468" s="25"/>
      <c r="M1468" s="25"/>
    </row>
    <row r="1469" spans="11:13" x14ac:dyDescent="0.25">
      <c r="K1469" s="25"/>
      <c r="L1469" s="25"/>
      <c r="M1469" s="25"/>
    </row>
    <row r="1470" spans="11:13" x14ac:dyDescent="0.25">
      <c r="K1470" s="25"/>
      <c r="L1470" s="25"/>
      <c r="M1470" s="25"/>
    </row>
    <row r="1471" spans="11:13" x14ac:dyDescent="0.25">
      <c r="K1471" s="25"/>
      <c r="L1471" s="25"/>
      <c r="M1471" s="25"/>
    </row>
    <row r="1472" spans="11:13" x14ac:dyDescent="0.25">
      <c r="K1472" s="25"/>
      <c r="L1472" s="25"/>
      <c r="M1472" s="25"/>
    </row>
    <row r="1473" spans="11:13" x14ac:dyDescent="0.25">
      <c r="K1473" s="25"/>
      <c r="L1473" s="25"/>
      <c r="M1473" s="25"/>
    </row>
    <row r="1474" spans="11:13" x14ac:dyDescent="0.25">
      <c r="K1474" s="25"/>
      <c r="L1474" s="25"/>
      <c r="M1474" s="25"/>
    </row>
    <row r="1475" spans="11:13" x14ac:dyDescent="0.25">
      <c r="K1475" s="25"/>
      <c r="L1475" s="25"/>
      <c r="M1475" s="25"/>
    </row>
    <row r="1476" spans="11:13" x14ac:dyDescent="0.25">
      <c r="K1476" s="25"/>
      <c r="L1476" s="25"/>
      <c r="M1476" s="25"/>
    </row>
    <row r="1477" spans="11:13" x14ac:dyDescent="0.25">
      <c r="K1477" s="25"/>
      <c r="L1477" s="25"/>
      <c r="M1477" s="25"/>
    </row>
    <row r="1478" spans="11:13" x14ac:dyDescent="0.25">
      <c r="K1478" s="25"/>
      <c r="L1478" s="25"/>
      <c r="M1478" s="25"/>
    </row>
    <row r="1479" spans="11:13" x14ac:dyDescent="0.25">
      <c r="K1479" s="25"/>
      <c r="L1479" s="25"/>
      <c r="M1479" s="25"/>
    </row>
    <row r="1480" spans="11:13" x14ac:dyDescent="0.25">
      <c r="K1480" s="25"/>
      <c r="L1480" s="25"/>
      <c r="M1480" s="25"/>
    </row>
    <row r="1481" spans="11:13" x14ac:dyDescent="0.25">
      <c r="K1481" s="25"/>
      <c r="L1481" s="25"/>
      <c r="M1481" s="25"/>
    </row>
    <row r="1482" spans="11:13" x14ac:dyDescent="0.25">
      <c r="K1482" s="25"/>
      <c r="L1482" s="25"/>
      <c r="M1482" s="25"/>
    </row>
    <row r="1483" spans="11:13" x14ac:dyDescent="0.25">
      <c r="K1483" s="25"/>
      <c r="L1483" s="25"/>
      <c r="M1483" s="25"/>
    </row>
    <row r="1484" spans="11:13" x14ac:dyDescent="0.25">
      <c r="K1484" s="25"/>
      <c r="L1484" s="25"/>
      <c r="M1484" s="25"/>
    </row>
    <row r="1485" spans="11:13" x14ac:dyDescent="0.25">
      <c r="K1485" s="25"/>
      <c r="L1485" s="25"/>
      <c r="M1485" s="25"/>
    </row>
    <row r="1486" spans="11:13" x14ac:dyDescent="0.25">
      <c r="K1486" s="25"/>
      <c r="L1486" s="25"/>
      <c r="M1486" s="25"/>
    </row>
    <row r="1487" spans="11:13" x14ac:dyDescent="0.25">
      <c r="K1487" s="25"/>
      <c r="L1487" s="25"/>
      <c r="M1487" s="25"/>
    </row>
    <row r="1488" spans="11:13" x14ac:dyDescent="0.25">
      <c r="K1488" s="25"/>
      <c r="L1488" s="25"/>
      <c r="M1488" s="25"/>
    </row>
    <row r="1489" spans="11:13" x14ac:dyDescent="0.25">
      <c r="K1489" s="25"/>
      <c r="L1489" s="25"/>
      <c r="M1489" s="25"/>
    </row>
    <row r="1490" spans="11:13" x14ac:dyDescent="0.25">
      <c r="K1490" s="25"/>
      <c r="L1490" s="25"/>
      <c r="M1490" s="25"/>
    </row>
    <row r="1491" spans="11:13" x14ac:dyDescent="0.25">
      <c r="K1491" s="25"/>
      <c r="L1491" s="25"/>
      <c r="M1491" s="25"/>
    </row>
    <row r="1492" spans="11:13" x14ac:dyDescent="0.25">
      <c r="K1492" s="25"/>
      <c r="L1492" s="25"/>
      <c r="M1492" s="25"/>
    </row>
    <row r="1493" spans="11:13" x14ac:dyDescent="0.25">
      <c r="K1493" s="25"/>
      <c r="L1493" s="25"/>
      <c r="M1493" s="25"/>
    </row>
    <row r="1494" spans="11:13" x14ac:dyDescent="0.25">
      <c r="K1494" s="25"/>
      <c r="L1494" s="25"/>
      <c r="M1494" s="25"/>
    </row>
    <row r="1495" spans="11:13" x14ac:dyDescent="0.25">
      <c r="K1495" s="25"/>
      <c r="L1495" s="25"/>
      <c r="M1495" s="25"/>
    </row>
    <row r="1496" spans="11:13" x14ac:dyDescent="0.25">
      <c r="K1496" s="25"/>
      <c r="L1496" s="25"/>
      <c r="M1496" s="25"/>
    </row>
    <row r="1497" spans="11:13" x14ac:dyDescent="0.25">
      <c r="K1497" s="25"/>
      <c r="L1497" s="25"/>
      <c r="M1497" s="25"/>
    </row>
    <row r="1498" spans="11:13" x14ac:dyDescent="0.25">
      <c r="K1498" s="25"/>
      <c r="L1498" s="25"/>
      <c r="M1498" s="25"/>
    </row>
    <row r="1499" spans="11:13" x14ac:dyDescent="0.25">
      <c r="K1499" s="25"/>
      <c r="L1499" s="25"/>
      <c r="M1499" s="25"/>
    </row>
    <row r="1500" spans="11:13" x14ac:dyDescent="0.25">
      <c r="K1500" s="25"/>
      <c r="L1500" s="25"/>
      <c r="M1500" s="25"/>
    </row>
    <row r="1501" spans="11:13" x14ac:dyDescent="0.25">
      <c r="K1501" s="25"/>
      <c r="L1501" s="25"/>
      <c r="M1501" s="25"/>
    </row>
    <row r="1502" spans="11:13" x14ac:dyDescent="0.25">
      <c r="K1502" s="25"/>
      <c r="L1502" s="25"/>
      <c r="M1502" s="25"/>
    </row>
    <row r="1503" spans="11:13" x14ac:dyDescent="0.25">
      <c r="K1503" s="25"/>
      <c r="L1503" s="25"/>
      <c r="M1503" s="25"/>
    </row>
    <row r="1504" spans="11:13" x14ac:dyDescent="0.25">
      <c r="K1504" s="25"/>
      <c r="L1504" s="25"/>
      <c r="M1504" s="25"/>
    </row>
    <row r="1505" spans="11:13" x14ac:dyDescent="0.25">
      <c r="K1505" s="25"/>
      <c r="L1505" s="25"/>
      <c r="M1505" s="25"/>
    </row>
    <row r="1506" spans="11:13" x14ac:dyDescent="0.25">
      <c r="K1506" s="25"/>
      <c r="L1506" s="25"/>
      <c r="M1506" s="25"/>
    </row>
    <row r="1507" spans="11:13" x14ac:dyDescent="0.25">
      <c r="K1507" s="25"/>
      <c r="L1507" s="25"/>
      <c r="M1507" s="25"/>
    </row>
    <row r="1508" spans="11:13" x14ac:dyDescent="0.25">
      <c r="K1508" s="25"/>
      <c r="L1508" s="25"/>
      <c r="M1508" s="25"/>
    </row>
    <row r="1509" spans="11:13" x14ac:dyDescent="0.25">
      <c r="K1509" s="25"/>
      <c r="L1509" s="25"/>
      <c r="M1509" s="25"/>
    </row>
    <row r="1510" spans="11:13" x14ac:dyDescent="0.25">
      <c r="K1510" s="25"/>
      <c r="L1510" s="25"/>
      <c r="M1510" s="25"/>
    </row>
    <row r="1511" spans="11:13" x14ac:dyDescent="0.25">
      <c r="K1511" s="25"/>
      <c r="L1511" s="25"/>
      <c r="M1511" s="25"/>
    </row>
    <row r="1512" spans="11:13" x14ac:dyDescent="0.25">
      <c r="K1512" s="25"/>
      <c r="L1512" s="25"/>
      <c r="M1512" s="25"/>
    </row>
    <row r="1513" spans="11:13" x14ac:dyDescent="0.25">
      <c r="K1513" s="25"/>
      <c r="L1513" s="25"/>
      <c r="M1513" s="25"/>
    </row>
    <row r="1514" spans="11:13" x14ac:dyDescent="0.25">
      <c r="K1514" s="25"/>
      <c r="L1514" s="25"/>
      <c r="M1514" s="25"/>
    </row>
    <row r="1515" spans="11:13" x14ac:dyDescent="0.25">
      <c r="K1515" s="25"/>
      <c r="L1515" s="25"/>
      <c r="M1515" s="25"/>
    </row>
    <row r="1516" spans="11:13" x14ac:dyDescent="0.25">
      <c r="K1516" s="25"/>
      <c r="L1516" s="25"/>
      <c r="M1516" s="25"/>
    </row>
    <row r="1517" spans="11:13" x14ac:dyDescent="0.25">
      <c r="K1517" s="25"/>
      <c r="L1517" s="25"/>
      <c r="M1517" s="25"/>
    </row>
    <row r="1518" spans="11:13" x14ac:dyDescent="0.25">
      <c r="K1518" s="25"/>
      <c r="L1518" s="25"/>
      <c r="M1518" s="25"/>
    </row>
    <row r="1519" spans="11:13" x14ac:dyDescent="0.25">
      <c r="K1519" s="25"/>
      <c r="L1519" s="25"/>
      <c r="M1519" s="25"/>
    </row>
    <row r="1520" spans="11:13" x14ac:dyDescent="0.25">
      <c r="K1520" s="25"/>
      <c r="L1520" s="25"/>
      <c r="M1520" s="25"/>
    </row>
    <row r="1521" spans="11:13" x14ac:dyDescent="0.25">
      <c r="K1521" s="25"/>
      <c r="L1521" s="25"/>
      <c r="M1521" s="25"/>
    </row>
    <row r="1522" spans="11:13" x14ac:dyDescent="0.25">
      <c r="K1522" s="25"/>
      <c r="L1522" s="25"/>
      <c r="M1522" s="25"/>
    </row>
    <row r="1523" spans="11:13" x14ac:dyDescent="0.25">
      <c r="K1523" s="25"/>
      <c r="L1523" s="25"/>
      <c r="M1523" s="25"/>
    </row>
    <row r="1524" spans="11:13" x14ac:dyDescent="0.25">
      <c r="K1524" s="25"/>
      <c r="L1524" s="25"/>
      <c r="M1524" s="25"/>
    </row>
    <row r="1525" spans="11:13" x14ac:dyDescent="0.25">
      <c r="K1525" s="25"/>
      <c r="L1525" s="25"/>
      <c r="M1525" s="25"/>
    </row>
    <row r="1526" spans="11:13" x14ac:dyDescent="0.25">
      <c r="K1526" s="25"/>
      <c r="L1526" s="25"/>
      <c r="M1526" s="25"/>
    </row>
    <row r="1527" spans="11:13" x14ac:dyDescent="0.25">
      <c r="K1527" s="25"/>
      <c r="L1527" s="25"/>
      <c r="M1527" s="25"/>
    </row>
    <row r="1528" spans="11:13" x14ac:dyDescent="0.25">
      <c r="K1528" s="25"/>
      <c r="L1528" s="25"/>
      <c r="M1528" s="25"/>
    </row>
    <row r="1529" spans="11:13" x14ac:dyDescent="0.25">
      <c r="K1529" s="25"/>
      <c r="L1529" s="25"/>
      <c r="M1529" s="25"/>
    </row>
    <row r="1530" spans="11:13" x14ac:dyDescent="0.25">
      <c r="K1530" s="25"/>
      <c r="L1530" s="25"/>
      <c r="M1530" s="25"/>
    </row>
    <row r="1531" spans="11:13" x14ac:dyDescent="0.25">
      <c r="K1531" s="25"/>
      <c r="L1531" s="25"/>
      <c r="M1531" s="25"/>
    </row>
    <row r="1532" spans="11:13" x14ac:dyDescent="0.25">
      <c r="K1532" s="25"/>
      <c r="L1532" s="25"/>
      <c r="M1532" s="25"/>
    </row>
    <row r="1533" spans="11:13" x14ac:dyDescent="0.25">
      <c r="K1533" s="25"/>
      <c r="L1533" s="25"/>
      <c r="M1533" s="25"/>
    </row>
    <row r="1534" spans="11:13" x14ac:dyDescent="0.25">
      <c r="K1534" s="25"/>
      <c r="L1534" s="25"/>
      <c r="M1534" s="25"/>
    </row>
    <row r="1535" spans="11:13" x14ac:dyDescent="0.25">
      <c r="K1535" s="25"/>
      <c r="L1535" s="25"/>
      <c r="M1535" s="25"/>
    </row>
    <row r="1536" spans="11:13" x14ac:dyDescent="0.25">
      <c r="K1536" s="25"/>
      <c r="L1536" s="25"/>
      <c r="M1536" s="25"/>
    </row>
    <row r="1611" spans="4:6" x14ac:dyDescent="0.25">
      <c r="D1611" s="70" t="s">
        <v>1616</v>
      </c>
      <c r="E1611" s="17">
        <v>1.0000000000000001E-5</v>
      </c>
      <c r="F1611" s="17">
        <v>0.14000000000000001</v>
      </c>
    </row>
    <row r="1612" spans="4:6" x14ac:dyDescent="0.25">
      <c r="D1612" s="71" t="s">
        <v>1623</v>
      </c>
      <c r="E1612" s="56">
        <v>6.8999999999999996E-7</v>
      </c>
      <c r="F1612" s="17">
        <v>0.01</v>
      </c>
    </row>
  </sheetData>
  <sheetProtection algorithmName="SHA-512" hashValue="Ly0ZzPhAyq10pdlQEYKM6J8Cv6FW0uCLDGWtTXmMo4QwDbYFAMp3CGwXQhkYI3VFJnehc/KJMy0lLbuqfobiyw==" saltValue="e8KMsNNq6gjDyMay2/yQtg==" spinCount="100000" sheet="1" objects="1" scenarios="1" autoFilter="0"/>
  <autoFilter ref="B4:O1173">
    <sortState ref="B5:O1111">
      <sortCondition descending="1" ref="C4:C1111"/>
    </sortState>
  </autoFilter>
  <conditionalFormatting sqref="K5:M1536">
    <cfRule type="cellIs" dxfId="3" priority="1" operator="lessThan">
      <formula>0</formula>
    </cfRule>
    <cfRule type="cellIs" dxfId="2" priority="2" operator="greaterThan">
      <formula>0</formula>
    </cfRule>
  </conditionalFormatting>
  <hyperlinks>
    <hyperlink ref="C5" r:id="rId1"/>
    <hyperlink ref="C6" r:id="rId2"/>
    <hyperlink ref="C7" r:id="rId3"/>
    <hyperlink ref="C8" r:id="rId4"/>
    <hyperlink ref="C9" r:id="rId5"/>
    <hyperlink ref="C10" r:id="rId6"/>
    <hyperlink ref="C11" r:id="rId7"/>
    <hyperlink ref="C12" r:id="rId8"/>
    <hyperlink ref="C13" r:id="rId9"/>
    <hyperlink ref="C14" r:id="rId10"/>
    <hyperlink ref="C15" r:id="rId11"/>
    <hyperlink ref="C16" r:id="rId12"/>
    <hyperlink ref="C17" r:id="rId13"/>
    <hyperlink ref="C18" r:id="rId14"/>
    <hyperlink ref="C19" r:id="rId15"/>
    <hyperlink ref="C20" r:id="rId16"/>
    <hyperlink ref="C21" r:id="rId17"/>
    <hyperlink ref="C22" r:id="rId18"/>
    <hyperlink ref="C23" r:id="rId19"/>
    <hyperlink ref="C24" r:id="rId20"/>
    <hyperlink ref="C25" r:id="rId21"/>
    <hyperlink ref="C26" r:id="rId22"/>
    <hyperlink ref="C27" r:id="rId23"/>
    <hyperlink ref="C28" r:id="rId24"/>
    <hyperlink ref="C29" r:id="rId25"/>
    <hyperlink ref="C30" r:id="rId26"/>
    <hyperlink ref="C31" r:id="rId27"/>
    <hyperlink ref="C32" r:id="rId28"/>
    <hyperlink ref="C33" r:id="rId29"/>
    <hyperlink ref="C34" r:id="rId30"/>
    <hyperlink ref="C35" r:id="rId31"/>
    <hyperlink ref="C36" r:id="rId32"/>
    <hyperlink ref="C37" r:id="rId33"/>
    <hyperlink ref="C38" r:id="rId34"/>
    <hyperlink ref="C39" r:id="rId35"/>
    <hyperlink ref="C40" r:id="rId36"/>
    <hyperlink ref="C41" r:id="rId37"/>
    <hyperlink ref="C42" r:id="rId38"/>
    <hyperlink ref="C43" r:id="rId39"/>
    <hyperlink ref="C44" r:id="rId40"/>
    <hyperlink ref="C45" r:id="rId41"/>
    <hyperlink ref="C46" r:id="rId42"/>
    <hyperlink ref="C47" r:id="rId43"/>
    <hyperlink ref="C48" r:id="rId44"/>
    <hyperlink ref="C49" r:id="rId45"/>
    <hyperlink ref="C50" r:id="rId46"/>
    <hyperlink ref="C51" r:id="rId47"/>
    <hyperlink ref="C52" r:id="rId48"/>
    <hyperlink ref="C53" r:id="rId49"/>
    <hyperlink ref="C54" r:id="rId50"/>
    <hyperlink ref="C55" r:id="rId51"/>
    <hyperlink ref="C56" r:id="rId52"/>
    <hyperlink ref="C57" r:id="rId53"/>
    <hyperlink ref="C58" r:id="rId54"/>
    <hyperlink ref="C59" r:id="rId55"/>
    <hyperlink ref="C60" r:id="rId56"/>
    <hyperlink ref="C61" r:id="rId57"/>
    <hyperlink ref="C62" r:id="rId58"/>
    <hyperlink ref="C63" r:id="rId59"/>
    <hyperlink ref="C64" r:id="rId60"/>
    <hyperlink ref="C65" r:id="rId61"/>
    <hyperlink ref="C66" r:id="rId62"/>
    <hyperlink ref="C67" r:id="rId63"/>
    <hyperlink ref="C68" r:id="rId64"/>
    <hyperlink ref="C69" r:id="rId65"/>
    <hyperlink ref="C70" r:id="rId66"/>
    <hyperlink ref="C71" r:id="rId67"/>
    <hyperlink ref="C72" r:id="rId68"/>
    <hyperlink ref="C73" r:id="rId69"/>
    <hyperlink ref="C74" r:id="rId70"/>
    <hyperlink ref="C75" r:id="rId71"/>
    <hyperlink ref="C76" r:id="rId72"/>
    <hyperlink ref="C77" r:id="rId73"/>
    <hyperlink ref="C78" r:id="rId74"/>
    <hyperlink ref="C79" r:id="rId75"/>
    <hyperlink ref="C80" r:id="rId76"/>
    <hyperlink ref="C81" r:id="rId77"/>
    <hyperlink ref="C82" r:id="rId78"/>
    <hyperlink ref="C83" r:id="rId79"/>
    <hyperlink ref="C84" r:id="rId80"/>
    <hyperlink ref="C85" r:id="rId81"/>
    <hyperlink ref="C86" r:id="rId82"/>
    <hyperlink ref="C87" r:id="rId83"/>
    <hyperlink ref="C88" r:id="rId84"/>
    <hyperlink ref="C89" r:id="rId85"/>
    <hyperlink ref="C90" r:id="rId86"/>
    <hyperlink ref="C91" r:id="rId87"/>
    <hyperlink ref="C92" r:id="rId88"/>
    <hyperlink ref="C93" r:id="rId89"/>
    <hyperlink ref="C94" r:id="rId90"/>
    <hyperlink ref="C95" r:id="rId91"/>
    <hyperlink ref="C96" r:id="rId92"/>
    <hyperlink ref="C97" r:id="rId93"/>
    <hyperlink ref="C98" r:id="rId94"/>
    <hyperlink ref="C99" r:id="rId95"/>
    <hyperlink ref="C100" r:id="rId96"/>
    <hyperlink ref="C101" r:id="rId97"/>
    <hyperlink ref="C102" r:id="rId98"/>
    <hyperlink ref="C103" r:id="rId99"/>
    <hyperlink ref="C104" r:id="rId100"/>
  </hyperlinks>
  <pageMargins left="0.7" right="0.7" top="0.75" bottom="0.75" header="0.3" footer="0.3"/>
  <pageSetup orientation="portrait" horizontalDpi="4294967293" r:id="rId101"/>
  <drawing r:id="rId1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6143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3" sqref="I3"/>
    </sheetView>
  </sheetViews>
  <sheetFormatPr defaultRowHeight="15" x14ac:dyDescent="0.25"/>
  <cols>
    <col min="1" max="1" width="4.5703125" customWidth="1"/>
    <col min="2" max="2" width="18" style="1" customWidth="1"/>
    <col min="3" max="8" width="13.85546875" style="1" customWidth="1"/>
    <col min="10" max="10" width="10.42578125" bestFit="1" customWidth="1"/>
    <col min="11" max="11" width="15.85546875" bestFit="1" customWidth="1"/>
  </cols>
  <sheetData>
    <row r="1" spans="1:9" ht="18.75" x14ac:dyDescent="0.25">
      <c r="B1" s="45" t="s">
        <v>1586</v>
      </c>
    </row>
    <row r="2" spans="1:9" ht="60" x14ac:dyDescent="0.25">
      <c r="B2" s="43" t="s">
        <v>1580</v>
      </c>
      <c r="C2" s="44" t="s">
        <v>1581</v>
      </c>
      <c r="D2" s="44" t="s">
        <v>1583</v>
      </c>
      <c r="E2" s="44" t="s">
        <v>1582</v>
      </c>
      <c r="F2" s="44" t="s">
        <v>1314</v>
      </c>
      <c r="G2" s="44" t="s">
        <v>1584</v>
      </c>
      <c r="H2" s="44" t="s">
        <v>1585</v>
      </c>
      <c r="I2" s="44" t="s">
        <v>1588</v>
      </c>
    </row>
    <row r="3" spans="1:9" x14ac:dyDescent="0.25">
      <c r="A3" s="38"/>
      <c r="B3" s="39">
        <v>43112.661805555559</v>
      </c>
      <c r="C3" s="40">
        <v>50000</v>
      </c>
      <c r="D3" s="40">
        <v>528556.80000000005</v>
      </c>
      <c r="E3" s="41">
        <v>37.732507499999997</v>
      </c>
      <c r="F3" s="40">
        <v>14014.6</v>
      </c>
      <c r="G3" s="40">
        <v>478556.79690000002</v>
      </c>
      <c r="H3" s="42">
        <v>957.11359369999991</v>
      </c>
      <c r="I3" s="42"/>
    </row>
    <row r="4" spans="1:9" x14ac:dyDescent="0.25">
      <c r="B4" s="39">
        <v>43112.666666666664</v>
      </c>
      <c r="C4" s="40">
        <v>50000</v>
      </c>
      <c r="D4" s="40">
        <v>538403.25</v>
      </c>
      <c r="E4" s="1">
        <v>38.484736400000003</v>
      </c>
      <c r="F4" s="40">
        <v>14001.3</v>
      </c>
      <c r="G4" s="40">
        <v>488403.25260000001</v>
      </c>
      <c r="H4" s="42">
        <v>976.80650526000011</v>
      </c>
      <c r="I4" s="42"/>
    </row>
    <row r="5" spans="1:9" x14ac:dyDescent="0.25">
      <c r="B5" s="39"/>
      <c r="C5" s="40"/>
      <c r="D5" s="40"/>
      <c r="F5" s="40"/>
      <c r="G5" s="40"/>
      <c r="H5" s="42"/>
      <c r="I5" s="42"/>
    </row>
    <row r="6" spans="1:9" x14ac:dyDescent="0.25">
      <c r="B6" s="39"/>
      <c r="C6" s="40"/>
      <c r="D6" s="40"/>
      <c r="F6" s="40"/>
      <c r="G6" s="40"/>
      <c r="H6" s="42"/>
      <c r="I6" s="42"/>
    </row>
    <row r="7" spans="1:9" x14ac:dyDescent="0.25">
      <c r="B7" s="39"/>
      <c r="C7" s="40"/>
      <c r="D7" s="40"/>
      <c r="F7" s="40"/>
      <c r="G7" s="40"/>
      <c r="H7" s="42"/>
      <c r="I7" s="42"/>
    </row>
    <row r="8" spans="1:9" x14ac:dyDescent="0.25">
      <c r="B8" s="39"/>
      <c r="C8" s="40"/>
      <c r="D8" s="40"/>
      <c r="F8" s="40"/>
      <c r="G8" s="40"/>
      <c r="H8" s="42"/>
      <c r="I8" s="42"/>
    </row>
    <row r="9" spans="1:9" x14ac:dyDescent="0.25">
      <c r="B9" s="39"/>
      <c r="C9" s="40"/>
      <c r="D9" s="40"/>
      <c r="F9" s="40"/>
      <c r="G9" s="40"/>
      <c r="H9" s="42"/>
      <c r="I9" s="42"/>
    </row>
    <row r="10" spans="1:9" x14ac:dyDescent="0.25">
      <c r="B10" s="39"/>
      <c r="C10" s="40"/>
      <c r="D10" s="40"/>
      <c r="F10" s="40"/>
      <c r="G10" s="40"/>
      <c r="H10" s="42"/>
      <c r="I10" s="42"/>
    </row>
    <row r="11" spans="1:9" x14ac:dyDescent="0.25">
      <c r="B11" s="39"/>
      <c r="C11" s="40"/>
      <c r="D11" s="40"/>
      <c r="F11" s="40"/>
      <c r="G11" s="40"/>
      <c r="H11" s="42"/>
      <c r="I11" s="42"/>
    </row>
    <row r="12" spans="1:9" x14ac:dyDescent="0.25">
      <c r="B12" s="39"/>
      <c r="C12" s="40"/>
      <c r="D12" s="40"/>
      <c r="F12" s="40"/>
      <c r="G12" s="40"/>
      <c r="H12" s="42"/>
      <c r="I12" s="42"/>
    </row>
    <row r="13" spans="1:9" x14ac:dyDescent="0.25">
      <c r="B13" s="39"/>
      <c r="C13" s="40"/>
      <c r="D13" s="40"/>
      <c r="F13" s="40"/>
      <c r="G13" s="40"/>
      <c r="H13" s="42"/>
      <c r="I13" s="42"/>
    </row>
    <row r="14" spans="1:9" x14ac:dyDescent="0.25">
      <c r="B14" s="39"/>
      <c r="C14" s="40"/>
      <c r="D14" s="40"/>
      <c r="F14" s="40"/>
      <c r="G14" s="40"/>
      <c r="H14" s="42"/>
      <c r="I14" s="42"/>
    </row>
    <row r="15" spans="1:9" x14ac:dyDescent="0.25">
      <c r="B15" s="39"/>
      <c r="C15" s="40"/>
      <c r="D15" s="40"/>
      <c r="F15" s="40"/>
      <c r="G15" s="40"/>
      <c r="H15" s="42"/>
      <c r="I15" s="42"/>
    </row>
    <row r="16" spans="1:9" x14ac:dyDescent="0.25">
      <c r="B16" s="39"/>
      <c r="C16" s="40"/>
      <c r="D16" s="40"/>
      <c r="F16" s="40"/>
      <c r="G16" s="40"/>
      <c r="H16" s="42"/>
      <c r="I16" s="42"/>
    </row>
    <row r="17" spans="2:9" x14ac:dyDescent="0.25">
      <c r="B17" s="39"/>
      <c r="C17" s="40"/>
      <c r="D17" s="40"/>
      <c r="F17" s="40"/>
      <c r="G17" s="40"/>
      <c r="H17" s="42"/>
      <c r="I17" s="42"/>
    </row>
    <row r="18" spans="2:9" x14ac:dyDescent="0.25">
      <c r="B18" s="39"/>
      <c r="C18" s="40"/>
      <c r="D18" s="40"/>
      <c r="F18" s="40"/>
      <c r="G18" s="40"/>
      <c r="H18" s="42"/>
      <c r="I18" s="42"/>
    </row>
    <row r="19" spans="2:9" x14ac:dyDescent="0.25">
      <c r="B19" s="39"/>
      <c r="C19" s="40"/>
      <c r="D19" s="40"/>
      <c r="F19" s="40"/>
      <c r="G19" s="40"/>
      <c r="H19" s="42"/>
      <c r="I19" s="42"/>
    </row>
    <row r="20" spans="2:9" x14ac:dyDescent="0.25">
      <c r="B20" s="39"/>
      <c r="C20" s="40"/>
      <c r="D20" s="40"/>
      <c r="F20" s="40"/>
      <c r="G20" s="40"/>
      <c r="H20" s="42"/>
      <c r="I20" s="42"/>
    </row>
    <row r="21" spans="2:9" x14ac:dyDescent="0.25">
      <c r="B21" s="39"/>
      <c r="C21" s="40"/>
      <c r="D21" s="40"/>
      <c r="F21" s="40"/>
      <c r="G21" s="40"/>
      <c r="H21" s="42"/>
      <c r="I21" s="42"/>
    </row>
    <row r="22" spans="2:9" x14ac:dyDescent="0.25">
      <c r="B22" s="39"/>
      <c r="C22" s="40"/>
      <c r="D22" s="40"/>
      <c r="F22" s="40"/>
      <c r="G22" s="40"/>
      <c r="H22" s="42"/>
      <c r="I22" s="42"/>
    </row>
    <row r="23" spans="2:9" x14ac:dyDescent="0.25">
      <c r="B23" s="39"/>
      <c r="C23" s="40"/>
      <c r="D23" s="40"/>
      <c r="F23" s="40"/>
      <c r="G23" s="40"/>
      <c r="H23" s="42"/>
      <c r="I23" s="42"/>
    </row>
    <row r="24" spans="2:9" x14ac:dyDescent="0.25">
      <c r="B24" s="39"/>
      <c r="C24" s="40"/>
      <c r="D24" s="40"/>
      <c r="F24" s="40"/>
      <c r="G24" s="40"/>
      <c r="H24" s="42"/>
      <c r="I24" s="42"/>
    </row>
    <row r="25" spans="2:9" x14ac:dyDescent="0.25">
      <c r="B25" s="39"/>
      <c r="C25" s="40"/>
      <c r="D25" s="40"/>
      <c r="F25" s="40"/>
      <c r="G25" s="40"/>
      <c r="H25" s="42"/>
      <c r="I25" s="42"/>
    </row>
    <row r="26" spans="2:9" x14ac:dyDescent="0.25">
      <c r="B26" s="39"/>
      <c r="C26" s="40"/>
      <c r="D26" s="40"/>
      <c r="F26" s="40"/>
      <c r="G26" s="40"/>
      <c r="H26" s="42"/>
      <c r="I26" s="42"/>
    </row>
    <row r="27" spans="2:9" x14ac:dyDescent="0.25">
      <c r="B27" s="39"/>
      <c r="C27" s="40"/>
      <c r="D27" s="40"/>
      <c r="F27" s="40"/>
      <c r="G27" s="40"/>
      <c r="H27" s="42"/>
      <c r="I27" s="42"/>
    </row>
    <row r="28" spans="2:9" x14ac:dyDescent="0.25">
      <c r="B28" s="39"/>
      <c r="C28" s="40"/>
      <c r="D28" s="40"/>
      <c r="F28" s="40"/>
      <c r="G28" s="40"/>
      <c r="H28" s="42"/>
      <c r="I28" s="42"/>
    </row>
    <row r="29" spans="2:9" x14ac:dyDescent="0.25">
      <c r="B29" s="39"/>
      <c r="C29" s="40"/>
      <c r="D29" s="40"/>
      <c r="F29" s="40"/>
      <c r="G29" s="40"/>
      <c r="H29" s="42"/>
      <c r="I29" s="42"/>
    </row>
    <row r="30" spans="2:9" x14ac:dyDescent="0.25">
      <c r="B30" s="39"/>
      <c r="C30" s="40"/>
      <c r="D30" s="40"/>
      <c r="F30" s="40"/>
      <c r="G30" s="40"/>
      <c r="H30" s="42"/>
      <c r="I30" s="42"/>
    </row>
    <row r="31" spans="2:9" x14ac:dyDescent="0.25">
      <c r="B31" s="39"/>
      <c r="C31" s="40"/>
      <c r="D31" s="40"/>
      <c r="F31" s="40"/>
      <c r="G31" s="40"/>
      <c r="H31" s="42"/>
      <c r="I31" s="42"/>
    </row>
    <row r="32" spans="2:9" x14ac:dyDescent="0.25">
      <c r="B32" s="39"/>
      <c r="C32" s="40"/>
      <c r="D32" s="40"/>
      <c r="F32" s="40"/>
      <c r="G32" s="40"/>
      <c r="H32" s="42"/>
      <c r="I32" s="42"/>
    </row>
    <row r="33" spans="2:9" x14ac:dyDescent="0.25">
      <c r="B33" s="39"/>
      <c r="C33" s="40"/>
      <c r="D33" s="40"/>
      <c r="F33" s="40"/>
      <c r="G33" s="40"/>
      <c r="H33" s="42"/>
      <c r="I33" s="42"/>
    </row>
    <row r="34" spans="2:9" x14ac:dyDescent="0.25">
      <c r="B34" s="39"/>
      <c r="C34" s="40"/>
      <c r="D34" s="40"/>
      <c r="F34" s="40"/>
      <c r="G34" s="40"/>
      <c r="H34" s="42"/>
      <c r="I34" s="42"/>
    </row>
    <row r="35" spans="2:9" x14ac:dyDescent="0.25">
      <c r="B35" s="39"/>
      <c r="C35" s="40"/>
      <c r="D35" s="40"/>
      <c r="F35" s="40"/>
      <c r="G35" s="40"/>
      <c r="H35" s="42"/>
      <c r="I35" s="42"/>
    </row>
    <row r="36" spans="2:9" x14ac:dyDescent="0.25">
      <c r="B36" s="39"/>
      <c r="C36" s="40"/>
      <c r="D36" s="40"/>
      <c r="F36" s="40"/>
      <c r="G36" s="40"/>
      <c r="H36" s="42"/>
      <c r="I36" s="42"/>
    </row>
    <row r="37" spans="2:9" x14ac:dyDescent="0.25">
      <c r="B37" s="39"/>
      <c r="C37" s="40"/>
      <c r="D37" s="40"/>
      <c r="F37" s="40"/>
      <c r="G37" s="40"/>
      <c r="H37" s="42"/>
      <c r="I37" s="42"/>
    </row>
    <row r="38" spans="2:9" x14ac:dyDescent="0.25">
      <c r="B38" s="39"/>
      <c r="C38" s="40"/>
      <c r="D38" s="40"/>
      <c r="F38" s="40"/>
      <c r="G38" s="40"/>
      <c r="H38" s="42"/>
      <c r="I38" s="42"/>
    </row>
    <row r="39" spans="2:9" x14ac:dyDescent="0.25">
      <c r="B39" s="39"/>
      <c r="C39" s="40"/>
      <c r="D39" s="40"/>
      <c r="F39" s="40"/>
      <c r="G39" s="40"/>
      <c r="H39" s="42"/>
      <c r="I39" s="42"/>
    </row>
    <row r="40" spans="2:9" x14ac:dyDescent="0.25">
      <c r="B40" s="39"/>
      <c r="C40" s="40"/>
      <c r="D40" s="40"/>
      <c r="F40" s="40"/>
      <c r="G40" s="40"/>
      <c r="H40" s="42"/>
      <c r="I40" s="42"/>
    </row>
    <row r="41" spans="2:9" x14ac:dyDescent="0.25">
      <c r="B41" s="39"/>
      <c r="C41" s="40"/>
      <c r="D41" s="40"/>
      <c r="F41" s="40"/>
      <c r="G41" s="40"/>
      <c r="H41" s="42"/>
      <c r="I41" s="42"/>
    </row>
    <row r="42" spans="2:9" x14ac:dyDescent="0.25">
      <c r="B42" s="39"/>
      <c r="C42" s="40"/>
      <c r="D42" s="40"/>
      <c r="F42" s="40"/>
      <c r="G42" s="40"/>
      <c r="H42" s="42"/>
      <c r="I42" s="42"/>
    </row>
    <row r="43" spans="2:9" x14ac:dyDescent="0.25">
      <c r="B43" s="39"/>
      <c r="C43" s="40"/>
      <c r="D43" s="40"/>
      <c r="F43" s="40"/>
      <c r="G43" s="40"/>
      <c r="H43" s="42"/>
      <c r="I43" s="42"/>
    </row>
    <row r="44" spans="2:9" x14ac:dyDescent="0.25">
      <c r="B44" s="39"/>
      <c r="C44" s="40"/>
      <c r="D44" s="40"/>
      <c r="F44" s="40"/>
      <c r="G44" s="40"/>
      <c r="H44" s="42"/>
      <c r="I44" s="42"/>
    </row>
    <row r="45" spans="2:9" x14ac:dyDescent="0.25">
      <c r="B45" s="39"/>
      <c r="C45" s="40"/>
      <c r="D45" s="40"/>
      <c r="F45" s="40"/>
      <c r="G45" s="40"/>
      <c r="H45" s="42"/>
      <c r="I45" s="42"/>
    </row>
    <row r="46" spans="2:9" x14ac:dyDescent="0.25">
      <c r="B46" s="39"/>
      <c r="C46" s="40"/>
      <c r="D46" s="40"/>
      <c r="F46" s="40"/>
      <c r="G46" s="40"/>
      <c r="H46" s="42"/>
      <c r="I46" s="42"/>
    </row>
    <row r="47" spans="2:9" x14ac:dyDescent="0.25">
      <c r="B47" s="39"/>
      <c r="C47" s="40"/>
      <c r="D47" s="40"/>
      <c r="F47" s="40"/>
      <c r="G47" s="40"/>
      <c r="H47" s="42"/>
      <c r="I47" s="42"/>
    </row>
    <row r="48" spans="2:9" x14ac:dyDescent="0.25">
      <c r="B48" s="39"/>
      <c r="C48" s="40"/>
      <c r="D48" s="40"/>
      <c r="F48" s="40"/>
      <c r="G48" s="40"/>
      <c r="H48" s="42"/>
      <c r="I48" s="42"/>
    </row>
    <row r="49" spans="2:9" x14ac:dyDescent="0.25">
      <c r="B49" s="39"/>
      <c r="C49" s="40"/>
      <c r="D49" s="40"/>
      <c r="F49" s="40"/>
      <c r="G49" s="40"/>
      <c r="H49" s="42"/>
      <c r="I49" s="42"/>
    </row>
    <row r="50" spans="2:9" x14ac:dyDescent="0.25">
      <c r="B50" s="39"/>
      <c r="C50" s="40"/>
      <c r="D50" s="40"/>
      <c r="F50" s="40"/>
      <c r="G50" s="40"/>
      <c r="H50" s="42"/>
      <c r="I50" s="42"/>
    </row>
    <row r="51" spans="2:9" x14ac:dyDescent="0.25">
      <c r="B51" s="39"/>
      <c r="C51" s="40"/>
      <c r="D51" s="40"/>
      <c r="F51" s="40"/>
      <c r="G51" s="40"/>
      <c r="H51" s="42"/>
      <c r="I51" s="42"/>
    </row>
    <row r="52" spans="2:9" x14ac:dyDescent="0.25">
      <c r="B52" s="39"/>
      <c r="C52" s="40"/>
      <c r="D52" s="40"/>
      <c r="F52" s="40"/>
      <c r="G52" s="40"/>
      <c r="H52" s="42"/>
      <c r="I52" s="42"/>
    </row>
    <row r="53" spans="2:9" x14ac:dyDescent="0.25">
      <c r="B53" s="39"/>
      <c r="C53" s="40"/>
      <c r="D53" s="40"/>
      <c r="F53" s="40"/>
      <c r="G53" s="40"/>
      <c r="H53" s="42"/>
      <c r="I53" s="42"/>
    </row>
    <row r="54" spans="2:9" x14ac:dyDescent="0.25">
      <c r="B54" s="39"/>
      <c r="C54" s="40"/>
      <c r="D54" s="40"/>
      <c r="F54" s="40"/>
      <c r="G54" s="40"/>
      <c r="H54" s="42"/>
      <c r="I54" s="42"/>
    </row>
    <row r="55" spans="2:9" x14ac:dyDescent="0.25">
      <c r="B55" s="39"/>
      <c r="C55" s="40"/>
      <c r="D55" s="40"/>
      <c r="F55" s="40"/>
      <c r="G55" s="40"/>
      <c r="H55" s="42"/>
      <c r="I55" s="42"/>
    </row>
    <row r="56" spans="2:9" x14ac:dyDescent="0.25">
      <c r="B56" s="39"/>
      <c r="C56" s="40"/>
      <c r="D56" s="40"/>
      <c r="F56" s="40"/>
      <c r="G56" s="40"/>
      <c r="H56" s="42"/>
      <c r="I56" s="42"/>
    </row>
    <row r="57" spans="2:9" x14ac:dyDescent="0.25">
      <c r="B57" s="39"/>
      <c r="C57" s="40"/>
      <c r="D57" s="40"/>
      <c r="F57" s="40"/>
      <c r="G57" s="40"/>
      <c r="H57" s="42"/>
      <c r="I57" s="42"/>
    </row>
    <row r="58" spans="2:9" x14ac:dyDescent="0.25">
      <c r="B58" s="39"/>
      <c r="C58" s="40"/>
      <c r="D58" s="40"/>
      <c r="F58" s="40"/>
      <c r="G58" s="40"/>
      <c r="H58" s="42"/>
      <c r="I58" s="42"/>
    </row>
    <row r="59" spans="2:9" x14ac:dyDescent="0.25">
      <c r="B59" s="39"/>
      <c r="C59" s="40"/>
      <c r="D59" s="40"/>
      <c r="F59" s="40"/>
      <c r="G59" s="40"/>
      <c r="H59" s="42"/>
      <c r="I59" s="42"/>
    </row>
    <row r="60" spans="2:9" x14ac:dyDescent="0.25">
      <c r="B60" s="39"/>
      <c r="C60" s="40"/>
      <c r="D60" s="40"/>
      <c r="F60" s="40"/>
      <c r="G60" s="40"/>
      <c r="H60" s="42"/>
      <c r="I60" s="42"/>
    </row>
    <row r="61" spans="2:9" x14ac:dyDescent="0.25">
      <c r="B61" s="39"/>
      <c r="C61" s="40"/>
      <c r="D61" s="40"/>
      <c r="F61" s="40"/>
      <c r="G61" s="40"/>
      <c r="H61" s="42"/>
      <c r="I61" s="42"/>
    </row>
    <row r="62" spans="2:9" x14ac:dyDescent="0.25">
      <c r="B62" s="39"/>
      <c r="C62" s="40"/>
      <c r="D62" s="40"/>
      <c r="F62" s="40"/>
      <c r="G62" s="40"/>
      <c r="H62" s="42"/>
      <c r="I62" s="42"/>
    </row>
    <row r="63" spans="2:9" x14ac:dyDescent="0.25">
      <c r="B63" s="39"/>
      <c r="C63" s="40"/>
      <c r="D63" s="40"/>
      <c r="F63" s="40"/>
      <c r="G63" s="40"/>
      <c r="H63" s="42"/>
      <c r="I63" s="42"/>
    </row>
    <row r="64" spans="2:9" x14ac:dyDescent="0.25">
      <c r="B64" s="39"/>
      <c r="C64" s="40"/>
      <c r="D64" s="40"/>
      <c r="F64" s="40"/>
      <c r="G64" s="40"/>
      <c r="H64" s="42"/>
      <c r="I64" s="42"/>
    </row>
    <row r="65" spans="2:9" x14ac:dyDescent="0.25">
      <c r="B65" s="39"/>
      <c r="C65" s="40"/>
      <c r="D65" s="40"/>
      <c r="F65" s="40"/>
      <c r="G65" s="40"/>
      <c r="H65" s="42"/>
      <c r="I65" s="42"/>
    </row>
    <row r="66" spans="2:9" x14ac:dyDescent="0.25">
      <c r="B66" s="39"/>
      <c r="C66" s="40"/>
      <c r="D66" s="40"/>
      <c r="F66" s="40"/>
      <c r="G66" s="40"/>
      <c r="H66" s="42"/>
      <c r="I66" s="42"/>
    </row>
    <row r="67" spans="2:9" x14ac:dyDescent="0.25">
      <c r="B67" s="39"/>
      <c r="C67" s="40"/>
      <c r="D67" s="40"/>
      <c r="F67" s="40"/>
      <c r="G67" s="40"/>
      <c r="H67" s="42"/>
      <c r="I67" s="42"/>
    </row>
    <row r="68" spans="2:9" x14ac:dyDescent="0.25">
      <c r="B68" s="39"/>
      <c r="C68" s="40"/>
      <c r="D68" s="40"/>
      <c r="F68" s="40"/>
      <c r="G68" s="40"/>
      <c r="H68" s="42"/>
      <c r="I68" s="42"/>
    </row>
    <row r="69" spans="2:9" x14ac:dyDescent="0.25">
      <c r="B69" s="39"/>
      <c r="C69" s="40"/>
      <c r="D69" s="40"/>
      <c r="F69" s="40"/>
      <c r="G69" s="40"/>
      <c r="H69" s="42"/>
      <c r="I69" s="42"/>
    </row>
    <row r="70" spans="2:9" x14ac:dyDescent="0.25">
      <c r="B70" s="39"/>
      <c r="C70" s="40"/>
      <c r="D70" s="40"/>
      <c r="F70" s="40"/>
      <c r="G70" s="40"/>
      <c r="H70" s="42"/>
      <c r="I70" s="42"/>
    </row>
    <row r="71" spans="2:9" x14ac:dyDescent="0.25">
      <c r="B71" s="39"/>
      <c r="C71" s="40"/>
      <c r="D71" s="40"/>
      <c r="F71" s="40"/>
      <c r="G71" s="40"/>
      <c r="H71" s="42"/>
      <c r="I71" s="42"/>
    </row>
    <row r="72" spans="2:9" x14ac:dyDescent="0.25">
      <c r="B72" s="39"/>
      <c r="C72" s="40"/>
      <c r="D72" s="40"/>
      <c r="F72" s="40"/>
      <c r="G72" s="40"/>
      <c r="H72" s="42"/>
      <c r="I72" s="42"/>
    </row>
    <row r="73" spans="2:9" x14ac:dyDescent="0.25">
      <c r="B73" s="39"/>
      <c r="C73" s="40"/>
      <c r="D73" s="40"/>
      <c r="F73" s="40"/>
      <c r="G73" s="40"/>
      <c r="H73" s="42"/>
      <c r="I73" s="42"/>
    </row>
    <row r="74" spans="2:9" x14ac:dyDescent="0.25">
      <c r="B74" s="39"/>
      <c r="C74" s="40"/>
      <c r="D74" s="40"/>
      <c r="F74" s="40"/>
      <c r="G74" s="40"/>
      <c r="H74" s="42"/>
      <c r="I74" s="42"/>
    </row>
    <row r="75" spans="2:9" x14ac:dyDescent="0.25">
      <c r="B75" s="39"/>
      <c r="C75" s="40"/>
      <c r="D75" s="40"/>
      <c r="F75" s="40"/>
      <c r="G75" s="40"/>
      <c r="H75" s="42"/>
      <c r="I75" s="42"/>
    </row>
    <row r="76" spans="2:9" x14ac:dyDescent="0.25">
      <c r="B76" s="39"/>
      <c r="C76" s="40"/>
      <c r="D76" s="40"/>
      <c r="F76" s="40"/>
      <c r="G76" s="40"/>
      <c r="H76" s="42"/>
      <c r="I76" s="42"/>
    </row>
    <row r="77" spans="2:9" x14ac:dyDescent="0.25">
      <c r="B77" s="39"/>
      <c r="C77" s="40"/>
      <c r="D77" s="40"/>
      <c r="F77" s="40"/>
      <c r="G77" s="40"/>
      <c r="H77" s="42"/>
      <c r="I77" s="42"/>
    </row>
    <row r="78" spans="2:9" x14ac:dyDescent="0.25">
      <c r="B78" s="39"/>
      <c r="C78" s="40"/>
      <c r="D78" s="40"/>
      <c r="F78" s="40"/>
      <c r="G78" s="40"/>
      <c r="H78" s="42"/>
      <c r="I78" s="42"/>
    </row>
    <row r="79" spans="2:9" x14ac:dyDescent="0.25">
      <c r="B79" s="39"/>
      <c r="C79" s="40"/>
      <c r="D79" s="40"/>
      <c r="F79" s="40"/>
      <c r="G79" s="40"/>
      <c r="H79" s="42"/>
      <c r="I79" s="42"/>
    </row>
    <row r="80" spans="2:9" x14ac:dyDescent="0.25">
      <c r="B80" s="39"/>
      <c r="C80" s="40"/>
      <c r="D80" s="40"/>
      <c r="F80" s="40"/>
      <c r="G80" s="40"/>
      <c r="H80" s="42"/>
      <c r="I80" s="42"/>
    </row>
    <row r="81" spans="2:9" x14ac:dyDescent="0.25">
      <c r="B81" s="39"/>
      <c r="C81" s="40"/>
      <c r="D81" s="40"/>
      <c r="F81" s="40"/>
      <c r="G81" s="40"/>
      <c r="H81" s="42"/>
      <c r="I81" s="42"/>
    </row>
    <row r="82" spans="2:9" x14ac:dyDescent="0.25">
      <c r="B82" s="39"/>
      <c r="C82" s="40"/>
      <c r="D82" s="40"/>
      <c r="F82" s="40"/>
      <c r="G82" s="40"/>
      <c r="H82" s="42"/>
      <c r="I82" s="42"/>
    </row>
    <row r="83" spans="2:9" x14ac:dyDescent="0.25">
      <c r="B83" s="39"/>
      <c r="C83" s="40"/>
      <c r="D83" s="40"/>
      <c r="F83" s="40"/>
      <c r="G83" s="40"/>
      <c r="H83" s="42"/>
      <c r="I83" s="42"/>
    </row>
    <row r="84" spans="2:9" x14ac:dyDescent="0.25">
      <c r="B84" s="39"/>
      <c r="C84" s="40"/>
      <c r="D84" s="40"/>
      <c r="F84" s="40"/>
      <c r="G84" s="40"/>
      <c r="H84" s="42"/>
      <c r="I84" s="42"/>
    </row>
    <row r="85" spans="2:9" x14ac:dyDescent="0.25">
      <c r="B85" s="39"/>
      <c r="C85" s="40"/>
      <c r="D85" s="40"/>
      <c r="F85" s="40"/>
      <c r="G85" s="40"/>
      <c r="H85" s="42"/>
      <c r="I85" s="42"/>
    </row>
    <row r="86" spans="2:9" x14ac:dyDescent="0.25">
      <c r="B86" s="39"/>
      <c r="C86" s="40"/>
      <c r="D86" s="40"/>
      <c r="F86" s="40"/>
      <c r="G86" s="40"/>
      <c r="H86" s="42"/>
      <c r="I86" s="42"/>
    </row>
    <row r="87" spans="2:9" x14ac:dyDescent="0.25">
      <c r="B87" s="39"/>
      <c r="C87" s="40"/>
      <c r="D87" s="40"/>
      <c r="F87" s="40"/>
      <c r="G87" s="40"/>
      <c r="H87" s="42"/>
      <c r="I87" s="42"/>
    </row>
    <row r="88" spans="2:9" x14ac:dyDescent="0.25">
      <c r="B88" s="39"/>
      <c r="C88" s="40"/>
      <c r="D88" s="40"/>
      <c r="F88" s="40"/>
      <c r="G88" s="40"/>
      <c r="H88" s="42"/>
      <c r="I88" s="42"/>
    </row>
    <row r="89" spans="2:9" x14ac:dyDescent="0.25">
      <c r="B89" s="39"/>
      <c r="C89" s="40"/>
      <c r="D89" s="40"/>
      <c r="F89" s="40"/>
      <c r="G89" s="40"/>
      <c r="H89" s="42"/>
      <c r="I89" s="42"/>
    </row>
    <row r="90" spans="2:9" x14ac:dyDescent="0.25">
      <c r="B90" s="39"/>
      <c r="C90" s="40"/>
      <c r="D90" s="40"/>
      <c r="F90" s="40"/>
      <c r="G90" s="40"/>
      <c r="H90" s="42"/>
      <c r="I90" s="42"/>
    </row>
    <row r="91" spans="2:9" x14ac:dyDescent="0.25">
      <c r="B91" s="39"/>
      <c r="C91" s="40"/>
      <c r="D91" s="40"/>
      <c r="F91" s="40"/>
      <c r="G91" s="40"/>
      <c r="H91" s="42"/>
      <c r="I91" s="42"/>
    </row>
    <row r="92" spans="2:9" x14ac:dyDescent="0.25">
      <c r="B92" s="39"/>
      <c r="C92" s="40"/>
      <c r="D92" s="40"/>
      <c r="F92" s="40"/>
      <c r="G92" s="40"/>
      <c r="H92" s="42"/>
      <c r="I92" s="42"/>
    </row>
    <row r="93" spans="2:9" x14ac:dyDescent="0.25">
      <c r="B93" s="39"/>
      <c r="C93" s="40"/>
      <c r="D93" s="40"/>
      <c r="F93" s="40"/>
      <c r="G93" s="40"/>
      <c r="H93" s="42"/>
      <c r="I93" s="42"/>
    </row>
    <row r="94" spans="2:9" x14ac:dyDescent="0.25">
      <c r="B94" s="39"/>
      <c r="C94" s="40"/>
      <c r="D94" s="40"/>
      <c r="F94" s="40"/>
      <c r="G94" s="40"/>
      <c r="H94" s="42"/>
      <c r="I94" s="42"/>
    </row>
    <row r="95" spans="2:9" x14ac:dyDescent="0.25">
      <c r="B95" s="39"/>
      <c r="C95" s="40"/>
      <c r="D95" s="40"/>
      <c r="F95" s="40"/>
      <c r="G95" s="40"/>
      <c r="H95" s="42"/>
      <c r="I95" s="42"/>
    </row>
    <row r="96" spans="2:9" x14ac:dyDescent="0.25">
      <c r="B96" s="39"/>
      <c r="C96" s="40"/>
      <c r="D96" s="40"/>
      <c r="F96" s="40"/>
      <c r="G96" s="40"/>
      <c r="H96" s="42"/>
      <c r="I96" s="42"/>
    </row>
    <row r="97" spans="2:9" x14ac:dyDescent="0.25">
      <c r="B97" s="39"/>
      <c r="C97" s="40"/>
      <c r="D97" s="40"/>
      <c r="F97" s="40"/>
      <c r="G97" s="40"/>
      <c r="H97" s="42"/>
      <c r="I97" s="42"/>
    </row>
    <row r="98" spans="2:9" x14ac:dyDescent="0.25">
      <c r="B98" s="39"/>
      <c r="C98" s="40"/>
      <c r="D98" s="40"/>
      <c r="F98" s="40"/>
      <c r="G98" s="40"/>
      <c r="H98" s="42"/>
      <c r="I98" s="42"/>
    </row>
    <row r="99" spans="2:9" x14ac:dyDescent="0.25">
      <c r="B99" s="39"/>
      <c r="C99" s="40"/>
      <c r="D99" s="40"/>
      <c r="F99" s="40"/>
      <c r="G99" s="40"/>
      <c r="H99" s="42"/>
      <c r="I99" s="42"/>
    </row>
    <row r="100" spans="2:9" x14ac:dyDescent="0.25">
      <c r="B100" s="39"/>
      <c r="C100" s="40"/>
      <c r="D100" s="40"/>
      <c r="F100" s="40"/>
      <c r="G100" s="40"/>
      <c r="H100" s="42"/>
      <c r="I100" s="42"/>
    </row>
    <row r="101" spans="2:9" x14ac:dyDescent="0.25">
      <c r="B101" s="39"/>
      <c r="C101" s="40"/>
      <c r="D101" s="40"/>
      <c r="F101" s="40"/>
      <c r="G101" s="40"/>
      <c r="H101" s="42"/>
      <c r="I101" s="42"/>
    </row>
    <row r="102" spans="2:9" x14ac:dyDescent="0.25">
      <c r="B102" s="39"/>
      <c r="C102" s="40"/>
      <c r="D102" s="40"/>
      <c r="F102" s="40"/>
      <c r="G102" s="40"/>
      <c r="H102" s="42"/>
      <c r="I102" s="42"/>
    </row>
    <row r="103" spans="2:9" x14ac:dyDescent="0.25">
      <c r="B103" s="39"/>
      <c r="C103" s="40"/>
      <c r="D103" s="40"/>
      <c r="F103" s="40"/>
      <c r="G103" s="40"/>
      <c r="H103" s="42"/>
      <c r="I103" s="42"/>
    </row>
    <row r="104" spans="2:9" x14ac:dyDescent="0.25">
      <c r="B104" s="39"/>
      <c r="C104" s="40"/>
      <c r="D104" s="40"/>
      <c r="F104" s="40"/>
      <c r="G104" s="40"/>
      <c r="H104" s="42"/>
      <c r="I104" s="42"/>
    </row>
    <row r="105" spans="2:9" x14ac:dyDescent="0.25">
      <c r="B105" s="39"/>
      <c r="C105" s="40"/>
      <c r="D105" s="40"/>
      <c r="F105" s="40"/>
      <c r="G105" s="40"/>
      <c r="H105" s="42"/>
      <c r="I105" s="42"/>
    </row>
    <row r="106" spans="2:9" x14ac:dyDescent="0.25">
      <c r="B106" s="39"/>
      <c r="C106" s="40"/>
      <c r="D106" s="40"/>
      <c r="F106" s="40"/>
      <c r="G106" s="40"/>
      <c r="H106" s="42"/>
      <c r="I106" s="42"/>
    </row>
    <row r="107" spans="2:9" x14ac:dyDescent="0.25">
      <c r="B107" s="39"/>
      <c r="C107" s="40"/>
      <c r="D107" s="40"/>
      <c r="F107" s="40"/>
      <c r="G107" s="40"/>
      <c r="H107" s="42"/>
      <c r="I107" s="42"/>
    </row>
    <row r="108" spans="2:9" x14ac:dyDescent="0.25">
      <c r="B108" s="39"/>
      <c r="C108" s="40"/>
      <c r="D108" s="40"/>
      <c r="F108" s="40"/>
      <c r="G108" s="40"/>
      <c r="H108" s="42"/>
      <c r="I108" s="42"/>
    </row>
    <row r="109" spans="2:9" x14ac:dyDescent="0.25">
      <c r="B109" s="39"/>
      <c r="C109" s="40"/>
      <c r="D109" s="40"/>
      <c r="F109" s="40"/>
      <c r="G109" s="40"/>
      <c r="H109" s="42"/>
      <c r="I109" s="42"/>
    </row>
    <row r="110" spans="2:9" x14ac:dyDescent="0.25">
      <c r="B110" s="39"/>
      <c r="C110" s="40"/>
      <c r="D110" s="40"/>
      <c r="F110" s="40"/>
      <c r="G110" s="40"/>
      <c r="H110" s="42"/>
      <c r="I110" s="42"/>
    </row>
    <row r="111" spans="2:9" x14ac:dyDescent="0.25">
      <c r="B111" s="39"/>
      <c r="C111" s="40"/>
      <c r="D111" s="40"/>
      <c r="F111" s="40"/>
      <c r="G111" s="40"/>
      <c r="H111" s="42"/>
      <c r="I111" s="42"/>
    </row>
    <row r="112" spans="2:9" x14ac:dyDescent="0.25">
      <c r="B112" s="39"/>
      <c r="C112" s="40"/>
      <c r="D112" s="40"/>
      <c r="F112" s="40"/>
      <c r="G112" s="40"/>
      <c r="H112" s="42"/>
      <c r="I112" s="42"/>
    </row>
    <row r="113" spans="2:9" x14ac:dyDescent="0.25">
      <c r="B113" s="39"/>
      <c r="C113" s="40"/>
      <c r="D113" s="40"/>
      <c r="F113" s="40"/>
      <c r="G113" s="40"/>
      <c r="H113" s="42"/>
      <c r="I113" s="42"/>
    </row>
    <row r="114" spans="2:9" x14ac:dyDescent="0.25">
      <c r="B114" s="39"/>
      <c r="C114" s="40"/>
      <c r="D114" s="40"/>
      <c r="F114" s="40"/>
      <c r="G114" s="40"/>
      <c r="H114" s="42"/>
      <c r="I114" s="42"/>
    </row>
    <row r="115" spans="2:9" x14ac:dyDescent="0.25">
      <c r="B115" s="39"/>
      <c r="C115" s="40"/>
      <c r="D115" s="40"/>
      <c r="F115" s="40"/>
      <c r="G115" s="40"/>
      <c r="H115" s="42"/>
      <c r="I115" s="42"/>
    </row>
    <row r="116" spans="2:9" x14ac:dyDescent="0.25">
      <c r="B116" s="39"/>
      <c r="C116" s="40"/>
      <c r="D116" s="40"/>
      <c r="F116" s="40"/>
      <c r="G116" s="40"/>
      <c r="H116" s="42"/>
      <c r="I116" s="42"/>
    </row>
    <row r="117" spans="2:9" x14ac:dyDescent="0.25">
      <c r="B117" s="39"/>
      <c r="C117" s="40"/>
      <c r="D117" s="40"/>
      <c r="F117" s="40"/>
      <c r="G117" s="40"/>
      <c r="H117" s="42"/>
      <c r="I117" s="42"/>
    </row>
    <row r="118" spans="2:9" x14ac:dyDescent="0.25">
      <c r="B118" s="39"/>
      <c r="C118" s="40"/>
      <c r="D118" s="40"/>
      <c r="F118" s="40"/>
      <c r="G118" s="40"/>
      <c r="H118" s="42"/>
      <c r="I118" s="42"/>
    </row>
    <row r="119" spans="2:9" x14ac:dyDescent="0.25">
      <c r="B119" s="39"/>
      <c r="C119" s="40"/>
      <c r="D119" s="40"/>
      <c r="F119" s="40"/>
      <c r="G119" s="40"/>
      <c r="H119" s="42"/>
      <c r="I119" s="42"/>
    </row>
    <row r="120" spans="2:9" x14ac:dyDescent="0.25">
      <c r="B120" s="39"/>
      <c r="C120" s="40"/>
      <c r="D120" s="40"/>
      <c r="F120" s="40"/>
      <c r="G120" s="40"/>
      <c r="H120" s="42"/>
      <c r="I120" s="42"/>
    </row>
    <row r="121" spans="2:9" x14ac:dyDescent="0.25">
      <c r="B121" s="39"/>
      <c r="C121" s="40"/>
      <c r="D121" s="40"/>
      <c r="F121" s="40"/>
      <c r="G121" s="40"/>
      <c r="H121" s="42"/>
      <c r="I121" s="42"/>
    </row>
    <row r="122" spans="2:9" x14ac:dyDescent="0.25">
      <c r="B122" s="39"/>
      <c r="C122" s="40"/>
      <c r="D122" s="40"/>
      <c r="F122" s="40"/>
      <c r="G122" s="40"/>
      <c r="H122" s="42"/>
      <c r="I122" s="42"/>
    </row>
    <row r="123" spans="2:9" x14ac:dyDescent="0.25">
      <c r="B123" s="39"/>
      <c r="C123" s="40"/>
      <c r="D123" s="40"/>
      <c r="F123" s="40"/>
      <c r="G123" s="40"/>
      <c r="H123" s="42"/>
      <c r="I123" s="42"/>
    </row>
    <row r="124" spans="2:9" x14ac:dyDescent="0.25">
      <c r="B124" s="39"/>
      <c r="C124" s="40"/>
      <c r="D124" s="40"/>
      <c r="F124" s="40"/>
      <c r="G124" s="40"/>
      <c r="H124" s="42"/>
      <c r="I124" s="42"/>
    </row>
    <row r="125" spans="2:9" x14ac:dyDescent="0.25">
      <c r="B125" s="39"/>
      <c r="C125" s="40"/>
      <c r="D125" s="40"/>
      <c r="F125" s="40"/>
      <c r="G125" s="40"/>
      <c r="H125" s="42"/>
      <c r="I125" s="42"/>
    </row>
    <row r="126" spans="2:9" x14ac:dyDescent="0.25">
      <c r="B126" s="39"/>
      <c r="C126" s="40"/>
      <c r="D126" s="40"/>
      <c r="F126" s="40"/>
      <c r="G126" s="40"/>
      <c r="H126" s="42"/>
      <c r="I126" s="42"/>
    </row>
    <row r="127" spans="2:9" x14ac:dyDescent="0.25">
      <c r="B127" s="39"/>
      <c r="C127" s="40"/>
      <c r="D127" s="40"/>
      <c r="F127" s="40"/>
      <c r="G127" s="40"/>
      <c r="H127" s="42"/>
      <c r="I127" s="42"/>
    </row>
    <row r="128" spans="2:9" x14ac:dyDescent="0.25">
      <c r="B128" s="39"/>
      <c r="C128" s="40"/>
      <c r="D128" s="40"/>
      <c r="F128" s="40"/>
      <c r="G128" s="40"/>
      <c r="H128" s="42"/>
      <c r="I128" s="42"/>
    </row>
    <row r="129" spans="2:9" x14ac:dyDescent="0.25">
      <c r="B129" s="39"/>
      <c r="C129" s="40"/>
      <c r="D129" s="40"/>
      <c r="F129" s="40"/>
      <c r="G129" s="40"/>
      <c r="H129" s="42"/>
      <c r="I129" s="42"/>
    </row>
    <row r="130" spans="2:9" x14ac:dyDescent="0.25">
      <c r="B130" s="39"/>
      <c r="C130" s="40"/>
      <c r="D130" s="40"/>
      <c r="F130" s="40"/>
      <c r="G130" s="40"/>
      <c r="H130" s="42"/>
      <c r="I130" s="42"/>
    </row>
    <row r="131" spans="2:9" x14ac:dyDescent="0.25">
      <c r="B131" s="39"/>
      <c r="C131" s="40"/>
      <c r="D131" s="40"/>
      <c r="F131" s="40"/>
      <c r="G131" s="40"/>
      <c r="H131" s="42"/>
      <c r="I131" s="42"/>
    </row>
    <row r="132" spans="2:9" x14ac:dyDescent="0.25">
      <c r="B132" s="39"/>
      <c r="C132" s="40"/>
      <c r="D132" s="40"/>
      <c r="F132" s="40"/>
      <c r="G132" s="40"/>
      <c r="H132" s="42"/>
      <c r="I132" s="42"/>
    </row>
    <row r="133" spans="2:9" x14ac:dyDescent="0.25">
      <c r="B133" s="39"/>
      <c r="C133" s="40"/>
      <c r="D133" s="40"/>
      <c r="F133" s="40"/>
      <c r="G133" s="40"/>
      <c r="H133" s="42"/>
      <c r="I133" s="42"/>
    </row>
    <row r="134" spans="2:9" x14ac:dyDescent="0.25">
      <c r="B134" s="39"/>
      <c r="C134" s="40"/>
      <c r="D134" s="40"/>
      <c r="F134" s="40"/>
      <c r="G134" s="40"/>
      <c r="H134" s="42"/>
      <c r="I134" s="42"/>
    </row>
    <row r="135" spans="2:9" x14ac:dyDescent="0.25">
      <c r="B135" s="39"/>
      <c r="C135" s="40"/>
      <c r="D135" s="40"/>
      <c r="F135" s="40"/>
      <c r="G135" s="40"/>
      <c r="H135" s="42"/>
      <c r="I135" s="42"/>
    </row>
    <row r="136" spans="2:9" x14ac:dyDescent="0.25">
      <c r="B136" s="39"/>
      <c r="C136" s="40"/>
      <c r="D136" s="40"/>
      <c r="F136" s="40"/>
      <c r="G136" s="40"/>
      <c r="H136" s="42"/>
      <c r="I136" s="42"/>
    </row>
    <row r="137" spans="2:9" x14ac:dyDescent="0.25">
      <c r="B137" s="39"/>
      <c r="C137" s="40"/>
      <c r="D137" s="40"/>
      <c r="F137" s="40"/>
      <c r="G137" s="40"/>
      <c r="H137" s="42"/>
      <c r="I137" s="42"/>
    </row>
    <row r="138" spans="2:9" x14ac:dyDescent="0.25">
      <c r="B138" s="39"/>
      <c r="C138" s="40"/>
      <c r="D138" s="40"/>
      <c r="F138" s="40"/>
      <c r="G138" s="40"/>
      <c r="H138" s="42"/>
      <c r="I138" s="42"/>
    </row>
    <row r="139" spans="2:9" x14ac:dyDescent="0.25">
      <c r="B139" s="39"/>
      <c r="C139" s="40"/>
      <c r="D139" s="40"/>
      <c r="F139" s="40"/>
      <c r="G139" s="40"/>
      <c r="H139" s="42"/>
      <c r="I139" s="42"/>
    </row>
    <row r="140" spans="2:9" x14ac:dyDescent="0.25">
      <c r="B140" s="39"/>
      <c r="C140" s="40"/>
      <c r="D140" s="40"/>
      <c r="F140" s="40"/>
      <c r="G140" s="40"/>
      <c r="H140" s="42"/>
      <c r="I140" s="42"/>
    </row>
    <row r="141" spans="2:9" x14ac:dyDescent="0.25">
      <c r="B141" s="39"/>
      <c r="C141" s="40"/>
      <c r="D141" s="40"/>
      <c r="F141" s="40"/>
      <c r="G141" s="40"/>
      <c r="H141" s="42"/>
      <c r="I141" s="42"/>
    </row>
    <row r="142" spans="2:9" x14ac:dyDescent="0.25">
      <c r="B142" s="39"/>
      <c r="C142" s="40"/>
      <c r="D142" s="40"/>
      <c r="F142" s="40"/>
      <c r="G142" s="40"/>
      <c r="H142" s="42"/>
      <c r="I142" s="42"/>
    </row>
    <row r="143" spans="2:9" x14ac:dyDescent="0.25">
      <c r="B143" s="39"/>
      <c r="C143" s="40"/>
      <c r="D143" s="40"/>
      <c r="F143" s="40"/>
      <c r="G143" s="40"/>
      <c r="H143" s="42"/>
      <c r="I143" s="42"/>
    </row>
    <row r="144" spans="2:9" x14ac:dyDescent="0.25">
      <c r="B144" s="39"/>
      <c r="C144" s="40"/>
      <c r="D144" s="40"/>
      <c r="F144" s="40"/>
      <c r="G144" s="40"/>
      <c r="H144" s="42"/>
      <c r="I144" s="42"/>
    </row>
    <row r="145" spans="2:9" x14ac:dyDescent="0.25">
      <c r="B145" s="39"/>
      <c r="C145" s="40"/>
      <c r="D145" s="40"/>
      <c r="F145" s="40"/>
      <c r="G145" s="40"/>
      <c r="H145" s="42"/>
      <c r="I145" s="42"/>
    </row>
    <row r="146" spans="2:9" x14ac:dyDescent="0.25">
      <c r="B146" s="39"/>
      <c r="C146" s="40"/>
      <c r="D146" s="40"/>
      <c r="F146" s="40"/>
      <c r="G146" s="40"/>
      <c r="H146" s="42"/>
      <c r="I146" s="42"/>
    </row>
    <row r="147" spans="2:9" x14ac:dyDescent="0.25">
      <c r="B147" s="39"/>
      <c r="C147" s="40"/>
      <c r="D147" s="40"/>
      <c r="F147" s="40"/>
      <c r="G147" s="40"/>
      <c r="H147" s="42"/>
      <c r="I147" s="42"/>
    </row>
    <row r="148" spans="2:9" x14ac:dyDescent="0.25">
      <c r="B148" s="39"/>
      <c r="C148" s="40"/>
      <c r="D148" s="40"/>
      <c r="F148" s="40"/>
      <c r="G148" s="40"/>
      <c r="H148" s="42"/>
      <c r="I148" s="42"/>
    </row>
    <row r="149" spans="2:9" x14ac:dyDescent="0.25">
      <c r="B149" s="39"/>
      <c r="C149" s="40"/>
      <c r="D149" s="40"/>
      <c r="F149" s="40"/>
      <c r="G149" s="40"/>
      <c r="H149" s="42"/>
      <c r="I149" s="42"/>
    </row>
    <row r="150" spans="2:9" x14ac:dyDescent="0.25">
      <c r="B150" s="39"/>
      <c r="C150" s="40"/>
      <c r="D150" s="40"/>
      <c r="F150" s="40"/>
      <c r="G150" s="40"/>
      <c r="H150" s="42"/>
      <c r="I150" s="42"/>
    </row>
    <row r="151" spans="2:9" x14ac:dyDescent="0.25">
      <c r="B151" s="39"/>
      <c r="C151" s="40"/>
      <c r="D151" s="40"/>
      <c r="F151" s="40"/>
      <c r="G151" s="40"/>
      <c r="H151" s="42"/>
      <c r="I151" s="42"/>
    </row>
    <row r="152" spans="2:9" x14ac:dyDescent="0.25">
      <c r="B152" s="39"/>
      <c r="C152" s="40"/>
      <c r="D152" s="40"/>
      <c r="F152" s="40"/>
      <c r="G152" s="40"/>
      <c r="H152" s="42"/>
      <c r="I152" s="42"/>
    </row>
    <row r="153" spans="2:9" x14ac:dyDescent="0.25">
      <c r="B153" s="39"/>
      <c r="C153" s="40"/>
      <c r="D153" s="40"/>
      <c r="F153" s="40"/>
      <c r="G153" s="40"/>
      <c r="H153" s="42"/>
      <c r="I153" s="42"/>
    </row>
    <row r="154" spans="2:9" x14ac:dyDescent="0.25">
      <c r="B154" s="39"/>
      <c r="C154" s="40"/>
      <c r="D154" s="40"/>
      <c r="F154" s="40"/>
      <c r="G154" s="40"/>
      <c r="H154" s="42"/>
      <c r="I154" s="42"/>
    </row>
    <row r="155" spans="2:9" x14ac:dyDescent="0.25">
      <c r="B155" s="39"/>
      <c r="C155" s="40"/>
      <c r="D155" s="40"/>
      <c r="F155" s="40"/>
      <c r="G155" s="40"/>
      <c r="H155" s="42"/>
      <c r="I155" s="42"/>
    </row>
    <row r="156" spans="2:9" x14ac:dyDescent="0.25">
      <c r="B156" s="39"/>
      <c r="C156" s="40"/>
      <c r="D156" s="40"/>
      <c r="F156" s="40"/>
      <c r="G156" s="40"/>
      <c r="H156" s="42"/>
      <c r="I156" s="42"/>
    </row>
    <row r="157" spans="2:9" x14ac:dyDescent="0.25">
      <c r="B157" s="39"/>
      <c r="C157" s="40"/>
      <c r="D157" s="40"/>
      <c r="F157" s="40"/>
      <c r="G157" s="40"/>
      <c r="H157" s="42"/>
      <c r="I157" s="42"/>
    </row>
    <row r="158" spans="2:9" x14ac:dyDescent="0.25">
      <c r="B158" s="39"/>
      <c r="C158" s="40"/>
      <c r="D158" s="40"/>
      <c r="F158" s="40"/>
      <c r="G158" s="40"/>
      <c r="H158" s="42"/>
      <c r="I158" s="42"/>
    </row>
    <row r="159" spans="2:9" x14ac:dyDescent="0.25">
      <c r="B159" s="39"/>
      <c r="C159" s="40"/>
      <c r="D159" s="40"/>
      <c r="F159" s="40"/>
      <c r="G159" s="40"/>
      <c r="H159" s="42"/>
      <c r="I159" s="42"/>
    </row>
    <row r="160" spans="2:9" x14ac:dyDescent="0.25">
      <c r="B160" s="39"/>
      <c r="C160" s="40"/>
      <c r="D160" s="40"/>
      <c r="F160" s="40"/>
      <c r="G160" s="40"/>
      <c r="H160" s="42"/>
      <c r="I160" s="42"/>
    </row>
    <row r="161" spans="2:9" x14ac:dyDescent="0.25">
      <c r="B161" s="39"/>
      <c r="C161" s="40"/>
      <c r="D161" s="40"/>
      <c r="F161" s="40"/>
      <c r="G161" s="40"/>
      <c r="H161" s="42"/>
      <c r="I161" s="42"/>
    </row>
    <row r="162" spans="2:9" x14ac:dyDescent="0.25">
      <c r="B162" s="39"/>
      <c r="C162" s="40"/>
      <c r="D162" s="40"/>
      <c r="F162" s="40"/>
      <c r="G162" s="40"/>
      <c r="H162" s="42"/>
      <c r="I162" s="42"/>
    </row>
    <row r="163" spans="2:9" x14ac:dyDescent="0.25">
      <c r="B163" s="39"/>
      <c r="C163" s="40"/>
      <c r="D163" s="40"/>
      <c r="F163" s="40"/>
      <c r="G163" s="40"/>
      <c r="H163" s="42"/>
      <c r="I163" s="42"/>
    </row>
    <row r="164" spans="2:9" x14ac:dyDescent="0.25">
      <c r="B164" s="39"/>
      <c r="C164" s="40"/>
      <c r="D164" s="40"/>
      <c r="F164" s="40"/>
      <c r="G164" s="40"/>
      <c r="H164" s="42"/>
      <c r="I164" s="42"/>
    </row>
    <row r="165" spans="2:9" x14ac:dyDescent="0.25">
      <c r="B165" s="39"/>
      <c r="C165" s="40"/>
      <c r="D165" s="40"/>
      <c r="F165" s="40"/>
      <c r="G165" s="40"/>
      <c r="H165" s="42"/>
      <c r="I165" s="42"/>
    </row>
    <row r="166" spans="2:9" x14ac:dyDescent="0.25">
      <c r="B166" s="39"/>
      <c r="C166" s="40"/>
      <c r="D166" s="40"/>
      <c r="F166" s="40"/>
      <c r="G166" s="40"/>
      <c r="H166" s="42"/>
      <c r="I166" s="42"/>
    </row>
    <row r="167" spans="2:9" x14ac:dyDescent="0.25">
      <c r="B167" s="39"/>
      <c r="C167" s="40"/>
      <c r="D167" s="40"/>
      <c r="F167" s="40"/>
      <c r="G167" s="40"/>
      <c r="H167" s="42"/>
      <c r="I167" s="42"/>
    </row>
    <row r="168" spans="2:9" x14ac:dyDescent="0.25">
      <c r="B168" s="39"/>
      <c r="C168" s="40"/>
      <c r="D168" s="40"/>
      <c r="F168" s="40"/>
      <c r="G168" s="40"/>
      <c r="H168" s="42"/>
      <c r="I168" s="42"/>
    </row>
    <row r="169" spans="2:9" x14ac:dyDescent="0.25">
      <c r="B169" s="39"/>
      <c r="C169" s="40"/>
      <c r="D169" s="40"/>
      <c r="F169" s="40"/>
      <c r="G169" s="40"/>
      <c r="H169" s="42"/>
      <c r="I169" s="42"/>
    </row>
    <row r="170" spans="2:9" x14ac:dyDescent="0.25">
      <c r="B170" s="39"/>
      <c r="C170" s="40"/>
      <c r="D170" s="40"/>
      <c r="F170" s="40"/>
      <c r="G170" s="40"/>
      <c r="H170" s="42"/>
      <c r="I170" s="42"/>
    </row>
    <row r="171" spans="2:9" x14ac:dyDescent="0.25">
      <c r="B171" s="39"/>
      <c r="C171" s="40"/>
      <c r="D171" s="40"/>
      <c r="F171" s="40"/>
      <c r="G171" s="40"/>
      <c r="H171" s="42"/>
      <c r="I171" s="42"/>
    </row>
    <row r="172" spans="2:9" x14ac:dyDescent="0.25">
      <c r="B172" s="39"/>
      <c r="C172" s="40"/>
      <c r="D172" s="40"/>
      <c r="F172" s="40"/>
      <c r="G172" s="40"/>
      <c r="H172" s="42"/>
      <c r="I172" s="42"/>
    </row>
    <row r="173" spans="2:9" x14ac:dyDescent="0.25">
      <c r="B173" s="39"/>
      <c r="C173" s="40"/>
      <c r="D173" s="40"/>
      <c r="F173" s="40"/>
      <c r="G173" s="40"/>
      <c r="H173" s="42"/>
      <c r="I173" s="42"/>
    </row>
    <row r="174" spans="2:9" x14ac:dyDescent="0.25">
      <c r="B174" s="39"/>
      <c r="C174" s="40"/>
      <c r="D174" s="40"/>
      <c r="F174" s="40"/>
      <c r="G174" s="40"/>
      <c r="H174" s="42"/>
      <c r="I174" s="42"/>
    </row>
    <row r="175" spans="2:9" x14ac:dyDescent="0.25">
      <c r="B175" s="39"/>
      <c r="C175" s="40"/>
      <c r="D175" s="40"/>
      <c r="F175" s="40"/>
      <c r="G175" s="40"/>
      <c r="H175" s="42"/>
      <c r="I175" s="42"/>
    </row>
    <row r="176" spans="2:9" x14ac:dyDescent="0.25">
      <c r="B176" s="39"/>
      <c r="C176" s="40"/>
      <c r="D176" s="40"/>
      <c r="F176" s="40"/>
      <c r="G176" s="40"/>
      <c r="H176" s="42"/>
      <c r="I176" s="42"/>
    </row>
    <row r="177" spans="2:9" x14ac:dyDescent="0.25">
      <c r="B177" s="39"/>
      <c r="C177" s="40"/>
      <c r="D177" s="40"/>
      <c r="F177" s="40"/>
      <c r="G177" s="40"/>
      <c r="H177" s="42"/>
      <c r="I177" s="42"/>
    </row>
    <row r="178" spans="2:9" x14ac:dyDescent="0.25">
      <c r="B178" s="39"/>
      <c r="C178" s="40"/>
      <c r="D178" s="40"/>
      <c r="F178" s="40"/>
      <c r="G178" s="40"/>
      <c r="H178" s="42"/>
      <c r="I178" s="42"/>
    </row>
    <row r="179" spans="2:9" x14ac:dyDescent="0.25">
      <c r="B179" s="39"/>
      <c r="C179" s="40"/>
      <c r="D179" s="40"/>
      <c r="F179" s="40"/>
      <c r="G179" s="40"/>
      <c r="H179" s="42"/>
      <c r="I179" s="42"/>
    </row>
    <row r="180" spans="2:9" x14ac:dyDescent="0.25">
      <c r="B180" s="39"/>
      <c r="C180" s="40"/>
      <c r="D180" s="40"/>
      <c r="F180" s="40"/>
      <c r="G180" s="40"/>
      <c r="H180" s="42"/>
      <c r="I180" s="42"/>
    </row>
    <row r="181" spans="2:9" x14ac:dyDescent="0.25">
      <c r="B181" s="39"/>
      <c r="C181" s="40"/>
      <c r="D181" s="40"/>
      <c r="F181" s="40"/>
      <c r="G181" s="40"/>
      <c r="H181" s="42"/>
      <c r="I181" s="42"/>
    </row>
    <row r="182" spans="2:9" x14ac:dyDescent="0.25">
      <c r="B182" s="39"/>
      <c r="C182" s="40"/>
      <c r="D182" s="40"/>
      <c r="F182" s="40"/>
      <c r="G182" s="40"/>
      <c r="H182" s="42"/>
      <c r="I182" s="42"/>
    </row>
    <row r="183" spans="2:9" x14ac:dyDescent="0.25">
      <c r="B183" s="39"/>
      <c r="C183" s="40"/>
      <c r="D183" s="40"/>
      <c r="F183" s="40"/>
      <c r="G183" s="40"/>
      <c r="H183" s="42"/>
      <c r="I183" s="42"/>
    </row>
    <row r="184" spans="2:9" x14ac:dyDescent="0.25">
      <c r="B184" s="39"/>
      <c r="C184" s="40"/>
      <c r="D184" s="40"/>
      <c r="F184" s="40"/>
      <c r="G184" s="40"/>
      <c r="H184" s="42"/>
      <c r="I184" s="42"/>
    </row>
    <row r="185" spans="2:9" x14ac:dyDescent="0.25">
      <c r="B185" s="39"/>
      <c r="C185" s="40"/>
      <c r="D185" s="40"/>
      <c r="F185" s="40"/>
      <c r="G185" s="40"/>
      <c r="H185" s="42"/>
      <c r="I185" s="42"/>
    </row>
    <row r="186" spans="2:9" x14ac:dyDescent="0.25">
      <c r="B186" s="39"/>
      <c r="C186" s="40"/>
      <c r="D186" s="40"/>
      <c r="F186" s="40"/>
      <c r="G186" s="40"/>
      <c r="H186" s="42"/>
      <c r="I186" s="42"/>
    </row>
    <row r="187" spans="2:9" x14ac:dyDescent="0.25">
      <c r="B187" s="39"/>
      <c r="C187" s="40"/>
      <c r="D187" s="40"/>
      <c r="F187" s="40"/>
      <c r="G187" s="40"/>
      <c r="H187" s="42"/>
      <c r="I187" s="42"/>
    </row>
    <row r="188" spans="2:9" x14ac:dyDescent="0.25">
      <c r="B188" s="39"/>
      <c r="C188" s="40"/>
      <c r="D188" s="40"/>
      <c r="F188" s="40"/>
      <c r="G188" s="40"/>
      <c r="H188" s="42"/>
      <c r="I188" s="42"/>
    </row>
    <row r="189" spans="2:9" x14ac:dyDescent="0.25">
      <c r="B189" s="39"/>
      <c r="C189" s="40"/>
      <c r="D189" s="40"/>
      <c r="F189" s="40"/>
      <c r="G189" s="40"/>
      <c r="H189" s="42"/>
      <c r="I189" s="42"/>
    </row>
    <row r="190" spans="2:9" x14ac:dyDescent="0.25">
      <c r="B190" s="39"/>
      <c r="C190" s="40"/>
      <c r="D190" s="40"/>
      <c r="F190" s="40"/>
      <c r="G190" s="40"/>
      <c r="H190" s="42"/>
      <c r="I190" s="42"/>
    </row>
    <row r="191" spans="2:9" x14ac:dyDescent="0.25">
      <c r="B191" s="39"/>
      <c r="C191" s="40"/>
      <c r="D191" s="40"/>
      <c r="F191" s="40"/>
      <c r="G191" s="40"/>
      <c r="H191" s="42"/>
      <c r="I191" s="42"/>
    </row>
    <row r="192" spans="2:9" x14ac:dyDescent="0.25">
      <c r="B192" s="39"/>
      <c r="C192" s="40"/>
      <c r="D192" s="40"/>
      <c r="F192" s="40"/>
      <c r="G192" s="40"/>
      <c r="H192" s="42"/>
      <c r="I192" s="42"/>
    </row>
    <row r="193" spans="2:9" x14ac:dyDescent="0.25">
      <c r="B193" s="39"/>
      <c r="C193" s="40"/>
      <c r="D193" s="40"/>
      <c r="F193" s="40"/>
      <c r="G193" s="40"/>
      <c r="H193" s="42"/>
      <c r="I193" s="42"/>
    </row>
    <row r="194" spans="2:9" x14ac:dyDescent="0.25">
      <c r="B194" s="39"/>
      <c r="C194" s="40"/>
      <c r="D194" s="40"/>
      <c r="F194" s="40"/>
      <c r="G194" s="40"/>
      <c r="H194" s="42"/>
      <c r="I194" s="42"/>
    </row>
    <row r="195" spans="2:9" x14ac:dyDescent="0.25">
      <c r="B195" s="39"/>
      <c r="C195" s="40"/>
      <c r="D195" s="40"/>
      <c r="F195" s="40"/>
      <c r="G195" s="40"/>
      <c r="H195" s="42"/>
      <c r="I195" s="42"/>
    </row>
    <row r="196" spans="2:9" x14ac:dyDescent="0.25">
      <c r="B196" s="39"/>
      <c r="C196" s="40"/>
      <c r="D196" s="40"/>
      <c r="F196" s="40"/>
      <c r="G196" s="40"/>
      <c r="H196" s="42"/>
      <c r="I196" s="42"/>
    </row>
    <row r="197" spans="2:9" x14ac:dyDescent="0.25">
      <c r="B197" s="39"/>
      <c r="C197" s="40"/>
      <c r="D197" s="40"/>
      <c r="F197" s="40"/>
      <c r="G197" s="40"/>
      <c r="H197" s="42"/>
      <c r="I197" s="42"/>
    </row>
    <row r="198" spans="2:9" x14ac:dyDescent="0.25">
      <c r="B198" s="39"/>
      <c r="C198" s="40"/>
      <c r="D198" s="40"/>
      <c r="F198" s="40"/>
      <c r="G198" s="40"/>
      <c r="H198" s="42"/>
      <c r="I198" s="42"/>
    </row>
    <row r="199" spans="2:9" x14ac:dyDescent="0.25">
      <c r="B199" s="39"/>
      <c r="C199" s="40"/>
      <c r="D199" s="40"/>
      <c r="F199" s="40"/>
      <c r="G199" s="40"/>
      <c r="H199" s="42"/>
      <c r="I199" s="42"/>
    </row>
    <row r="200" spans="2:9" x14ac:dyDescent="0.25">
      <c r="B200" s="39"/>
      <c r="C200" s="40"/>
      <c r="D200" s="40"/>
      <c r="F200" s="40"/>
      <c r="G200" s="40"/>
      <c r="H200" s="42"/>
      <c r="I200" s="42"/>
    </row>
    <row r="201" spans="2:9" x14ac:dyDescent="0.25">
      <c r="B201" s="39"/>
      <c r="C201" s="40"/>
      <c r="D201" s="40"/>
      <c r="F201" s="40"/>
      <c r="G201" s="40"/>
      <c r="H201" s="42"/>
      <c r="I201" s="42"/>
    </row>
    <row r="202" spans="2:9" x14ac:dyDescent="0.25">
      <c r="B202" s="39"/>
      <c r="C202" s="40"/>
      <c r="D202" s="40"/>
      <c r="F202" s="40"/>
      <c r="G202" s="40"/>
      <c r="H202" s="42"/>
      <c r="I202" s="42"/>
    </row>
    <row r="203" spans="2:9" x14ac:dyDescent="0.25">
      <c r="B203" s="39"/>
      <c r="C203" s="40"/>
      <c r="D203" s="40"/>
      <c r="F203" s="40"/>
      <c r="G203" s="40"/>
      <c r="H203" s="42"/>
      <c r="I203" s="42"/>
    </row>
    <row r="204" spans="2:9" x14ac:dyDescent="0.25">
      <c r="B204" s="39"/>
      <c r="C204" s="40"/>
      <c r="D204" s="40"/>
      <c r="F204" s="40"/>
      <c r="G204" s="40"/>
      <c r="H204" s="42"/>
      <c r="I204" s="42"/>
    </row>
    <row r="205" spans="2:9" x14ac:dyDescent="0.25">
      <c r="B205" s="39"/>
      <c r="C205" s="40"/>
      <c r="D205" s="40"/>
      <c r="F205" s="40"/>
      <c r="G205" s="40"/>
      <c r="H205" s="42"/>
      <c r="I205" s="42"/>
    </row>
    <row r="206" spans="2:9" x14ac:dyDescent="0.25">
      <c r="B206" s="39"/>
      <c r="C206" s="40"/>
      <c r="D206" s="40"/>
      <c r="F206" s="40"/>
      <c r="G206" s="40"/>
      <c r="H206" s="42"/>
      <c r="I206" s="42"/>
    </row>
    <row r="207" spans="2:9" x14ac:dyDescent="0.25">
      <c r="B207" s="39"/>
      <c r="C207" s="40"/>
      <c r="D207" s="40"/>
      <c r="F207" s="40"/>
      <c r="G207" s="40"/>
      <c r="H207" s="42"/>
      <c r="I207" s="42"/>
    </row>
    <row r="208" spans="2:9" x14ac:dyDescent="0.25">
      <c r="B208" s="39"/>
      <c r="C208" s="40"/>
      <c r="D208" s="40"/>
      <c r="F208" s="40"/>
      <c r="G208" s="40"/>
      <c r="H208" s="42"/>
      <c r="I208" s="42"/>
    </row>
    <row r="209" spans="2:9" x14ac:dyDescent="0.25">
      <c r="B209" s="39"/>
      <c r="C209" s="40"/>
      <c r="D209" s="40"/>
      <c r="F209" s="40"/>
      <c r="G209" s="40"/>
      <c r="H209" s="42"/>
      <c r="I209" s="42"/>
    </row>
    <row r="210" spans="2:9" x14ac:dyDescent="0.25">
      <c r="B210" s="39"/>
      <c r="C210" s="40"/>
      <c r="D210" s="40"/>
      <c r="F210" s="40"/>
      <c r="G210" s="40"/>
      <c r="H210" s="42"/>
      <c r="I210" s="42"/>
    </row>
    <row r="211" spans="2:9" x14ac:dyDescent="0.25">
      <c r="B211" s="39"/>
      <c r="C211" s="40"/>
      <c r="D211" s="40"/>
      <c r="F211" s="40"/>
      <c r="G211" s="40"/>
      <c r="H211" s="42"/>
      <c r="I211" s="42"/>
    </row>
    <row r="212" spans="2:9" x14ac:dyDescent="0.25">
      <c r="B212" s="39"/>
      <c r="C212" s="40"/>
      <c r="D212" s="40"/>
      <c r="F212" s="40"/>
      <c r="G212" s="40"/>
      <c r="H212" s="42"/>
      <c r="I212" s="42"/>
    </row>
    <row r="213" spans="2:9" x14ac:dyDescent="0.25">
      <c r="B213" s="39"/>
      <c r="C213" s="40"/>
      <c r="D213" s="40"/>
      <c r="F213" s="40"/>
      <c r="G213" s="40"/>
      <c r="H213" s="42"/>
      <c r="I213" s="42"/>
    </row>
    <row r="214" spans="2:9" x14ac:dyDescent="0.25">
      <c r="B214" s="39"/>
      <c r="C214" s="40"/>
      <c r="D214" s="40"/>
      <c r="F214" s="40"/>
      <c r="G214" s="40"/>
      <c r="H214" s="42"/>
      <c r="I214" s="42"/>
    </row>
    <row r="215" spans="2:9" x14ac:dyDescent="0.25">
      <c r="B215" s="39"/>
      <c r="C215" s="40"/>
      <c r="D215" s="40"/>
      <c r="F215" s="40"/>
      <c r="G215" s="40"/>
      <c r="H215" s="42"/>
      <c r="I215" s="42"/>
    </row>
    <row r="216" spans="2:9" x14ac:dyDescent="0.25">
      <c r="B216" s="39"/>
      <c r="C216" s="40"/>
      <c r="D216" s="40"/>
      <c r="F216" s="40"/>
      <c r="G216" s="40"/>
      <c r="H216" s="42"/>
      <c r="I216" s="42"/>
    </row>
    <row r="217" spans="2:9" x14ac:dyDescent="0.25">
      <c r="B217" s="39"/>
      <c r="C217" s="40"/>
      <c r="D217" s="40"/>
      <c r="F217" s="40"/>
      <c r="G217" s="40"/>
      <c r="H217" s="42"/>
      <c r="I217" s="42"/>
    </row>
    <row r="218" spans="2:9" x14ac:dyDescent="0.25">
      <c r="B218" s="39"/>
      <c r="C218" s="40"/>
      <c r="D218" s="40"/>
      <c r="F218" s="40"/>
      <c r="G218" s="40"/>
      <c r="H218" s="42"/>
      <c r="I218" s="42"/>
    </row>
    <row r="219" spans="2:9" x14ac:dyDescent="0.25">
      <c r="B219" s="39"/>
      <c r="C219" s="40"/>
      <c r="D219" s="40"/>
      <c r="F219" s="40"/>
      <c r="G219" s="40"/>
      <c r="H219" s="42"/>
      <c r="I219" s="42"/>
    </row>
    <row r="220" spans="2:9" x14ac:dyDescent="0.25">
      <c r="B220" s="39"/>
      <c r="C220" s="40"/>
      <c r="D220" s="40"/>
      <c r="F220" s="40"/>
      <c r="G220" s="40"/>
      <c r="H220" s="42"/>
      <c r="I220" s="42"/>
    </row>
    <row r="221" spans="2:9" x14ac:dyDescent="0.25">
      <c r="B221" s="39"/>
      <c r="C221" s="40"/>
      <c r="D221" s="40"/>
      <c r="F221" s="40"/>
      <c r="G221" s="40"/>
      <c r="H221" s="42"/>
      <c r="I221" s="42"/>
    </row>
    <row r="222" spans="2:9" x14ac:dyDescent="0.25">
      <c r="B222" s="39"/>
      <c r="C222" s="40"/>
      <c r="D222" s="40"/>
      <c r="F222" s="40"/>
      <c r="G222" s="40"/>
      <c r="H222" s="42"/>
      <c r="I222" s="42"/>
    </row>
    <row r="223" spans="2:9" x14ac:dyDescent="0.25">
      <c r="B223" s="39"/>
      <c r="C223" s="40"/>
      <c r="D223" s="40"/>
      <c r="F223" s="40"/>
      <c r="G223" s="40"/>
      <c r="H223" s="42"/>
      <c r="I223" s="42"/>
    </row>
    <row r="224" spans="2:9" x14ac:dyDescent="0.25">
      <c r="B224" s="39"/>
      <c r="C224" s="40"/>
      <c r="D224" s="40"/>
      <c r="F224" s="40"/>
      <c r="G224" s="40"/>
      <c r="H224" s="42"/>
      <c r="I224" s="42"/>
    </row>
    <row r="225" spans="2:9" x14ac:dyDescent="0.25">
      <c r="B225" s="39"/>
      <c r="C225" s="40"/>
      <c r="D225" s="40"/>
      <c r="F225" s="40"/>
      <c r="G225" s="40"/>
      <c r="H225" s="42"/>
      <c r="I225" s="42"/>
    </row>
    <row r="226" spans="2:9" x14ac:dyDescent="0.25">
      <c r="B226" s="39"/>
      <c r="C226" s="40"/>
      <c r="D226" s="40"/>
      <c r="F226" s="40"/>
      <c r="G226" s="40"/>
      <c r="H226" s="42"/>
      <c r="I226" s="42"/>
    </row>
    <row r="227" spans="2:9" x14ac:dyDescent="0.25">
      <c r="B227" s="39"/>
      <c r="C227" s="40"/>
      <c r="D227" s="40"/>
      <c r="F227" s="40"/>
      <c r="G227" s="40"/>
      <c r="H227" s="42"/>
      <c r="I227" s="42"/>
    </row>
    <row r="228" spans="2:9" x14ac:dyDescent="0.25">
      <c r="B228" s="39"/>
      <c r="C228" s="40"/>
      <c r="D228" s="40"/>
      <c r="F228" s="40"/>
      <c r="G228" s="40"/>
      <c r="H228" s="42"/>
      <c r="I228" s="42"/>
    </row>
    <row r="229" spans="2:9" x14ac:dyDescent="0.25">
      <c r="B229" s="39"/>
      <c r="C229" s="40"/>
      <c r="D229" s="40"/>
      <c r="F229" s="40"/>
      <c r="G229" s="40"/>
      <c r="H229" s="42"/>
      <c r="I229" s="42"/>
    </row>
    <row r="230" spans="2:9" x14ac:dyDescent="0.25">
      <c r="B230" s="39"/>
      <c r="C230" s="40"/>
      <c r="D230" s="40"/>
      <c r="F230" s="40"/>
      <c r="G230" s="40"/>
      <c r="H230" s="42"/>
      <c r="I230" s="42"/>
    </row>
    <row r="231" spans="2:9" x14ac:dyDescent="0.25">
      <c r="B231" s="39"/>
      <c r="C231" s="40"/>
      <c r="D231" s="40"/>
      <c r="F231" s="40"/>
      <c r="G231" s="40"/>
      <c r="H231" s="42"/>
      <c r="I231" s="42"/>
    </row>
    <row r="232" spans="2:9" x14ac:dyDescent="0.25">
      <c r="B232" s="39"/>
      <c r="C232" s="40"/>
      <c r="D232" s="40"/>
      <c r="F232" s="40"/>
      <c r="G232" s="40"/>
      <c r="H232" s="42"/>
      <c r="I232" s="42"/>
    </row>
    <row r="233" spans="2:9" x14ac:dyDescent="0.25">
      <c r="B233" s="39"/>
      <c r="C233" s="40"/>
      <c r="D233" s="40"/>
      <c r="F233" s="40"/>
      <c r="G233" s="40"/>
      <c r="H233" s="42"/>
      <c r="I233" s="42"/>
    </row>
    <row r="234" spans="2:9" x14ac:dyDescent="0.25">
      <c r="B234" s="39"/>
      <c r="C234" s="40"/>
      <c r="D234" s="40"/>
      <c r="F234" s="40"/>
      <c r="G234" s="40"/>
      <c r="H234" s="42"/>
      <c r="I234" s="42"/>
    </row>
    <row r="235" spans="2:9" x14ac:dyDescent="0.25">
      <c r="B235" s="39"/>
      <c r="C235" s="40"/>
      <c r="D235" s="40"/>
      <c r="F235" s="40"/>
      <c r="G235" s="40"/>
      <c r="H235" s="42"/>
      <c r="I235" s="42"/>
    </row>
    <row r="236" spans="2:9" x14ac:dyDescent="0.25">
      <c r="B236" s="39"/>
      <c r="C236" s="40"/>
      <c r="D236" s="40"/>
      <c r="F236" s="40"/>
      <c r="G236" s="40"/>
      <c r="H236" s="42"/>
      <c r="I236" s="42"/>
    </row>
    <row r="237" spans="2:9" x14ac:dyDescent="0.25">
      <c r="B237" s="39"/>
      <c r="C237" s="40"/>
      <c r="D237" s="40"/>
      <c r="F237" s="40"/>
      <c r="G237" s="40"/>
      <c r="H237" s="42"/>
      <c r="I237" s="42"/>
    </row>
    <row r="238" spans="2:9" x14ac:dyDescent="0.25">
      <c r="B238" s="39"/>
      <c r="C238" s="40"/>
      <c r="D238" s="40"/>
      <c r="F238" s="40"/>
      <c r="G238" s="40"/>
      <c r="H238" s="42"/>
      <c r="I238" s="42"/>
    </row>
    <row r="239" spans="2:9" x14ac:dyDescent="0.25">
      <c r="B239" s="39"/>
      <c r="C239" s="40"/>
      <c r="D239" s="40"/>
      <c r="F239" s="40"/>
      <c r="G239" s="40"/>
      <c r="H239" s="42"/>
      <c r="I239" s="42"/>
    </row>
    <row r="240" spans="2:9" x14ac:dyDescent="0.25">
      <c r="B240" s="39"/>
      <c r="C240" s="40"/>
      <c r="D240" s="40"/>
      <c r="F240" s="40"/>
      <c r="G240" s="40"/>
      <c r="H240" s="42"/>
      <c r="I240" s="42"/>
    </row>
    <row r="241" spans="2:9" x14ac:dyDescent="0.25">
      <c r="B241" s="39"/>
      <c r="C241" s="40"/>
      <c r="D241" s="40"/>
      <c r="F241" s="40"/>
      <c r="G241" s="40"/>
      <c r="H241" s="42"/>
      <c r="I241" s="42"/>
    </row>
    <row r="242" spans="2:9" x14ac:dyDescent="0.25">
      <c r="B242" s="39"/>
      <c r="C242" s="40"/>
      <c r="D242" s="40"/>
      <c r="F242" s="40"/>
      <c r="G242" s="40"/>
      <c r="H242" s="42"/>
      <c r="I242" s="42"/>
    </row>
    <row r="243" spans="2:9" x14ac:dyDescent="0.25">
      <c r="B243" s="39"/>
      <c r="C243" s="40"/>
      <c r="D243" s="40"/>
      <c r="F243" s="40"/>
      <c r="G243" s="40"/>
      <c r="H243" s="42"/>
      <c r="I243" s="42"/>
    </row>
    <row r="244" spans="2:9" x14ac:dyDescent="0.25">
      <c r="B244" s="39"/>
      <c r="C244" s="40"/>
      <c r="D244" s="40"/>
      <c r="F244" s="40"/>
      <c r="G244" s="40"/>
      <c r="H244" s="42"/>
      <c r="I244" s="42"/>
    </row>
    <row r="245" spans="2:9" x14ac:dyDescent="0.25">
      <c r="B245" s="39"/>
      <c r="C245" s="40"/>
      <c r="D245" s="40"/>
      <c r="F245" s="40"/>
      <c r="G245" s="40"/>
      <c r="H245" s="42"/>
      <c r="I245" s="42"/>
    </row>
    <row r="246" spans="2:9" x14ac:dyDescent="0.25">
      <c r="B246" s="39"/>
      <c r="C246" s="40"/>
      <c r="D246" s="40"/>
      <c r="F246" s="40"/>
      <c r="G246" s="40"/>
      <c r="H246" s="42"/>
      <c r="I246" s="42"/>
    </row>
    <row r="247" spans="2:9" x14ac:dyDescent="0.25">
      <c r="B247" s="39"/>
      <c r="C247" s="40"/>
      <c r="D247" s="40"/>
      <c r="F247" s="40"/>
      <c r="G247" s="40"/>
      <c r="H247" s="42"/>
      <c r="I247" s="42"/>
    </row>
    <row r="248" spans="2:9" x14ac:dyDescent="0.25">
      <c r="B248" s="39"/>
      <c r="C248" s="40"/>
      <c r="D248" s="40"/>
      <c r="F248" s="40"/>
      <c r="G248" s="40"/>
      <c r="H248" s="42"/>
      <c r="I248" s="42"/>
    </row>
    <row r="249" spans="2:9" x14ac:dyDescent="0.25">
      <c r="B249" s="39"/>
      <c r="C249" s="40"/>
      <c r="D249" s="40"/>
      <c r="F249" s="40"/>
      <c r="G249" s="40"/>
      <c r="H249" s="42"/>
      <c r="I249" s="42"/>
    </row>
    <row r="250" spans="2:9" x14ac:dyDescent="0.25">
      <c r="B250" s="39"/>
      <c r="C250" s="40"/>
      <c r="D250" s="40"/>
      <c r="F250" s="40"/>
      <c r="G250" s="40"/>
      <c r="H250" s="42"/>
      <c r="I250" s="42"/>
    </row>
    <row r="251" spans="2:9" x14ac:dyDescent="0.25">
      <c r="B251" s="39"/>
      <c r="C251" s="40"/>
      <c r="D251" s="40"/>
      <c r="F251" s="40"/>
      <c r="G251" s="40"/>
      <c r="H251" s="42"/>
      <c r="I251" s="42"/>
    </row>
    <row r="252" spans="2:9" x14ac:dyDescent="0.25">
      <c r="B252" s="39"/>
      <c r="C252" s="40"/>
      <c r="D252" s="40"/>
      <c r="F252" s="40"/>
      <c r="G252" s="40"/>
      <c r="H252" s="42"/>
      <c r="I252" s="42"/>
    </row>
    <row r="253" spans="2:9" x14ac:dyDescent="0.25">
      <c r="B253" s="39"/>
      <c r="C253" s="40"/>
      <c r="D253" s="40"/>
      <c r="F253" s="40"/>
      <c r="G253" s="40"/>
      <c r="H253" s="42"/>
      <c r="I253" s="42"/>
    </row>
    <row r="254" spans="2:9" x14ac:dyDescent="0.25">
      <c r="B254" s="39"/>
      <c r="C254" s="40"/>
      <c r="D254" s="40"/>
      <c r="F254" s="40"/>
      <c r="G254" s="40"/>
      <c r="H254" s="42"/>
      <c r="I254" s="42"/>
    </row>
    <row r="255" spans="2:9" x14ac:dyDescent="0.25">
      <c r="B255" s="39"/>
      <c r="C255" s="40"/>
      <c r="D255" s="40"/>
      <c r="F255" s="40"/>
      <c r="G255" s="40"/>
      <c r="H255" s="42"/>
      <c r="I255" s="42"/>
    </row>
    <row r="256" spans="2:9" x14ac:dyDescent="0.25">
      <c r="B256" s="39"/>
      <c r="C256" s="40"/>
      <c r="D256" s="40"/>
      <c r="F256" s="40"/>
      <c r="G256" s="40"/>
      <c r="H256" s="42"/>
      <c r="I256" s="42"/>
    </row>
    <row r="257" spans="2:9" x14ac:dyDescent="0.25">
      <c r="B257" s="39"/>
      <c r="C257" s="40"/>
      <c r="D257" s="40"/>
      <c r="F257" s="40"/>
      <c r="G257" s="40"/>
      <c r="H257" s="42"/>
      <c r="I257" s="42"/>
    </row>
    <row r="258" spans="2:9" x14ac:dyDescent="0.25">
      <c r="B258" s="39"/>
      <c r="C258" s="40"/>
      <c r="D258" s="40"/>
      <c r="F258" s="40"/>
      <c r="G258" s="40"/>
      <c r="H258" s="42"/>
      <c r="I258" s="42"/>
    </row>
    <row r="259" spans="2:9" x14ac:dyDescent="0.25">
      <c r="B259" s="39"/>
      <c r="C259" s="40"/>
      <c r="D259" s="40"/>
      <c r="F259" s="40"/>
      <c r="G259" s="40"/>
      <c r="H259" s="42"/>
      <c r="I259" s="42"/>
    </row>
    <row r="260" spans="2:9" x14ac:dyDescent="0.25">
      <c r="B260" s="39"/>
      <c r="C260" s="40"/>
      <c r="D260" s="40"/>
      <c r="F260" s="40"/>
      <c r="G260" s="40"/>
      <c r="H260" s="42"/>
      <c r="I260" s="42"/>
    </row>
    <row r="261" spans="2:9" x14ac:dyDescent="0.25">
      <c r="B261" s="39"/>
      <c r="C261" s="40"/>
      <c r="D261" s="40"/>
      <c r="F261" s="40"/>
      <c r="G261" s="40"/>
      <c r="H261" s="42"/>
      <c r="I261" s="42"/>
    </row>
    <row r="262" spans="2:9" x14ac:dyDescent="0.25">
      <c r="B262" s="39"/>
      <c r="C262" s="40"/>
      <c r="D262" s="40"/>
      <c r="F262" s="40"/>
      <c r="G262" s="40"/>
      <c r="H262" s="42"/>
      <c r="I262" s="42"/>
    </row>
    <row r="263" spans="2:9" x14ac:dyDescent="0.25">
      <c r="B263" s="39"/>
      <c r="C263" s="40"/>
      <c r="D263" s="40"/>
      <c r="F263" s="40"/>
      <c r="G263" s="40"/>
      <c r="H263" s="42"/>
      <c r="I263" s="42"/>
    </row>
    <row r="264" spans="2:9" x14ac:dyDescent="0.25">
      <c r="B264" s="39"/>
      <c r="C264" s="40"/>
      <c r="D264" s="40"/>
      <c r="F264" s="40"/>
      <c r="G264" s="40"/>
      <c r="H264" s="42"/>
      <c r="I264" s="42"/>
    </row>
    <row r="265" spans="2:9" x14ac:dyDescent="0.25">
      <c r="B265" s="39"/>
      <c r="C265" s="40"/>
      <c r="D265" s="40"/>
      <c r="F265" s="40"/>
      <c r="G265" s="40"/>
      <c r="H265" s="42"/>
      <c r="I265" s="42"/>
    </row>
    <row r="266" spans="2:9" x14ac:dyDescent="0.25">
      <c r="B266" s="39"/>
      <c r="C266" s="40"/>
      <c r="D266" s="40"/>
      <c r="F266" s="40"/>
      <c r="G266" s="40"/>
      <c r="H266" s="42"/>
      <c r="I266" s="42"/>
    </row>
    <row r="267" spans="2:9" x14ac:dyDescent="0.25">
      <c r="B267" s="39"/>
      <c r="C267" s="40"/>
      <c r="D267" s="40"/>
      <c r="F267" s="40"/>
      <c r="G267" s="40"/>
      <c r="H267" s="42"/>
      <c r="I267" s="42"/>
    </row>
    <row r="268" spans="2:9" x14ac:dyDescent="0.25">
      <c r="B268" s="39"/>
      <c r="C268" s="40"/>
      <c r="D268" s="40"/>
      <c r="F268" s="40"/>
      <c r="G268" s="40"/>
      <c r="H268" s="42"/>
      <c r="I268" s="42"/>
    </row>
    <row r="269" spans="2:9" x14ac:dyDescent="0.25">
      <c r="B269" s="39"/>
      <c r="C269" s="40"/>
      <c r="D269" s="40"/>
      <c r="F269" s="40"/>
      <c r="G269" s="40"/>
      <c r="H269" s="42"/>
      <c r="I269" s="42"/>
    </row>
    <row r="270" spans="2:9" x14ac:dyDescent="0.25">
      <c r="B270" s="39"/>
      <c r="C270" s="40"/>
      <c r="D270" s="40"/>
      <c r="F270" s="40"/>
      <c r="G270" s="40"/>
      <c r="H270" s="42"/>
      <c r="I270" s="42"/>
    </row>
    <row r="271" spans="2:9" x14ac:dyDescent="0.25">
      <c r="B271" s="39"/>
      <c r="C271" s="40"/>
      <c r="D271" s="40"/>
      <c r="F271" s="40"/>
      <c r="G271" s="40"/>
      <c r="H271" s="42"/>
      <c r="I271" s="42"/>
    </row>
    <row r="272" spans="2:9" x14ac:dyDescent="0.25">
      <c r="B272" s="39"/>
      <c r="C272" s="40"/>
      <c r="D272" s="40"/>
      <c r="F272" s="40"/>
      <c r="G272" s="40"/>
      <c r="H272" s="42"/>
      <c r="I272" s="42"/>
    </row>
    <row r="273" spans="2:9" x14ac:dyDescent="0.25">
      <c r="B273" s="39"/>
      <c r="C273" s="40"/>
      <c r="D273" s="40"/>
      <c r="F273" s="40"/>
      <c r="G273" s="40"/>
      <c r="H273" s="42"/>
      <c r="I273" s="42"/>
    </row>
    <row r="274" spans="2:9" x14ac:dyDescent="0.25">
      <c r="B274" s="39"/>
      <c r="C274" s="40"/>
      <c r="D274" s="40"/>
      <c r="F274" s="40"/>
      <c r="G274" s="40"/>
      <c r="H274" s="42"/>
      <c r="I274" s="42"/>
    </row>
    <row r="275" spans="2:9" x14ac:dyDescent="0.25">
      <c r="B275" s="39"/>
      <c r="C275" s="40"/>
      <c r="D275" s="40"/>
      <c r="F275" s="40"/>
      <c r="G275" s="40"/>
      <c r="H275" s="42"/>
      <c r="I275" s="42"/>
    </row>
    <row r="276" spans="2:9" x14ac:dyDescent="0.25">
      <c r="B276" s="39"/>
      <c r="C276" s="40"/>
      <c r="D276" s="40"/>
      <c r="F276" s="40"/>
      <c r="G276" s="40"/>
      <c r="H276" s="42"/>
      <c r="I276" s="42"/>
    </row>
    <row r="277" spans="2:9" x14ac:dyDescent="0.25">
      <c r="B277" s="39"/>
      <c r="C277" s="40"/>
      <c r="D277" s="40"/>
      <c r="F277" s="40"/>
      <c r="G277" s="40"/>
      <c r="H277" s="42"/>
      <c r="I277" s="42"/>
    </row>
    <row r="278" spans="2:9" x14ac:dyDescent="0.25">
      <c r="B278" s="39"/>
      <c r="C278" s="40"/>
      <c r="D278" s="40"/>
      <c r="F278" s="40"/>
      <c r="G278" s="40"/>
      <c r="H278" s="42"/>
      <c r="I278" s="42"/>
    </row>
    <row r="279" spans="2:9" x14ac:dyDescent="0.25">
      <c r="B279" s="39"/>
      <c r="C279" s="40"/>
      <c r="D279" s="40"/>
      <c r="F279" s="40"/>
      <c r="G279" s="40"/>
      <c r="H279" s="42"/>
      <c r="I279" s="42"/>
    </row>
    <row r="280" spans="2:9" x14ac:dyDescent="0.25">
      <c r="B280" s="39"/>
      <c r="C280" s="40"/>
      <c r="D280" s="40"/>
      <c r="F280" s="40"/>
      <c r="G280" s="40"/>
      <c r="H280" s="42"/>
      <c r="I280" s="42"/>
    </row>
    <row r="281" spans="2:9" x14ac:dyDescent="0.25">
      <c r="B281" s="39"/>
      <c r="C281" s="40"/>
      <c r="D281" s="40"/>
      <c r="F281" s="40"/>
      <c r="G281" s="40"/>
      <c r="H281" s="42"/>
      <c r="I281" s="42"/>
    </row>
    <row r="282" spans="2:9" x14ac:dyDescent="0.25">
      <c r="B282" s="39"/>
      <c r="C282" s="40"/>
      <c r="D282" s="40"/>
      <c r="F282" s="40"/>
      <c r="G282" s="40"/>
      <c r="H282" s="42"/>
      <c r="I282" s="42"/>
    </row>
    <row r="283" spans="2:9" x14ac:dyDescent="0.25">
      <c r="B283" s="39"/>
      <c r="C283" s="40"/>
      <c r="D283" s="40"/>
      <c r="F283" s="40"/>
      <c r="G283" s="40"/>
      <c r="H283" s="42"/>
      <c r="I283" s="42"/>
    </row>
    <row r="284" spans="2:9" x14ac:dyDescent="0.25">
      <c r="B284" s="39"/>
      <c r="C284" s="40"/>
      <c r="D284" s="40"/>
      <c r="F284" s="40"/>
      <c r="G284" s="40"/>
      <c r="H284" s="42"/>
      <c r="I284" s="42"/>
    </row>
    <row r="285" spans="2:9" x14ac:dyDescent="0.25">
      <c r="B285" s="39"/>
      <c r="C285" s="40"/>
      <c r="D285" s="40"/>
      <c r="F285" s="40"/>
      <c r="G285" s="40"/>
      <c r="H285" s="42"/>
      <c r="I285" s="42"/>
    </row>
    <row r="286" spans="2:9" x14ac:dyDescent="0.25">
      <c r="B286" s="39"/>
      <c r="C286" s="40"/>
      <c r="D286" s="40"/>
      <c r="F286" s="40"/>
      <c r="G286" s="40"/>
      <c r="H286" s="42"/>
      <c r="I286" s="42"/>
    </row>
    <row r="287" spans="2:9" x14ac:dyDescent="0.25">
      <c r="B287" s="39"/>
      <c r="C287" s="40"/>
      <c r="D287" s="40"/>
      <c r="F287" s="40"/>
      <c r="G287" s="40"/>
      <c r="H287" s="42"/>
      <c r="I287" s="42"/>
    </row>
    <row r="288" spans="2:9" x14ac:dyDescent="0.25">
      <c r="B288" s="39"/>
      <c r="C288" s="40"/>
      <c r="D288" s="40"/>
      <c r="F288" s="40"/>
      <c r="G288" s="40"/>
      <c r="H288" s="42"/>
      <c r="I288" s="42"/>
    </row>
    <row r="289" spans="2:9" x14ac:dyDescent="0.25">
      <c r="B289" s="39"/>
      <c r="C289" s="40"/>
      <c r="D289" s="40"/>
      <c r="F289" s="40"/>
      <c r="G289" s="40"/>
      <c r="H289" s="42"/>
      <c r="I289" s="42"/>
    </row>
    <row r="290" spans="2:9" x14ac:dyDescent="0.25">
      <c r="B290" s="39"/>
      <c r="C290" s="40"/>
      <c r="D290" s="40"/>
      <c r="F290" s="40"/>
      <c r="G290" s="40"/>
      <c r="H290" s="42"/>
      <c r="I290" s="42"/>
    </row>
    <row r="291" spans="2:9" x14ac:dyDescent="0.25">
      <c r="B291" s="39"/>
      <c r="C291" s="40"/>
      <c r="D291" s="40"/>
      <c r="F291" s="40"/>
      <c r="G291" s="40"/>
      <c r="H291" s="42"/>
      <c r="I291" s="42"/>
    </row>
    <row r="292" spans="2:9" x14ac:dyDescent="0.25">
      <c r="B292" s="39"/>
      <c r="C292" s="40"/>
      <c r="D292" s="40"/>
      <c r="F292" s="40"/>
      <c r="G292" s="40"/>
      <c r="H292" s="42"/>
      <c r="I292" s="42"/>
    </row>
    <row r="293" spans="2:9" x14ac:dyDescent="0.25">
      <c r="B293" s="39"/>
      <c r="C293" s="40"/>
      <c r="D293" s="40"/>
      <c r="F293" s="40"/>
      <c r="G293" s="40"/>
      <c r="H293" s="42"/>
      <c r="I293" s="42"/>
    </row>
    <row r="294" spans="2:9" x14ac:dyDescent="0.25">
      <c r="B294" s="39"/>
      <c r="C294" s="40"/>
      <c r="D294" s="40"/>
      <c r="F294" s="40"/>
      <c r="G294" s="40"/>
      <c r="H294" s="42"/>
      <c r="I294" s="42"/>
    </row>
    <row r="295" spans="2:9" x14ac:dyDescent="0.25">
      <c r="B295" s="39"/>
      <c r="C295" s="40"/>
      <c r="D295" s="40"/>
      <c r="F295" s="40"/>
      <c r="G295" s="40"/>
      <c r="H295" s="42"/>
      <c r="I295" s="42"/>
    </row>
    <row r="296" spans="2:9" x14ac:dyDescent="0.25">
      <c r="B296" s="39"/>
      <c r="C296" s="40"/>
      <c r="D296" s="40"/>
      <c r="F296" s="40"/>
      <c r="G296" s="40"/>
      <c r="H296" s="42"/>
      <c r="I296" s="42"/>
    </row>
    <row r="297" spans="2:9" x14ac:dyDescent="0.25">
      <c r="B297" s="39"/>
      <c r="C297" s="40"/>
      <c r="D297" s="40"/>
      <c r="F297" s="40"/>
      <c r="G297" s="40"/>
      <c r="H297" s="42"/>
      <c r="I297" s="42"/>
    </row>
    <row r="298" spans="2:9" x14ac:dyDescent="0.25">
      <c r="B298" s="39"/>
      <c r="C298" s="40"/>
      <c r="D298" s="40"/>
      <c r="F298" s="40"/>
      <c r="G298" s="40"/>
      <c r="H298" s="42"/>
      <c r="I298" s="42"/>
    </row>
    <row r="299" spans="2:9" x14ac:dyDescent="0.25">
      <c r="B299" s="39"/>
      <c r="C299" s="40"/>
      <c r="D299" s="40"/>
      <c r="F299" s="40"/>
      <c r="G299" s="40"/>
      <c r="H299" s="42"/>
      <c r="I299" s="42"/>
    </row>
    <row r="300" spans="2:9" x14ac:dyDescent="0.25">
      <c r="B300" s="39"/>
      <c r="C300" s="40"/>
      <c r="D300" s="40"/>
      <c r="F300" s="40"/>
      <c r="G300" s="40"/>
      <c r="H300" s="42"/>
      <c r="I300" s="42"/>
    </row>
    <row r="301" spans="2:9" x14ac:dyDescent="0.25">
      <c r="B301" s="39"/>
      <c r="C301" s="40"/>
      <c r="D301" s="40"/>
      <c r="F301" s="40"/>
      <c r="G301" s="40"/>
      <c r="H301" s="42"/>
      <c r="I301" s="42"/>
    </row>
    <row r="302" spans="2:9" x14ac:dyDescent="0.25">
      <c r="B302" s="39"/>
      <c r="C302" s="40"/>
      <c r="D302" s="40"/>
      <c r="F302" s="40"/>
      <c r="G302" s="40"/>
      <c r="H302" s="42"/>
      <c r="I302" s="42"/>
    </row>
    <row r="303" spans="2:9" x14ac:dyDescent="0.25">
      <c r="B303" s="39"/>
      <c r="C303" s="40"/>
      <c r="D303" s="40"/>
      <c r="F303" s="40"/>
      <c r="G303" s="40"/>
      <c r="H303" s="42"/>
      <c r="I303" s="42"/>
    </row>
    <row r="304" spans="2:9" x14ac:dyDescent="0.25">
      <c r="B304" s="39"/>
      <c r="C304" s="40"/>
      <c r="D304" s="40"/>
      <c r="F304" s="40"/>
      <c r="G304" s="40"/>
      <c r="H304" s="42"/>
      <c r="I304" s="42"/>
    </row>
    <row r="305" spans="2:9" x14ac:dyDescent="0.25">
      <c r="B305" s="39"/>
      <c r="C305" s="40"/>
      <c r="D305" s="40"/>
      <c r="F305" s="40"/>
      <c r="G305" s="40"/>
      <c r="H305" s="42"/>
      <c r="I305" s="42"/>
    </row>
    <row r="306" spans="2:9" x14ac:dyDescent="0.25">
      <c r="B306" s="39"/>
      <c r="C306" s="40"/>
      <c r="D306" s="40"/>
      <c r="F306" s="40"/>
      <c r="G306" s="40"/>
      <c r="H306" s="42"/>
      <c r="I306" s="42"/>
    </row>
    <row r="307" spans="2:9" x14ac:dyDescent="0.25">
      <c r="B307" s="39"/>
      <c r="C307" s="40"/>
      <c r="D307" s="40"/>
      <c r="F307" s="40"/>
      <c r="G307" s="40"/>
      <c r="H307" s="42"/>
      <c r="I307" s="42" t="str">
        <f t="shared" ref="I307:I319" si="0">IF(H307&lt;&gt;"",H307-H306,"")</f>
        <v/>
      </c>
    </row>
    <row r="308" spans="2:9" x14ac:dyDescent="0.25">
      <c r="B308" s="39"/>
      <c r="C308" s="40"/>
      <c r="D308" s="40"/>
      <c r="F308" s="40"/>
      <c r="G308" s="40"/>
      <c r="H308" s="42"/>
      <c r="I308" s="42" t="str">
        <f t="shared" si="0"/>
        <v/>
      </c>
    </row>
    <row r="309" spans="2:9" x14ac:dyDescent="0.25">
      <c r="B309" s="39"/>
      <c r="C309" s="40"/>
      <c r="D309" s="40"/>
      <c r="F309" s="40"/>
      <c r="G309" s="40"/>
      <c r="H309" s="42"/>
      <c r="I309" s="42" t="str">
        <f t="shared" si="0"/>
        <v/>
      </c>
    </row>
    <row r="310" spans="2:9" x14ac:dyDescent="0.25">
      <c r="B310" s="39"/>
      <c r="C310" s="40"/>
      <c r="D310" s="40"/>
      <c r="F310" s="40"/>
      <c r="G310" s="40"/>
      <c r="H310" s="42"/>
      <c r="I310" s="42" t="str">
        <f t="shared" si="0"/>
        <v/>
      </c>
    </row>
    <row r="311" spans="2:9" x14ac:dyDescent="0.25">
      <c r="B311" s="39"/>
      <c r="C311" s="40"/>
      <c r="D311" s="40"/>
      <c r="F311" s="40"/>
      <c r="G311" s="40"/>
      <c r="H311" s="42"/>
      <c r="I311" s="42" t="str">
        <f t="shared" si="0"/>
        <v/>
      </c>
    </row>
    <row r="312" spans="2:9" x14ac:dyDescent="0.25">
      <c r="B312" s="39"/>
      <c r="C312" s="40"/>
      <c r="D312" s="40"/>
      <c r="F312" s="40"/>
      <c r="G312" s="40"/>
      <c r="H312" s="42"/>
      <c r="I312" s="42" t="str">
        <f t="shared" si="0"/>
        <v/>
      </c>
    </row>
    <row r="313" spans="2:9" x14ac:dyDescent="0.25">
      <c r="B313" s="39"/>
      <c r="C313" s="40"/>
      <c r="D313" s="40"/>
      <c r="F313" s="40"/>
      <c r="G313" s="40"/>
      <c r="H313" s="42"/>
      <c r="I313" s="42" t="str">
        <f t="shared" si="0"/>
        <v/>
      </c>
    </row>
    <row r="314" spans="2:9" x14ac:dyDescent="0.25">
      <c r="B314" s="39"/>
      <c r="C314" s="40"/>
      <c r="D314" s="40"/>
      <c r="F314" s="40"/>
      <c r="G314" s="40"/>
      <c r="H314" s="42"/>
      <c r="I314" s="42" t="str">
        <f t="shared" si="0"/>
        <v/>
      </c>
    </row>
    <row r="315" spans="2:9" x14ac:dyDescent="0.25">
      <c r="B315" s="39"/>
      <c r="C315" s="40"/>
      <c r="D315" s="40"/>
      <c r="F315" s="40"/>
      <c r="G315" s="40"/>
      <c r="H315" s="42"/>
      <c r="I315" s="42" t="str">
        <f t="shared" si="0"/>
        <v/>
      </c>
    </row>
    <row r="316" spans="2:9" x14ac:dyDescent="0.25">
      <c r="B316" s="39"/>
      <c r="C316" s="40"/>
      <c r="D316" s="40"/>
      <c r="F316" s="40"/>
      <c r="G316" s="40"/>
      <c r="H316" s="42"/>
      <c r="I316" s="42" t="str">
        <f t="shared" si="0"/>
        <v/>
      </c>
    </row>
    <row r="317" spans="2:9" x14ac:dyDescent="0.25">
      <c r="B317" s="39"/>
      <c r="C317" s="40"/>
      <c r="D317" s="40"/>
      <c r="F317" s="40"/>
      <c r="G317" s="40"/>
      <c r="H317" s="42"/>
      <c r="I317" s="42" t="str">
        <f t="shared" si="0"/>
        <v/>
      </c>
    </row>
    <row r="318" spans="2:9" x14ac:dyDescent="0.25">
      <c r="B318" s="39"/>
      <c r="C318" s="40"/>
      <c r="D318" s="40"/>
      <c r="F318" s="40"/>
      <c r="G318" s="40"/>
      <c r="H318" s="42"/>
      <c r="I318" s="42" t="str">
        <f t="shared" si="0"/>
        <v/>
      </c>
    </row>
    <row r="319" spans="2:9" x14ac:dyDescent="0.25">
      <c r="B319" s="39"/>
      <c r="C319" s="40"/>
      <c r="D319" s="40"/>
      <c r="F319" s="40"/>
      <c r="G319" s="40"/>
      <c r="H319" s="42"/>
      <c r="I319" s="42" t="str">
        <f t="shared" si="0"/>
        <v/>
      </c>
    </row>
    <row r="320" spans="2:9" x14ac:dyDescent="0.25">
      <c r="B320" s="39"/>
      <c r="C320" s="40"/>
      <c r="D320" s="40"/>
      <c r="F320" s="40"/>
      <c r="G320" s="40"/>
      <c r="H320" s="42"/>
      <c r="I320" s="42" t="str">
        <f t="shared" ref="I320:I383" si="1">IF(H320&lt;&gt;"",H320-H319,"")</f>
        <v/>
      </c>
    </row>
    <row r="321" spans="2:9" x14ac:dyDescent="0.25">
      <c r="B321" s="39"/>
      <c r="C321" s="40"/>
      <c r="D321" s="40"/>
      <c r="F321" s="40"/>
      <c r="G321" s="40"/>
      <c r="H321" s="42"/>
      <c r="I321" s="42" t="str">
        <f t="shared" si="1"/>
        <v/>
      </c>
    </row>
    <row r="322" spans="2:9" x14ac:dyDescent="0.25">
      <c r="B322" s="39"/>
      <c r="C322" s="40"/>
      <c r="D322" s="40"/>
      <c r="F322" s="40"/>
      <c r="G322" s="40"/>
      <c r="H322" s="42"/>
      <c r="I322" s="42" t="str">
        <f t="shared" si="1"/>
        <v/>
      </c>
    </row>
    <row r="323" spans="2:9" x14ac:dyDescent="0.25">
      <c r="B323" s="39"/>
      <c r="C323" s="40"/>
      <c r="D323" s="40"/>
      <c r="F323" s="40"/>
      <c r="G323" s="40"/>
      <c r="H323" s="42"/>
      <c r="I323" s="42" t="str">
        <f t="shared" si="1"/>
        <v/>
      </c>
    </row>
    <row r="324" spans="2:9" x14ac:dyDescent="0.25">
      <c r="B324" s="39"/>
      <c r="C324" s="40"/>
      <c r="D324" s="40"/>
      <c r="F324" s="40"/>
      <c r="G324" s="40"/>
      <c r="H324" s="42"/>
      <c r="I324" s="42" t="str">
        <f t="shared" si="1"/>
        <v/>
      </c>
    </row>
    <row r="325" spans="2:9" x14ac:dyDescent="0.25">
      <c r="B325" s="39"/>
      <c r="C325" s="40"/>
      <c r="D325" s="40"/>
      <c r="F325" s="40"/>
      <c r="G325" s="40"/>
      <c r="H325" s="42"/>
      <c r="I325" s="42" t="str">
        <f t="shared" si="1"/>
        <v/>
      </c>
    </row>
    <row r="326" spans="2:9" x14ac:dyDescent="0.25">
      <c r="B326" s="39"/>
      <c r="C326" s="40"/>
      <c r="D326" s="40"/>
      <c r="F326" s="40"/>
      <c r="G326" s="40"/>
      <c r="H326" s="42"/>
      <c r="I326" s="42" t="str">
        <f t="shared" si="1"/>
        <v/>
      </c>
    </row>
    <row r="327" spans="2:9" x14ac:dyDescent="0.25">
      <c r="B327" s="39"/>
      <c r="C327" s="40"/>
      <c r="D327" s="40"/>
      <c r="F327" s="40"/>
      <c r="G327" s="40"/>
      <c r="H327" s="42"/>
      <c r="I327" s="42" t="str">
        <f t="shared" si="1"/>
        <v/>
      </c>
    </row>
    <row r="328" spans="2:9" x14ac:dyDescent="0.25">
      <c r="B328" s="39"/>
      <c r="C328" s="40"/>
      <c r="D328" s="40"/>
      <c r="F328" s="40"/>
      <c r="G328" s="40"/>
      <c r="H328" s="42"/>
      <c r="I328" s="42" t="str">
        <f t="shared" si="1"/>
        <v/>
      </c>
    </row>
    <row r="329" spans="2:9" x14ac:dyDescent="0.25">
      <c r="B329" s="39"/>
      <c r="C329" s="40"/>
      <c r="D329" s="40"/>
      <c r="F329" s="40"/>
      <c r="G329" s="40"/>
      <c r="H329" s="42"/>
      <c r="I329" s="42" t="str">
        <f t="shared" si="1"/>
        <v/>
      </c>
    </row>
    <row r="330" spans="2:9" x14ac:dyDescent="0.25">
      <c r="B330" s="39"/>
      <c r="C330" s="40"/>
      <c r="D330" s="40"/>
      <c r="F330" s="40"/>
      <c r="G330" s="40"/>
      <c r="H330" s="42"/>
      <c r="I330" s="42" t="str">
        <f t="shared" si="1"/>
        <v/>
      </c>
    </row>
    <row r="331" spans="2:9" x14ac:dyDescent="0.25">
      <c r="B331" s="39"/>
      <c r="C331" s="40"/>
      <c r="D331" s="40"/>
      <c r="F331" s="40"/>
      <c r="G331" s="40"/>
      <c r="H331" s="42"/>
      <c r="I331" s="42" t="str">
        <f t="shared" si="1"/>
        <v/>
      </c>
    </row>
    <row r="332" spans="2:9" x14ac:dyDescent="0.25">
      <c r="B332" s="39"/>
      <c r="C332" s="40"/>
      <c r="D332" s="40"/>
      <c r="F332" s="40"/>
      <c r="G332" s="40"/>
      <c r="H332" s="42"/>
      <c r="I332" s="42" t="str">
        <f t="shared" si="1"/>
        <v/>
      </c>
    </row>
    <row r="333" spans="2:9" x14ac:dyDescent="0.25">
      <c r="B333" s="39"/>
      <c r="C333" s="40"/>
      <c r="D333" s="40"/>
      <c r="F333" s="40"/>
      <c r="G333" s="40"/>
      <c r="H333" s="42"/>
      <c r="I333" s="42" t="str">
        <f t="shared" si="1"/>
        <v/>
      </c>
    </row>
    <row r="334" spans="2:9" x14ac:dyDescent="0.25">
      <c r="B334" s="39"/>
      <c r="C334" s="40"/>
      <c r="D334" s="40"/>
      <c r="F334" s="40"/>
      <c r="G334" s="40"/>
      <c r="H334" s="42"/>
      <c r="I334" s="42" t="str">
        <f t="shared" si="1"/>
        <v/>
      </c>
    </row>
    <row r="335" spans="2:9" x14ac:dyDescent="0.25">
      <c r="B335" s="39"/>
      <c r="C335" s="40"/>
      <c r="D335" s="40"/>
      <c r="F335" s="40"/>
      <c r="G335" s="40"/>
      <c r="H335" s="42"/>
      <c r="I335" s="42" t="str">
        <f t="shared" si="1"/>
        <v/>
      </c>
    </row>
    <row r="336" spans="2:9" x14ac:dyDescent="0.25">
      <c r="B336" s="39"/>
      <c r="C336" s="40"/>
      <c r="D336" s="40"/>
      <c r="F336" s="40"/>
      <c r="G336" s="40"/>
      <c r="H336" s="42"/>
      <c r="I336" s="42" t="str">
        <f t="shared" si="1"/>
        <v/>
      </c>
    </row>
    <row r="337" spans="2:9" x14ac:dyDescent="0.25">
      <c r="B337" s="39"/>
      <c r="C337" s="40"/>
      <c r="D337" s="40"/>
      <c r="F337" s="40"/>
      <c r="G337" s="40"/>
      <c r="H337" s="42"/>
      <c r="I337" s="42" t="str">
        <f t="shared" si="1"/>
        <v/>
      </c>
    </row>
    <row r="338" spans="2:9" x14ac:dyDescent="0.25">
      <c r="B338" s="39"/>
      <c r="C338" s="40"/>
      <c r="D338" s="40"/>
      <c r="F338" s="40"/>
      <c r="G338" s="40"/>
      <c r="H338" s="42"/>
      <c r="I338" s="42" t="str">
        <f t="shared" si="1"/>
        <v/>
      </c>
    </row>
    <row r="339" spans="2:9" x14ac:dyDescent="0.25">
      <c r="B339" s="39"/>
      <c r="C339" s="40"/>
      <c r="D339" s="40"/>
      <c r="F339" s="40"/>
      <c r="G339" s="40"/>
      <c r="H339" s="42"/>
      <c r="I339" s="42" t="str">
        <f t="shared" si="1"/>
        <v/>
      </c>
    </row>
    <row r="340" spans="2:9" x14ac:dyDescent="0.25">
      <c r="B340" s="39"/>
      <c r="C340" s="40"/>
      <c r="D340" s="40"/>
      <c r="F340" s="40"/>
      <c r="G340" s="40"/>
      <c r="H340" s="42"/>
      <c r="I340" s="42" t="str">
        <f t="shared" si="1"/>
        <v/>
      </c>
    </row>
    <row r="341" spans="2:9" x14ac:dyDescent="0.25">
      <c r="B341" s="39"/>
      <c r="C341" s="40"/>
      <c r="D341" s="40"/>
      <c r="F341" s="40"/>
      <c r="G341" s="40"/>
      <c r="H341" s="42"/>
      <c r="I341" s="42" t="str">
        <f t="shared" si="1"/>
        <v/>
      </c>
    </row>
    <row r="342" spans="2:9" x14ac:dyDescent="0.25">
      <c r="B342" s="39"/>
      <c r="C342" s="40"/>
      <c r="D342" s="40"/>
      <c r="F342" s="40"/>
      <c r="G342" s="40"/>
      <c r="H342" s="42"/>
      <c r="I342" s="42" t="str">
        <f t="shared" si="1"/>
        <v/>
      </c>
    </row>
    <row r="343" spans="2:9" x14ac:dyDescent="0.25">
      <c r="B343" s="39"/>
      <c r="C343" s="40"/>
      <c r="D343" s="40"/>
      <c r="F343" s="40"/>
      <c r="G343" s="40"/>
      <c r="H343" s="42"/>
      <c r="I343" s="42" t="str">
        <f t="shared" si="1"/>
        <v/>
      </c>
    </row>
    <row r="344" spans="2:9" x14ac:dyDescent="0.25">
      <c r="B344" s="39"/>
      <c r="C344" s="40"/>
      <c r="D344" s="40"/>
      <c r="F344" s="40"/>
      <c r="G344" s="40"/>
      <c r="H344" s="42"/>
      <c r="I344" s="42" t="str">
        <f t="shared" si="1"/>
        <v/>
      </c>
    </row>
    <row r="345" spans="2:9" x14ac:dyDescent="0.25">
      <c r="B345" s="39"/>
      <c r="C345" s="40"/>
      <c r="D345" s="40"/>
      <c r="F345" s="40"/>
      <c r="G345" s="40"/>
      <c r="H345" s="42"/>
      <c r="I345" s="42" t="str">
        <f t="shared" si="1"/>
        <v/>
      </c>
    </row>
    <row r="346" spans="2:9" x14ac:dyDescent="0.25">
      <c r="B346" s="39"/>
      <c r="C346" s="40"/>
      <c r="D346" s="40"/>
      <c r="F346" s="40"/>
      <c r="G346" s="40"/>
      <c r="H346" s="42"/>
      <c r="I346" s="42" t="str">
        <f t="shared" si="1"/>
        <v/>
      </c>
    </row>
    <row r="347" spans="2:9" x14ac:dyDescent="0.25">
      <c r="B347" s="39"/>
      <c r="C347" s="40"/>
      <c r="D347" s="40"/>
      <c r="F347" s="40"/>
      <c r="G347" s="40"/>
      <c r="H347" s="42"/>
      <c r="I347" s="42" t="str">
        <f t="shared" si="1"/>
        <v/>
      </c>
    </row>
    <row r="348" spans="2:9" x14ac:dyDescent="0.25">
      <c r="B348" s="39"/>
      <c r="C348" s="40"/>
      <c r="D348" s="40"/>
      <c r="F348" s="40"/>
      <c r="G348" s="40"/>
      <c r="H348" s="42"/>
      <c r="I348" s="42" t="str">
        <f t="shared" si="1"/>
        <v/>
      </c>
    </row>
    <row r="349" spans="2:9" x14ac:dyDescent="0.25">
      <c r="B349" s="39"/>
      <c r="C349" s="40"/>
      <c r="D349" s="40"/>
      <c r="F349" s="40"/>
      <c r="G349" s="40"/>
      <c r="H349" s="42"/>
      <c r="I349" s="42" t="str">
        <f t="shared" si="1"/>
        <v/>
      </c>
    </row>
    <row r="350" spans="2:9" x14ac:dyDescent="0.25">
      <c r="B350" s="39"/>
      <c r="C350" s="40"/>
      <c r="D350" s="40"/>
      <c r="F350" s="40"/>
      <c r="G350" s="40"/>
      <c r="H350" s="42"/>
      <c r="I350" s="42" t="str">
        <f t="shared" si="1"/>
        <v/>
      </c>
    </row>
    <row r="351" spans="2:9" x14ac:dyDescent="0.25">
      <c r="B351" s="39"/>
      <c r="C351" s="40"/>
      <c r="D351" s="40"/>
      <c r="F351" s="40"/>
      <c r="G351" s="40"/>
      <c r="H351" s="42"/>
      <c r="I351" s="42" t="str">
        <f t="shared" si="1"/>
        <v/>
      </c>
    </row>
    <row r="352" spans="2:9" x14ac:dyDescent="0.25">
      <c r="B352" s="39"/>
      <c r="C352" s="40"/>
      <c r="D352" s="40"/>
      <c r="F352" s="40"/>
      <c r="G352" s="40"/>
      <c r="H352" s="42"/>
      <c r="I352" s="42" t="str">
        <f t="shared" si="1"/>
        <v/>
      </c>
    </row>
    <row r="353" spans="2:9" x14ac:dyDescent="0.25">
      <c r="B353" s="39"/>
      <c r="C353" s="40"/>
      <c r="D353" s="40"/>
      <c r="F353" s="40"/>
      <c r="G353" s="40"/>
      <c r="H353" s="42"/>
      <c r="I353" s="42" t="str">
        <f t="shared" si="1"/>
        <v/>
      </c>
    </row>
    <row r="354" spans="2:9" x14ac:dyDescent="0.25">
      <c r="B354" s="39"/>
      <c r="C354" s="40"/>
      <c r="D354" s="40"/>
      <c r="F354" s="40"/>
      <c r="G354" s="40"/>
      <c r="H354" s="42"/>
      <c r="I354" s="42" t="str">
        <f t="shared" si="1"/>
        <v/>
      </c>
    </row>
    <row r="355" spans="2:9" x14ac:dyDescent="0.25">
      <c r="B355" s="39"/>
      <c r="C355" s="40"/>
      <c r="D355" s="40"/>
      <c r="F355" s="40"/>
      <c r="G355" s="40"/>
      <c r="H355" s="42"/>
      <c r="I355" s="42" t="str">
        <f t="shared" si="1"/>
        <v/>
      </c>
    </row>
    <row r="356" spans="2:9" x14ac:dyDescent="0.25">
      <c r="B356" s="39"/>
      <c r="C356" s="40"/>
      <c r="D356" s="40"/>
      <c r="F356" s="40"/>
      <c r="G356" s="40"/>
      <c r="H356" s="42"/>
      <c r="I356" s="42" t="str">
        <f t="shared" si="1"/>
        <v/>
      </c>
    </row>
    <row r="357" spans="2:9" x14ac:dyDescent="0.25">
      <c r="B357" s="39"/>
      <c r="C357" s="40"/>
      <c r="D357" s="40"/>
      <c r="F357" s="40"/>
      <c r="G357" s="40"/>
      <c r="H357" s="42"/>
      <c r="I357" s="42" t="str">
        <f t="shared" si="1"/>
        <v/>
      </c>
    </row>
    <row r="358" spans="2:9" x14ac:dyDescent="0.25">
      <c r="B358" s="39"/>
      <c r="C358" s="40"/>
      <c r="D358" s="40"/>
      <c r="F358" s="40"/>
      <c r="G358" s="40"/>
      <c r="H358" s="42"/>
      <c r="I358" s="42" t="str">
        <f t="shared" si="1"/>
        <v/>
      </c>
    </row>
    <row r="359" spans="2:9" x14ac:dyDescent="0.25">
      <c r="B359" s="39"/>
      <c r="C359" s="40"/>
      <c r="D359" s="40"/>
      <c r="F359" s="40"/>
      <c r="G359" s="40"/>
      <c r="H359" s="42"/>
      <c r="I359" s="42" t="str">
        <f t="shared" si="1"/>
        <v/>
      </c>
    </row>
    <row r="360" spans="2:9" x14ac:dyDescent="0.25">
      <c r="B360" s="39"/>
      <c r="C360" s="40"/>
      <c r="D360" s="40"/>
      <c r="F360" s="40"/>
      <c r="G360" s="40"/>
      <c r="H360" s="42"/>
      <c r="I360" s="42" t="str">
        <f t="shared" si="1"/>
        <v/>
      </c>
    </row>
    <row r="361" spans="2:9" x14ac:dyDescent="0.25">
      <c r="B361" s="39"/>
      <c r="C361" s="40"/>
      <c r="D361" s="40"/>
      <c r="F361" s="40"/>
      <c r="G361" s="40"/>
      <c r="H361" s="42"/>
      <c r="I361" s="42" t="str">
        <f t="shared" si="1"/>
        <v/>
      </c>
    </row>
    <row r="362" spans="2:9" x14ac:dyDescent="0.25">
      <c r="B362" s="39"/>
      <c r="C362" s="40"/>
      <c r="D362" s="40"/>
      <c r="F362" s="40"/>
      <c r="G362" s="40"/>
      <c r="H362" s="42"/>
      <c r="I362" s="42" t="str">
        <f t="shared" si="1"/>
        <v/>
      </c>
    </row>
    <row r="363" spans="2:9" x14ac:dyDescent="0.25">
      <c r="B363" s="39"/>
      <c r="C363" s="40"/>
      <c r="D363" s="40"/>
      <c r="F363" s="40"/>
      <c r="G363" s="40"/>
      <c r="H363" s="42"/>
      <c r="I363" s="42" t="str">
        <f t="shared" si="1"/>
        <v/>
      </c>
    </row>
    <row r="364" spans="2:9" x14ac:dyDescent="0.25">
      <c r="B364" s="39"/>
      <c r="C364" s="40"/>
      <c r="D364" s="40"/>
      <c r="F364" s="40"/>
      <c r="G364" s="40"/>
      <c r="H364" s="42"/>
      <c r="I364" s="42" t="str">
        <f t="shared" si="1"/>
        <v/>
      </c>
    </row>
    <row r="365" spans="2:9" x14ac:dyDescent="0.25">
      <c r="B365" s="39"/>
      <c r="C365" s="40"/>
      <c r="D365" s="40"/>
      <c r="F365" s="40"/>
      <c r="G365" s="40"/>
      <c r="H365" s="42"/>
      <c r="I365" s="42" t="str">
        <f t="shared" si="1"/>
        <v/>
      </c>
    </row>
    <row r="366" spans="2:9" x14ac:dyDescent="0.25">
      <c r="B366" s="39"/>
      <c r="C366" s="40"/>
      <c r="D366" s="40"/>
      <c r="F366" s="40"/>
      <c r="G366" s="40"/>
      <c r="H366" s="42"/>
      <c r="I366" s="42" t="str">
        <f t="shared" si="1"/>
        <v/>
      </c>
    </row>
    <row r="367" spans="2:9" x14ac:dyDescent="0.25">
      <c r="B367" s="39"/>
      <c r="C367" s="40"/>
      <c r="D367" s="40"/>
      <c r="F367" s="40"/>
      <c r="G367" s="40"/>
      <c r="H367" s="42"/>
      <c r="I367" s="42" t="str">
        <f t="shared" si="1"/>
        <v/>
      </c>
    </row>
    <row r="368" spans="2:9" x14ac:dyDescent="0.25">
      <c r="B368" s="39"/>
      <c r="C368" s="40"/>
      <c r="D368" s="40"/>
      <c r="F368" s="40"/>
      <c r="G368" s="40"/>
      <c r="H368" s="42"/>
      <c r="I368" s="42" t="str">
        <f t="shared" si="1"/>
        <v/>
      </c>
    </row>
    <row r="369" spans="2:9" x14ac:dyDescent="0.25">
      <c r="B369" s="39"/>
      <c r="C369" s="40"/>
      <c r="D369" s="40"/>
      <c r="F369" s="40"/>
      <c r="G369" s="40"/>
      <c r="H369" s="42"/>
      <c r="I369" s="42" t="str">
        <f t="shared" si="1"/>
        <v/>
      </c>
    </row>
    <row r="370" spans="2:9" x14ac:dyDescent="0.25">
      <c r="B370" s="39"/>
      <c r="C370" s="40"/>
      <c r="D370" s="40"/>
      <c r="F370" s="40"/>
      <c r="G370" s="40"/>
      <c r="H370" s="42"/>
      <c r="I370" s="42" t="str">
        <f t="shared" si="1"/>
        <v/>
      </c>
    </row>
    <row r="371" spans="2:9" x14ac:dyDescent="0.25">
      <c r="B371" s="39"/>
      <c r="C371" s="40"/>
      <c r="D371" s="40"/>
      <c r="F371" s="40"/>
      <c r="G371" s="40"/>
      <c r="H371" s="42"/>
      <c r="I371" s="42" t="str">
        <f t="shared" si="1"/>
        <v/>
      </c>
    </row>
    <row r="372" spans="2:9" x14ac:dyDescent="0.25">
      <c r="B372" s="39"/>
      <c r="C372" s="40"/>
      <c r="D372" s="40"/>
      <c r="F372" s="40"/>
      <c r="G372" s="40"/>
      <c r="H372" s="42"/>
      <c r="I372" s="42" t="str">
        <f t="shared" si="1"/>
        <v/>
      </c>
    </row>
    <row r="373" spans="2:9" x14ac:dyDescent="0.25">
      <c r="B373" s="39"/>
      <c r="C373" s="40"/>
      <c r="D373" s="40"/>
      <c r="F373" s="40"/>
      <c r="G373" s="40"/>
      <c r="H373" s="42"/>
      <c r="I373" s="42" t="str">
        <f t="shared" si="1"/>
        <v/>
      </c>
    </row>
    <row r="374" spans="2:9" x14ac:dyDescent="0.25">
      <c r="B374" s="39"/>
      <c r="C374" s="40"/>
      <c r="D374" s="40"/>
      <c r="F374" s="40"/>
      <c r="G374" s="40"/>
      <c r="H374" s="42"/>
      <c r="I374" s="42" t="str">
        <f t="shared" si="1"/>
        <v/>
      </c>
    </row>
    <row r="375" spans="2:9" x14ac:dyDescent="0.25">
      <c r="B375" s="39"/>
      <c r="C375" s="40"/>
      <c r="D375" s="40"/>
      <c r="F375" s="40"/>
      <c r="G375" s="40"/>
      <c r="H375" s="42"/>
      <c r="I375" s="42" t="str">
        <f t="shared" si="1"/>
        <v/>
      </c>
    </row>
    <row r="376" spans="2:9" x14ac:dyDescent="0.25">
      <c r="B376" s="39"/>
      <c r="C376" s="40"/>
      <c r="D376" s="40"/>
      <c r="F376" s="40"/>
      <c r="G376" s="40"/>
      <c r="H376" s="42"/>
      <c r="I376" s="42" t="str">
        <f t="shared" si="1"/>
        <v/>
      </c>
    </row>
    <row r="377" spans="2:9" x14ac:dyDescent="0.25">
      <c r="B377" s="39"/>
      <c r="C377" s="40"/>
      <c r="D377" s="40"/>
      <c r="F377" s="40"/>
      <c r="G377" s="40"/>
      <c r="H377" s="42"/>
      <c r="I377" s="42" t="str">
        <f t="shared" si="1"/>
        <v/>
      </c>
    </row>
    <row r="378" spans="2:9" x14ac:dyDescent="0.25">
      <c r="B378" s="39"/>
      <c r="C378" s="40"/>
      <c r="D378" s="40"/>
      <c r="F378" s="40"/>
      <c r="G378" s="40"/>
      <c r="H378" s="42"/>
      <c r="I378" s="42" t="str">
        <f t="shared" si="1"/>
        <v/>
      </c>
    </row>
    <row r="379" spans="2:9" x14ac:dyDescent="0.25">
      <c r="B379" s="39"/>
      <c r="C379" s="40"/>
      <c r="D379" s="40"/>
      <c r="F379" s="40"/>
      <c r="G379" s="40"/>
      <c r="H379" s="42"/>
      <c r="I379" s="42" t="str">
        <f t="shared" si="1"/>
        <v/>
      </c>
    </row>
    <row r="380" spans="2:9" x14ac:dyDescent="0.25">
      <c r="B380" s="39"/>
      <c r="C380" s="40"/>
      <c r="D380" s="40"/>
      <c r="F380" s="40"/>
      <c r="G380" s="40"/>
      <c r="H380" s="42"/>
      <c r="I380" s="42" t="str">
        <f t="shared" si="1"/>
        <v/>
      </c>
    </row>
    <row r="381" spans="2:9" x14ac:dyDescent="0.25">
      <c r="B381" s="39"/>
      <c r="C381" s="40"/>
      <c r="D381" s="40"/>
      <c r="F381" s="40"/>
      <c r="G381" s="40"/>
      <c r="H381" s="42"/>
      <c r="I381" s="42" t="str">
        <f t="shared" si="1"/>
        <v/>
      </c>
    </row>
    <row r="382" spans="2:9" x14ac:dyDescent="0.25">
      <c r="B382" s="39"/>
      <c r="C382" s="40"/>
      <c r="D382" s="40"/>
      <c r="F382" s="40"/>
      <c r="G382" s="40"/>
      <c r="H382" s="42"/>
      <c r="I382" s="42" t="str">
        <f t="shared" si="1"/>
        <v/>
      </c>
    </row>
    <row r="383" spans="2:9" x14ac:dyDescent="0.25">
      <c r="B383" s="39"/>
      <c r="C383" s="40"/>
      <c r="D383" s="40"/>
      <c r="F383" s="40"/>
      <c r="G383" s="40"/>
      <c r="H383" s="42"/>
      <c r="I383" s="42" t="str">
        <f t="shared" si="1"/>
        <v/>
      </c>
    </row>
    <row r="384" spans="2:9" x14ac:dyDescent="0.25">
      <c r="B384" s="39"/>
      <c r="C384" s="40"/>
      <c r="D384" s="40"/>
      <c r="F384" s="40"/>
      <c r="G384" s="40"/>
      <c r="H384" s="42"/>
      <c r="I384" s="42" t="str">
        <f t="shared" ref="I384:I447" si="2">IF(H384&lt;&gt;"",H384-H383,"")</f>
        <v/>
      </c>
    </row>
    <row r="385" spans="2:9" x14ac:dyDescent="0.25">
      <c r="B385" s="39"/>
      <c r="C385" s="40"/>
      <c r="D385" s="40"/>
      <c r="F385" s="40"/>
      <c r="G385" s="40"/>
      <c r="H385" s="42"/>
      <c r="I385" s="42" t="str">
        <f t="shared" si="2"/>
        <v/>
      </c>
    </row>
    <row r="386" spans="2:9" x14ac:dyDescent="0.25">
      <c r="B386" s="39"/>
      <c r="C386" s="40"/>
      <c r="D386" s="40"/>
      <c r="F386" s="40"/>
      <c r="G386" s="40"/>
      <c r="H386" s="42"/>
      <c r="I386" s="42" t="str">
        <f t="shared" si="2"/>
        <v/>
      </c>
    </row>
    <row r="387" spans="2:9" x14ac:dyDescent="0.25">
      <c r="B387" s="39"/>
      <c r="C387" s="40"/>
      <c r="D387" s="40"/>
      <c r="F387" s="40"/>
      <c r="G387" s="40"/>
      <c r="H387" s="42"/>
      <c r="I387" s="42" t="str">
        <f t="shared" si="2"/>
        <v/>
      </c>
    </row>
    <row r="388" spans="2:9" x14ac:dyDescent="0.25">
      <c r="B388" s="39"/>
      <c r="C388" s="40"/>
      <c r="D388" s="40"/>
      <c r="F388" s="40"/>
      <c r="G388" s="40"/>
      <c r="H388" s="42"/>
      <c r="I388" s="42" t="str">
        <f t="shared" si="2"/>
        <v/>
      </c>
    </row>
    <row r="389" spans="2:9" x14ac:dyDescent="0.25">
      <c r="B389" s="39"/>
      <c r="C389" s="40"/>
      <c r="D389" s="40"/>
      <c r="F389" s="40"/>
      <c r="G389" s="40"/>
      <c r="H389" s="42"/>
      <c r="I389" s="42" t="str">
        <f t="shared" si="2"/>
        <v/>
      </c>
    </row>
    <row r="390" spans="2:9" x14ac:dyDescent="0.25">
      <c r="B390" s="39"/>
      <c r="C390" s="40"/>
      <c r="D390" s="40"/>
      <c r="F390" s="40"/>
      <c r="G390" s="40"/>
      <c r="H390" s="42"/>
      <c r="I390" s="42" t="str">
        <f t="shared" si="2"/>
        <v/>
      </c>
    </row>
    <row r="391" spans="2:9" x14ac:dyDescent="0.25">
      <c r="B391" s="39"/>
      <c r="C391" s="40"/>
      <c r="D391" s="40"/>
      <c r="F391" s="40"/>
      <c r="G391" s="40"/>
      <c r="H391" s="42"/>
      <c r="I391" s="42" t="str">
        <f t="shared" si="2"/>
        <v/>
      </c>
    </row>
    <row r="392" spans="2:9" x14ac:dyDescent="0.25">
      <c r="B392" s="39"/>
      <c r="C392" s="40"/>
      <c r="D392" s="40"/>
      <c r="F392" s="40"/>
      <c r="G392" s="40"/>
      <c r="H392" s="42"/>
      <c r="I392" s="42" t="str">
        <f t="shared" si="2"/>
        <v/>
      </c>
    </row>
    <row r="393" spans="2:9" x14ac:dyDescent="0.25">
      <c r="B393" s="39"/>
      <c r="C393" s="40"/>
      <c r="D393" s="40"/>
      <c r="F393" s="40"/>
      <c r="G393" s="40"/>
      <c r="H393" s="42"/>
      <c r="I393" s="42" t="str">
        <f t="shared" si="2"/>
        <v/>
      </c>
    </row>
    <row r="394" spans="2:9" x14ac:dyDescent="0.25">
      <c r="B394" s="39"/>
      <c r="C394" s="40"/>
      <c r="D394" s="40"/>
      <c r="F394" s="40"/>
      <c r="G394" s="40"/>
      <c r="H394" s="42"/>
      <c r="I394" s="42" t="str">
        <f t="shared" si="2"/>
        <v/>
      </c>
    </row>
    <row r="395" spans="2:9" x14ac:dyDescent="0.25">
      <c r="B395" s="39"/>
      <c r="C395" s="40"/>
      <c r="D395" s="40"/>
      <c r="F395" s="40"/>
      <c r="G395" s="40"/>
      <c r="H395" s="42"/>
      <c r="I395" s="42" t="str">
        <f t="shared" si="2"/>
        <v/>
      </c>
    </row>
    <row r="396" spans="2:9" x14ac:dyDescent="0.25">
      <c r="B396" s="39"/>
      <c r="C396" s="40"/>
      <c r="D396" s="40"/>
      <c r="F396" s="40"/>
      <c r="G396" s="40"/>
      <c r="H396" s="42"/>
      <c r="I396" s="42" t="str">
        <f t="shared" si="2"/>
        <v/>
      </c>
    </row>
    <row r="397" spans="2:9" x14ac:dyDescent="0.25">
      <c r="B397" s="39"/>
      <c r="C397" s="40"/>
      <c r="D397" s="40"/>
      <c r="F397" s="40"/>
      <c r="G397" s="40"/>
      <c r="H397" s="42"/>
      <c r="I397" s="42" t="str">
        <f t="shared" si="2"/>
        <v/>
      </c>
    </row>
    <row r="398" spans="2:9" x14ac:dyDescent="0.25">
      <c r="B398" s="39"/>
      <c r="C398" s="40"/>
      <c r="D398" s="40"/>
      <c r="F398" s="40"/>
      <c r="G398" s="40"/>
      <c r="H398" s="42"/>
      <c r="I398" s="42" t="str">
        <f t="shared" si="2"/>
        <v/>
      </c>
    </row>
    <row r="399" spans="2:9" x14ac:dyDescent="0.25">
      <c r="B399" s="39"/>
      <c r="C399" s="40"/>
      <c r="D399" s="40"/>
      <c r="F399" s="40"/>
      <c r="G399" s="40"/>
      <c r="H399" s="42"/>
      <c r="I399" s="42" t="str">
        <f t="shared" si="2"/>
        <v/>
      </c>
    </row>
    <row r="400" spans="2:9" x14ac:dyDescent="0.25">
      <c r="B400" s="39"/>
      <c r="C400" s="40"/>
      <c r="D400" s="40"/>
      <c r="F400" s="40"/>
      <c r="G400" s="40"/>
      <c r="H400" s="42"/>
      <c r="I400" s="42" t="str">
        <f t="shared" si="2"/>
        <v/>
      </c>
    </row>
    <row r="401" spans="2:9" x14ac:dyDescent="0.25">
      <c r="B401" s="39"/>
      <c r="C401" s="40"/>
      <c r="D401" s="40"/>
      <c r="F401" s="40"/>
      <c r="G401" s="40"/>
      <c r="H401" s="42"/>
      <c r="I401" s="42" t="str">
        <f t="shared" si="2"/>
        <v/>
      </c>
    </row>
    <row r="402" spans="2:9" x14ac:dyDescent="0.25">
      <c r="B402" s="39"/>
      <c r="C402" s="40"/>
      <c r="D402" s="40"/>
      <c r="F402" s="40"/>
      <c r="G402" s="40"/>
      <c r="H402" s="42"/>
      <c r="I402" s="42" t="str">
        <f t="shared" si="2"/>
        <v/>
      </c>
    </row>
    <row r="403" spans="2:9" x14ac:dyDescent="0.25">
      <c r="B403" s="39"/>
      <c r="C403" s="40"/>
      <c r="D403" s="40"/>
      <c r="F403" s="40"/>
      <c r="G403" s="40"/>
      <c r="H403" s="42"/>
      <c r="I403" s="42" t="str">
        <f t="shared" si="2"/>
        <v/>
      </c>
    </row>
    <row r="404" spans="2:9" x14ac:dyDescent="0.25">
      <c r="B404" s="39"/>
      <c r="C404" s="40"/>
      <c r="D404" s="40"/>
      <c r="F404" s="40"/>
      <c r="G404" s="40"/>
      <c r="H404" s="42"/>
      <c r="I404" s="42" t="str">
        <f t="shared" si="2"/>
        <v/>
      </c>
    </row>
    <row r="405" spans="2:9" x14ac:dyDescent="0.25">
      <c r="B405" s="39"/>
      <c r="C405" s="40"/>
      <c r="D405" s="40"/>
      <c r="F405" s="40"/>
      <c r="G405" s="40"/>
      <c r="H405" s="42"/>
      <c r="I405" s="42" t="str">
        <f t="shared" si="2"/>
        <v/>
      </c>
    </row>
    <row r="406" spans="2:9" x14ac:dyDescent="0.25">
      <c r="B406" s="39"/>
      <c r="C406" s="40"/>
      <c r="D406" s="40"/>
      <c r="F406" s="40"/>
      <c r="G406" s="40"/>
      <c r="H406" s="42"/>
      <c r="I406" s="42" t="str">
        <f t="shared" si="2"/>
        <v/>
      </c>
    </row>
    <row r="407" spans="2:9" x14ac:dyDescent="0.25">
      <c r="B407" s="39"/>
      <c r="C407" s="40"/>
      <c r="D407" s="40"/>
      <c r="F407" s="40"/>
      <c r="G407" s="40"/>
      <c r="H407" s="42"/>
      <c r="I407" s="42" t="str">
        <f t="shared" si="2"/>
        <v/>
      </c>
    </row>
    <row r="408" spans="2:9" x14ac:dyDescent="0.25">
      <c r="B408" s="39"/>
      <c r="C408" s="40"/>
      <c r="D408" s="40"/>
      <c r="F408" s="40"/>
      <c r="G408" s="40"/>
      <c r="H408" s="42"/>
      <c r="I408" s="42" t="str">
        <f t="shared" si="2"/>
        <v/>
      </c>
    </row>
    <row r="409" spans="2:9" x14ac:dyDescent="0.25">
      <c r="B409" s="39"/>
      <c r="C409" s="40"/>
      <c r="D409" s="40"/>
      <c r="F409" s="40"/>
      <c r="G409" s="40"/>
      <c r="H409" s="42"/>
      <c r="I409" s="42" t="str">
        <f t="shared" si="2"/>
        <v/>
      </c>
    </row>
    <row r="410" spans="2:9" x14ac:dyDescent="0.25">
      <c r="B410" s="39"/>
      <c r="C410" s="40"/>
      <c r="D410" s="40"/>
      <c r="F410" s="40"/>
      <c r="G410" s="40"/>
      <c r="H410" s="42"/>
      <c r="I410" s="42" t="str">
        <f t="shared" si="2"/>
        <v/>
      </c>
    </row>
    <row r="411" spans="2:9" x14ac:dyDescent="0.25">
      <c r="B411" s="39"/>
      <c r="C411" s="40"/>
      <c r="D411" s="40"/>
      <c r="F411" s="40"/>
      <c r="G411" s="40"/>
      <c r="H411" s="42"/>
      <c r="I411" s="42" t="str">
        <f t="shared" si="2"/>
        <v/>
      </c>
    </row>
    <row r="412" spans="2:9" x14ac:dyDescent="0.25">
      <c r="B412" s="39"/>
      <c r="C412" s="40"/>
      <c r="D412" s="40"/>
      <c r="F412" s="40"/>
      <c r="G412" s="40"/>
      <c r="H412" s="42"/>
      <c r="I412" s="42" t="str">
        <f t="shared" si="2"/>
        <v/>
      </c>
    </row>
    <row r="413" spans="2:9" x14ac:dyDescent="0.25">
      <c r="B413" s="39"/>
      <c r="C413" s="40"/>
      <c r="D413" s="40"/>
      <c r="F413" s="40"/>
      <c r="G413" s="40"/>
      <c r="H413" s="42"/>
      <c r="I413" s="42" t="str">
        <f t="shared" si="2"/>
        <v/>
      </c>
    </row>
    <row r="414" spans="2:9" x14ac:dyDescent="0.25">
      <c r="B414" s="39"/>
      <c r="C414" s="40"/>
      <c r="D414" s="40"/>
      <c r="F414" s="40"/>
      <c r="G414" s="40"/>
      <c r="H414" s="42"/>
      <c r="I414" s="42" t="str">
        <f t="shared" si="2"/>
        <v/>
      </c>
    </row>
    <row r="415" spans="2:9" x14ac:dyDescent="0.25">
      <c r="B415" s="39"/>
      <c r="C415" s="40"/>
      <c r="D415" s="40"/>
      <c r="F415" s="40"/>
      <c r="G415" s="40"/>
      <c r="H415" s="42"/>
      <c r="I415" s="42" t="str">
        <f t="shared" si="2"/>
        <v/>
      </c>
    </row>
    <row r="416" spans="2:9" x14ac:dyDescent="0.25">
      <c r="B416" s="39"/>
      <c r="C416" s="40"/>
      <c r="D416" s="40"/>
      <c r="F416" s="40"/>
      <c r="G416" s="40"/>
      <c r="H416" s="42"/>
      <c r="I416" s="42" t="str">
        <f t="shared" si="2"/>
        <v/>
      </c>
    </row>
    <row r="417" spans="2:9" x14ac:dyDescent="0.25">
      <c r="B417" s="39"/>
      <c r="C417" s="40"/>
      <c r="D417" s="40"/>
      <c r="F417" s="40"/>
      <c r="G417" s="40"/>
      <c r="H417" s="42"/>
      <c r="I417" s="42" t="str">
        <f t="shared" si="2"/>
        <v/>
      </c>
    </row>
    <row r="418" spans="2:9" x14ac:dyDescent="0.25">
      <c r="B418" s="39"/>
      <c r="C418" s="40"/>
      <c r="D418" s="40"/>
      <c r="F418" s="40"/>
      <c r="G418" s="40"/>
      <c r="H418" s="42"/>
      <c r="I418" s="42" t="str">
        <f t="shared" si="2"/>
        <v/>
      </c>
    </row>
    <row r="419" spans="2:9" x14ac:dyDescent="0.25">
      <c r="B419" s="39"/>
      <c r="C419" s="40"/>
      <c r="D419" s="40"/>
      <c r="F419" s="40"/>
      <c r="G419" s="40"/>
      <c r="H419" s="42"/>
      <c r="I419" s="42" t="str">
        <f t="shared" si="2"/>
        <v/>
      </c>
    </row>
    <row r="420" spans="2:9" x14ac:dyDescent="0.25">
      <c r="B420" s="39"/>
      <c r="C420" s="40"/>
      <c r="D420" s="40"/>
      <c r="F420" s="40"/>
      <c r="G420" s="40"/>
      <c r="H420" s="42"/>
      <c r="I420" s="42" t="str">
        <f t="shared" si="2"/>
        <v/>
      </c>
    </row>
    <row r="421" spans="2:9" x14ac:dyDescent="0.25">
      <c r="B421" s="39"/>
      <c r="C421" s="40"/>
      <c r="D421" s="40"/>
      <c r="F421" s="40"/>
      <c r="G421" s="40"/>
      <c r="H421" s="42"/>
      <c r="I421" s="42" t="str">
        <f t="shared" si="2"/>
        <v/>
      </c>
    </row>
    <row r="422" spans="2:9" x14ac:dyDescent="0.25">
      <c r="B422" s="39"/>
      <c r="C422" s="40"/>
      <c r="D422" s="40"/>
      <c r="F422" s="40"/>
      <c r="G422" s="40"/>
      <c r="H422" s="42"/>
      <c r="I422" s="42" t="str">
        <f t="shared" si="2"/>
        <v/>
      </c>
    </row>
    <row r="423" spans="2:9" x14ac:dyDescent="0.25">
      <c r="B423" s="39"/>
      <c r="C423" s="40"/>
      <c r="D423" s="40"/>
      <c r="F423" s="40"/>
      <c r="G423" s="40"/>
      <c r="H423" s="42"/>
      <c r="I423" s="42" t="str">
        <f t="shared" si="2"/>
        <v/>
      </c>
    </row>
    <row r="424" spans="2:9" x14ac:dyDescent="0.25">
      <c r="B424" s="39"/>
      <c r="C424" s="40"/>
      <c r="D424" s="40"/>
      <c r="F424" s="40"/>
      <c r="G424" s="40"/>
      <c r="H424" s="42"/>
      <c r="I424" s="42" t="str">
        <f t="shared" si="2"/>
        <v/>
      </c>
    </row>
    <row r="425" spans="2:9" x14ac:dyDescent="0.25">
      <c r="B425" s="39"/>
      <c r="C425" s="40"/>
      <c r="D425" s="40"/>
      <c r="F425" s="40"/>
      <c r="G425" s="40"/>
      <c r="H425" s="42"/>
      <c r="I425" s="42" t="str">
        <f t="shared" si="2"/>
        <v/>
      </c>
    </row>
    <row r="426" spans="2:9" x14ac:dyDescent="0.25">
      <c r="B426" s="39"/>
      <c r="C426" s="40"/>
      <c r="D426" s="40"/>
      <c r="F426" s="40"/>
      <c r="G426" s="40"/>
      <c r="H426" s="42"/>
      <c r="I426" s="42" t="str">
        <f t="shared" si="2"/>
        <v/>
      </c>
    </row>
    <row r="427" spans="2:9" x14ac:dyDescent="0.25">
      <c r="B427" s="39"/>
      <c r="C427" s="40"/>
      <c r="D427" s="40"/>
      <c r="F427" s="40"/>
      <c r="G427" s="40"/>
      <c r="H427" s="42"/>
      <c r="I427" s="42" t="str">
        <f t="shared" si="2"/>
        <v/>
      </c>
    </row>
    <row r="428" spans="2:9" x14ac:dyDescent="0.25">
      <c r="B428" s="39"/>
      <c r="C428" s="40"/>
      <c r="D428" s="40"/>
      <c r="F428" s="40"/>
      <c r="G428" s="40"/>
      <c r="H428" s="42"/>
      <c r="I428" s="42" t="str">
        <f t="shared" si="2"/>
        <v/>
      </c>
    </row>
    <row r="429" spans="2:9" x14ac:dyDescent="0.25">
      <c r="B429" s="39"/>
      <c r="C429" s="40"/>
      <c r="D429" s="40"/>
      <c r="F429" s="40"/>
      <c r="G429" s="40"/>
      <c r="H429" s="42"/>
      <c r="I429" s="42" t="str">
        <f t="shared" si="2"/>
        <v/>
      </c>
    </row>
    <row r="430" spans="2:9" x14ac:dyDescent="0.25">
      <c r="B430" s="39"/>
      <c r="C430" s="40"/>
      <c r="D430" s="40"/>
      <c r="F430" s="40"/>
      <c r="G430" s="40"/>
      <c r="H430" s="42"/>
      <c r="I430" s="42" t="str">
        <f t="shared" si="2"/>
        <v/>
      </c>
    </row>
    <row r="431" spans="2:9" x14ac:dyDescent="0.25">
      <c r="B431" s="39"/>
      <c r="C431" s="40"/>
      <c r="D431" s="40"/>
      <c r="F431" s="40"/>
      <c r="G431" s="40"/>
      <c r="H431" s="42"/>
      <c r="I431" s="42" t="str">
        <f t="shared" si="2"/>
        <v/>
      </c>
    </row>
    <row r="432" spans="2:9" x14ac:dyDescent="0.25">
      <c r="B432" s="39"/>
      <c r="C432" s="40"/>
      <c r="D432" s="40"/>
      <c r="F432" s="40"/>
      <c r="G432" s="40"/>
      <c r="H432" s="42"/>
      <c r="I432" s="42" t="str">
        <f t="shared" si="2"/>
        <v/>
      </c>
    </row>
    <row r="433" spans="2:9" x14ac:dyDescent="0.25">
      <c r="B433" s="39"/>
      <c r="C433" s="40"/>
      <c r="D433" s="40"/>
      <c r="F433" s="40"/>
      <c r="G433" s="40"/>
      <c r="H433" s="42"/>
      <c r="I433" s="42" t="str">
        <f t="shared" si="2"/>
        <v/>
      </c>
    </row>
    <row r="434" spans="2:9" x14ac:dyDescent="0.25">
      <c r="B434" s="39"/>
      <c r="C434" s="40"/>
      <c r="D434" s="40"/>
      <c r="F434" s="40"/>
      <c r="G434" s="40"/>
      <c r="H434" s="42"/>
      <c r="I434" s="42" t="str">
        <f t="shared" si="2"/>
        <v/>
      </c>
    </row>
    <row r="435" spans="2:9" x14ac:dyDescent="0.25">
      <c r="B435" s="39"/>
      <c r="C435" s="40"/>
      <c r="D435" s="40"/>
      <c r="F435" s="40"/>
      <c r="G435" s="40"/>
      <c r="H435" s="42"/>
      <c r="I435" s="42" t="str">
        <f t="shared" si="2"/>
        <v/>
      </c>
    </row>
    <row r="436" spans="2:9" x14ac:dyDescent="0.25">
      <c r="B436" s="39"/>
      <c r="C436" s="40"/>
      <c r="D436" s="40"/>
      <c r="F436" s="40"/>
      <c r="G436" s="40"/>
      <c r="H436" s="42"/>
      <c r="I436" s="42" t="str">
        <f t="shared" si="2"/>
        <v/>
      </c>
    </row>
    <row r="437" spans="2:9" x14ac:dyDescent="0.25">
      <c r="B437" s="39"/>
      <c r="C437" s="40"/>
      <c r="D437" s="40"/>
      <c r="F437" s="40"/>
      <c r="G437" s="40"/>
      <c r="H437" s="42"/>
      <c r="I437" s="42" t="str">
        <f t="shared" si="2"/>
        <v/>
      </c>
    </row>
    <row r="438" spans="2:9" x14ac:dyDescent="0.25">
      <c r="B438" s="39"/>
      <c r="C438" s="40"/>
      <c r="D438" s="40"/>
      <c r="F438" s="40"/>
      <c r="G438" s="40"/>
      <c r="H438" s="42"/>
      <c r="I438" s="42" t="str">
        <f t="shared" si="2"/>
        <v/>
      </c>
    </row>
    <row r="439" spans="2:9" x14ac:dyDescent="0.25">
      <c r="B439" s="39"/>
      <c r="C439" s="40"/>
      <c r="D439" s="40"/>
      <c r="F439" s="40"/>
      <c r="G439" s="40"/>
      <c r="H439" s="42"/>
      <c r="I439" s="42" t="str">
        <f t="shared" si="2"/>
        <v/>
      </c>
    </row>
    <row r="440" spans="2:9" x14ac:dyDescent="0.25">
      <c r="B440" s="39"/>
      <c r="C440" s="40"/>
      <c r="D440" s="40"/>
      <c r="F440" s="40"/>
      <c r="G440" s="40"/>
      <c r="H440" s="42"/>
      <c r="I440" s="42" t="str">
        <f t="shared" si="2"/>
        <v/>
      </c>
    </row>
    <row r="441" spans="2:9" x14ac:dyDescent="0.25">
      <c r="B441" s="39"/>
      <c r="C441" s="40"/>
      <c r="D441" s="40"/>
      <c r="F441" s="40"/>
      <c r="G441" s="40"/>
      <c r="H441" s="42"/>
      <c r="I441" s="42" t="str">
        <f t="shared" si="2"/>
        <v/>
      </c>
    </row>
    <row r="442" spans="2:9" x14ac:dyDescent="0.25">
      <c r="B442" s="39"/>
      <c r="C442" s="40"/>
      <c r="D442" s="40"/>
      <c r="F442" s="40"/>
      <c r="G442" s="40"/>
      <c r="H442" s="42"/>
      <c r="I442" s="42" t="str">
        <f t="shared" si="2"/>
        <v/>
      </c>
    </row>
    <row r="443" spans="2:9" x14ac:dyDescent="0.25">
      <c r="B443" s="39"/>
      <c r="C443" s="40"/>
      <c r="D443" s="40"/>
      <c r="F443" s="40"/>
      <c r="G443" s="40"/>
      <c r="H443" s="42"/>
      <c r="I443" s="42" t="str">
        <f t="shared" si="2"/>
        <v/>
      </c>
    </row>
    <row r="444" spans="2:9" x14ac:dyDescent="0.25">
      <c r="B444" s="39"/>
      <c r="C444" s="40"/>
      <c r="D444" s="40"/>
      <c r="F444" s="40"/>
      <c r="G444" s="40"/>
      <c r="H444" s="42"/>
      <c r="I444" s="42" t="str">
        <f t="shared" si="2"/>
        <v/>
      </c>
    </row>
    <row r="445" spans="2:9" x14ac:dyDescent="0.25">
      <c r="B445" s="39"/>
      <c r="C445" s="40"/>
      <c r="D445" s="40"/>
      <c r="F445" s="40"/>
      <c r="G445" s="40"/>
      <c r="H445" s="42"/>
      <c r="I445" s="42" t="str">
        <f t="shared" si="2"/>
        <v/>
      </c>
    </row>
    <row r="446" spans="2:9" x14ac:dyDescent="0.25">
      <c r="B446" s="39"/>
      <c r="C446" s="40"/>
      <c r="D446" s="40"/>
      <c r="F446" s="40"/>
      <c r="G446" s="40"/>
      <c r="H446" s="42"/>
      <c r="I446" s="42" t="str">
        <f t="shared" si="2"/>
        <v/>
      </c>
    </row>
    <row r="447" spans="2:9" x14ac:dyDescent="0.25">
      <c r="B447" s="39"/>
      <c r="C447" s="40"/>
      <c r="D447" s="40"/>
      <c r="F447" s="40"/>
      <c r="G447" s="40"/>
      <c r="H447" s="42"/>
      <c r="I447" s="42" t="str">
        <f t="shared" si="2"/>
        <v/>
      </c>
    </row>
    <row r="448" spans="2:9" x14ac:dyDescent="0.25">
      <c r="B448" s="39"/>
      <c r="C448" s="40"/>
      <c r="D448" s="40"/>
      <c r="F448" s="40"/>
      <c r="G448" s="40"/>
      <c r="H448" s="42"/>
      <c r="I448" s="42" t="str">
        <f t="shared" ref="I448:I511" si="3">IF(H448&lt;&gt;"",H448-H447,"")</f>
        <v/>
      </c>
    </row>
    <row r="449" spans="2:9" x14ac:dyDescent="0.25">
      <c r="B449" s="39"/>
      <c r="C449" s="40"/>
      <c r="D449" s="40"/>
      <c r="F449" s="40"/>
      <c r="G449" s="40"/>
      <c r="H449" s="42"/>
      <c r="I449" s="42" t="str">
        <f t="shared" si="3"/>
        <v/>
      </c>
    </row>
    <row r="450" spans="2:9" x14ac:dyDescent="0.25">
      <c r="B450" s="39"/>
      <c r="C450" s="40"/>
      <c r="D450" s="40"/>
      <c r="F450" s="40"/>
      <c r="G450" s="40"/>
      <c r="H450" s="42"/>
      <c r="I450" s="42" t="str">
        <f t="shared" si="3"/>
        <v/>
      </c>
    </row>
    <row r="451" spans="2:9" x14ac:dyDescent="0.25">
      <c r="B451" s="39"/>
      <c r="C451" s="40"/>
      <c r="D451" s="40"/>
      <c r="F451" s="40"/>
      <c r="G451" s="40"/>
      <c r="H451" s="42"/>
      <c r="I451" s="42" t="str">
        <f t="shared" si="3"/>
        <v/>
      </c>
    </row>
    <row r="452" spans="2:9" x14ac:dyDescent="0.25">
      <c r="B452" s="39"/>
      <c r="C452" s="40"/>
      <c r="D452" s="40"/>
      <c r="F452" s="40"/>
      <c r="G452" s="40"/>
      <c r="H452" s="42"/>
      <c r="I452" s="42" t="str">
        <f t="shared" si="3"/>
        <v/>
      </c>
    </row>
    <row r="453" spans="2:9" x14ac:dyDescent="0.25">
      <c r="B453" s="39"/>
      <c r="C453" s="40"/>
      <c r="D453" s="40"/>
      <c r="F453" s="40"/>
      <c r="G453" s="40"/>
      <c r="H453" s="42"/>
      <c r="I453" s="42" t="str">
        <f t="shared" si="3"/>
        <v/>
      </c>
    </row>
    <row r="454" spans="2:9" x14ac:dyDescent="0.25">
      <c r="B454" s="39"/>
      <c r="C454" s="40"/>
      <c r="D454" s="40"/>
      <c r="F454" s="40"/>
      <c r="G454" s="40"/>
      <c r="H454" s="42"/>
      <c r="I454" s="42" t="str">
        <f t="shared" si="3"/>
        <v/>
      </c>
    </row>
    <row r="455" spans="2:9" x14ac:dyDescent="0.25">
      <c r="B455" s="39"/>
      <c r="C455" s="40"/>
      <c r="D455" s="40"/>
      <c r="F455" s="40"/>
      <c r="G455" s="40"/>
      <c r="H455" s="42"/>
      <c r="I455" s="42" t="str">
        <f t="shared" si="3"/>
        <v/>
      </c>
    </row>
    <row r="456" spans="2:9" x14ac:dyDescent="0.25">
      <c r="B456" s="39"/>
      <c r="C456" s="40"/>
      <c r="D456" s="40"/>
      <c r="F456" s="40"/>
      <c r="G456" s="40"/>
      <c r="H456" s="42"/>
      <c r="I456" s="42" t="str">
        <f t="shared" si="3"/>
        <v/>
      </c>
    </row>
    <row r="457" spans="2:9" x14ac:dyDescent="0.25">
      <c r="B457" s="39"/>
      <c r="C457" s="40"/>
      <c r="D457" s="40"/>
      <c r="F457" s="40"/>
      <c r="G457" s="40"/>
      <c r="H457" s="42"/>
      <c r="I457" s="42" t="str">
        <f t="shared" si="3"/>
        <v/>
      </c>
    </row>
    <row r="458" spans="2:9" x14ac:dyDescent="0.25">
      <c r="B458" s="39"/>
      <c r="C458" s="40"/>
      <c r="D458" s="40"/>
      <c r="F458" s="40"/>
      <c r="G458" s="40"/>
      <c r="H458" s="42"/>
      <c r="I458" s="42" t="str">
        <f t="shared" si="3"/>
        <v/>
      </c>
    </row>
    <row r="459" spans="2:9" x14ac:dyDescent="0.25">
      <c r="B459" s="39"/>
      <c r="C459" s="40"/>
      <c r="D459" s="40"/>
      <c r="F459" s="40"/>
      <c r="G459" s="40"/>
      <c r="H459" s="42"/>
      <c r="I459" s="42" t="str">
        <f t="shared" si="3"/>
        <v/>
      </c>
    </row>
    <row r="460" spans="2:9" x14ac:dyDescent="0.25">
      <c r="B460" s="39"/>
      <c r="C460" s="40"/>
      <c r="D460" s="40"/>
      <c r="F460" s="40"/>
      <c r="G460" s="40"/>
      <c r="H460" s="42"/>
      <c r="I460" s="42" t="str">
        <f t="shared" si="3"/>
        <v/>
      </c>
    </row>
    <row r="461" spans="2:9" x14ac:dyDescent="0.25">
      <c r="B461" s="39"/>
      <c r="C461" s="40"/>
      <c r="D461" s="40"/>
      <c r="F461" s="40"/>
      <c r="G461" s="40"/>
      <c r="H461" s="42"/>
      <c r="I461" s="42" t="str">
        <f t="shared" si="3"/>
        <v/>
      </c>
    </row>
    <row r="462" spans="2:9" x14ac:dyDescent="0.25">
      <c r="B462" s="39"/>
      <c r="C462" s="40"/>
      <c r="D462" s="40"/>
      <c r="F462" s="40"/>
      <c r="G462" s="40"/>
      <c r="H462" s="42"/>
      <c r="I462" s="42" t="str">
        <f t="shared" si="3"/>
        <v/>
      </c>
    </row>
    <row r="463" spans="2:9" x14ac:dyDescent="0.25">
      <c r="B463" s="39"/>
      <c r="C463" s="40"/>
      <c r="D463" s="40"/>
      <c r="F463" s="40"/>
      <c r="G463" s="40"/>
      <c r="H463" s="42"/>
      <c r="I463" s="42" t="str">
        <f t="shared" si="3"/>
        <v/>
      </c>
    </row>
    <row r="464" spans="2:9" x14ac:dyDescent="0.25">
      <c r="B464" s="39"/>
      <c r="C464" s="40"/>
      <c r="D464" s="40"/>
      <c r="F464" s="40"/>
      <c r="G464" s="40"/>
      <c r="H464" s="42"/>
      <c r="I464" s="42" t="str">
        <f t="shared" si="3"/>
        <v/>
      </c>
    </row>
    <row r="465" spans="2:9" x14ac:dyDescent="0.25">
      <c r="B465" s="39"/>
      <c r="C465" s="40"/>
      <c r="D465" s="40"/>
      <c r="F465" s="40"/>
      <c r="G465" s="40"/>
      <c r="H465" s="42"/>
      <c r="I465" s="42" t="str">
        <f t="shared" si="3"/>
        <v/>
      </c>
    </row>
    <row r="466" spans="2:9" x14ac:dyDescent="0.25">
      <c r="B466" s="39"/>
      <c r="C466" s="40"/>
      <c r="D466" s="40"/>
      <c r="F466" s="40"/>
      <c r="G466" s="40"/>
      <c r="H466" s="42"/>
      <c r="I466" s="42" t="str">
        <f t="shared" si="3"/>
        <v/>
      </c>
    </row>
    <row r="467" spans="2:9" x14ac:dyDescent="0.25">
      <c r="B467" s="39"/>
      <c r="C467" s="40"/>
      <c r="D467" s="40"/>
      <c r="F467" s="40"/>
      <c r="G467" s="40"/>
      <c r="H467" s="42"/>
      <c r="I467" s="42" t="str">
        <f t="shared" si="3"/>
        <v/>
      </c>
    </row>
    <row r="468" spans="2:9" x14ac:dyDescent="0.25">
      <c r="B468" s="39"/>
      <c r="C468" s="40"/>
      <c r="D468" s="40"/>
      <c r="F468" s="40"/>
      <c r="G468" s="40"/>
      <c r="H468" s="42"/>
      <c r="I468" s="42" t="str">
        <f t="shared" si="3"/>
        <v/>
      </c>
    </row>
    <row r="469" spans="2:9" x14ac:dyDescent="0.25">
      <c r="B469" s="39"/>
      <c r="C469" s="40"/>
      <c r="D469" s="40"/>
      <c r="F469" s="40"/>
      <c r="G469" s="40"/>
      <c r="H469" s="42"/>
      <c r="I469" s="42" t="str">
        <f t="shared" si="3"/>
        <v/>
      </c>
    </row>
    <row r="470" spans="2:9" x14ac:dyDescent="0.25">
      <c r="B470" s="39"/>
      <c r="C470" s="40"/>
      <c r="D470" s="40"/>
      <c r="F470" s="40"/>
      <c r="G470" s="40"/>
      <c r="H470" s="42"/>
      <c r="I470" s="42" t="str">
        <f t="shared" si="3"/>
        <v/>
      </c>
    </row>
    <row r="471" spans="2:9" x14ac:dyDescent="0.25">
      <c r="B471" s="39"/>
      <c r="C471" s="40"/>
      <c r="D471" s="40"/>
      <c r="F471" s="40"/>
      <c r="G471" s="40"/>
      <c r="H471" s="42"/>
      <c r="I471" s="42" t="str">
        <f t="shared" si="3"/>
        <v/>
      </c>
    </row>
    <row r="472" spans="2:9" x14ac:dyDescent="0.25">
      <c r="B472" s="39"/>
      <c r="C472" s="40"/>
      <c r="D472" s="40"/>
      <c r="F472" s="40"/>
      <c r="G472" s="40"/>
      <c r="H472" s="42"/>
      <c r="I472" s="42" t="str">
        <f t="shared" si="3"/>
        <v/>
      </c>
    </row>
    <row r="473" spans="2:9" x14ac:dyDescent="0.25">
      <c r="B473" s="39"/>
      <c r="C473" s="40"/>
      <c r="D473" s="40"/>
      <c r="F473" s="40"/>
      <c r="G473" s="40"/>
      <c r="H473" s="42"/>
      <c r="I473" s="42" t="str">
        <f t="shared" si="3"/>
        <v/>
      </c>
    </row>
    <row r="474" spans="2:9" x14ac:dyDescent="0.25">
      <c r="B474" s="39"/>
      <c r="C474" s="40"/>
      <c r="D474" s="40"/>
      <c r="F474" s="40"/>
      <c r="G474" s="40"/>
      <c r="H474" s="42"/>
      <c r="I474" s="42" t="str">
        <f t="shared" si="3"/>
        <v/>
      </c>
    </row>
    <row r="475" spans="2:9" x14ac:dyDescent="0.25">
      <c r="B475" s="39"/>
      <c r="C475" s="40"/>
      <c r="D475" s="40"/>
      <c r="F475" s="40"/>
      <c r="G475" s="40"/>
      <c r="H475" s="42"/>
      <c r="I475" s="42" t="str">
        <f t="shared" si="3"/>
        <v/>
      </c>
    </row>
    <row r="476" spans="2:9" x14ac:dyDescent="0.25">
      <c r="B476" s="39"/>
      <c r="C476" s="40"/>
      <c r="D476" s="40"/>
      <c r="F476" s="40"/>
      <c r="G476" s="40"/>
      <c r="H476" s="42"/>
      <c r="I476" s="42" t="str">
        <f t="shared" si="3"/>
        <v/>
      </c>
    </row>
    <row r="477" spans="2:9" x14ac:dyDescent="0.25">
      <c r="B477" s="39"/>
      <c r="C477" s="40"/>
      <c r="D477" s="40"/>
      <c r="F477" s="40"/>
      <c r="G477" s="40"/>
      <c r="H477" s="42"/>
      <c r="I477" s="42" t="str">
        <f t="shared" si="3"/>
        <v/>
      </c>
    </row>
    <row r="478" spans="2:9" x14ac:dyDescent="0.25">
      <c r="B478" s="39"/>
      <c r="C478" s="40"/>
      <c r="D478" s="40"/>
      <c r="F478" s="40"/>
      <c r="G478" s="40"/>
      <c r="H478" s="42"/>
      <c r="I478" s="42" t="str">
        <f t="shared" si="3"/>
        <v/>
      </c>
    </row>
    <row r="479" spans="2:9" x14ac:dyDescent="0.25">
      <c r="B479" s="39"/>
      <c r="C479" s="40"/>
      <c r="D479" s="40"/>
      <c r="F479" s="40"/>
      <c r="G479" s="40"/>
      <c r="H479" s="42"/>
      <c r="I479" s="42" t="str">
        <f t="shared" si="3"/>
        <v/>
      </c>
    </row>
    <row r="480" spans="2:9" x14ac:dyDescent="0.25">
      <c r="B480" s="39"/>
      <c r="C480" s="40"/>
      <c r="D480" s="40"/>
      <c r="F480" s="40"/>
      <c r="G480" s="40"/>
      <c r="H480" s="42"/>
      <c r="I480" s="42" t="str">
        <f t="shared" si="3"/>
        <v/>
      </c>
    </row>
    <row r="481" spans="2:9" x14ac:dyDescent="0.25">
      <c r="B481" s="39"/>
      <c r="C481" s="40"/>
      <c r="D481" s="40"/>
      <c r="F481" s="40"/>
      <c r="G481" s="40"/>
      <c r="H481" s="42"/>
      <c r="I481" s="42" t="str">
        <f t="shared" si="3"/>
        <v/>
      </c>
    </row>
    <row r="482" spans="2:9" x14ac:dyDescent="0.25">
      <c r="B482" s="39"/>
      <c r="C482" s="40"/>
      <c r="D482" s="40"/>
      <c r="F482" s="40"/>
      <c r="G482" s="40"/>
      <c r="H482" s="42"/>
      <c r="I482" s="42" t="str">
        <f t="shared" si="3"/>
        <v/>
      </c>
    </row>
    <row r="483" spans="2:9" x14ac:dyDescent="0.25">
      <c r="B483" s="39"/>
      <c r="C483" s="40"/>
      <c r="D483" s="40"/>
      <c r="F483" s="40"/>
      <c r="G483" s="40"/>
      <c r="H483" s="42"/>
      <c r="I483" s="42" t="str">
        <f t="shared" si="3"/>
        <v/>
      </c>
    </row>
    <row r="484" spans="2:9" x14ac:dyDescent="0.25">
      <c r="B484" s="39"/>
      <c r="C484" s="40"/>
      <c r="D484" s="40"/>
      <c r="F484" s="40"/>
      <c r="G484" s="40"/>
      <c r="H484" s="42"/>
      <c r="I484" s="42" t="str">
        <f t="shared" si="3"/>
        <v/>
      </c>
    </row>
    <row r="485" spans="2:9" x14ac:dyDescent="0.25">
      <c r="B485" s="39"/>
      <c r="C485" s="40"/>
      <c r="D485" s="40"/>
      <c r="F485" s="40"/>
      <c r="G485" s="40"/>
      <c r="H485" s="42"/>
      <c r="I485" s="42" t="str">
        <f t="shared" si="3"/>
        <v/>
      </c>
    </row>
    <row r="486" spans="2:9" x14ac:dyDescent="0.25">
      <c r="B486" s="39"/>
      <c r="C486" s="40"/>
      <c r="D486" s="40"/>
      <c r="F486" s="40"/>
      <c r="G486" s="40"/>
      <c r="H486" s="42"/>
      <c r="I486" s="42" t="str">
        <f t="shared" si="3"/>
        <v/>
      </c>
    </row>
    <row r="487" spans="2:9" x14ac:dyDescent="0.25">
      <c r="B487" s="39"/>
      <c r="C487" s="40"/>
      <c r="D487" s="40"/>
      <c r="F487" s="40"/>
      <c r="G487" s="40"/>
      <c r="H487" s="42"/>
      <c r="I487" s="42" t="str">
        <f t="shared" si="3"/>
        <v/>
      </c>
    </row>
    <row r="488" spans="2:9" x14ac:dyDescent="0.25">
      <c r="B488" s="39"/>
      <c r="C488" s="40"/>
      <c r="D488" s="40"/>
      <c r="F488" s="40"/>
      <c r="G488" s="40"/>
      <c r="H488" s="42"/>
      <c r="I488" s="42" t="str">
        <f t="shared" si="3"/>
        <v/>
      </c>
    </row>
    <row r="489" spans="2:9" x14ac:dyDescent="0.25">
      <c r="B489" s="39"/>
      <c r="C489" s="40"/>
      <c r="D489" s="40"/>
      <c r="F489" s="40"/>
      <c r="G489" s="40"/>
      <c r="H489" s="42"/>
      <c r="I489" s="42" t="str">
        <f t="shared" si="3"/>
        <v/>
      </c>
    </row>
    <row r="490" spans="2:9" x14ac:dyDescent="0.25">
      <c r="B490" s="39"/>
      <c r="C490" s="40"/>
      <c r="D490" s="40"/>
      <c r="F490" s="40"/>
      <c r="G490" s="40"/>
      <c r="H490" s="42"/>
      <c r="I490" s="42" t="str">
        <f t="shared" si="3"/>
        <v/>
      </c>
    </row>
    <row r="491" spans="2:9" x14ac:dyDescent="0.25">
      <c r="B491" s="39"/>
      <c r="C491" s="40"/>
      <c r="D491" s="40"/>
      <c r="F491" s="40"/>
      <c r="G491" s="40"/>
      <c r="H491" s="42"/>
      <c r="I491" s="42" t="str">
        <f t="shared" si="3"/>
        <v/>
      </c>
    </row>
    <row r="492" spans="2:9" x14ac:dyDescent="0.25">
      <c r="B492" s="39"/>
      <c r="C492" s="40"/>
      <c r="D492" s="40"/>
      <c r="F492" s="40"/>
      <c r="G492" s="40"/>
      <c r="H492" s="42"/>
      <c r="I492" s="42" t="str">
        <f t="shared" si="3"/>
        <v/>
      </c>
    </row>
    <row r="493" spans="2:9" x14ac:dyDescent="0.25">
      <c r="B493" s="39"/>
      <c r="C493" s="40"/>
      <c r="D493" s="40"/>
      <c r="F493" s="40"/>
      <c r="G493" s="40"/>
      <c r="H493" s="42"/>
      <c r="I493" s="42" t="str">
        <f t="shared" si="3"/>
        <v/>
      </c>
    </row>
    <row r="494" spans="2:9" x14ac:dyDescent="0.25">
      <c r="B494" s="39"/>
      <c r="C494" s="40"/>
      <c r="D494" s="40"/>
      <c r="F494" s="40"/>
      <c r="G494" s="40"/>
      <c r="H494" s="42"/>
      <c r="I494" s="42" t="str">
        <f t="shared" si="3"/>
        <v/>
      </c>
    </row>
    <row r="495" spans="2:9" x14ac:dyDescent="0.25">
      <c r="B495" s="39"/>
      <c r="C495" s="40"/>
      <c r="D495" s="40"/>
      <c r="F495" s="40"/>
      <c r="G495" s="40"/>
      <c r="H495" s="42"/>
      <c r="I495" s="42" t="str">
        <f t="shared" si="3"/>
        <v/>
      </c>
    </row>
    <row r="496" spans="2:9" x14ac:dyDescent="0.25">
      <c r="B496" s="39"/>
      <c r="C496" s="40"/>
      <c r="D496" s="40"/>
      <c r="F496" s="40"/>
      <c r="G496" s="40"/>
      <c r="H496" s="42"/>
      <c r="I496" s="42" t="str">
        <f t="shared" si="3"/>
        <v/>
      </c>
    </row>
    <row r="497" spans="2:9" x14ac:dyDescent="0.25">
      <c r="B497" s="39"/>
      <c r="C497" s="40"/>
      <c r="D497" s="40"/>
      <c r="F497" s="40"/>
      <c r="G497" s="40"/>
      <c r="H497" s="42"/>
      <c r="I497" s="42" t="str">
        <f t="shared" si="3"/>
        <v/>
      </c>
    </row>
    <row r="498" spans="2:9" x14ac:dyDescent="0.25">
      <c r="B498" s="39"/>
      <c r="C498" s="40"/>
      <c r="D498" s="40"/>
      <c r="F498" s="40"/>
      <c r="G498" s="40"/>
      <c r="H498" s="42"/>
      <c r="I498" s="42" t="str">
        <f t="shared" si="3"/>
        <v/>
      </c>
    </row>
    <row r="499" spans="2:9" x14ac:dyDescent="0.25">
      <c r="B499" s="39"/>
      <c r="C499" s="40"/>
      <c r="D499" s="40"/>
      <c r="F499" s="40"/>
      <c r="G499" s="40"/>
      <c r="H499" s="42"/>
      <c r="I499" s="42" t="str">
        <f t="shared" si="3"/>
        <v/>
      </c>
    </row>
    <row r="500" spans="2:9" x14ac:dyDescent="0.25">
      <c r="B500" s="39"/>
      <c r="C500" s="40"/>
      <c r="D500" s="40"/>
      <c r="F500" s="40"/>
      <c r="G500" s="40"/>
      <c r="H500" s="42"/>
      <c r="I500" s="42" t="str">
        <f t="shared" si="3"/>
        <v/>
      </c>
    </row>
    <row r="501" spans="2:9" x14ac:dyDescent="0.25">
      <c r="B501" s="39"/>
      <c r="C501" s="40"/>
      <c r="D501" s="40"/>
      <c r="F501" s="40"/>
      <c r="G501" s="40"/>
      <c r="H501" s="42"/>
      <c r="I501" s="42" t="str">
        <f t="shared" si="3"/>
        <v/>
      </c>
    </row>
    <row r="502" spans="2:9" x14ac:dyDescent="0.25">
      <c r="B502" s="39"/>
      <c r="C502" s="40"/>
      <c r="D502" s="40"/>
      <c r="F502" s="40"/>
      <c r="G502" s="40"/>
      <c r="H502" s="42"/>
      <c r="I502" s="42" t="str">
        <f t="shared" si="3"/>
        <v/>
      </c>
    </row>
    <row r="503" spans="2:9" x14ac:dyDescent="0.25">
      <c r="B503" s="39"/>
      <c r="C503" s="40"/>
      <c r="D503" s="40"/>
      <c r="F503" s="40"/>
      <c r="G503" s="40"/>
      <c r="H503" s="42"/>
      <c r="I503" s="42" t="str">
        <f t="shared" si="3"/>
        <v/>
      </c>
    </row>
    <row r="504" spans="2:9" x14ac:dyDescent="0.25">
      <c r="B504" s="39"/>
      <c r="C504" s="40"/>
      <c r="D504" s="40"/>
      <c r="F504" s="40"/>
      <c r="G504" s="40"/>
      <c r="H504" s="42"/>
      <c r="I504" s="42" t="str">
        <f t="shared" si="3"/>
        <v/>
      </c>
    </row>
    <row r="505" spans="2:9" x14ac:dyDescent="0.25">
      <c r="B505" s="39"/>
      <c r="C505" s="40"/>
      <c r="D505" s="40"/>
      <c r="F505" s="40"/>
      <c r="G505" s="40"/>
      <c r="H505" s="42"/>
      <c r="I505" s="42" t="str">
        <f t="shared" si="3"/>
        <v/>
      </c>
    </row>
    <row r="506" spans="2:9" x14ac:dyDescent="0.25">
      <c r="B506" s="39"/>
      <c r="C506" s="40"/>
      <c r="D506" s="40"/>
      <c r="F506" s="40"/>
      <c r="G506" s="40"/>
      <c r="H506" s="42"/>
      <c r="I506" s="42" t="str">
        <f t="shared" si="3"/>
        <v/>
      </c>
    </row>
    <row r="507" spans="2:9" x14ac:dyDescent="0.25">
      <c r="B507" s="39"/>
      <c r="C507" s="40"/>
      <c r="D507" s="40"/>
      <c r="F507" s="40"/>
      <c r="G507" s="40"/>
      <c r="H507" s="42"/>
      <c r="I507" s="42" t="str">
        <f t="shared" si="3"/>
        <v/>
      </c>
    </row>
    <row r="508" spans="2:9" x14ac:dyDescent="0.25">
      <c r="B508" s="39"/>
      <c r="C508" s="40"/>
      <c r="D508" s="40"/>
      <c r="F508" s="40"/>
      <c r="G508" s="40"/>
      <c r="H508" s="42"/>
      <c r="I508" s="42" t="str">
        <f t="shared" si="3"/>
        <v/>
      </c>
    </row>
    <row r="509" spans="2:9" x14ac:dyDescent="0.25">
      <c r="B509" s="39"/>
      <c r="C509" s="40"/>
      <c r="D509" s="40"/>
      <c r="F509" s="40"/>
      <c r="G509" s="40"/>
      <c r="H509" s="42"/>
      <c r="I509" s="42" t="str">
        <f t="shared" si="3"/>
        <v/>
      </c>
    </row>
    <row r="510" spans="2:9" x14ac:dyDescent="0.25">
      <c r="B510" s="39"/>
      <c r="C510" s="40"/>
      <c r="D510" s="40"/>
      <c r="F510" s="40"/>
      <c r="G510" s="40"/>
      <c r="H510" s="42"/>
      <c r="I510" s="42" t="str">
        <f t="shared" si="3"/>
        <v/>
      </c>
    </row>
    <row r="511" spans="2:9" x14ac:dyDescent="0.25">
      <c r="B511" s="39"/>
      <c r="C511" s="40"/>
      <c r="D511" s="40"/>
      <c r="F511" s="40"/>
      <c r="G511" s="40"/>
      <c r="H511" s="42"/>
      <c r="I511" s="42" t="str">
        <f t="shared" si="3"/>
        <v/>
      </c>
    </row>
    <row r="512" spans="2:9" x14ac:dyDescent="0.25">
      <c r="B512" s="39"/>
      <c r="C512" s="40"/>
      <c r="D512" s="40"/>
      <c r="F512" s="40"/>
      <c r="G512" s="40"/>
      <c r="H512" s="42"/>
      <c r="I512" s="42" t="str">
        <f t="shared" ref="I512:I575" si="4">IF(H512&lt;&gt;"",H512-H511,"")</f>
        <v/>
      </c>
    </row>
    <row r="513" spans="2:9" x14ac:dyDescent="0.25">
      <c r="B513" s="39"/>
      <c r="C513" s="40"/>
      <c r="D513" s="40"/>
      <c r="F513" s="40"/>
      <c r="G513" s="40"/>
      <c r="H513" s="42"/>
      <c r="I513" s="42" t="str">
        <f t="shared" si="4"/>
        <v/>
      </c>
    </row>
    <row r="514" spans="2:9" x14ac:dyDescent="0.25">
      <c r="B514" s="39"/>
      <c r="C514" s="40"/>
      <c r="D514" s="40"/>
      <c r="F514" s="40"/>
      <c r="G514" s="40"/>
      <c r="H514" s="42"/>
      <c r="I514" s="42" t="str">
        <f t="shared" si="4"/>
        <v/>
      </c>
    </row>
    <row r="515" spans="2:9" x14ac:dyDescent="0.25">
      <c r="B515" s="39"/>
      <c r="C515" s="40"/>
      <c r="D515" s="40"/>
      <c r="F515" s="40"/>
      <c r="G515" s="40"/>
      <c r="H515" s="42"/>
      <c r="I515" s="42" t="str">
        <f t="shared" si="4"/>
        <v/>
      </c>
    </row>
    <row r="516" spans="2:9" x14ac:dyDescent="0.25">
      <c r="B516" s="39"/>
      <c r="C516" s="40"/>
      <c r="D516" s="40"/>
      <c r="F516" s="40"/>
      <c r="G516" s="40"/>
      <c r="H516" s="42"/>
      <c r="I516" s="42" t="str">
        <f t="shared" si="4"/>
        <v/>
      </c>
    </row>
    <row r="517" spans="2:9" x14ac:dyDescent="0.25">
      <c r="B517" s="39"/>
      <c r="C517" s="40"/>
      <c r="D517" s="40"/>
      <c r="F517" s="40"/>
      <c r="G517" s="40"/>
      <c r="H517" s="42"/>
      <c r="I517" s="42" t="str">
        <f t="shared" si="4"/>
        <v/>
      </c>
    </row>
    <row r="518" spans="2:9" x14ac:dyDescent="0.25">
      <c r="B518" s="39"/>
      <c r="C518" s="40"/>
      <c r="D518" s="40"/>
      <c r="F518" s="40"/>
      <c r="G518" s="40"/>
      <c r="H518" s="42"/>
      <c r="I518" s="42" t="str">
        <f t="shared" si="4"/>
        <v/>
      </c>
    </row>
    <row r="519" spans="2:9" x14ac:dyDescent="0.25">
      <c r="B519" s="39"/>
      <c r="C519" s="40"/>
      <c r="D519" s="40"/>
      <c r="F519" s="40"/>
      <c r="G519" s="40"/>
      <c r="H519" s="42"/>
      <c r="I519" s="42" t="str">
        <f t="shared" si="4"/>
        <v/>
      </c>
    </row>
    <row r="520" spans="2:9" x14ac:dyDescent="0.25">
      <c r="B520" s="39"/>
      <c r="C520" s="40"/>
      <c r="D520" s="40"/>
      <c r="F520" s="40"/>
      <c r="G520" s="40"/>
      <c r="H520" s="42"/>
      <c r="I520" s="42" t="str">
        <f t="shared" si="4"/>
        <v/>
      </c>
    </row>
    <row r="521" spans="2:9" x14ac:dyDescent="0.25">
      <c r="B521" s="39"/>
      <c r="C521" s="40"/>
      <c r="D521" s="40"/>
      <c r="F521" s="40"/>
      <c r="G521" s="40"/>
      <c r="H521" s="42"/>
      <c r="I521" s="42" t="str">
        <f t="shared" si="4"/>
        <v/>
      </c>
    </row>
    <row r="522" spans="2:9" x14ac:dyDescent="0.25">
      <c r="B522" s="39"/>
      <c r="C522" s="40"/>
      <c r="D522" s="40"/>
      <c r="F522" s="40"/>
      <c r="G522" s="40"/>
      <c r="H522" s="42"/>
      <c r="I522" s="42" t="str">
        <f t="shared" si="4"/>
        <v/>
      </c>
    </row>
    <row r="523" spans="2:9" x14ac:dyDescent="0.25">
      <c r="B523" s="39"/>
      <c r="C523" s="40"/>
      <c r="D523" s="40"/>
      <c r="F523" s="40"/>
      <c r="G523" s="40"/>
      <c r="H523" s="42"/>
      <c r="I523" s="42" t="str">
        <f t="shared" si="4"/>
        <v/>
      </c>
    </row>
    <row r="524" spans="2:9" x14ac:dyDescent="0.25">
      <c r="B524" s="39"/>
      <c r="C524" s="40"/>
      <c r="D524" s="40"/>
      <c r="F524" s="40"/>
      <c r="G524" s="40"/>
      <c r="H524" s="42"/>
      <c r="I524" s="42" t="str">
        <f t="shared" si="4"/>
        <v/>
      </c>
    </row>
    <row r="525" spans="2:9" x14ac:dyDescent="0.25">
      <c r="B525" s="39"/>
      <c r="C525" s="40"/>
      <c r="D525" s="40"/>
      <c r="F525" s="40"/>
      <c r="G525" s="40"/>
      <c r="H525" s="42"/>
      <c r="I525" s="42" t="str">
        <f t="shared" si="4"/>
        <v/>
      </c>
    </row>
    <row r="526" spans="2:9" x14ac:dyDescent="0.25">
      <c r="B526" s="39"/>
      <c r="C526" s="40"/>
      <c r="D526" s="40"/>
      <c r="F526" s="40"/>
      <c r="G526" s="40"/>
      <c r="H526" s="42"/>
      <c r="I526" s="42" t="str">
        <f t="shared" si="4"/>
        <v/>
      </c>
    </row>
    <row r="527" spans="2:9" x14ac:dyDescent="0.25">
      <c r="B527" s="39"/>
      <c r="C527" s="40"/>
      <c r="D527" s="40"/>
      <c r="F527" s="40"/>
      <c r="G527" s="40"/>
      <c r="H527" s="42"/>
      <c r="I527" s="42" t="str">
        <f t="shared" si="4"/>
        <v/>
      </c>
    </row>
    <row r="528" spans="2:9" x14ac:dyDescent="0.25">
      <c r="B528" s="39"/>
      <c r="C528" s="40"/>
      <c r="D528" s="40"/>
      <c r="F528" s="40"/>
      <c r="G528" s="40"/>
      <c r="H528" s="42"/>
      <c r="I528" s="42" t="str">
        <f t="shared" si="4"/>
        <v/>
      </c>
    </row>
    <row r="529" spans="2:9" x14ac:dyDescent="0.25">
      <c r="B529" s="39"/>
      <c r="C529" s="40"/>
      <c r="D529" s="40"/>
      <c r="F529" s="40"/>
      <c r="G529" s="40"/>
      <c r="H529" s="42"/>
      <c r="I529" s="42" t="str">
        <f t="shared" si="4"/>
        <v/>
      </c>
    </row>
    <row r="530" spans="2:9" x14ac:dyDescent="0.25">
      <c r="B530" s="39"/>
      <c r="C530" s="40"/>
      <c r="D530" s="40"/>
      <c r="F530" s="40"/>
      <c r="G530" s="40"/>
      <c r="H530" s="42"/>
      <c r="I530" s="42" t="str">
        <f t="shared" si="4"/>
        <v/>
      </c>
    </row>
    <row r="531" spans="2:9" x14ac:dyDescent="0.25">
      <c r="B531" s="39"/>
      <c r="C531" s="40"/>
      <c r="D531" s="40"/>
      <c r="F531" s="40"/>
      <c r="G531" s="40"/>
      <c r="H531" s="42"/>
      <c r="I531" s="42" t="str">
        <f t="shared" si="4"/>
        <v/>
      </c>
    </row>
    <row r="532" spans="2:9" x14ac:dyDescent="0.25">
      <c r="B532" s="39"/>
      <c r="C532" s="40"/>
      <c r="D532" s="40"/>
      <c r="F532" s="40"/>
      <c r="G532" s="40"/>
      <c r="H532" s="42"/>
      <c r="I532" s="42" t="str">
        <f t="shared" si="4"/>
        <v/>
      </c>
    </row>
    <row r="533" spans="2:9" x14ac:dyDescent="0.25">
      <c r="B533" s="39"/>
      <c r="C533" s="40"/>
      <c r="D533" s="40"/>
      <c r="F533" s="40"/>
      <c r="G533" s="40"/>
      <c r="H533" s="42"/>
      <c r="I533" s="42" t="str">
        <f t="shared" si="4"/>
        <v/>
      </c>
    </row>
    <row r="534" spans="2:9" x14ac:dyDescent="0.25">
      <c r="B534" s="39"/>
      <c r="C534" s="40"/>
      <c r="D534" s="40"/>
      <c r="F534" s="40"/>
      <c r="G534" s="40"/>
      <c r="H534" s="42"/>
      <c r="I534" s="42" t="str">
        <f t="shared" si="4"/>
        <v/>
      </c>
    </row>
    <row r="535" spans="2:9" x14ac:dyDescent="0.25">
      <c r="B535" s="39"/>
      <c r="C535" s="40"/>
      <c r="D535" s="40"/>
      <c r="F535" s="40"/>
      <c r="G535" s="40"/>
      <c r="H535" s="42"/>
      <c r="I535" s="42" t="str">
        <f t="shared" si="4"/>
        <v/>
      </c>
    </row>
    <row r="536" spans="2:9" x14ac:dyDescent="0.25">
      <c r="B536" s="39"/>
      <c r="C536" s="40"/>
      <c r="D536" s="40"/>
      <c r="F536" s="40"/>
      <c r="G536" s="40"/>
      <c r="H536" s="42"/>
      <c r="I536" s="42" t="str">
        <f t="shared" si="4"/>
        <v/>
      </c>
    </row>
    <row r="537" spans="2:9" x14ac:dyDescent="0.25">
      <c r="B537" s="39"/>
      <c r="C537" s="40"/>
      <c r="D537" s="40"/>
      <c r="F537" s="40"/>
      <c r="G537" s="40"/>
      <c r="H537" s="42"/>
      <c r="I537" s="42" t="str">
        <f t="shared" si="4"/>
        <v/>
      </c>
    </row>
    <row r="538" spans="2:9" x14ac:dyDescent="0.25">
      <c r="B538" s="39"/>
      <c r="C538" s="40"/>
      <c r="D538" s="40"/>
      <c r="F538" s="40"/>
      <c r="G538" s="40"/>
      <c r="H538" s="42"/>
      <c r="I538" s="42" t="str">
        <f t="shared" si="4"/>
        <v/>
      </c>
    </row>
    <row r="539" spans="2:9" x14ac:dyDescent="0.25">
      <c r="B539" s="39"/>
      <c r="C539" s="40"/>
      <c r="D539" s="40"/>
      <c r="F539" s="40"/>
      <c r="G539" s="40"/>
      <c r="H539" s="42"/>
      <c r="I539" s="42" t="str">
        <f t="shared" si="4"/>
        <v/>
      </c>
    </row>
    <row r="540" spans="2:9" x14ac:dyDescent="0.25">
      <c r="B540" s="39"/>
      <c r="C540" s="40"/>
      <c r="D540" s="40"/>
      <c r="F540" s="40"/>
      <c r="G540" s="40"/>
      <c r="H540" s="42"/>
      <c r="I540" s="42" t="str">
        <f t="shared" si="4"/>
        <v/>
      </c>
    </row>
    <row r="541" spans="2:9" x14ac:dyDescent="0.25">
      <c r="B541" s="39"/>
      <c r="C541" s="40"/>
      <c r="D541" s="40"/>
      <c r="F541" s="40"/>
      <c r="G541" s="40"/>
      <c r="H541" s="42"/>
      <c r="I541" s="42" t="str">
        <f t="shared" si="4"/>
        <v/>
      </c>
    </row>
    <row r="542" spans="2:9" x14ac:dyDescent="0.25">
      <c r="B542" s="39"/>
      <c r="C542" s="40"/>
      <c r="D542" s="40"/>
      <c r="F542" s="40"/>
      <c r="G542" s="40"/>
      <c r="H542" s="42"/>
      <c r="I542" s="42" t="str">
        <f t="shared" si="4"/>
        <v/>
      </c>
    </row>
    <row r="543" spans="2:9" x14ac:dyDescent="0.25">
      <c r="B543" s="39"/>
      <c r="C543" s="40"/>
      <c r="D543" s="40"/>
      <c r="F543" s="40"/>
      <c r="G543" s="40"/>
      <c r="H543" s="42"/>
      <c r="I543" s="42" t="str">
        <f t="shared" si="4"/>
        <v/>
      </c>
    </row>
    <row r="544" spans="2:9" x14ac:dyDescent="0.25">
      <c r="B544" s="39"/>
      <c r="C544" s="40"/>
      <c r="D544" s="40"/>
      <c r="F544" s="40"/>
      <c r="G544" s="40"/>
      <c r="H544" s="42"/>
      <c r="I544" s="42" t="str">
        <f t="shared" si="4"/>
        <v/>
      </c>
    </row>
    <row r="545" spans="2:9" x14ac:dyDescent="0.25">
      <c r="B545" s="39"/>
      <c r="C545" s="40"/>
      <c r="D545" s="40"/>
      <c r="F545" s="40"/>
      <c r="G545" s="40"/>
      <c r="H545" s="42"/>
      <c r="I545" s="42" t="str">
        <f t="shared" si="4"/>
        <v/>
      </c>
    </row>
    <row r="546" spans="2:9" x14ac:dyDescent="0.25">
      <c r="B546" s="39"/>
      <c r="C546" s="40"/>
      <c r="D546" s="40"/>
      <c r="F546" s="40"/>
      <c r="G546" s="40"/>
      <c r="H546" s="42"/>
      <c r="I546" s="42" t="str">
        <f t="shared" si="4"/>
        <v/>
      </c>
    </row>
    <row r="547" spans="2:9" x14ac:dyDescent="0.25">
      <c r="B547" s="39"/>
      <c r="C547" s="40"/>
      <c r="D547" s="40"/>
      <c r="F547" s="40"/>
      <c r="G547" s="40"/>
      <c r="H547" s="42"/>
      <c r="I547" s="42" t="str">
        <f t="shared" si="4"/>
        <v/>
      </c>
    </row>
    <row r="548" spans="2:9" x14ac:dyDescent="0.25">
      <c r="B548" s="39"/>
      <c r="C548" s="40"/>
      <c r="D548" s="40"/>
      <c r="F548" s="40"/>
      <c r="G548" s="40"/>
      <c r="H548" s="42"/>
      <c r="I548" s="42" t="str">
        <f t="shared" si="4"/>
        <v/>
      </c>
    </row>
    <row r="549" spans="2:9" x14ac:dyDescent="0.25">
      <c r="B549" s="39"/>
      <c r="C549" s="40"/>
      <c r="D549" s="40"/>
      <c r="F549" s="40"/>
      <c r="G549" s="40"/>
      <c r="H549" s="42"/>
      <c r="I549" s="42" t="str">
        <f t="shared" si="4"/>
        <v/>
      </c>
    </row>
    <row r="550" spans="2:9" x14ac:dyDescent="0.25">
      <c r="B550" s="39"/>
      <c r="C550" s="40"/>
      <c r="D550" s="40"/>
      <c r="F550" s="40"/>
      <c r="G550" s="40"/>
      <c r="H550" s="42"/>
      <c r="I550" s="42" t="str">
        <f t="shared" si="4"/>
        <v/>
      </c>
    </row>
    <row r="551" spans="2:9" x14ac:dyDescent="0.25">
      <c r="B551" s="39"/>
      <c r="C551" s="40"/>
      <c r="D551" s="40"/>
      <c r="F551" s="40"/>
      <c r="G551" s="40"/>
      <c r="H551" s="42"/>
      <c r="I551" s="42" t="str">
        <f t="shared" si="4"/>
        <v/>
      </c>
    </row>
    <row r="552" spans="2:9" x14ac:dyDescent="0.25">
      <c r="B552" s="39"/>
      <c r="C552" s="40"/>
      <c r="D552" s="40"/>
      <c r="F552" s="40"/>
      <c r="G552" s="40"/>
      <c r="H552" s="42"/>
      <c r="I552" s="42" t="str">
        <f t="shared" si="4"/>
        <v/>
      </c>
    </row>
    <row r="553" spans="2:9" x14ac:dyDescent="0.25">
      <c r="B553" s="39"/>
      <c r="C553" s="40"/>
      <c r="D553" s="40"/>
      <c r="F553" s="40"/>
      <c r="G553" s="40"/>
      <c r="H553" s="42"/>
      <c r="I553" s="42" t="str">
        <f t="shared" si="4"/>
        <v/>
      </c>
    </row>
    <row r="554" spans="2:9" x14ac:dyDescent="0.25">
      <c r="B554" s="39"/>
      <c r="C554" s="40"/>
      <c r="D554" s="40"/>
      <c r="F554" s="40"/>
      <c r="G554" s="40"/>
      <c r="H554" s="42"/>
      <c r="I554" s="42" t="str">
        <f t="shared" si="4"/>
        <v/>
      </c>
    </row>
    <row r="555" spans="2:9" x14ac:dyDescent="0.25">
      <c r="B555" s="39"/>
      <c r="C555" s="40"/>
      <c r="D555" s="40"/>
      <c r="F555" s="40"/>
      <c r="G555" s="40"/>
      <c r="H555" s="42"/>
      <c r="I555" s="42" t="str">
        <f t="shared" si="4"/>
        <v/>
      </c>
    </row>
    <row r="556" spans="2:9" x14ac:dyDescent="0.25">
      <c r="B556" s="39"/>
      <c r="C556" s="40"/>
      <c r="D556" s="40"/>
      <c r="F556" s="40"/>
      <c r="G556" s="40"/>
      <c r="H556" s="42"/>
      <c r="I556" s="42" t="str">
        <f t="shared" si="4"/>
        <v/>
      </c>
    </row>
    <row r="557" spans="2:9" x14ac:dyDescent="0.25">
      <c r="B557" s="39"/>
      <c r="C557" s="40"/>
      <c r="D557" s="40"/>
      <c r="F557" s="40"/>
      <c r="G557" s="40"/>
      <c r="H557" s="42"/>
      <c r="I557" s="42" t="str">
        <f t="shared" si="4"/>
        <v/>
      </c>
    </row>
    <row r="558" spans="2:9" x14ac:dyDescent="0.25">
      <c r="B558" s="39"/>
      <c r="C558" s="40"/>
      <c r="D558" s="40"/>
      <c r="F558" s="40"/>
      <c r="G558" s="40"/>
      <c r="H558" s="42"/>
      <c r="I558" s="42" t="str">
        <f t="shared" si="4"/>
        <v/>
      </c>
    </row>
    <row r="559" spans="2:9" x14ac:dyDescent="0.25">
      <c r="B559" s="39"/>
      <c r="C559" s="40"/>
      <c r="D559" s="40"/>
      <c r="F559" s="40"/>
      <c r="G559" s="40"/>
      <c r="H559" s="42"/>
      <c r="I559" s="42" t="str">
        <f t="shared" si="4"/>
        <v/>
      </c>
    </row>
    <row r="560" spans="2:9" x14ac:dyDescent="0.25">
      <c r="B560" s="39"/>
      <c r="C560" s="40"/>
      <c r="D560" s="40"/>
      <c r="F560" s="40"/>
      <c r="G560" s="40"/>
      <c r="H560" s="42"/>
      <c r="I560" s="42" t="str">
        <f t="shared" si="4"/>
        <v/>
      </c>
    </row>
    <row r="561" spans="2:9" x14ac:dyDescent="0.25">
      <c r="B561" s="39"/>
      <c r="C561" s="40"/>
      <c r="D561" s="40"/>
      <c r="F561" s="40"/>
      <c r="G561" s="40"/>
      <c r="H561" s="42"/>
      <c r="I561" s="42" t="str">
        <f t="shared" si="4"/>
        <v/>
      </c>
    </row>
    <row r="562" spans="2:9" x14ac:dyDescent="0.25">
      <c r="B562" s="39"/>
      <c r="C562" s="40"/>
      <c r="D562" s="40"/>
      <c r="F562" s="40"/>
      <c r="G562" s="40"/>
      <c r="H562" s="42"/>
      <c r="I562" s="42" t="str">
        <f t="shared" si="4"/>
        <v/>
      </c>
    </row>
    <row r="563" spans="2:9" x14ac:dyDescent="0.25">
      <c r="B563" s="39"/>
      <c r="C563" s="40"/>
      <c r="D563" s="40"/>
      <c r="F563" s="40"/>
      <c r="G563" s="40"/>
      <c r="H563" s="42"/>
      <c r="I563" s="42" t="str">
        <f t="shared" si="4"/>
        <v/>
      </c>
    </row>
    <row r="564" spans="2:9" x14ac:dyDescent="0.25">
      <c r="B564" s="39"/>
      <c r="C564" s="40"/>
      <c r="D564" s="40"/>
      <c r="F564" s="40"/>
      <c r="G564" s="40"/>
      <c r="H564" s="42"/>
      <c r="I564" s="42" t="str">
        <f t="shared" si="4"/>
        <v/>
      </c>
    </row>
    <row r="565" spans="2:9" x14ac:dyDescent="0.25">
      <c r="B565" s="39"/>
      <c r="C565" s="40"/>
      <c r="D565" s="40"/>
      <c r="F565" s="40"/>
      <c r="G565" s="40"/>
      <c r="H565" s="42"/>
      <c r="I565" s="42" t="str">
        <f t="shared" si="4"/>
        <v/>
      </c>
    </row>
    <row r="566" spans="2:9" x14ac:dyDescent="0.25">
      <c r="B566" s="39"/>
      <c r="C566" s="40"/>
      <c r="D566" s="40"/>
      <c r="F566" s="40"/>
      <c r="G566" s="40"/>
      <c r="H566" s="42"/>
      <c r="I566" s="42" t="str">
        <f t="shared" si="4"/>
        <v/>
      </c>
    </row>
    <row r="567" spans="2:9" x14ac:dyDescent="0.25">
      <c r="B567" s="39"/>
      <c r="C567" s="40"/>
      <c r="D567" s="40"/>
      <c r="F567" s="40"/>
      <c r="G567" s="40"/>
      <c r="H567" s="42"/>
      <c r="I567" s="42" t="str">
        <f t="shared" si="4"/>
        <v/>
      </c>
    </row>
    <row r="568" spans="2:9" x14ac:dyDescent="0.25">
      <c r="B568" s="39"/>
      <c r="C568" s="40"/>
      <c r="D568" s="40"/>
      <c r="F568" s="40"/>
      <c r="G568" s="40"/>
      <c r="H568" s="42"/>
      <c r="I568" s="42" t="str">
        <f t="shared" si="4"/>
        <v/>
      </c>
    </row>
    <row r="569" spans="2:9" x14ac:dyDescent="0.25">
      <c r="B569" s="39"/>
      <c r="C569" s="40"/>
      <c r="D569" s="40"/>
      <c r="F569" s="40"/>
      <c r="G569" s="40"/>
      <c r="H569" s="42"/>
      <c r="I569" s="42" t="str">
        <f t="shared" si="4"/>
        <v/>
      </c>
    </row>
    <row r="570" spans="2:9" x14ac:dyDescent="0.25">
      <c r="B570" s="39"/>
      <c r="C570" s="40"/>
      <c r="D570" s="40"/>
      <c r="F570" s="40"/>
      <c r="G570" s="40"/>
      <c r="H570" s="42"/>
      <c r="I570" s="42" t="str">
        <f t="shared" si="4"/>
        <v/>
      </c>
    </row>
    <row r="571" spans="2:9" x14ac:dyDescent="0.25">
      <c r="B571" s="39"/>
      <c r="C571" s="40"/>
      <c r="D571" s="40"/>
      <c r="F571" s="40"/>
      <c r="G571" s="40"/>
      <c r="H571" s="42"/>
      <c r="I571" s="42" t="str">
        <f t="shared" si="4"/>
        <v/>
      </c>
    </row>
    <row r="572" spans="2:9" x14ac:dyDescent="0.25">
      <c r="B572" s="39"/>
      <c r="C572" s="40"/>
      <c r="D572" s="40"/>
      <c r="F572" s="40"/>
      <c r="G572" s="40"/>
      <c r="H572" s="42"/>
      <c r="I572" s="42" t="str">
        <f t="shared" si="4"/>
        <v/>
      </c>
    </row>
    <row r="573" spans="2:9" x14ac:dyDescent="0.25">
      <c r="B573" s="39"/>
      <c r="C573" s="40"/>
      <c r="D573" s="40"/>
      <c r="F573" s="40"/>
      <c r="G573" s="40"/>
      <c r="H573" s="42"/>
      <c r="I573" s="42" t="str">
        <f t="shared" si="4"/>
        <v/>
      </c>
    </row>
    <row r="574" spans="2:9" x14ac:dyDescent="0.25">
      <c r="B574" s="39"/>
      <c r="C574" s="40"/>
      <c r="D574" s="40"/>
      <c r="F574" s="40"/>
      <c r="G574" s="40"/>
      <c r="H574" s="42"/>
      <c r="I574" s="42" t="str">
        <f t="shared" si="4"/>
        <v/>
      </c>
    </row>
    <row r="575" spans="2:9" x14ac:dyDescent="0.25">
      <c r="B575" s="39"/>
      <c r="C575" s="40"/>
      <c r="D575" s="40"/>
      <c r="F575" s="40"/>
      <c r="G575" s="40"/>
      <c r="H575" s="42"/>
      <c r="I575" s="42" t="str">
        <f t="shared" si="4"/>
        <v/>
      </c>
    </row>
    <row r="576" spans="2:9" x14ac:dyDescent="0.25">
      <c r="B576" s="39"/>
      <c r="C576" s="40"/>
      <c r="D576" s="40"/>
      <c r="F576" s="40"/>
      <c r="G576" s="40"/>
      <c r="H576" s="42"/>
      <c r="I576" s="42" t="str">
        <f t="shared" ref="I576:I639" si="5">IF(H576&lt;&gt;"",H576-H575,"")</f>
        <v/>
      </c>
    </row>
    <row r="577" spans="2:9" x14ac:dyDescent="0.25">
      <c r="B577" s="39"/>
      <c r="C577" s="40"/>
      <c r="D577" s="40"/>
      <c r="F577" s="40"/>
      <c r="G577" s="40"/>
      <c r="H577" s="42"/>
      <c r="I577" s="42" t="str">
        <f t="shared" si="5"/>
        <v/>
      </c>
    </row>
    <row r="578" spans="2:9" x14ac:dyDescent="0.25">
      <c r="B578" s="39"/>
      <c r="C578" s="40"/>
      <c r="D578" s="40"/>
      <c r="F578" s="40"/>
      <c r="G578" s="40"/>
      <c r="H578" s="42"/>
      <c r="I578" s="42" t="str">
        <f t="shared" si="5"/>
        <v/>
      </c>
    </row>
    <row r="579" spans="2:9" x14ac:dyDescent="0.25">
      <c r="B579" s="39"/>
      <c r="C579" s="40"/>
      <c r="D579" s="40"/>
      <c r="F579" s="40"/>
      <c r="G579" s="40"/>
      <c r="H579" s="42"/>
      <c r="I579" s="42" t="str">
        <f t="shared" si="5"/>
        <v/>
      </c>
    </row>
    <row r="580" spans="2:9" x14ac:dyDescent="0.25">
      <c r="B580" s="39"/>
      <c r="C580" s="40"/>
      <c r="D580" s="40"/>
      <c r="F580" s="40"/>
      <c r="G580" s="40"/>
      <c r="H580" s="42"/>
      <c r="I580" s="42" t="str">
        <f t="shared" si="5"/>
        <v/>
      </c>
    </row>
    <row r="581" spans="2:9" x14ac:dyDescent="0.25">
      <c r="B581" s="39"/>
      <c r="C581" s="40"/>
      <c r="D581" s="40"/>
      <c r="F581" s="40"/>
      <c r="G581" s="40"/>
      <c r="H581" s="42"/>
      <c r="I581" s="42" t="str">
        <f t="shared" si="5"/>
        <v/>
      </c>
    </row>
    <row r="582" spans="2:9" x14ac:dyDescent="0.25">
      <c r="B582" s="39"/>
      <c r="C582" s="40"/>
      <c r="D582" s="40"/>
      <c r="F582" s="40"/>
      <c r="G582" s="40"/>
      <c r="H582" s="42"/>
      <c r="I582" s="42" t="str">
        <f t="shared" si="5"/>
        <v/>
      </c>
    </row>
    <row r="583" spans="2:9" x14ac:dyDescent="0.25">
      <c r="B583" s="39"/>
      <c r="C583" s="40"/>
      <c r="D583" s="40"/>
      <c r="F583" s="40"/>
      <c r="G583" s="40"/>
      <c r="H583" s="42"/>
      <c r="I583" s="42" t="str">
        <f t="shared" si="5"/>
        <v/>
      </c>
    </row>
    <row r="584" spans="2:9" x14ac:dyDescent="0.25">
      <c r="B584" s="39"/>
      <c r="C584" s="40"/>
      <c r="D584" s="40"/>
      <c r="F584" s="40"/>
      <c r="G584" s="40"/>
      <c r="H584" s="42"/>
      <c r="I584" s="42" t="str">
        <f t="shared" si="5"/>
        <v/>
      </c>
    </row>
    <row r="585" spans="2:9" x14ac:dyDescent="0.25">
      <c r="B585" s="39"/>
      <c r="C585" s="40"/>
      <c r="D585" s="40"/>
      <c r="F585" s="40"/>
      <c r="G585" s="40"/>
      <c r="H585" s="42"/>
      <c r="I585" s="42" t="str">
        <f t="shared" si="5"/>
        <v/>
      </c>
    </row>
    <row r="586" spans="2:9" x14ac:dyDescent="0.25">
      <c r="B586" s="39"/>
      <c r="C586" s="40"/>
      <c r="D586" s="40"/>
      <c r="F586" s="40"/>
      <c r="G586" s="40"/>
      <c r="H586" s="42"/>
      <c r="I586" s="42" t="str">
        <f t="shared" si="5"/>
        <v/>
      </c>
    </row>
    <row r="587" spans="2:9" x14ac:dyDescent="0.25">
      <c r="B587" s="39"/>
      <c r="C587" s="40"/>
      <c r="D587" s="40"/>
      <c r="F587" s="40"/>
      <c r="G587" s="40"/>
      <c r="H587" s="42"/>
      <c r="I587" s="42" t="str">
        <f t="shared" si="5"/>
        <v/>
      </c>
    </row>
    <row r="588" spans="2:9" x14ac:dyDescent="0.25">
      <c r="B588" s="39"/>
      <c r="C588" s="40"/>
      <c r="D588" s="40"/>
      <c r="F588" s="40"/>
      <c r="G588" s="40"/>
      <c r="H588" s="42"/>
      <c r="I588" s="42" t="str">
        <f t="shared" si="5"/>
        <v/>
      </c>
    </row>
    <row r="589" spans="2:9" x14ac:dyDescent="0.25">
      <c r="B589" s="39"/>
      <c r="C589" s="40"/>
      <c r="D589" s="40"/>
      <c r="F589" s="40"/>
      <c r="G589" s="40"/>
      <c r="H589" s="42"/>
      <c r="I589" s="42" t="str">
        <f t="shared" si="5"/>
        <v/>
      </c>
    </row>
    <row r="590" spans="2:9" x14ac:dyDescent="0.25">
      <c r="B590" s="39"/>
      <c r="C590" s="40"/>
      <c r="D590" s="40"/>
      <c r="F590" s="40"/>
      <c r="G590" s="40"/>
      <c r="H590" s="42"/>
      <c r="I590" s="42" t="str">
        <f t="shared" si="5"/>
        <v/>
      </c>
    </row>
    <row r="591" spans="2:9" x14ac:dyDescent="0.25">
      <c r="B591" s="39"/>
      <c r="C591" s="40"/>
      <c r="D591" s="40"/>
      <c r="F591" s="40"/>
      <c r="G591" s="40"/>
      <c r="H591" s="42"/>
      <c r="I591" s="42" t="str">
        <f t="shared" si="5"/>
        <v/>
      </c>
    </row>
    <row r="592" spans="2:9" x14ac:dyDescent="0.25">
      <c r="B592" s="39"/>
      <c r="C592" s="40"/>
      <c r="D592" s="40"/>
      <c r="F592" s="40"/>
      <c r="G592" s="40"/>
      <c r="H592" s="42"/>
      <c r="I592" s="42" t="str">
        <f t="shared" si="5"/>
        <v/>
      </c>
    </row>
    <row r="593" spans="2:9" x14ac:dyDescent="0.25">
      <c r="B593" s="39"/>
      <c r="C593" s="40"/>
      <c r="D593" s="40"/>
      <c r="F593" s="40"/>
      <c r="G593" s="40"/>
      <c r="H593" s="42"/>
      <c r="I593" s="42" t="str">
        <f t="shared" si="5"/>
        <v/>
      </c>
    </row>
    <row r="594" spans="2:9" x14ac:dyDescent="0.25">
      <c r="B594" s="39"/>
      <c r="C594" s="40"/>
      <c r="D594" s="40"/>
      <c r="F594" s="40"/>
      <c r="G594" s="40"/>
      <c r="H594" s="42"/>
      <c r="I594" s="42" t="str">
        <f t="shared" si="5"/>
        <v/>
      </c>
    </row>
    <row r="595" spans="2:9" x14ac:dyDescent="0.25">
      <c r="B595" s="39"/>
      <c r="C595" s="40"/>
      <c r="D595" s="40"/>
      <c r="F595" s="40"/>
      <c r="G595" s="40"/>
      <c r="H595" s="42"/>
      <c r="I595" s="42" t="str">
        <f t="shared" si="5"/>
        <v/>
      </c>
    </row>
    <row r="596" spans="2:9" x14ac:dyDescent="0.25">
      <c r="B596" s="39"/>
      <c r="C596" s="40"/>
      <c r="D596" s="40"/>
      <c r="F596" s="40"/>
      <c r="G596" s="40"/>
      <c r="H596" s="42"/>
      <c r="I596" s="42" t="str">
        <f t="shared" si="5"/>
        <v/>
      </c>
    </row>
    <row r="597" spans="2:9" x14ac:dyDescent="0.25">
      <c r="B597" s="39"/>
      <c r="C597" s="40"/>
      <c r="D597" s="40"/>
      <c r="F597" s="40"/>
      <c r="G597" s="40"/>
      <c r="H597" s="42"/>
      <c r="I597" s="42" t="str">
        <f t="shared" si="5"/>
        <v/>
      </c>
    </row>
    <row r="598" spans="2:9" x14ac:dyDescent="0.25">
      <c r="B598" s="39"/>
      <c r="C598" s="40"/>
      <c r="D598" s="40"/>
      <c r="F598" s="40"/>
      <c r="G598" s="40"/>
      <c r="H598" s="42"/>
      <c r="I598" s="42" t="str">
        <f t="shared" si="5"/>
        <v/>
      </c>
    </row>
    <row r="599" spans="2:9" x14ac:dyDescent="0.25">
      <c r="B599" s="39"/>
      <c r="C599" s="40"/>
      <c r="D599" s="40"/>
      <c r="F599" s="40"/>
      <c r="G599" s="40"/>
      <c r="H599" s="42"/>
      <c r="I599" s="42" t="str">
        <f t="shared" si="5"/>
        <v/>
      </c>
    </row>
    <row r="600" spans="2:9" x14ac:dyDescent="0.25">
      <c r="B600" s="39"/>
      <c r="C600" s="40"/>
      <c r="D600" s="40"/>
      <c r="F600" s="40"/>
      <c r="G600" s="40"/>
      <c r="H600" s="42"/>
      <c r="I600" s="42" t="str">
        <f t="shared" si="5"/>
        <v/>
      </c>
    </row>
    <row r="601" spans="2:9" x14ac:dyDescent="0.25">
      <c r="B601" s="39"/>
      <c r="C601" s="40"/>
      <c r="D601" s="40"/>
      <c r="F601" s="40"/>
      <c r="G601" s="40"/>
      <c r="H601" s="42"/>
      <c r="I601" s="42" t="str">
        <f t="shared" si="5"/>
        <v/>
      </c>
    </row>
    <row r="602" spans="2:9" x14ac:dyDescent="0.25">
      <c r="B602" s="39"/>
      <c r="C602" s="40"/>
      <c r="D602" s="40"/>
      <c r="F602" s="40"/>
      <c r="G602" s="40"/>
      <c r="H602" s="42"/>
      <c r="I602" s="42" t="str">
        <f t="shared" si="5"/>
        <v/>
      </c>
    </row>
    <row r="603" spans="2:9" x14ac:dyDescent="0.25">
      <c r="B603" s="39"/>
      <c r="C603" s="40"/>
      <c r="D603" s="40"/>
      <c r="F603" s="40"/>
      <c r="G603" s="40"/>
      <c r="H603" s="42"/>
      <c r="I603" s="42" t="str">
        <f t="shared" si="5"/>
        <v/>
      </c>
    </row>
    <row r="604" spans="2:9" x14ac:dyDescent="0.25">
      <c r="B604" s="39"/>
      <c r="C604" s="40"/>
      <c r="D604" s="40"/>
      <c r="F604" s="40"/>
      <c r="G604" s="40"/>
      <c r="H604" s="42"/>
      <c r="I604" s="42" t="str">
        <f t="shared" si="5"/>
        <v/>
      </c>
    </row>
    <row r="605" spans="2:9" x14ac:dyDescent="0.25">
      <c r="B605" s="39"/>
      <c r="C605" s="40"/>
      <c r="D605" s="40"/>
      <c r="F605" s="40"/>
      <c r="G605" s="40"/>
      <c r="H605" s="42"/>
      <c r="I605" s="42" t="str">
        <f t="shared" si="5"/>
        <v/>
      </c>
    </row>
    <row r="606" spans="2:9" x14ac:dyDescent="0.25">
      <c r="B606" s="39"/>
      <c r="C606" s="40"/>
      <c r="D606" s="40"/>
      <c r="F606" s="40"/>
      <c r="G606" s="40"/>
      <c r="H606" s="42"/>
      <c r="I606" s="42" t="str">
        <f t="shared" si="5"/>
        <v/>
      </c>
    </row>
    <row r="607" spans="2:9" x14ac:dyDescent="0.25">
      <c r="B607" s="39"/>
      <c r="C607" s="40"/>
      <c r="D607" s="40"/>
      <c r="F607" s="40"/>
      <c r="G607" s="40"/>
      <c r="H607" s="42"/>
      <c r="I607" s="42" t="str">
        <f t="shared" si="5"/>
        <v/>
      </c>
    </row>
    <row r="608" spans="2:9" x14ac:dyDescent="0.25">
      <c r="B608" s="39"/>
      <c r="C608" s="40"/>
      <c r="D608" s="40"/>
      <c r="F608" s="40"/>
      <c r="G608" s="40"/>
      <c r="H608" s="42"/>
      <c r="I608" s="42" t="str">
        <f t="shared" si="5"/>
        <v/>
      </c>
    </row>
    <row r="609" spans="2:9" x14ac:dyDescent="0.25">
      <c r="B609" s="39"/>
      <c r="C609" s="40"/>
      <c r="D609" s="40"/>
      <c r="F609" s="40"/>
      <c r="G609" s="40"/>
      <c r="H609" s="42"/>
      <c r="I609" s="42" t="str">
        <f t="shared" si="5"/>
        <v/>
      </c>
    </row>
    <row r="610" spans="2:9" x14ac:dyDescent="0.25">
      <c r="B610" s="39"/>
      <c r="C610" s="40"/>
      <c r="D610" s="40"/>
      <c r="F610" s="40"/>
      <c r="G610" s="40"/>
      <c r="H610" s="42"/>
      <c r="I610" s="42" t="str">
        <f t="shared" si="5"/>
        <v/>
      </c>
    </row>
    <row r="611" spans="2:9" x14ac:dyDescent="0.25">
      <c r="B611" s="39"/>
      <c r="C611" s="40"/>
      <c r="D611" s="40"/>
      <c r="F611" s="40"/>
      <c r="G611" s="40"/>
      <c r="H611" s="42"/>
      <c r="I611" s="42" t="str">
        <f t="shared" si="5"/>
        <v/>
      </c>
    </row>
    <row r="612" spans="2:9" x14ac:dyDescent="0.25">
      <c r="B612" s="39"/>
      <c r="C612" s="40"/>
      <c r="D612" s="40"/>
      <c r="F612" s="40"/>
      <c r="G612" s="40"/>
      <c r="H612" s="42"/>
      <c r="I612" s="42" t="str">
        <f t="shared" si="5"/>
        <v/>
      </c>
    </row>
    <row r="613" spans="2:9" x14ac:dyDescent="0.25">
      <c r="B613" s="39"/>
      <c r="C613" s="40"/>
      <c r="D613" s="40"/>
      <c r="F613" s="40"/>
      <c r="G613" s="40"/>
      <c r="H613" s="42"/>
      <c r="I613" s="42" t="str">
        <f t="shared" si="5"/>
        <v/>
      </c>
    </row>
    <row r="614" spans="2:9" x14ac:dyDescent="0.25">
      <c r="B614" s="39"/>
      <c r="C614" s="40"/>
      <c r="D614" s="40"/>
      <c r="F614" s="40"/>
      <c r="G614" s="40"/>
      <c r="H614" s="42"/>
      <c r="I614" s="42" t="str">
        <f t="shared" si="5"/>
        <v/>
      </c>
    </row>
    <row r="615" spans="2:9" x14ac:dyDescent="0.25">
      <c r="B615" s="39"/>
      <c r="C615" s="40"/>
      <c r="D615" s="40"/>
      <c r="F615" s="40"/>
      <c r="G615" s="40"/>
      <c r="H615" s="42"/>
      <c r="I615" s="42" t="str">
        <f t="shared" si="5"/>
        <v/>
      </c>
    </row>
    <row r="616" spans="2:9" x14ac:dyDescent="0.25">
      <c r="B616" s="39"/>
      <c r="C616" s="40"/>
      <c r="D616" s="40"/>
      <c r="F616" s="40"/>
      <c r="G616" s="40"/>
      <c r="H616" s="42"/>
      <c r="I616" s="42" t="str">
        <f t="shared" si="5"/>
        <v/>
      </c>
    </row>
    <row r="617" spans="2:9" x14ac:dyDescent="0.25">
      <c r="B617" s="39"/>
      <c r="C617" s="40"/>
      <c r="D617" s="40"/>
      <c r="F617" s="40"/>
      <c r="G617" s="40"/>
      <c r="H617" s="42"/>
      <c r="I617" s="42" t="str">
        <f t="shared" si="5"/>
        <v/>
      </c>
    </row>
    <row r="618" spans="2:9" x14ac:dyDescent="0.25">
      <c r="B618" s="39"/>
      <c r="C618" s="40"/>
      <c r="D618" s="40"/>
      <c r="F618" s="40"/>
      <c r="G618" s="40"/>
      <c r="H618" s="42"/>
      <c r="I618" s="42" t="str">
        <f t="shared" si="5"/>
        <v/>
      </c>
    </row>
    <row r="619" spans="2:9" x14ac:dyDescent="0.25">
      <c r="B619" s="39"/>
      <c r="C619" s="40"/>
      <c r="D619" s="40"/>
      <c r="F619" s="40"/>
      <c r="G619" s="40"/>
      <c r="H619" s="42"/>
      <c r="I619" s="42" t="str">
        <f t="shared" si="5"/>
        <v/>
      </c>
    </row>
    <row r="620" spans="2:9" x14ac:dyDescent="0.25">
      <c r="B620" s="39"/>
      <c r="C620" s="40"/>
      <c r="D620" s="40"/>
      <c r="F620" s="40"/>
      <c r="G620" s="40"/>
      <c r="H620" s="42"/>
      <c r="I620" s="42" t="str">
        <f t="shared" si="5"/>
        <v/>
      </c>
    </row>
    <row r="621" spans="2:9" x14ac:dyDescent="0.25">
      <c r="B621" s="39"/>
      <c r="C621" s="40"/>
      <c r="D621" s="40"/>
      <c r="F621" s="40"/>
      <c r="G621" s="40"/>
      <c r="H621" s="42"/>
      <c r="I621" s="42" t="str">
        <f t="shared" si="5"/>
        <v/>
      </c>
    </row>
    <row r="622" spans="2:9" x14ac:dyDescent="0.25">
      <c r="B622" s="39"/>
      <c r="C622" s="40"/>
      <c r="D622" s="40"/>
      <c r="F622" s="40"/>
      <c r="G622" s="40"/>
      <c r="H622" s="42"/>
      <c r="I622" s="42" t="str">
        <f t="shared" si="5"/>
        <v/>
      </c>
    </row>
    <row r="623" spans="2:9" x14ac:dyDescent="0.25">
      <c r="B623" s="39"/>
      <c r="C623" s="40"/>
      <c r="D623" s="40"/>
      <c r="F623" s="40"/>
      <c r="G623" s="40"/>
      <c r="H623" s="42"/>
      <c r="I623" s="42" t="str">
        <f t="shared" si="5"/>
        <v/>
      </c>
    </row>
    <row r="624" spans="2:9" x14ac:dyDescent="0.25">
      <c r="B624" s="39"/>
      <c r="C624" s="40"/>
      <c r="D624" s="40"/>
      <c r="F624" s="40"/>
      <c r="G624" s="40"/>
      <c r="H624" s="42"/>
      <c r="I624" s="42" t="str">
        <f t="shared" si="5"/>
        <v/>
      </c>
    </row>
    <row r="625" spans="2:9" x14ac:dyDescent="0.25">
      <c r="B625" s="39"/>
      <c r="C625" s="40"/>
      <c r="D625" s="40"/>
      <c r="F625" s="40"/>
      <c r="G625" s="40"/>
      <c r="H625" s="42"/>
      <c r="I625" s="42" t="str">
        <f t="shared" si="5"/>
        <v/>
      </c>
    </row>
    <row r="626" spans="2:9" x14ac:dyDescent="0.25">
      <c r="B626" s="39"/>
      <c r="C626" s="40"/>
      <c r="D626" s="40"/>
      <c r="F626" s="40"/>
      <c r="G626" s="40"/>
      <c r="H626" s="42"/>
      <c r="I626" s="42" t="str">
        <f t="shared" si="5"/>
        <v/>
      </c>
    </row>
    <row r="627" spans="2:9" x14ac:dyDescent="0.25">
      <c r="B627" s="39"/>
      <c r="C627" s="40"/>
      <c r="D627" s="40"/>
      <c r="F627" s="40"/>
      <c r="G627" s="40"/>
      <c r="H627" s="42"/>
      <c r="I627" s="42" t="str">
        <f t="shared" si="5"/>
        <v/>
      </c>
    </row>
    <row r="628" spans="2:9" x14ac:dyDescent="0.25">
      <c r="B628" s="39"/>
      <c r="C628" s="40"/>
      <c r="D628" s="40"/>
      <c r="F628" s="40"/>
      <c r="G628" s="40"/>
      <c r="H628" s="42"/>
      <c r="I628" s="42" t="str">
        <f t="shared" si="5"/>
        <v/>
      </c>
    </row>
    <row r="629" spans="2:9" x14ac:dyDescent="0.25">
      <c r="B629" s="39"/>
      <c r="C629" s="40"/>
      <c r="D629" s="40"/>
      <c r="F629" s="40"/>
      <c r="G629" s="40"/>
      <c r="H629" s="42"/>
      <c r="I629" s="42" t="str">
        <f t="shared" si="5"/>
        <v/>
      </c>
    </row>
    <row r="630" spans="2:9" x14ac:dyDescent="0.25">
      <c r="B630" s="39"/>
      <c r="C630" s="40"/>
      <c r="D630" s="40"/>
      <c r="F630" s="40"/>
      <c r="G630" s="40"/>
      <c r="H630" s="42"/>
      <c r="I630" s="42" t="str">
        <f t="shared" si="5"/>
        <v/>
      </c>
    </row>
    <row r="631" spans="2:9" x14ac:dyDescent="0.25">
      <c r="B631" s="39"/>
      <c r="C631" s="40"/>
      <c r="D631" s="40"/>
      <c r="F631" s="40"/>
      <c r="G631" s="40"/>
      <c r="H631" s="42"/>
      <c r="I631" s="42" t="str">
        <f t="shared" si="5"/>
        <v/>
      </c>
    </row>
    <row r="632" spans="2:9" x14ac:dyDescent="0.25">
      <c r="B632" s="39"/>
      <c r="C632" s="40"/>
      <c r="D632" s="40"/>
      <c r="F632" s="40"/>
      <c r="G632" s="40"/>
      <c r="H632" s="42"/>
      <c r="I632" s="42" t="str">
        <f t="shared" si="5"/>
        <v/>
      </c>
    </row>
    <row r="633" spans="2:9" x14ac:dyDescent="0.25">
      <c r="B633" s="39"/>
      <c r="C633" s="40"/>
      <c r="D633" s="40"/>
      <c r="F633" s="40"/>
      <c r="G633" s="40"/>
      <c r="H633" s="42"/>
      <c r="I633" s="42" t="str">
        <f t="shared" si="5"/>
        <v/>
      </c>
    </row>
    <row r="634" spans="2:9" x14ac:dyDescent="0.25">
      <c r="B634" s="39"/>
      <c r="C634" s="40"/>
      <c r="D634" s="40"/>
      <c r="F634" s="40"/>
      <c r="G634" s="40"/>
      <c r="H634" s="42"/>
      <c r="I634" s="42" t="str">
        <f t="shared" si="5"/>
        <v/>
      </c>
    </row>
    <row r="635" spans="2:9" x14ac:dyDescent="0.25">
      <c r="B635" s="39"/>
      <c r="C635" s="40"/>
      <c r="D635" s="40"/>
      <c r="F635" s="40"/>
      <c r="G635" s="40"/>
      <c r="H635" s="42"/>
      <c r="I635" s="42" t="str">
        <f t="shared" si="5"/>
        <v/>
      </c>
    </row>
    <row r="636" spans="2:9" x14ac:dyDescent="0.25">
      <c r="B636" s="39"/>
      <c r="C636" s="40"/>
      <c r="D636" s="40"/>
      <c r="F636" s="40"/>
      <c r="G636" s="40"/>
      <c r="H636" s="42"/>
      <c r="I636" s="42" t="str">
        <f t="shared" si="5"/>
        <v/>
      </c>
    </row>
    <row r="637" spans="2:9" x14ac:dyDescent="0.25">
      <c r="B637" s="39"/>
      <c r="C637" s="40"/>
      <c r="D637" s="40"/>
      <c r="F637" s="40"/>
      <c r="G637" s="40"/>
      <c r="H637" s="42"/>
      <c r="I637" s="42" t="str">
        <f t="shared" si="5"/>
        <v/>
      </c>
    </row>
    <row r="638" spans="2:9" x14ac:dyDescent="0.25">
      <c r="B638" s="39"/>
      <c r="C638" s="40"/>
      <c r="D638" s="40"/>
      <c r="F638" s="40"/>
      <c r="G638" s="40"/>
      <c r="H638" s="42"/>
      <c r="I638" s="42" t="str">
        <f t="shared" si="5"/>
        <v/>
      </c>
    </row>
    <row r="639" spans="2:9" x14ac:dyDescent="0.25">
      <c r="B639" s="39"/>
      <c r="C639" s="40"/>
      <c r="D639" s="40"/>
      <c r="F639" s="40"/>
      <c r="G639" s="40"/>
      <c r="H639" s="42"/>
      <c r="I639" s="42" t="str">
        <f t="shared" si="5"/>
        <v/>
      </c>
    </row>
    <row r="640" spans="2:9" x14ac:dyDescent="0.25">
      <c r="B640" s="39"/>
      <c r="C640" s="40"/>
      <c r="D640" s="40"/>
      <c r="F640" s="40"/>
      <c r="G640" s="40"/>
      <c r="H640" s="42"/>
      <c r="I640" s="42" t="str">
        <f t="shared" ref="I640:I703" si="6">IF(H640&lt;&gt;"",H640-H639,"")</f>
        <v/>
      </c>
    </row>
    <row r="641" spans="2:9" x14ac:dyDescent="0.25">
      <c r="B641" s="39"/>
      <c r="C641" s="40"/>
      <c r="D641" s="40"/>
      <c r="F641" s="40"/>
      <c r="G641" s="40"/>
      <c r="H641" s="42"/>
      <c r="I641" s="42" t="str">
        <f t="shared" si="6"/>
        <v/>
      </c>
    </row>
    <row r="642" spans="2:9" x14ac:dyDescent="0.25">
      <c r="B642" s="39"/>
      <c r="C642" s="40"/>
      <c r="D642" s="40"/>
      <c r="F642" s="40"/>
      <c r="G642" s="40"/>
      <c r="H642" s="42"/>
      <c r="I642" s="42" t="str">
        <f t="shared" si="6"/>
        <v/>
      </c>
    </row>
    <row r="643" spans="2:9" x14ac:dyDescent="0.25">
      <c r="B643" s="39"/>
      <c r="C643" s="40"/>
      <c r="D643" s="40"/>
      <c r="F643" s="40"/>
      <c r="G643" s="40"/>
      <c r="H643" s="42"/>
      <c r="I643" s="42" t="str">
        <f t="shared" si="6"/>
        <v/>
      </c>
    </row>
    <row r="644" spans="2:9" x14ac:dyDescent="0.25">
      <c r="B644" s="39"/>
      <c r="C644" s="40"/>
      <c r="D644" s="40"/>
      <c r="F644" s="40"/>
      <c r="G644" s="40"/>
      <c r="H644" s="42"/>
      <c r="I644" s="42" t="str">
        <f t="shared" si="6"/>
        <v/>
      </c>
    </row>
    <row r="645" spans="2:9" x14ac:dyDescent="0.25">
      <c r="B645" s="39"/>
      <c r="C645" s="40"/>
      <c r="D645" s="40"/>
      <c r="F645" s="40"/>
      <c r="G645" s="40"/>
      <c r="H645" s="42"/>
      <c r="I645" s="42" t="str">
        <f t="shared" si="6"/>
        <v/>
      </c>
    </row>
    <row r="646" spans="2:9" x14ac:dyDescent="0.25">
      <c r="B646" s="39"/>
      <c r="C646" s="40"/>
      <c r="D646" s="40"/>
      <c r="F646" s="40"/>
      <c r="G646" s="40"/>
      <c r="H646" s="42"/>
      <c r="I646" s="42" t="str">
        <f t="shared" si="6"/>
        <v/>
      </c>
    </row>
    <row r="647" spans="2:9" x14ac:dyDescent="0.25">
      <c r="B647" s="39"/>
      <c r="C647" s="40"/>
      <c r="D647" s="40"/>
      <c r="F647" s="40"/>
      <c r="G647" s="40"/>
      <c r="H647" s="42"/>
      <c r="I647" s="42" t="str">
        <f t="shared" si="6"/>
        <v/>
      </c>
    </row>
    <row r="648" spans="2:9" x14ac:dyDescent="0.25">
      <c r="B648" s="39"/>
      <c r="C648" s="40"/>
      <c r="D648" s="40"/>
      <c r="F648" s="40"/>
      <c r="G648" s="40"/>
      <c r="H648" s="42"/>
      <c r="I648" s="42" t="str">
        <f t="shared" si="6"/>
        <v/>
      </c>
    </row>
    <row r="649" spans="2:9" x14ac:dyDescent="0.25">
      <c r="B649" s="39"/>
      <c r="C649" s="40"/>
      <c r="D649" s="40"/>
      <c r="F649" s="40"/>
      <c r="G649" s="40"/>
      <c r="H649" s="42"/>
      <c r="I649" s="42" t="str">
        <f t="shared" si="6"/>
        <v/>
      </c>
    </row>
    <row r="650" spans="2:9" x14ac:dyDescent="0.25">
      <c r="B650" s="39"/>
      <c r="C650" s="40"/>
      <c r="D650" s="40"/>
      <c r="F650" s="40"/>
      <c r="G650" s="40"/>
      <c r="H650" s="42"/>
      <c r="I650" s="42" t="str">
        <f t="shared" si="6"/>
        <v/>
      </c>
    </row>
    <row r="651" spans="2:9" x14ac:dyDescent="0.25">
      <c r="B651" s="39"/>
      <c r="C651" s="40"/>
      <c r="D651" s="40"/>
      <c r="F651" s="40"/>
      <c r="G651" s="40"/>
      <c r="H651" s="42"/>
      <c r="I651" s="42" t="str">
        <f t="shared" si="6"/>
        <v/>
      </c>
    </row>
    <row r="652" spans="2:9" x14ac:dyDescent="0.25">
      <c r="B652" s="39"/>
      <c r="C652" s="40"/>
      <c r="D652" s="40"/>
      <c r="F652" s="40"/>
      <c r="G652" s="40"/>
      <c r="H652" s="42"/>
      <c r="I652" s="42" t="str">
        <f t="shared" si="6"/>
        <v/>
      </c>
    </row>
    <row r="653" spans="2:9" x14ac:dyDescent="0.25">
      <c r="B653" s="39"/>
      <c r="C653" s="40"/>
      <c r="D653" s="40"/>
      <c r="F653" s="40"/>
      <c r="G653" s="40"/>
      <c r="H653" s="42"/>
      <c r="I653" s="42" t="str">
        <f t="shared" si="6"/>
        <v/>
      </c>
    </row>
    <row r="654" spans="2:9" x14ac:dyDescent="0.25">
      <c r="B654" s="39"/>
      <c r="C654" s="40"/>
      <c r="D654" s="40"/>
      <c r="F654" s="40"/>
      <c r="G654" s="40"/>
      <c r="H654" s="42"/>
      <c r="I654" s="42" t="str">
        <f t="shared" si="6"/>
        <v/>
      </c>
    </row>
    <row r="655" spans="2:9" x14ac:dyDescent="0.25">
      <c r="B655" s="39"/>
      <c r="C655" s="40"/>
      <c r="D655" s="40"/>
      <c r="F655" s="40"/>
      <c r="G655" s="40"/>
      <c r="H655" s="42"/>
      <c r="I655" s="42" t="str">
        <f t="shared" si="6"/>
        <v/>
      </c>
    </row>
    <row r="656" spans="2:9" x14ac:dyDescent="0.25">
      <c r="B656" s="39"/>
      <c r="C656" s="40"/>
      <c r="D656" s="40"/>
      <c r="F656" s="40"/>
      <c r="G656" s="40"/>
      <c r="H656" s="42"/>
      <c r="I656" s="42" t="str">
        <f t="shared" si="6"/>
        <v/>
      </c>
    </row>
    <row r="657" spans="2:9" x14ac:dyDescent="0.25">
      <c r="B657" s="39"/>
      <c r="C657" s="40"/>
      <c r="D657" s="40"/>
      <c r="F657" s="40"/>
      <c r="G657" s="40"/>
      <c r="H657" s="42"/>
      <c r="I657" s="42" t="str">
        <f t="shared" si="6"/>
        <v/>
      </c>
    </row>
    <row r="658" spans="2:9" x14ac:dyDescent="0.25">
      <c r="B658" s="39"/>
      <c r="C658" s="40"/>
      <c r="D658" s="40"/>
      <c r="F658" s="40"/>
      <c r="G658" s="40"/>
      <c r="H658" s="42"/>
      <c r="I658" s="42" t="str">
        <f t="shared" si="6"/>
        <v/>
      </c>
    </row>
    <row r="659" spans="2:9" x14ac:dyDescent="0.25">
      <c r="B659" s="39"/>
      <c r="C659" s="40"/>
      <c r="D659" s="40"/>
      <c r="F659" s="40"/>
      <c r="G659" s="40"/>
      <c r="H659" s="42"/>
      <c r="I659" s="42" t="str">
        <f t="shared" si="6"/>
        <v/>
      </c>
    </row>
    <row r="660" spans="2:9" x14ac:dyDescent="0.25">
      <c r="B660" s="39"/>
      <c r="C660" s="40"/>
      <c r="D660" s="40"/>
      <c r="F660" s="40"/>
      <c r="G660" s="40"/>
      <c r="H660" s="42"/>
      <c r="I660" s="42" t="str">
        <f t="shared" si="6"/>
        <v/>
      </c>
    </row>
    <row r="661" spans="2:9" x14ac:dyDescent="0.25">
      <c r="B661" s="39"/>
      <c r="C661" s="40"/>
      <c r="D661" s="40"/>
      <c r="F661" s="40"/>
      <c r="G661" s="40"/>
      <c r="H661" s="42"/>
      <c r="I661" s="42" t="str">
        <f t="shared" si="6"/>
        <v/>
      </c>
    </row>
    <row r="662" spans="2:9" x14ac:dyDescent="0.25">
      <c r="B662" s="39"/>
      <c r="C662" s="40"/>
      <c r="D662" s="40"/>
      <c r="F662" s="40"/>
      <c r="G662" s="40"/>
      <c r="H662" s="42"/>
      <c r="I662" s="42" t="str">
        <f t="shared" si="6"/>
        <v/>
      </c>
    </row>
    <row r="663" spans="2:9" x14ac:dyDescent="0.25">
      <c r="B663" s="39"/>
      <c r="C663" s="40"/>
      <c r="D663" s="40"/>
      <c r="F663" s="40"/>
      <c r="G663" s="40"/>
      <c r="H663" s="42"/>
      <c r="I663" s="42" t="str">
        <f t="shared" si="6"/>
        <v/>
      </c>
    </row>
    <row r="664" spans="2:9" x14ac:dyDescent="0.25">
      <c r="B664" s="39"/>
      <c r="C664" s="40"/>
      <c r="D664" s="40"/>
      <c r="F664" s="40"/>
      <c r="G664" s="40"/>
      <c r="H664" s="42"/>
      <c r="I664" s="42" t="str">
        <f t="shared" si="6"/>
        <v/>
      </c>
    </row>
    <row r="665" spans="2:9" x14ac:dyDescent="0.25">
      <c r="B665" s="39"/>
      <c r="C665" s="40"/>
      <c r="D665" s="40"/>
      <c r="F665" s="40"/>
      <c r="G665" s="40"/>
      <c r="H665" s="42"/>
      <c r="I665" s="42" t="str">
        <f t="shared" si="6"/>
        <v/>
      </c>
    </row>
    <row r="666" spans="2:9" x14ac:dyDescent="0.25">
      <c r="B666" s="39"/>
      <c r="C666" s="40"/>
      <c r="D666" s="40"/>
      <c r="F666" s="40"/>
      <c r="G666" s="40"/>
      <c r="H666" s="42"/>
      <c r="I666" s="42" t="str">
        <f t="shared" si="6"/>
        <v/>
      </c>
    </row>
    <row r="667" spans="2:9" x14ac:dyDescent="0.25">
      <c r="B667" s="39"/>
      <c r="C667" s="40"/>
      <c r="D667" s="40"/>
      <c r="F667" s="40"/>
      <c r="G667" s="40"/>
      <c r="H667" s="42"/>
      <c r="I667" s="42" t="str">
        <f t="shared" si="6"/>
        <v/>
      </c>
    </row>
    <row r="668" spans="2:9" x14ac:dyDescent="0.25">
      <c r="B668" s="39"/>
      <c r="C668" s="40"/>
      <c r="D668" s="40"/>
      <c r="F668" s="40"/>
      <c r="G668" s="40"/>
      <c r="H668" s="42"/>
      <c r="I668" s="42" t="str">
        <f t="shared" si="6"/>
        <v/>
      </c>
    </row>
    <row r="669" spans="2:9" x14ac:dyDescent="0.25">
      <c r="B669" s="39"/>
      <c r="C669" s="40"/>
      <c r="D669" s="40"/>
      <c r="F669" s="40"/>
      <c r="G669" s="40"/>
      <c r="H669" s="42"/>
      <c r="I669" s="42" t="str">
        <f t="shared" si="6"/>
        <v/>
      </c>
    </row>
    <row r="670" spans="2:9" x14ac:dyDescent="0.25">
      <c r="B670" s="39"/>
      <c r="C670" s="40"/>
      <c r="D670" s="40"/>
      <c r="F670" s="40"/>
      <c r="G670" s="40"/>
      <c r="H670" s="42"/>
      <c r="I670" s="42" t="str">
        <f t="shared" si="6"/>
        <v/>
      </c>
    </row>
    <row r="671" spans="2:9" x14ac:dyDescent="0.25">
      <c r="B671" s="39"/>
      <c r="C671" s="40"/>
      <c r="D671" s="40"/>
      <c r="F671" s="40"/>
      <c r="G671" s="40"/>
      <c r="H671" s="42"/>
      <c r="I671" s="42" t="str">
        <f t="shared" si="6"/>
        <v/>
      </c>
    </row>
    <row r="672" spans="2:9" x14ac:dyDescent="0.25">
      <c r="B672" s="39"/>
      <c r="C672" s="40"/>
      <c r="D672" s="40"/>
      <c r="F672" s="40"/>
      <c r="G672" s="40"/>
      <c r="H672" s="42"/>
      <c r="I672" s="42" t="str">
        <f t="shared" si="6"/>
        <v/>
      </c>
    </row>
    <row r="673" spans="2:9" x14ac:dyDescent="0.25">
      <c r="B673" s="39"/>
      <c r="C673" s="40"/>
      <c r="D673" s="40"/>
      <c r="F673" s="40"/>
      <c r="G673" s="40"/>
      <c r="H673" s="42"/>
      <c r="I673" s="42" t="str">
        <f t="shared" si="6"/>
        <v/>
      </c>
    </row>
    <row r="674" spans="2:9" x14ac:dyDescent="0.25">
      <c r="B674" s="39"/>
      <c r="C674" s="40"/>
      <c r="D674" s="40"/>
      <c r="F674" s="40"/>
      <c r="G674" s="40"/>
      <c r="H674" s="42"/>
      <c r="I674" s="42" t="str">
        <f t="shared" si="6"/>
        <v/>
      </c>
    </row>
    <row r="675" spans="2:9" x14ac:dyDescent="0.25">
      <c r="B675" s="39"/>
      <c r="C675" s="40"/>
      <c r="D675" s="40"/>
      <c r="F675" s="40"/>
      <c r="G675" s="40"/>
      <c r="H675" s="42"/>
      <c r="I675" s="42" t="str">
        <f t="shared" si="6"/>
        <v/>
      </c>
    </row>
    <row r="676" spans="2:9" x14ac:dyDescent="0.25">
      <c r="B676" s="39"/>
      <c r="C676" s="40"/>
      <c r="D676" s="40"/>
      <c r="F676" s="40"/>
      <c r="G676" s="40"/>
      <c r="H676" s="42"/>
      <c r="I676" s="42" t="str">
        <f t="shared" si="6"/>
        <v/>
      </c>
    </row>
    <row r="677" spans="2:9" x14ac:dyDescent="0.25">
      <c r="B677" s="39"/>
      <c r="C677" s="40"/>
      <c r="D677" s="40"/>
      <c r="F677" s="40"/>
      <c r="G677" s="40"/>
      <c r="H677" s="42"/>
      <c r="I677" s="42" t="str">
        <f t="shared" si="6"/>
        <v/>
      </c>
    </row>
    <row r="678" spans="2:9" x14ac:dyDescent="0.25">
      <c r="B678" s="39"/>
      <c r="C678" s="40"/>
      <c r="D678" s="40"/>
      <c r="F678" s="40"/>
      <c r="G678" s="40"/>
      <c r="H678" s="42"/>
      <c r="I678" s="42" t="str">
        <f t="shared" si="6"/>
        <v/>
      </c>
    </row>
    <row r="679" spans="2:9" x14ac:dyDescent="0.25">
      <c r="B679" s="39"/>
      <c r="C679" s="40"/>
      <c r="D679" s="40"/>
      <c r="F679" s="40"/>
      <c r="G679" s="40"/>
      <c r="H679" s="42"/>
      <c r="I679" s="42" t="str">
        <f t="shared" si="6"/>
        <v/>
      </c>
    </row>
    <row r="680" spans="2:9" x14ac:dyDescent="0.25">
      <c r="B680" s="39"/>
      <c r="C680" s="40"/>
      <c r="D680" s="40"/>
      <c r="F680" s="40"/>
      <c r="G680" s="40"/>
      <c r="H680" s="42"/>
      <c r="I680" s="42" t="str">
        <f t="shared" si="6"/>
        <v/>
      </c>
    </row>
    <row r="681" spans="2:9" x14ac:dyDescent="0.25">
      <c r="B681" s="39"/>
      <c r="C681" s="40"/>
      <c r="D681" s="40"/>
      <c r="F681" s="40"/>
      <c r="G681" s="40"/>
      <c r="H681" s="42"/>
      <c r="I681" s="42" t="str">
        <f t="shared" si="6"/>
        <v/>
      </c>
    </row>
    <row r="682" spans="2:9" x14ac:dyDescent="0.25">
      <c r="B682" s="39"/>
      <c r="C682" s="40"/>
      <c r="D682" s="40"/>
      <c r="F682" s="40"/>
      <c r="G682" s="40"/>
      <c r="H682" s="42"/>
      <c r="I682" s="42" t="str">
        <f t="shared" si="6"/>
        <v/>
      </c>
    </row>
    <row r="683" spans="2:9" x14ac:dyDescent="0.25">
      <c r="B683" s="39"/>
      <c r="C683" s="40"/>
      <c r="D683" s="40"/>
      <c r="F683" s="40"/>
      <c r="G683" s="40"/>
      <c r="H683" s="42"/>
      <c r="I683" s="42" t="str">
        <f t="shared" si="6"/>
        <v/>
      </c>
    </row>
    <row r="684" spans="2:9" x14ac:dyDescent="0.25">
      <c r="B684" s="39"/>
      <c r="C684" s="40"/>
      <c r="D684" s="40"/>
      <c r="F684" s="40"/>
      <c r="G684" s="40"/>
      <c r="H684" s="42"/>
      <c r="I684" s="42" t="str">
        <f t="shared" si="6"/>
        <v/>
      </c>
    </row>
    <row r="685" spans="2:9" x14ac:dyDescent="0.25">
      <c r="B685" s="39"/>
      <c r="C685" s="40"/>
      <c r="D685" s="40"/>
      <c r="F685" s="40"/>
      <c r="G685" s="40"/>
      <c r="H685" s="42"/>
      <c r="I685" s="42" t="str">
        <f t="shared" si="6"/>
        <v/>
      </c>
    </row>
    <row r="686" spans="2:9" x14ac:dyDescent="0.25">
      <c r="B686" s="39"/>
      <c r="C686" s="40"/>
      <c r="D686" s="40"/>
      <c r="F686" s="40"/>
      <c r="G686" s="40"/>
      <c r="H686" s="42"/>
      <c r="I686" s="42" t="str">
        <f t="shared" si="6"/>
        <v/>
      </c>
    </row>
    <row r="687" spans="2:9" x14ac:dyDescent="0.25">
      <c r="B687" s="39"/>
      <c r="C687" s="40"/>
      <c r="D687" s="40"/>
      <c r="F687" s="40"/>
      <c r="G687" s="40"/>
      <c r="H687" s="42"/>
      <c r="I687" s="42" t="str">
        <f t="shared" si="6"/>
        <v/>
      </c>
    </row>
    <row r="688" spans="2:9" x14ac:dyDescent="0.25">
      <c r="B688" s="39"/>
      <c r="C688" s="40"/>
      <c r="D688" s="40"/>
      <c r="F688" s="40"/>
      <c r="G688" s="40"/>
      <c r="H688" s="42"/>
      <c r="I688" s="42" t="str">
        <f t="shared" si="6"/>
        <v/>
      </c>
    </row>
    <row r="689" spans="2:9" x14ac:dyDescent="0.25">
      <c r="B689" s="39"/>
      <c r="C689" s="40"/>
      <c r="D689" s="40"/>
      <c r="F689" s="40"/>
      <c r="G689" s="40"/>
      <c r="H689" s="42"/>
      <c r="I689" s="42" t="str">
        <f t="shared" si="6"/>
        <v/>
      </c>
    </row>
    <row r="690" spans="2:9" x14ac:dyDescent="0.25">
      <c r="B690" s="39"/>
      <c r="C690" s="40"/>
      <c r="D690" s="40"/>
      <c r="F690" s="40"/>
      <c r="G690" s="40"/>
      <c r="H690" s="42"/>
      <c r="I690" s="42" t="str">
        <f t="shared" si="6"/>
        <v/>
      </c>
    </row>
    <row r="691" spans="2:9" x14ac:dyDescent="0.25">
      <c r="B691" s="39"/>
      <c r="C691" s="40"/>
      <c r="D691" s="40"/>
      <c r="F691" s="40"/>
      <c r="G691" s="40"/>
      <c r="H691" s="42"/>
      <c r="I691" s="42" t="str">
        <f t="shared" si="6"/>
        <v/>
      </c>
    </row>
    <row r="692" spans="2:9" x14ac:dyDescent="0.25">
      <c r="B692" s="39"/>
      <c r="C692" s="40"/>
      <c r="D692" s="40"/>
      <c r="F692" s="40"/>
      <c r="G692" s="40"/>
      <c r="H692" s="42"/>
      <c r="I692" s="42" t="str">
        <f t="shared" si="6"/>
        <v/>
      </c>
    </row>
    <row r="693" spans="2:9" x14ac:dyDescent="0.25">
      <c r="B693" s="39"/>
      <c r="C693" s="40"/>
      <c r="D693" s="40"/>
      <c r="F693" s="40"/>
      <c r="G693" s="40"/>
      <c r="H693" s="42"/>
      <c r="I693" s="42" t="str">
        <f t="shared" si="6"/>
        <v/>
      </c>
    </row>
    <row r="694" spans="2:9" x14ac:dyDescent="0.25">
      <c r="B694" s="39"/>
      <c r="C694" s="40"/>
      <c r="D694" s="40"/>
      <c r="F694" s="40"/>
      <c r="G694" s="40"/>
      <c r="H694" s="42"/>
      <c r="I694" s="42" t="str">
        <f t="shared" si="6"/>
        <v/>
      </c>
    </row>
    <row r="695" spans="2:9" x14ac:dyDescent="0.25">
      <c r="B695" s="39"/>
      <c r="C695" s="40"/>
      <c r="D695" s="40"/>
      <c r="F695" s="40"/>
      <c r="G695" s="40"/>
      <c r="H695" s="42"/>
      <c r="I695" s="42" t="str">
        <f t="shared" si="6"/>
        <v/>
      </c>
    </row>
    <row r="696" spans="2:9" x14ac:dyDescent="0.25">
      <c r="B696" s="39"/>
      <c r="C696" s="40"/>
      <c r="D696" s="40"/>
      <c r="F696" s="40"/>
      <c r="G696" s="40"/>
      <c r="H696" s="42"/>
      <c r="I696" s="42" t="str">
        <f t="shared" si="6"/>
        <v/>
      </c>
    </row>
    <row r="697" spans="2:9" x14ac:dyDescent="0.25">
      <c r="B697" s="39"/>
      <c r="C697" s="40"/>
      <c r="D697" s="40"/>
      <c r="F697" s="40"/>
      <c r="G697" s="40"/>
      <c r="H697" s="42"/>
      <c r="I697" s="42" t="str">
        <f t="shared" si="6"/>
        <v/>
      </c>
    </row>
    <row r="698" spans="2:9" x14ac:dyDescent="0.25">
      <c r="B698" s="39"/>
      <c r="C698" s="40"/>
      <c r="D698" s="40"/>
      <c r="F698" s="40"/>
      <c r="G698" s="40"/>
      <c r="H698" s="42"/>
      <c r="I698" s="42" t="str">
        <f t="shared" si="6"/>
        <v/>
      </c>
    </row>
    <row r="699" spans="2:9" x14ac:dyDescent="0.25">
      <c r="B699" s="39"/>
      <c r="C699" s="40"/>
      <c r="D699" s="40"/>
      <c r="F699" s="40"/>
      <c r="G699" s="40"/>
      <c r="H699" s="42"/>
      <c r="I699" s="42" t="str">
        <f t="shared" si="6"/>
        <v/>
      </c>
    </row>
    <row r="700" spans="2:9" x14ac:dyDescent="0.25">
      <c r="B700" s="39"/>
      <c r="C700" s="40"/>
      <c r="D700" s="40"/>
      <c r="F700" s="40"/>
      <c r="G700" s="40"/>
      <c r="H700" s="42"/>
      <c r="I700" s="42" t="str">
        <f t="shared" si="6"/>
        <v/>
      </c>
    </row>
    <row r="701" spans="2:9" x14ac:dyDescent="0.25">
      <c r="B701" s="39"/>
      <c r="C701" s="40"/>
      <c r="D701" s="40"/>
      <c r="F701" s="40"/>
      <c r="G701" s="40"/>
      <c r="H701" s="42"/>
      <c r="I701" s="42" t="str">
        <f t="shared" si="6"/>
        <v/>
      </c>
    </row>
    <row r="702" spans="2:9" x14ac:dyDescent="0.25">
      <c r="B702" s="39"/>
      <c r="C702" s="40"/>
      <c r="D702" s="40"/>
      <c r="F702" s="40"/>
      <c r="G702" s="40"/>
      <c r="H702" s="42"/>
      <c r="I702" s="42" t="str">
        <f t="shared" si="6"/>
        <v/>
      </c>
    </row>
    <row r="703" spans="2:9" x14ac:dyDescent="0.25">
      <c r="B703" s="39"/>
      <c r="C703" s="40"/>
      <c r="D703" s="40"/>
      <c r="F703" s="40"/>
      <c r="G703" s="40"/>
      <c r="H703" s="42"/>
      <c r="I703" s="42" t="str">
        <f t="shared" si="6"/>
        <v/>
      </c>
    </row>
    <row r="704" spans="2:9" x14ac:dyDescent="0.25">
      <c r="B704" s="39"/>
      <c r="C704" s="40"/>
      <c r="D704" s="40"/>
      <c r="F704" s="40"/>
      <c r="G704" s="40"/>
      <c r="H704" s="42"/>
      <c r="I704" s="42" t="str">
        <f t="shared" ref="I704:I767" si="7">IF(H704&lt;&gt;"",H704-H703,"")</f>
        <v/>
      </c>
    </row>
    <row r="705" spans="2:9" x14ac:dyDescent="0.25">
      <c r="B705" s="39"/>
      <c r="C705" s="40"/>
      <c r="D705" s="40"/>
      <c r="F705" s="40"/>
      <c r="G705" s="40"/>
      <c r="H705" s="42"/>
      <c r="I705" s="42" t="str">
        <f t="shared" si="7"/>
        <v/>
      </c>
    </row>
    <row r="706" spans="2:9" x14ac:dyDescent="0.25">
      <c r="B706" s="39"/>
      <c r="C706" s="40"/>
      <c r="D706" s="40"/>
      <c r="F706" s="40"/>
      <c r="G706" s="40"/>
      <c r="H706" s="42"/>
      <c r="I706" s="42" t="str">
        <f t="shared" si="7"/>
        <v/>
      </c>
    </row>
    <row r="707" spans="2:9" x14ac:dyDescent="0.25">
      <c r="B707" s="39"/>
      <c r="C707" s="40"/>
      <c r="D707" s="40"/>
      <c r="F707" s="40"/>
      <c r="G707" s="40"/>
      <c r="H707" s="42"/>
      <c r="I707" s="42" t="str">
        <f t="shared" si="7"/>
        <v/>
      </c>
    </row>
    <row r="708" spans="2:9" x14ac:dyDescent="0.25">
      <c r="B708" s="39"/>
      <c r="C708" s="40"/>
      <c r="D708" s="40"/>
      <c r="F708" s="40"/>
      <c r="G708" s="40"/>
      <c r="H708" s="42"/>
      <c r="I708" s="42" t="str">
        <f t="shared" si="7"/>
        <v/>
      </c>
    </row>
    <row r="709" spans="2:9" x14ac:dyDescent="0.25">
      <c r="B709" s="39"/>
      <c r="C709" s="40"/>
      <c r="D709" s="40"/>
      <c r="F709" s="40"/>
      <c r="G709" s="40"/>
      <c r="H709" s="42"/>
      <c r="I709" s="42" t="str">
        <f t="shared" si="7"/>
        <v/>
      </c>
    </row>
    <row r="710" spans="2:9" x14ac:dyDescent="0.25">
      <c r="B710" s="39"/>
      <c r="C710" s="40"/>
      <c r="D710" s="40"/>
      <c r="F710" s="40"/>
      <c r="G710" s="40"/>
      <c r="H710" s="42"/>
      <c r="I710" s="42" t="str">
        <f t="shared" si="7"/>
        <v/>
      </c>
    </row>
    <row r="711" spans="2:9" x14ac:dyDescent="0.25">
      <c r="B711" s="39"/>
      <c r="C711" s="40"/>
      <c r="D711" s="40"/>
      <c r="F711" s="40"/>
      <c r="G711" s="40"/>
      <c r="H711" s="42"/>
      <c r="I711" s="42" t="str">
        <f t="shared" si="7"/>
        <v/>
      </c>
    </row>
    <row r="712" spans="2:9" x14ac:dyDescent="0.25">
      <c r="B712" s="39"/>
      <c r="C712" s="40"/>
      <c r="D712" s="40"/>
      <c r="F712" s="40"/>
      <c r="G712" s="40"/>
      <c r="H712" s="42"/>
      <c r="I712" s="42" t="str">
        <f t="shared" si="7"/>
        <v/>
      </c>
    </row>
    <row r="713" spans="2:9" x14ac:dyDescent="0.25">
      <c r="B713" s="39"/>
      <c r="C713" s="40"/>
      <c r="D713" s="40"/>
      <c r="F713" s="40"/>
      <c r="G713" s="40"/>
      <c r="H713" s="42"/>
      <c r="I713" s="42" t="str">
        <f t="shared" si="7"/>
        <v/>
      </c>
    </row>
    <row r="714" spans="2:9" x14ac:dyDescent="0.25">
      <c r="B714" s="39"/>
      <c r="C714" s="40"/>
      <c r="D714" s="40"/>
      <c r="F714" s="40"/>
      <c r="G714" s="40"/>
      <c r="H714" s="42"/>
      <c r="I714" s="42" t="str">
        <f t="shared" si="7"/>
        <v/>
      </c>
    </row>
    <row r="715" spans="2:9" x14ac:dyDescent="0.25">
      <c r="B715" s="39"/>
      <c r="C715" s="40"/>
      <c r="D715" s="40"/>
      <c r="F715" s="40"/>
      <c r="G715" s="40"/>
      <c r="H715" s="42"/>
      <c r="I715" s="42" t="str">
        <f t="shared" si="7"/>
        <v/>
      </c>
    </row>
    <row r="716" spans="2:9" x14ac:dyDescent="0.25">
      <c r="B716" s="39"/>
      <c r="C716" s="40"/>
      <c r="D716" s="40"/>
      <c r="F716" s="40"/>
      <c r="G716" s="40"/>
      <c r="H716" s="42"/>
      <c r="I716" s="42" t="str">
        <f t="shared" si="7"/>
        <v/>
      </c>
    </row>
    <row r="717" spans="2:9" x14ac:dyDescent="0.25">
      <c r="B717" s="39"/>
      <c r="C717" s="40"/>
      <c r="D717" s="40"/>
      <c r="F717" s="40"/>
      <c r="G717" s="40"/>
      <c r="H717" s="42"/>
      <c r="I717" s="42" t="str">
        <f t="shared" si="7"/>
        <v/>
      </c>
    </row>
    <row r="718" spans="2:9" x14ac:dyDescent="0.25">
      <c r="B718" s="39"/>
      <c r="C718" s="40"/>
      <c r="D718" s="40"/>
      <c r="F718" s="40"/>
      <c r="G718" s="40"/>
      <c r="H718" s="42"/>
      <c r="I718" s="42" t="str">
        <f t="shared" si="7"/>
        <v/>
      </c>
    </row>
    <row r="719" spans="2:9" x14ac:dyDescent="0.25">
      <c r="B719" s="39"/>
      <c r="C719" s="40"/>
      <c r="D719" s="40"/>
      <c r="F719" s="40"/>
      <c r="G719" s="40"/>
      <c r="H719" s="42"/>
      <c r="I719" s="42" t="str">
        <f t="shared" si="7"/>
        <v/>
      </c>
    </row>
    <row r="720" spans="2:9" x14ac:dyDescent="0.25">
      <c r="B720" s="39"/>
      <c r="C720" s="40"/>
      <c r="D720" s="40"/>
      <c r="F720" s="40"/>
      <c r="G720" s="40"/>
      <c r="H720" s="42"/>
      <c r="I720" s="42" t="str">
        <f t="shared" si="7"/>
        <v/>
      </c>
    </row>
    <row r="721" spans="2:9" x14ac:dyDescent="0.25">
      <c r="B721" s="39"/>
      <c r="C721" s="40"/>
      <c r="D721" s="40"/>
      <c r="F721" s="40"/>
      <c r="G721" s="40"/>
      <c r="H721" s="42"/>
      <c r="I721" s="42" t="str">
        <f t="shared" si="7"/>
        <v/>
      </c>
    </row>
    <row r="722" spans="2:9" x14ac:dyDescent="0.25">
      <c r="B722" s="39"/>
      <c r="C722" s="40"/>
      <c r="D722" s="40"/>
      <c r="F722" s="40"/>
      <c r="G722" s="40"/>
      <c r="H722" s="42"/>
      <c r="I722" s="42" t="str">
        <f t="shared" si="7"/>
        <v/>
      </c>
    </row>
    <row r="723" spans="2:9" x14ac:dyDescent="0.25">
      <c r="B723" s="39"/>
      <c r="C723" s="40"/>
      <c r="D723" s="40"/>
      <c r="F723" s="40"/>
      <c r="G723" s="40"/>
      <c r="H723" s="42"/>
      <c r="I723" s="42" t="str">
        <f t="shared" si="7"/>
        <v/>
      </c>
    </row>
    <row r="724" spans="2:9" x14ac:dyDescent="0.25">
      <c r="B724" s="39"/>
      <c r="C724" s="40"/>
      <c r="D724" s="40"/>
      <c r="F724" s="40"/>
      <c r="G724" s="40"/>
      <c r="H724" s="42"/>
      <c r="I724" s="42" t="str">
        <f t="shared" si="7"/>
        <v/>
      </c>
    </row>
    <row r="725" spans="2:9" x14ac:dyDescent="0.25">
      <c r="B725" s="39"/>
      <c r="C725" s="40"/>
      <c r="D725" s="40"/>
      <c r="F725" s="40"/>
      <c r="G725" s="40"/>
      <c r="H725" s="42"/>
      <c r="I725" s="42" t="str">
        <f t="shared" si="7"/>
        <v/>
      </c>
    </row>
    <row r="726" spans="2:9" x14ac:dyDescent="0.25">
      <c r="B726" s="39"/>
      <c r="C726" s="40"/>
      <c r="D726" s="40"/>
      <c r="F726" s="40"/>
      <c r="G726" s="40"/>
      <c r="H726" s="42"/>
      <c r="I726" s="42" t="str">
        <f t="shared" si="7"/>
        <v/>
      </c>
    </row>
    <row r="727" spans="2:9" x14ac:dyDescent="0.25">
      <c r="B727" s="39"/>
      <c r="C727" s="40"/>
      <c r="D727" s="40"/>
      <c r="F727" s="40"/>
      <c r="G727" s="40"/>
      <c r="H727" s="42"/>
      <c r="I727" s="42" t="str">
        <f t="shared" si="7"/>
        <v/>
      </c>
    </row>
    <row r="728" spans="2:9" x14ac:dyDescent="0.25">
      <c r="B728" s="39"/>
      <c r="C728" s="40"/>
      <c r="D728" s="40"/>
      <c r="F728" s="40"/>
      <c r="G728" s="40"/>
      <c r="H728" s="42"/>
      <c r="I728" s="42" t="str">
        <f t="shared" si="7"/>
        <v/>
      </c>
    </row>
    <row r="729" spans="2:9" x14ac:dyDescent="0.25">
      <c r="B729" s="39"/>
      <c r="C729" s="40"/>
      <c r="D729" s="40"/>
      <c r="F729" s="40"/>
      <c r="G729" s="40"/>
      <c r="H729" s="42"/>
      <c r="I729" s="42" t="str">
        <f t="shared" si="7"/>
        <v/>
      </c>
    </row>
    <row r="730" spans="2:9" x14ac:dyDescent="0.25">
      <c r="B730" s="39"/>
      <c r="C730" s="40"/>
      <c r="D730" s="40"/>
      <c r="F730" s="40"/>
      <c r="G730" s="40"/>
      <c r="H730" s="42"/>
      <c r="I730" s="42" t="str">
        <f t="shared" si="7"/>
        <v/>
      </c>
    </row>
    <row r="731" spans="2:9" x14ac:dyDescent="0.25">
      <c r="B731" s="39"/>
      <c r="C731" s="40"/>
      <c r="D731" s="40"/>
      <c r="F731" s="40"/>
      <c r="G731" s="40"/>
      <c r="H731" s="42"/>
      <c r="I731" s="42" t="str">
        <f t="shared" si="7"/>
        <v/>
      </c>
    </row>
    <row r="732" spans="2:9" x14ac:dyDescent="0.25">
      <c r="B732" s="39"/>
      <c r="C732" s="40"/>
      <c r="D732" s="40"/>
      <c r="F732" s="40"/>
      <c r="G732" s="40"/>
      <c r="H732" s="42"/>
      <c r="I732" s="42" t="str">
        <f t="shared" si="7"/>
        <v/>
      </c>
    </row>
    <row r="733" spans="2:9" x14ac:dyDescent="0.25">
      <c r="B733" s="39"/>
      <c r="C733" s="40"/>
      <c r="D733" s="40"/>
      <c r="F733" s="40"/>
      <c r="G733" s="40"/>
      <c r="H733" s="42"/>
      <c r="I733" s="42" t="str">
        <f t="shared" si="7"/>
        <v/>
      </c>
    </row>
    <row r="734" spans="2:9" x14ac:dyDescent="0.25">
      <c r="B734" s="39"/>
      <c r="C734" s="40"/>
      <c r="D734" s="40"/>
      <c r="F734" s="40"/>
      <c r="G734" s="40"/>
      <c r="H734" s="42"/>
      <c r="I734" s="42" t="str">
        <f t="shared" si="7"/>
        <v/>
      </c>
    </row>
    <row r="735" spans="2:9" x14ac:dyDescent="0.25">
      <c r="B735" s="39"/>
      <c r="C735" s="40"/>
      <c r="D735" s="40"/>
      <c r="F735" s="40"/>
      <c r="G735" s="40"/>
      <c r="H735" s="42"/>
      <c r="I735" s="42" t="str">
        <f t="shared" si="7"/>
        <v/>
      </c>
    </row>
    <row r="736" spans="2:9" x14ac:dyDescent="0.25">
      <c r="B736" s="39"/>
      <c r="C736" s="40"/>
      <c r="D736" s="40"/>
      <c r="F736" s="40"/>
      <c r="G736" s="40"/>
      <c r="H736" s="42"/>
      <c r="I736" s="42" t="str">
        <f t="shared" si="7"/>
        <v/>
      </c>
    </row>
    <row r="737" spans="2:9" x14ac:dyDescent="0.25">
      <c r="B737" s="39"/>
      <c r="C737" s="40"/>
      <c r="D737" s="40"/>
      <c r="F737" s="40"/>
      <c r="G737" s="40"/>
      <c r="H737" s="42"/>
      <c r="I737" s="42" t="str">
        <f t="shared" si="7"/>
        <v/>
      </c>
    </row>
    <row r="738" spans="2:9" x14ac:dyDescent="0.25">
      <c r="B738" s="39"/>
      <c r="C738" s="40"/>
      <c r="D738" s="40"/>
      <c r="F738" s="40"/>
      <c r="G738" s="40"/>
      <c r="H738" s="42"/>
      <c r="I738" s="42" t="str">
        <f t="shared" si="7"/>
        <v/>
      </c>
    </row>
    <row r="739" spans="2:9" x14ac:dyDescent="0.25">
      <c r="B739" s="39"/>
      <c r="C739" s="40"/>
      <c r="D739" s="40"/>
      <c r="F739" s="40"/>
      <c r="G739" s="40"/>
      <c r="H739" s="42"/>
      <c r="I739" s="42" t="str">
        <f t="shared" si="7"/>
        <v/>
      </c>
    </row>
    <row r="740" spans="2:9" x14ac:dyDescent="0.25">
      <c r="B740" s="39"/>
      <c r="C740" s="40"/>
      <c r="D740" s="40"/>
      <c r="F740" s="40"/>
      <c r="G740" s="40"/>
      <c r="H740" s="42"/>
      <c r="I740" s="42" t="str">
        <f t="shared" si="7"/>
        <v/>
      </c>
    </row>
    <row r="741" spans="2:9" x14ac:dyDescent="0.25">
      <c r="B741" s="39"/>
      <c r="C741" s="40"/>
      <c r="D741" s="40"/>
      <c r="F741" s="40"/>
      <c r="G741" s="40"/>
      <c r="H741" s="42"/>
      <c r="I741" s="42" t="str">
        <f t="shared" si="7"/>
        <v/>
      </c>
    </row>
    <row r="742" spans="2:9" x14ac:dyDescent="0.25">
      <c r="B742" s="39"/>
      <c r="C742" s="40"/>
      <c r="D742" s="40"/>
      <c r="F742" s="40"/>
      <c r="G742" s="40"/>
      <c r="H742" s="42"/>
      <c r="I742" s="42" t="str">
        <f t="shared" si="7"/>
        <v/>
      </c>
    </row>
    <row r="743" spans="2:9" x14ac:dyDescent="0.25">
      <c r="B743" s="39"/>
      <c r="C743" s="40"/>
      <c r="D743" s="40"/>
      <c r="F743" s="40"/>
      <c r="G743" s="40"/>
      <c r="H743" s="42"/>
      <c r="I743" s="42" t="str">
        <f t="shared" si="7"/>
        <v/>
      </c>
    </row>
    <row r="744" spans="2:9" x14ac:dyDescent="0.25">
      <c r="B744" s="39"/>
      <c r="C744" s="40"/>
      <c r="D744" s="40"/>
      <c r="F744" s="40"/>
      <c r="G744" s="40"/>
      <c r="H744" s="42"/>
      <c r="I744" s="42" t="str">
        <f t="shared" si="7"/>
        <v/>
      </c>
    </row>
    <row r="745" spans="2:9" x14ac:dyDescent="0.25">
      <c r="B745" s="39"/>
      <c r="C745" s="40"/>
      <c r="D745" s="40"/>
      <c r="F745" s="40"/>
      <c r="G745" s="40"/>
      <c r="H745" s="42"/>
      <c r="I745" s="42" t="str">
        <f t="shared" si="7"/>
        <v/>
      </c>
    </row>
    <row r="746" spans="2:9" x14ac:dyDescent="0.25">
      <c r="B746" s="39"/>
      <c r="C746" s="40"/>
      <c r="D746" s="40"/>
      <c r="F746" s="40"/>
      <c r="G746" s="40"/>
      <c r="H746" s="42"/>
      <c r="I746" s="42" t="str">
        <f t="shared" si="7"/>
        <v/>
      </c>
    </row>
    <row r="747" spans="2:9" x14ac:dyDescent="0.25">
      <c r="B747" s="39"/>
      <c r="C747" s="40"/>
      <c r="D747" s="40"/>
      <c r="F747" s="40"/>
      <c r="G747" s="40"/>
      <c r="H747" s="42"/>
      <c r="I747" s="42" t="str">
        <f t="shared" si="7"/>
        <v/>
      </c>
    </row>
    <row r="748" spans="2:9" x14ac:dyDescent="0.25">
      <c r="B748" s="39"/>
      <c r="C748" s="40"/>
      <c r="D748" s="40"/>
      <c r="F748" s="40"/>
      <c r="G748" s="40"/>
      <c r="H748" s="42"/>
      <c r="I748" s="42" t="str">
        <f t="shared" si="7"/>
        <v/>
      </c>
    </row>
    <row r="749" spans="2:9" x14ac:dyDescent="0.25">
      <c r="B749" s="39"/>
      <c r="C749" s="40"/>
      <c r="D749" s="40"/>
      <c r="F749" s="40"/>
      <c r="G749" s="40"/>
      <c r="H749" s="42"/>
      <c r="I749" s="42" t="str">
        <f t="shared" si="7"/>
        <v/>
      </c>
    </row>
    <row r="750" spans="2:9" x14ac:dyDescent="0.25">
      <c r="B750" s="39"/>
      <c r="C750" s="40"/>
      <c r="D750" s="40"/>
      <c r="F750" s="40"/>
      <c r="G750" s="40"/>
      <c r="H750" s="42"/>
      <c r="I750" s="42" t="str">
        <f t="shared" si="7"/>
        <v/>
      </c>
    </row>
    <row r="751" spans="2:9" x14ac:dyDescent="0.25">
      <c r="B751" s="39"/>
      <c r="C751" s="40"/>
      <c r="D751" s="40"/>
      <c r="F751" s="40"/>
      <c r="G751" s="40"/>
      <c r="H751" s="42"/>
      <c r="I751" s="42" t="str">
        <f t="shared" si="7"/>
        <v/>
      </c>
    </row>
    <row r="752" spans="2:9" x14ac:dyDescent="0.25">
      <c r="B752" s="39"/>
      <c r="C752" s="40"/>
      <c r="D752" s="40"/>
      <c r="F752" s="40"/>
      <c r="G752" s="40"/>
      <c r="H752" s="42"/>
      <c r="I752" s="42" t="str">
        <f t="shared" si="7"/>
        <v/>
      </c>
    </row>
    <row r="753" spans="2:9" x14ac:dyDescent="0.25">
      <c r="B753" s="39"/>
      <c r="C753" s="40"/>
      <c r="D753" s="40"/>
      <c r="F753" s="40"/>
      <c r="G753" s="40"/>
      <c r="H753" s="42"/>
      <c r="I753" s="42" t="str">
        <f t="shared" si="7"/>
        <v/>
      </c>
    </row>
    <row r="754" spans="2:9" x14ac:dyDescent="0.25">
      <c r="B754" s="39"/>
      <c r="C754" s="40"/>
      <c r="D754" s="40"/>
      <c r="F754" s="40"/>
      <c r="G754" s="40"/>
      <c r="H754" s="42"/>
      <c r="I754" s="42" t="str">
        <f t="shared" si="7"/>
        <v/>
      </c>
    </row>
    <row r="755" spans="2:9" x14ac:dyDescent="0.25">
      <c r="B755" s="39"/>
      <c r="C755" s="40"/>
      <c r="D755" s="40"/>
      <c r="F755" s="40"/>
      <c r="G755" s="40"/>
      <c r="H755" s="42"/>
      <c r="I755" s="42" t="str">
        <f t="shared" si="7"/>
        <v/>
      </c>
    </row>
    <row r="756" spans="2:9" x14ac:dyDescent="0.25">
      <c r="B756" s="39"/>
      <c r="C756" s="40"/>
      <c r="D756" s="40"/>
      <c r="F756" s="40"/>
      <c r="G756" s="40"/>
      <c r="H756" s="42"/>
      <c r="I756" s="42" t="str">
        <f t="shared" si="7"/>
        <v/>
      </c>
    </row>
    <row r="757" spans="2:9" x14ac:dyDescent="0.25">
      <c r="B757" s="39"/>
      <c r="C757" s="40"/>
      <c r="D757" s="40"/>
      <c r="F757" s="40"/>
      <c r="G757" s="40"/>
      <c r="H757" s="42"/>
      <c r="I757" s="42" t="str">
        <f t="shared" si="7"/>
        <v/>
      </c>
    </row>
    <row r="758" spans="2:9" x14ac:dyDescent="0.25">
      <c r="B758" s="39"/>
      <c r="C758" s="40"/>
      <c r="D758" s="40"/>
      <c r="F758" s="40"/>
      <c r="G758" s="40"/>
      <c r="H758" s="42"/>
      <c r="I758" s="42" t="str">
        <f t="shared" si="7"/>
        <v/>
      </c>
    </row>
    <row r="759" spans="2:9" x14ac:dyDescent="0.25">
      <c r="B759" s="39"/>
      <c r="C759" s="40"/>
      <c r="D759" s="40"/>
      <c r="F759" s="40"/>
      <c r="G759" s="40"/>
      <c r="H759" s="42"/>
      <c r="I759" s="42" t="str">
        <f t="shared" si="7"/>
        <v/>
      </c>
    </row>
    <row r="760" spans="2:9" x14ac:dyDescent="0.25">
      <c r="B760" s="39"/>
      <c r="C760" s="40"/>
      <c r="D760" s="40"/>
      <c r="F760" s="40"/>
      <c r="G760" s="40"/>
      <c r="H760" s="42"/>
      <c r="I760" s="42" t="str">
        <f t="shared" si="7"/>
        <v/>
      </c>
    </row>
    <row r="761" spans="2:9" x14ac:dyDescent="0.25">
      <c r="B761" s="39"/>
      <c r="C761" s="40"/>
      <c r="D761" s="40"/>
      <c r="F761" s="40"/>
      <c r="G761" s="40"/>
      <c r="H761" s="42"/>
      <c r="I761" s="42" t="str">
        <f t="shared" si="7"/>
        <v/>
      </c>
    </row>
    <row r="762" spans="2:9" x14ac:dyDescent="0.25">
      <c r="B762" s="39"/>
      <c r="C762" s="40"/>
      <c r="D762" s="40"/>
      <c r="F762" s="40"/>
      <c r="G762" s="40"/>
      <c r="H762" s="42"/>
      <c r="I762" s="42" t="str">
        <f t="shared" si="7"/>
        <v/>
      </c>
    </row>
    <row r="763" spans="2:9" x14ac:dyDescent="0.25">
      <c r="B763" s="39"/>
      <c r="C763" s="40"/>
      <c r="D763" s="40"/>
      <c r="F763" s="40"/>
      <c r="G763" s="40"/>
      <c r="H763" s="42"/>
      <c r="I763" s="42" t="str">
        <f t="shared" si="7"/>
        <v/>
      </c>
    </row>
    <row r="764" spans="2:9" x14ac:dyDescent="0.25">
      <c r="B764" s="39"/>
      <c r="C764" s="40"/>
      <c r="D764" s="40"/>
      <c r="F764" s="40"/>
      <c r="G764" s="40"/>
      <c r="H764" s="42"/>
      <c r="I764" s="42" t="str">
        <f t="shared" si="7"/>
        <v/>
      </c>
    </row>
    <row r="765" spans="2:9" x14ac:dyDescent="0.25">
      <c r="B765" s="39"/>
      <c r="C765" s="40"/>
      <c r="D765" s="40"/>
      <c r="F765" s="40"/>
      <c r="G765" s="40"/>
      <c r="H765" s="42"/>
      <c r="I765" s="42" t="str">
        <f t="shared" si="7"/>
        <v/>
      </c>
    </row>
    <row r="766" spans="2:9" x14ac:dyDescent="0.25">
      <c r="B766" s="39"/>
      <c r="C766" s="40"/>
      <c r="D766" s="40"/>
      <c r="F766" s="40"/>
      <c r="G766" s="40"/>
      <c r="H766" s="42"/>
      <c r="I766" s="42" t="str">
        <f t="shared" si="7"/>
        <v/>
      </c>
    </row>
    <row r="767" spans="2:9" x14ac:dyDescent="0.25">
      <c r="B767" s="39"/>
      <c r="C767" s="40"/>
      <c r="D767" s="40"/>
      <c r="F767" s="40"/>
      <c r="G767" s="40"/>
      <c r="H767" s="42"/>
      <c r="I767" s="42" t="str">
        <f t="shared" si="7"/>
        <v/>
      </c>
    </row>
    <row r="768" spans="2:9" x14ac:dyDescent="0.25">
      <c r="B768" s="39"/>
      <c r="C768" s="40"/>
      <c r="D768" s="40"/>
      <c r="F768" s="40"/>
      <c r="G768" s="40"/>
      <c r="H768" s="42"/>
      <c r="I768" s="42" t="str">
        <f t="shared" ref="I768:I831" si="8">IF(H768&lt;&gt;"",H768-H767,"")</f>
        <v/>
      </c>
    </row>
    <row r="769" spans="2:9" x14ac:dyDescent="0.25">
      <c r="B769" s="39"/>
      <c r="C769" s="40"/>
      <c r="D769" s="40"/>
      <c r="F769" s="40"/>
      <c r="G769" s="40"/>
      <c r="H769" s="42"/>
      <c r="I769" s="42" t="str">
        <f t="shared" si="8"/>
        <v/>
      </c>
    </row>
    <row r="770" spans="2:9" x14ac:dyDescent="0.25">
      <c r="B770" s="39"/>
      <c r="C770" s="40"/>
      <c r="D770" s="40"/>
      <c r="F770" s="40"/>
      <c r="G770" s="40"/>
      <c r="H770" s="42"/>
      <c r="I770" s="42" t="str">
        <f t="shared" si="8"/>
        <v/>
      </c>
    </row>
    <row r="771" spans="2:9" x14ac:dyDescent="0.25">
      <c r="B771" s="39"/>
      <c r="C771" s="40"/>
      <c r="D771" s="40"/>
      <c r="F771" s="40"/>
      <c r="G771" s="40"/>
      <c r="H771" s="42"/>
      <c r="I771" s="42" t="str">
        <f t="shared" si="8"/>
        <v/>
      </c>
    </row>
    <row r="772" spans="2:9" x14ac:dyDescent="0.25">
      <c r="B772" s="39"/>
      <c r="C772" s="40"/>
      <c r="D772" s="40"/>
      <c r="F772" s="40"/>
      <c r="G772" s="40"/>
      <c r="H772" s="42"/>
      <c r="I772" s="42" t="str">
        <f t="shared" si="8"/>
        <v/>
      </c>
    </row>
    <row r="773" spans="2:9" x14ac:dyDescent="0.25">
      <c r="B773" s="39"/>
      <c r="C773" s="40"/>
      <c r="D773" s="40"/>
      <c r="F773" s="40"/>
      <c r="G773" s="40"/>
      <c r="H773" s="42"/>
      <c r="I773" s="42" t="str">
        <f t="shared" si="8"/>
        <v/>
      </c>
    </row>
    <row r="774" spans="2:9" x14ac:dyDescent="0.25">
      <c r="B774" s="39"/>
      <c r="C774" s="40"/>
      <c r="D774" s="40"/>
      <c r="F774" s="40"/>
      <c r="G774" s="40"/>
      <c r="H774" s="42"/>
      <c r="I774" s="42" t="str">
        <f t="shared" si="8"/>
        <v/>
      </c>
    </row>
    <row r="775" spans="2:9" x14ac:dyDescent="0.25">
      <c r="B775" s="39"/>
      <c r="C775" s="40"/>
      <c r="D775" s="40"/>
      <c r="F775" s="40"/>
      <c r="G775" s="40"/>
      <c r="H775" s="42"/>
      <c r="I775" s="42" t="str">
        <f t="shared" si="8"/>
        <v/>
      </c>
    </row>
    <row r="776" spans="2:9" x14ac:dyDescent="0.25">
      <c r="B776" s="39"/>
      <c r="C776" s="40"/>
      <c r="D776" s="40"/>
      <c r="F776" s="40"/>
      <c r="G776" s="40"/>
      <c r="H776" s="42"/>
      <c r="I776" s="42" t="str">
        <f t="shared" si="8"/>
        <v/>
      </c>
    </row>
    <row r="777" spans="2:9" x14ac:dyDescent="0.25">
      <c r="B777" s="39"/>
      <c r="C777" s="40"/>
      <c r="D777" s="40"/>
      <c r="F777" s="40"/>
      <c r="G777" s="40"/>
      <c r="H777" s="42"/>
      <c r="I777" s="42" t="str">
        <f t="shared" si="8"/>
        <v/>
      </c>
    </row>
    <row r="778" spans="2:9" x14ac:dyDescent="0.25">
      <c r="B778" s="39"/>
      <c r="C778" s="40"/>
      <c r="D778" s="40"/>
      <c r="F778" s="40"/>
      <c r="G778" s="40"/>
      <c r="H778" s="42"/>
      <c r="I778" s="42" t="str">
        <f t="shared" si="8"/>
        <v/>
      </c>
    </row>
    <row r="779" spans="2:9" x14ac:dyDescent="0.25">
      <c r="B779" s="39"/>
      <c r="C779" s="40"/>
      <c r="D779" s="40"/>
      <c r="F779" s="40"/>
      <c r="G779" s="40"/>
      <c r="H779" s="42"/>
      <c r="I779" s="42" t="str">
        <f t="shared" si="8"/>
        <v/>
      </c>
    </row>
    <row r="780" spans="2:9" x14ac:dyDescent="0.25">
      <c r="B780" s="39"/>
      <c r="C780" s="40"/>
      <c r="D780" s="40"/>
      <c r="F780" s="40"/>
      <c r="G780" s="40"/>
      <c r="H780" s="42"/>
      <c r="I780" s="42" t="str">
        <f t="shared" si="8"/>
        <v/>
      </c>
    </row>
    <row r="781" spans="2:9" x14ac:dyDescent="0.25">
      <c r="B781" s="39"/>
      <c r="C781" s="40"/>
      <c r="D781" s="40"/>
      <c r="F781" s="40"/>
      <c r="G781" s="40"/>
      <c r="H781" s="42"/>
      <c r="I781" s="42" t="str">
        <f t="shared" si="8"/>
        <v/>
      </c>
    </row>
    <row r="782" spans="2:9" x14ac:dyDescent="0.25">
      <c r="B782" s="39"/>
      <c r="C782" s="40"/>
      <c r="D782" s="40"/>
      <c r="F782" s="40"/>
      <c r="G782" s="40"/>
      <c r="H782" s="42"/>
      <c r="I782" s="42" t="str">
        <f t="shared" si="8"/>
        <v/>
      </c>
    </row>
    <row r="783" spans="2:9" x14ac:dyDescent="0.25">
      <c r="B783" s="39"/>
      <c r="C783" s="40"/>
      <c r="D783" s="40"/>
      <c r="F783" s="40"/>
      <c r="G783" s="40"/>
      <c r="H783" s="42"/>
      <c r="I783" s="42" t="str">
        <f t="shared" si="8"/>
        <v/>
      </c>
    </row>
    <row r="784" spans="2:9" x14ac:dyDescent="0.25">
      <c r="B784" s="39"/>
      <c r="C784" s="40"/>
      <c r="D784" s="40"/>
      <c r="F784" s="40"/>
      <c r="G784" s="40"/>
      <c r="H784" s="42"/>
      <c r="I784" s="42" t="str">
        <f t="shared" si="8"/>
        <v/>
      </c>
    </row>
    <row r="785" spans="2:9" x14ac:dyDescent="0.25">
      <c r="B785" s="39"/>
      <c r="C785" s="40"/>
      <c r="D785" s="40"/>
      <c r="F785" s="40"/>
      <c r="G785" s="40"/>
      <c r="H785" s="42"/>
      <c r="I785" s="42" t="str">
        <f t="shared" si="8"/>
        <v/>
      </c>
    </row>
    <row r="786" spans="2:9" x14ac:dyDescent="0.25">
      <c r="B786" s="39"/>
      <c r="C786" s="40"/>
      <c r="D786" s="40"/>
      <c r="F786" s="40"/>
      <c r="G786" s="40"/>
      <c r="H786" s="42"/>
      <c r="I786" s="42" t="str">
        <f t="shared" si="8"/>
        <v/>
      </c>
    </row>
    <row r="787" spans="2:9" x14ac:dyDescent="0.25">
      <c r="B787" s="39"/>
      <c r="C787" s="40"/>
      <c r="D787" s="40"/>
      <c r="F787" s="40"/>
      <c r="G787" s="40"/>
      <c r="H787" s="42"/>
      <c r="I787" s="42" t="str">
        <f t="shared" si="8"/>
        <v/>
      </c>
    </row>
    <row r="788" spans="2:9" x14ac:dyDescent="0.25">
      <c r="B788" s="39"/>
      <c r="C788" s="40"/>
      <c r="D788" s="40"/>
      <c r="F788" s="40"/>
      <c r="G788" s="40"/>
      <c r="H788" s="42"/>
      <c r="I788" s="42" t="str">
        <f t="shared" si="8"/>
        <v/>
      </c>
    </row>
    <row r="789" spans="2:9" x14ac:dyDescent="0.25">
      <c r="B789" s="39"/>
      <c r="C789" s="40"/>
      <c r="D789" s="40"/>
      <c r="F789" s="40"/>
      <c r="G789" s="40"/>
      <c r="H789" s="42"/>
      <c r="I789" s="42" t="str">
        <f t="shared" si="8"/>
        <v/>
      </c>
    </row>
    <row r="790" spans="2:9" x14ac:dyDescent="0.25">
      <c r="B790" s="39"/>
      <c r="C790" s="40"/>
      <c r="D790" s="40"/>
      <c r="F790" s="40"/>
      <c r="G790" s="40"/>
      <c r="H790" s="42"/>
      <c r="I790" s="42" t="str">
        <f t="shared" si="8"/>
        <v/>
      </c>
    </row>
    <row r="791" spans="2:9" x14ac:dyDescent="0.25">
      <c r="B791" s="39"/>
      <c r="C791" s="40"/>
      <c r="D791" s="40"/>
      <c r="F791" s="40"/>
      <c r="G791" s="40"/>
      <c r="H791" s="42"/>
      <c r="I791" s="42" t="str">
        <f t="shared" si="8"/>
        <v/>
      </c>
    </row>
    <row r="792" spans="2:9" x14ac:dyDescent="0.25">
      <c r="B792" s="39"/>
      <c r="C792" s="40"/>
      <c r="D792" s="40"/>
      <c r="F792" s="40"/>
      <c r="G792" s="40"/>
      <c r="H792" s="42"/>
      <c r="I792" s="42" t="str">
        <f t="shared" si="8"/>
        <v/>
      </c>
    </row>
    <row r="793" spans="2:9" x14ac:dyDescent="0.25">
      <c r="B793" s="39"/>
      <c r="C793" s="40"/>
      <c r="D793" s="40"/>
      <c r="F793" s="40"/>
      <c r="G793" s="40"/>
      <c r="H793" s="42"/>
      <c r="I793" s="42" t="str">
        <f t="shared" si="8"/>
        <v/>
      </c>
    </row>
    <row r="794" spans="2:9" x14ac:dyDescent="0.25">
      <c r="B794" s="39"/>
      <c r="C794" s="40"/>
      <c r="D794" s="40"/>
      <c r="F794" s="40"/>
      <c r="G794" s="40"/>
      <c r="H794" s="42"/>
      <c r="I794" s="42" t="str">
        <f t="shared" si="8"/>
        <v/>
      </c>
    </row>
    <row r="795" spans="2:9" x14ac:dyDescent="0.25">
      <c r="B795" s="39"/>
      <c r="C795" s="40"/>
      <c r="D795" s="40"/>
      <c r="F795" s="40"/>
      <c r="G795" s="40"/>
      <c r="H795" s="42"/>
      <c r="I795" s="42" t="str">
        <f t="shared" si="8"/>
        <v/>
      </c>
    </row>
    <row r="796" spans="2:9" x14ac:dyDescent="0.25">
      <c r="B796" s="39"/>
      <c r="C796" s="40"/>
      <c r="D796" s="40"/>
      <c r="F796" s="40"/>
      <c r="G796" s="40"/>
      <c r="H796" s="42"/>
      <c r="I796" s="42" t="str">
        <f t="shared" si="8"/>
        <v/>
      </c>
    </row>
    <row r="797" spans="2:9" x14ac:dyDescent="0.25">
      <c r="B797" s="39"/>
      <c r="C797" s="40"/>
      <c r="D797" s="40"/>
      <c r="F797" s="40"/>
      <c r="G797" s="40"/>
      <c r="H797" s="42"/>
      <c r="I797" s="42" t="str">
        <f t="shared" si="8"/>
        <v/>
      </c>
    </row>
    <row r="798" spans="2:9" x14ac:dyDescent="0.25">
      <c r="B798" s="39"/>
      <c r="C798" s="40"/>
      <c r="D798" s="40"/>
      <c r="F798" s="40"/>
      <c r="G798" s="40"/>
      <c r="H798" s="42"/>
      <c r="I798" s="42" t="str">
        <f t="shared" si="8"/>
        <v/>
      </c>
    </row>
    <row r="799" spans="2:9" x14ac:dyDescent="0.25">
      <c r="B799" s="39"/>
      <c r="C799" s="40"/>
      <c r="D799" s="40"/>
      <c r="F799" s="40"/>
      <c r="G799" s="40"/>
      <c r="H799" s="42"/>
      <c r="I799" s="42" t="str">
        <f t="shared" si="8"/>
        <v/>
      </c>
    </row>
    <row r="800" spans="2:9" x14ac:dyDescent="0.25">
      <c r="B800" s="39"/>
      <c r="C800" s="40"/>
      <c r="D800" s="40"/>
      <c r="F800" s="40"/>
      <c r="G800" s="40"/>
      <c r="H800" s="42"/>
      <c r="I800" s="42" t="str">
        <f t="shared" si="8"/>
        <v/>
      </c>
    </row>
    <row r="801" spans="2:9" x14ac:dyDescent="0.25">
      <c r="B801" s="39"/>
      <c r="C801" s="40"/>
      <c r="D801" s="40"/>
      <c r="F801" s="40"/>
      <c r="G801" s="40"/>
      <c r="H801" s="42"/>
      <c r="I801" s="42" t="str">
        <f t="shared" si="8"/>
        <v/>
      </c>
    </row>
    <row r="802" spans="2:9" x14ac:dyDescent="0.25">
      <c r="B802" s="39"/>
      <c r="C802" s="40"/>
      <c r="D802" s="40"/>
      <c r="F802" s="40"/>
      <c r="G802" s="40"/>
      <c r="H802" s="42"/>
      <c r="I802" s="42" t="str">
        <f t="shared" si="8"/>
        <v/>
      </c>
    </row>
    <row r="803" spans="2:9" x14ac:dyDescent="0.25">
      <c r="B803" s="39"/>
      <c r="C803" s="40"/>
      <c r="D803" s="40"/>
      <c r="F803" s="40"/>
      <c r="G803" s="40"/>
      <c r="H803" s="42"/>
      <c r="I803" s="42" t="str">
        <f t="shared" si="8"/>
        <v/>
      </c>
    </row>
    <row r="804" spans="2:9" x14ac:dyDescent="0.25">
      <c r="B804" s="39"/>
      <c r="C804" s="40"/>
      <c r="D804" s="40"/>
      <c r="F804" s="40"/>
      <c r="G804" s="40"/>
      <c r="H804" s="42"/>
      <c r="I804" s="42" t="str">
        <f t="shared" si="8"/>
        <v/>
      </c>
    </row>
    <row r="805" spans="2:9" x14ac:dyDescent="0.25">
      <c r="B805" s="39"/>
      <c r="C805" s="40"/>
      <c r="D805" s="40"/>
      <c r="F805" s="40"/>
      <c r="G805" s="40"/>
      <c r="H805" s="42"/>
      <c r="I805" s="42" t="str">
        <f t="shared" si="8"/>
        <v/>
      </c>
    </row>
    <row r="806" spans="2:9" x14ac:dyDescent="0.25">
      <c r="B806" s="39"/>
      <c r="C806" s="40"/>
      <c r="D806" s="40"/>
      <c r="F806" s="40"/>
      <c r="G806" s="40"/>
      <c r="H806" s="42"/>
      <c r="I806" s="42" t="str">
        <f t="shared" si="8"/>
        <v/>
      </c>
    </row>
    <row r="807" spans="2:9" x14ac:dyDescent="0.25">
      <c r="B807" s="39"/>
      <c r="C807" s="40"/>
      <c r="D807" s="40"/>
      <c r="F807" s="40"/>
      <c r="G807" s="40"/>
      <c r="H807" s="42"/>
      <c r="I807" s="42" t="str">
        <f t="shared" si="8"/>
        <v/>
      </c>
    </row>
    <row r="808" spans="2:9" x14ac:dyDescent="0.25">
      <c r="B808" s="39"/>
      <c r="C808" s="40"/>
      <c r="D808" s="40"/>
      <c r="F808" s="40"/>
      <c r="G808" s="40"/>
      <c r="H808" s="42"/>
      <c r="I808" s="42" t="str">
        <f t="shared" si="8"/>
        <v/>
      </c>
    </row>
    <row r="809" spans="2:9" x14ac:dyDescent="0.25">
      <c r="B809" s="39"/>
      <c r="C809" s="40"/>
      <c r="D809" s="40"/>
      <c r="F809" s="40"/>
      <c r="G809" s="40"/>
      <c r="H809" s="42"/>
      <c r="I809" s="42" t="str">
        <f t="shared" si="8"/>
        <v/>
      </c>
    </row>
    <row r="810" spans="2:9" x14ac:dyDescent="0.25">
      <c r="B810" s="39"/>
      <c r="C810" s="40"/>
      <c r="D810" s="40"/>
      <c r="F810" s="40"/>
      <c r="G810" s="40"/>
      <c r="H810" s="42"/>
      <c r="I810" s="42" t="str">
        <f t="shared" si="8"/>
        <v/>
      </c>
    </row>
    <row r="811" spans="2:9" x14ac:dyDescent="0.25">
      <c r="B811" s="39"/>
      <c r="C811" s="40"/>
      <c r="D811" s="40"/>
      <c r="F811" s="40"/>
      <c r="G811" s="40"/>
      <c r="H811" s="42"/>
      <c r="I811" s="42" t="str">
        <f t="shared" si="8"/>
        <v/>
      </c>
    </row>
    <row r="812" spans="2:9" x14ac:dyDescent="0.25">
      <c r="B812" s="39"/>
      <c r="C812" s="40"/>
      <c r="D812" s="40"/>
      <c r="F812" s="40"/>
      <c r="G812" s="40"/>
      <c r="H812" s="42"/>
      <c r="I812" s="42" t="str">
        <f t="shared" si="8"/>
        <v/>
      </c>
    </row>
    <row r="813" spans="2:9" x14ac:dyDescent="0.25">
      <c r="B813" s="39"/>
      <c r="C813" s="40"/>
      <c r="D813" s="40"/>
      <c r="F813" s="40"/>
      <c r="G813" s="40"/>
      <c r="H813" s="42"/>
      <c r="I813" s="42" t="str">
        <f t="shared" si="8"/>
        <v/>
      </c>
    </row>
    <row r="814" spans="2:9" x14ac:dyDescent="0.25">
      <c r="B814" s="39"/>
      <c r="C814" s="40"/>
      <c r="D814" s="40"/>
      <c r="F814" s="40"/>
      <c r="G814" s="40"/>
      <c r="H814" s="42"/>
      <c r="I814" s="42" t="str">
        <f t="shared" si="8"/>
        <v/>
      </c>
    </row>
    <row r="815" spans="2:9" x14ac:dyDescent="0.25">
      <c r="B815" s="39"/>
      <c r="C815" s="40"/>
      <c r="D815" s="40"/>
      <c r="F815" s="40"/>
      <c r="G815" s="40"/>
      <c r="H815" s="42"/>
      <c r="I815" s="42" t="str">
        <f t="shared" si="8"/>
        <v/>
      </c>
    </row>
    <row r="816" spans="2:9" x14ac:dyDescent="0.25">
      <c r="B816" s="39"/>
      <c r="C816" s="40"/>
      <c r="D816" s="40"/>
      <c r="F816" s="40"/>
      <c r="G816" s="40"/>
      <c r="H816" s="42"/>
      <c r="I816" s="42" t="str">
        <f t="shared" si="8"/>
        <v/>
      </c>
    </row>
    <row r="817" spans="2:9" x14ac:dyDescent="0.25">
      <c r="B817" s="39"/>
      <c r="C817" s="40"/>
      <c r="D817" s="40"/>
      <c r="F817" s="40"/>
      <c r="G817" s="40"/>
      <c r="H817" s="42"/>
      <c r="I817" s="42" t="str">
        <f t="shared" si="8"/>
        <v/>
      </c>
    </row>
    <row r="818" spans="2:9" x14ac:dyDescent="0.25">
      <c r="B818" s="39"/>
      <c r="C818" s="40"/>
      <c r="D818" s="40"/>
      <c r="F818" s="40"/>
      <c r="G818" s="40"/>
      <c r="H818" s="42"/>
      <c r="I818" s="42" t="str">
        <f t="shared" si="8"/>
        <v/>
      </c>
    </row>
    <row r="819" spans="2:9" x14ac:dyDescent="0.25">
      <c r="B819" s="39"/>
      <c r="C819" s="40"/>
      <c r="D819" s="40"/>
      <c r="F819" s="40"/>
      <c r="G819" s="40"/>
      <c r="H819" s="42"/>
      <c r="I819" s="42" t="str">
        <f t="shared" si="8"/>
        <v/>
      </c>
    </row>
    <row r="820" spans="2:9" x14ac:dyDescent="0.25">
      <c r="B820" s="39"/>
      <c r="C820" s="40"/>
      <c r="D820" s="40"/>
      <c r="F820" s="40"/>
      <c r="G820" s="40"/>
      <c r="H820" s="42"/>
      <c r="I820" s="42" t="str">
        <f t="shared" si="8"/>
        <v/>
      </c>
    </row>
    <row r="821" spans="2:9" x14ac:dyDescent="0.25">
      <c r="B821" s="39"/>
      <c r="C821" s="40"/>
      <c r="D821" s="40"/>
      <c r="F821" s="40"/>
      <c r="G821" s="40"/>
      <c r="H821" s="42"/>
      <c r="I821" s="42" t="str">
        <f t="shared" si="8"/>
        <v/>
      </c>
    </row>
    <row r="822" spans="2:9" x14ac:dyDescent="0.25">
      <c r="B822" s="39"/>
      <c r="C822" s="40"/>
      <c r="D822" s="40"/>
      <c r="F822" s="40"/>
      <c r="G822" s="40"/>
      <c r="H822" s="42"/>
      <c r="I822" s="42" t="str">
        <f t="shared" si="8"/>
        <v/>
      </c>
    </row>
    <row r="823" spans="2:9" x14ac:dyDescent="0.25">
      <c r="B823" s="39"/>
      <c r="C823" s="40"/>
      <c r="D823" s="40"/>
      <c r="F823" s="40"/>
      <c r="G823" s="40"/>
      <c r="H823" s="42"/>
      <c r="I823" s="42" t="str">
        <f t="shared" si="8"/>
        <v/>
      </c>
    </row>
    <row r="824" spans="2:9" x14ac:dyDescent="0.25">
      <c r="B824" s="39"/>
      <c r="C824" s="40"/>
      <c r="D824" s="40"/>
      <c r="F824" s="40"/>
      <c r="G824" s="40"/>
      <c r="H824" s="42"/>
      <c r="I824" s="42" t="str">
        <f t="shared" si="8"/>
        <v/>
      </c>
    </row>
    <row r="825" spans="2:9" x14ac:dyDescent="0.25">
      <c r="B825" s="39"/>
      <c r="C825" s="40"/>
      <c r="D825" s="40"/>
      <c r="F825" s="40"/>
      <c r="G825" s="40"/>
      <c r="H825" s="42"/>
      <c r="I825" s="42" t="str">
        <f t="shared" si="8"/>
        <v/>
      </c>
    </row>
    <row r="826" spans="2:9" x14ac:dyDescent="0.25">
      <c r="B826" s="39"/>
      <c r="C826" s="40"/>
      <c r="D826" s="40"/>
      <c r="F826" s="40"/>
      <c r="G826" s="40"/>
      <c r="H826" s="42"/>
      <c r="I826" s="42" t="str">
        <f t="shared" si="8"/>
        <v/>
      </c>
    </row>
    <row r="827" spans="2:9" x14ac:dyDescent="0.25">
      <c r="B827" s="39"/>
      <c r="C827" s="40"/>
      <c r="D827" s="40"/>
      <c r="F827" s="40"/>
      <c r="G827" s="40"/>
      <c r="H827" s="42"/>
      <c r="I827" s="42" t="str">
        <f t="shared" si="8"/>
        <v/>
      </c>
    </row>
    <row r="828" spans="2:9" x14ac:dyDescent="0.25">
      <c r="B828" s="39"/>
      <c r="C828" s="40"/>
      <c r="D828" s="40"/>
      <c r="F828" s="40"/>
      <c r="G828" s="40"/>
      <c r="H828" s="42"/>
      <c r="I828" s="42" t="str">
        <f t="shared" si="8"/>
        <v/>
      </c>
    </row>
    <row r="829" spans="2:9" x14ac:dyDescent="0.25">
      <c r="B829" s="39"/>
      <c r="C829" s="40"/>
      <c r="D829" s="40"/>
      <c r="F829" s="40"/>
      <c r="G829" s="40"/>
      <c r="H829" s="42"/>
      <c r="I829" s="42" t="str">
        <f t="shared" si="8"/>
        <v/>
      </c>
    </row>
    <row r="830" spans="2:9" x14ac:dyDescent="0.25">
      <c r="B830" s="39"/>
      <c r="C830" s="40"/>
      <c r="D830" s="40"/>
      <c r="F830" s="40"/>
      <c r="G830" s="40"/>
      <c r="H830" s="42"/>
      <c r="I830" s="42" t="str">
        <f t="shared" si="8"/>
        <v/>
      </c>
    </row>
    <row r="831" spans="2:9" x14ac:dyDescent="0.25">
      <c r="B831" s="39"/>
      <c r="C831" s="40"/>
      <c r="D831" s="40"/>
      <c r="F831" s="40"/>
      <c r="G831" s="40"/>
      <c r="H831" s="42"/>
      <c r="I831" s="42" t="str">
        <f t="shared" si="8"/>
        <v/>
      </c>
    </row>
    <row r="832" spans="2:9" x14ac:dyDescent="0.25">
      <c r="B832" s="39"/>
      <c r="C832" s="40"/>
      <c r="D832" s="40"/>
      <c r="F832" s="40"/>
      <c r="G832" s="40"/>
      <c r="H832" s="42"/>
      <c r="I832" s="42" t="str">
        <f t="shared" ref="I832:I895" si="9">IF(H832&lt;&gt;"",H832-H831,"")</f>
        <v/>
      </c>
    </row>
    <row r="833" spans="2:9" x14ac:dyDescent="0.25">
      <c r="B833" s="39"/>
      <c r="C833" s="40"/>
      <c r="D833" s="40"/>
      <c r="F833" s="40"/>
      <c r="G833" s="40"/>
      <c r="H833" s="42"/>
      <c r="I833" s="42" t="str">
        <f t="shared" si="9"/>
        <v/>
      </c>
    </row>
    <row r="834" spans="2:9" x14ac:dyDescent="0.25">
      <c r="B834" s="39"/>
      <c r="C834" s="40"/>
      <c r="D834" s="40"/>
      <c r="F834" s="40"/>
      <c r="G834" s="40"/>
      <c r="H834" s="42"/>
      <c r="I834" s="42" t="str">
        <f t="shared" si="9"/>
        <v/>
      </c>
    </row>
    <row r="835" spans="2:9" x14ac:dyDescent="0.25">
      <c r="B835" s="39"/>
      <c r="C835" s="40"/>
      <c r="D835" s="40"/>
      <c r="F835" s="40"/>
      <c r="G835" s="40"/>
      <c r="H835" s="42"/>
      <c r="I835" s="42" t="str">
        <f t="shared" si="9"/>
        <v/>
      </c>
    </row>
    <row r="836" spans="2:9" x14ac:dyDescent="0.25">
      <c r="B836" s="39"/>
      <c r="C836" s="40"/>
      <c r="D836" s="40"/>
      <c r="F836" s="40"/>
      <c r="G836" s="40"/>
      <c r="H836" s="42"/>
      <c r="I836" s="42" t="str">
        <f t="shared" si="9"/>
        <v/>
      </c>
    </row>
    <row r="837" spans="2:9" x14ac:dyDescent="0.25">
      <c r="B837" s="39"/>
      <c r="C837" s="40"/>
      <c r="D837" s="40"/>
      <c r="F837" s="40"/>
      <c r="G837" s="40"/>
      <c r="H837" s="42"/>
      <c r="I837" s="42" t="str">
        <f t="shared" si="9"/>
        <v/>
      </c>
    </row>
    <row r="838" spans="2:9" x14ac:dyDescent="0.25">
      <c r="B838" s="39"/>
      <c r="C838" s="40"/>
      <c r="D838" s="40"/>
      <c r="F838" s="40"/>
      <c r="G838" s="40"/>
      <c r="H838" s="42"/>
      <c r="I838" s="42" t="str">
        <f t="shared" si="9"/>
        <v/>
      </c>
    </row>
    <row r="839" spans="2:9" x14ac:dyDescent="0.25">
      <c r="B839" s="39"/>
      <c r="C839" s="40"/>
      <c r="D839" s="40"/>
      <c r="F839" s="40"/>
      <c r="G839" s="40"/>
      <c r="H839" s="42"/>
      <c r="I839" s="42" t="str">
        <f t="shared" si="9"/>
        <v/>
      </c>
    </row>
    <row r="840" spans="2:9" x14ac:dyDescent="0.25">
      <c r="B840" s="39"/>
      <c r="C840" s="40"/>
      <c r="D840" s="40"/>
      <c r="F840" s="40"/>
      <c r="G840" s="40"/>
      <c r="H840" s="42"/>
      <c r="I840" s="42" t="str">
        <f t="shared" si="9"/>
        <v/>
      </c>
    </row>
    <row r="841" spans="2:9" x14ac:dyDescent="0.25">
      <c r="B841" s="39"/>
      <c r="C841" s="40"/>
      <c r="D841" s="40"/>
      <c r="F841" s="40"/>
      <c r="G841" s="40"/>
      <c r="H841" s="42"/>
      <c r="I841" s="42" t="str">
        <f t="shared" si="9"/>
        <v/>
      </c>
    </row>
    <row r="842" spans="2:9" x14ac:dyDescent="0.25">
      <c r="B842" s="39"/>
      <c r="C842" s="40"/>
      <c r="D842" s="40"/>
      <c r="F842" s="40"/>
      <c r="G842" s="40"/>
      <c r="H842" s="42"/>
      <c r="I842" s="42" t="str">
        <f t="shared" si="9"/>
        <v/>
      </c>
    </row>
    <row r="843" spans="2:9" x14ac:dyDescent="0.25">
      <c r="B843" s="39"/>
      <c r="C843" s="40"/>
      <c r="D843" s="40"/>
      <c r="F843" s="40"/>
      <c r="G843" s="40"/>
      <c r="H843" s="42"/>
      <c r="I843" s="42" t="str">
        <f t="shared" si="9"/>
        <v/>
      </c>
    </row>
    <row r="844" spans="2:9" x14ac:dyDescent="0.25">
      <c r="B844" s="39"/>
      <c r="C844" s="40"/>
      <c r="D844" s="40"/>
      <c r="F844" s="40"/>
      <c r="G844" s="40"/>
      <c r="H844" s="42"/>
      <c r="I844" s="42" t="str">
        <f t="shared" si="9"/>
        <v/>
      </c>
    </row>
    <row r="845" spans="2:9" x14ac:dyDescent="0.25">
      <c r="B845" s="39"/>
      <c r="C845" s="40"/>
      <c r="D845" s="40"/>
      <c r="F845" s="40"/>
      <c r="G845" s="40"/>
      <c r="H845" s="42"/>
      <c r="I845" s="42" t="str">
        <f t="shared" si="9"/>
        <v/>
      </c>
    </row>
    <row r="846" spans="2:9" x14ac:dyDescent="0.25">
      <c r="B846" s="39"/>
      <c r="C846" s="40"/>
      <c r="D846" s="40"/>
      <c r="F846" s="40"/>
      <c r="G846" s="40"/>
      <c r="H846" s="42"/>
      <c r="I846" s="42" t="str">
        <f t="shared" si="9"/>
        <v/>
      </c>
    </row>
    <row r="847" spans="2:9" x14ac:dyDescent="0.25">
      <c r="B847" s="39"/>
      <c r="C847" s="40"/>
      <c r="D847" s="40"/>
      <c r="F847" s="40"/>
      <c r="G847" s="40"/>
      <c r="H847" s="42"/>
      <c r="I847" s="42" t="str">
        <f t="shared" si="9"/>
        <v/>
      </c>
    </row>
    <row r="848" spans="2:9" x14ac:dyDescent="0.25">
      <c r="B848" s="39"/>
      <c r="C848" s="40"/>
      <c r="D848" s="40"/>
      <c r="F848" s="40"/>
      <c r="G848" s="40"/>
      <c r="H848" s="42"/>
      <c r="I848" s="42" t="str">
        <f t="shared" si="9"/>
        <v/>
      </c>
    </row>
    <row r="849" spans="2:9" x14ac:dyDescent="0.25">
      <c r="B849" s="39"/>
      <c r="C849" s="40"/>
      <c r="D849" s="40"/>
      <c r="F849" s="40"/>
      <c r="G849" s="40"/>
      <c r="H849" s="42"/>
      <c r="I849" s="42" t="str">
        <f t="shared" si="9"/>
        <v/>
      </c>
    </row>
    <row r="850" spans="2:9" x14ac:dyDescent="0.25">
      <c r="B850" s="39"/>
      <c r="C850" s="40"/>
      <c r="D850" s="40"/>
      <c r="F850" s="40"/>
      <c r="G850" s="40"/>
      <c r="H850" s="42"/>
      <c r="I850" s="42" t="str">
        <f t="shared" si="9"/>
        <v/>
      </c>
    </row>
    <row r="851" spans="2:9" x14ac:dyDescent="0.25">
      <c r="B851" s="39"/>
      <c r="C851" s="40"/>
      <c r="D851" s="40"/>
      <c r="F851" s="40"/>
      <c r="G851" s="40"/>
      <c r="H851" s="42"/>
      <c r="I851" s="42" t="str">
        <f t="shared" si="9"/>
        <v/>
      </c>
    </row>
    <row r="852" spans="2:9" x14ac:dyDescent="0.25">
      <c r="B852" s="39"/>
      <c r="C852" s="40"/>
      <c r="D852" s="40"/>
      <c r="F852" s="40"/>
      <c r="G852" s="40"/>
      <c r="H852" s="42"/>
      <c r="I852" s="42" t="str">
        <f t="shared" si="9"/>
        <v/>
      </c>
    </row>
    <row r="853" spans="2:9" x14ac:dyDescent="0.25">
      <c r="B853" s="39"/>
      <c r="C853" s="40"/>
      <c r="D853" s="40"/>
      <c r="F853" s="40"/>
      <c r="G853" s="40"/>
      <c r="H853" s="42"/>
      <c r="I853" s="42" t="str">
        <f t="shared" si="9"/>
        <v/>
      </c>
    </row>
    <row r="854" spans="2:9" x14ac:dyDescent="0.25">
      <c r="B854" s="39"/>
      <c r="C854" s="40"/>
      <c r="D854" s="40"/>
      <c r="F854" s="40"/>
      <c r="G854" s="40"/>
      <c r="H854" s="42"/>
      <c r="I854" s="42" t="str">
        <f t="shared" si="9"/>
        <v/>
      </c>
    </row>
    <row r="855" spans="2:9" x14ac:dyDescent="0.25">
      <c r="B855" s="39"/>
      <c r="C855" s="40"/>
      <c r="D855" s="40"/>
      <c r="F855" s="40"/>
      <c r="G855" s="40"/>
      <c r="H855" s="42"/>
      <c r="I855" s="42" t="str">
        <f t="shared" si="9"/>
        <v/>
      </c>
    </row>
    <row r="856" spans="2:9" x14ac:dyDescent="0.25">
      <c r="B856" s="39"/>
      <c r="C856" s="40"/>
      <c r="D856" s="40"/>
      <c r="F856" s="40"/>
      <c r="G856" s="40"/>
      <c r="H856" s="42"/>
      <c r="I856" s="42" t="str">
        <f t="shared" si="9"/>
        <v/>
      </c>
    </row>
    <row r="857" spans="2:9" x14ac:dyDescent="0.25">
      <c r="B857" s="39"/>
      <c r="C857" s="40"/>
      <c r="D857" s="40"/>
      <c r="F857" s="40"/>
      <c r="G857" s="40"/>
      <c r="H857" s="42"/>
      <c r="I857" s="42" t="str">
        <f t="shared" si="9"/>
        <v/>
      </c>
    </row>
    <row r="858" spans="2:9" x14ac:dyDescent="0.25">
      <c r="B858" s="39"/>
      <c r="C858" s="40"/>
      <c r="D858" s="40"/>
      <c r="F858" s="40"/>
      <c r="G858" s="40"/>
      <c r="H858" s="42"/>
      <c r="I858" s="42" t="str">
        <f t="shared" si="9"/>
        <v/>
      </c>
    </row>
    <row r="859" spans="2:9" x14ac:dyDescent="0.25">
      <c r="B859" s="39"/>
      <c r="C859" s="40"/>
      <c r="D859" s="40"/>
      <c r="F859" s="40"/>
      <c r="G859" s="40"/>
      <c r="H859" s="42"/>
      <c r="I859" s="42" t="str">
        <f t="shared" si="9"/>
        <v/>
      </c>
    </row>
    <row r="860" spans="2:9" x14ac:dyDescent="0.25">
      <c r="B860" s="39"/>
      <c r="C860" s="40"/>
      <c r="D860" s="40"/>
      <c r="F860" s="40"/>
      <c r="G860" s="40"/>
      <c r="H860" s="42"/>
      <c r="I860" s="42" t="str">
        <f t="shared" si="9"/>
        <v/>
      </c>
    </row>
    <row r="861" spans="2:9" x14ac:dyDescent="0.25">
      <c r="B861" s="39"/>
      <c r="C861" s="40"/>
      <c r="D861" s="40"/>
      <c r="F861" s="40"/>
      <c r="G861" s="40"/>
      <c r="H861" s="42"/>
      <c r="I861" s="42" t="str">
        <f t="shared" si="9"/>
        <v/>
      </c>
    </row>
    <row r="862" spans="2:9" x14ac:dyDescent="0.25">
      <c r="B862" s="39"/>
      <c r="C862" s="40"/>
      <c r="D862" s="40"/>
      <c r="F862" s="40"/>
      <c r="G862" s="40"/>
      <c r="H862" s="42"/>
      <c r="I862" s="42" t="str">
        <f t="shared" si="9"/>
        <v/>
      </c>
    </row>
    <row r="863" spans="2:9" x14ac:dyDescent="0.25">
      <c r="B863" s="39"/>
      <c r="C863" s="40"/>
      <c r="D863" s="40"/>
      <c r="F863" s="40"/>
      <c r="G863" s="40"/>
      <c r="H863" s="42"/>
      <c r="I863" s="42" t="str">
        <f t="shared" si="9"/>
        <v/>
      </c>
    </row>
    <row r="864" spans="2:9" x14ac:dyDescent="0.25">
      <c r="B864" s="39"/>
      <c r="C864" s="40"/>
      <c r="D864" s="40"/>
      <c r="F864" s="40"/>
      <c r="G864" s="40"/>
      <c r="H864" s="42"/>
      <c r="I864" s="42" t="str">
        <f t="shared" si="9"/>
        <v/>
      </c>
    </row>
    <row r="865" spans="2:9" x14ac:dyDescent="0.25">
      <c r="B865" s="39"/>
      <c r="C865" s="40"/>
      <c r="D865" s="40"/>
      <c r="F865" s="40"/>
      <c r="G865" s="40"/>
      <c r="H865" s="42"/>
      <c r="I865" s="42" t="str">
        <f t="shared" si="9"/>
        <v/>
      </c>
    </row>
    <row r="866" spans="2:9" x14ac:dyDescent="0.25">
      <c r="B866" s="39"/>
      <c r="C866" s="40"/>
      <c r="D866" s="40"/>
      <c r="F866" s="40"/>
      <c r="G866" s="40"/>
      <c r="H866" s="42"/>
      <c r="I866" s="42" t="str">
        <f t="shared" si="9"/>
        <v/>
      </c>
    </row>
    <row r="867" spans="2:9" x14ac:dyDescent="0.25">
      <c r="B867" s="39"/>
      <c r="C867" s="40"/>
      <c r="D867" s="40"/>
      <c r="F867" s="40"/>
      <c r="G867" s="40"/>
      <c r="H867" s="42"/>
      <c r="I867" s="42" t="str">
        <f t="shared" si="9"/>
        <v/>
      </c>
    </row>
    <row r="868" spans="2:9" x14ac:dyDescent="0.25">
      <c r="B868" s="39"/>
      <c r="C868" s="40"/>
      <c r="D868" s="40"/>
      <c r="F868" s="40"/>
      <c r="G868" s="40"/>
      <c r="H868" s="42"/>
      <c r="I868" s="42" t="str">
        <f t="shared" si="9"/>
        <v/>
      </c>
    </row>
    <row r="869" spans="2:9" x14ac:dyDescent="0.25">
      <c r="B869" s="39"/>
      <c r="C869" s="40"/>
      <c r="D869" s="40"/>
      <c r="F869" s="40"/>
      <c r="G869" s="40"/>
      <c r="H869" s="42"/>
      <c r="I869" s="42" t="str">
        <f t="shared" si="9"/>
        <v/>
      </c>
    </row>
    <row r="870" spans="2:9" x14ac:dyDescent="0.25">
      <c r="B870" s="39"/>
      <c r="C870" s="40"/>
      <c r="D870" s="40"/>
      <c r="F870" s="40"/>
      <c r="G870" s="40"/>
      <c r="H870" s="42"/>
      <c r="I870" s="42" t="str">
        <f t="shared" si="9"/>
        <v/>
      </c>
    </row>
    <row r="871" spans="2:9" x14ac:dyDescent="0.25">
      <c r="B871" s="39"/>
      <c r="C871" s="40"/>
      <c r="D871" s="40"/>
      <c r="F871" s="40"/>
      <c r="G871" s="40"/>
      <c r="H871" s="42"/>
      <c r="I871" s="42" t="str">
        <f t="shared" si="9"/>
        <v/>
      </c>
    </row>
    <row r="872" spans="2:9" x14ac:dyDescent="0.25">
      <c r="B872" s="39"/>
      <c r="C872" s="40"/>
      <c r="D872" s="40"/>
      <c r="F872" s="40"/>
      <c r="G872" s="40"/>
      <c r="H872" s="42"/>
      <c r="I872" s="42" t="str">
        <f t="shared" si="9"/>
        <v/>
      </c>
    </row>
    <row r="873" spans="2:9" x14ac:dyDescent="0.25">
      <c r="B873" s="39"/>
      <c r="C873" s="40"/>
      <c r="D873" s="40"/>
      <c r="F873" s="40"/>
      <c r="G873" s="40"/>
      <c r="H873" s="42"/>
      <c r="I873" s="42" t="str">
        <f t="shared" si="9"/>
        <v/>
      </c>
    </row>
    <row r="874" spans="2:9" x14ac:dyDescent="0.25">
      <c r="B874" s="39"/>
      <c r="C874" s="40"/>
      <c r="D874" s="40"/>
      <c r="F874" s="40"/>
      <c r="G874" s="40"/>
      <c r="H874" s="42"/>
      <c r="I874" s="42" t="str">
        <f t="shared" si="9"/>
        <v/>
      </c>
    </row>
    <row r="875" spans="2:9" x14ac:dyDescent="0.25">
      <c r="B875" s="39"/>
      <c r="C875" s="40"/>
      <c r="D875" s="40"/>
      <c r="F875" s="40"/>
      <c r="G875" s="40"/>
      <c r="H875" s="42"/>
      <c r="I875" s="42" t="str">
        <f t="shared" si="9"/>
        <v/>
      </c>
    </row>
    <row r="876" spans="2:9" x14ac:dyDescent="0.25">
      <c r="B876" s="39"/>
      <c r="C876" s="40"/>
      <c r="D876" s="40"/>
      <c r="F876" s="40"/>
      <c r="G876" s="40"/>
      <c r="H876" s="42"/>
      <c r="I876" s="42" t="str">
        <f t="shared" si="9"/>
        <v/>
      </c>
    </row>
    <row r="877" spans="2:9" x14ac:dyDescent="0.25">
      <c r="B877" s="39"/>
      <c r="C877" s="40"/>
      <c r="D877" s="40"/>
      <c r="F877" s="40"/>
      <c r="G877" s="40"/>
      <c r="H877" s="42"/>
      <c r="I877" s="42" t="str">
        <f t="shared" si="9"/>
        <v/>
      </c>
    </row>
    <row r="878" spans="2:9" x14ac:dyDescent="0.25">
      <c r="B878" s="39"/>
      <c r="C878" s="40"/>
      <c r="D878" s="40"/>
      <c r="F878" s="40"/>
      <c r="G878" s="40"/>
      <c r="H878" s="42"/>
      <c r="I878" s="42" t="str">
        <f t="shared" si="9"/>
        <v/>
      </c>
    </row>
    <row r="879" spans="2:9" x14ac:dyDescent="0.25">
      <c r="B879" s="39"/>
      <c r="C879" s="40"/>
      <c r="D879" s="40"/>
      <c r="F879" s="40"/>
      <c r="G879" s="40"/>
      <c r="H879" s="42"/>
      <c r="I879" s="42" t="str">
        <f t="shared" si="9"/>
        <v/>
      </c>
    </row>
    <row r="880" spans="2:9" x14ac:dyDescent="0.25">
      <c r="B880" s="39"/>
      <c r="C880" s="40"/>
      <c r="D880" s="40"/>
      <c r="F880" s="40"/>
      <c r="G880" s="40"/>
      <c r="H880" s="42"/>
      <c r="I880" s="42" t="str">
        <f t="shared" si="9"/>
        <v/>
      </c>
    </row>
    <row r="881" spans="2:9" x14ac:dyDescent="0.25">
      <c r="B881" s="39"/>
      <c r="C881" s="40"/>
      <c r="D881" s="40"/>
      <c r="F881" s="40"/>
      <c r="G881" s="40"/>
      <c r="H881" s="42"/>
      <c r="I881" s="42" t="str">
        <f t="shared" si="9"/>
        <v/>
      </c>
    </row>
    <row r="882" spans="2:9" x14ac:dyDescent="0.25">
      <c r="B882" s="39"/>
      <c r="C882" s="40"/>
      <c r="D882" s="40"/>
      <c r="F882" s="40"/>
      <c r="G882" s="40"/>
      <c r="H882" s="42"/>
      <c r="I882" s="42" t="str">
        <f t="shared" si="9"/>
        <v/>
      </c>
    </row>
    <row r="883" spans="2:9" x14ac:dyDescent="0.25">
      <c r="B883" s="39"/>
      <c r="C883" s="40"/>
      <c r="D883" s="40"/>
      <c r="F883" s="40"/>
      <c r="G883" s="40"/>
      <c r="H883" s="42"/>
      <c r="I883" s="42" t="str">
        <f t="shared" si="9"/>
        <v/>
      </c>
    </row>
    <row r="884" spans="2:9" x14ac:dyDescent="0.25">
      <c r="B884" s="39"/>
      <c r="C884" s="40"/>
      <c r="D884" s="40"/>
      <c r="F884" s="40"/>
      <c r="G884" s="40"/>
      <c r="H884" s="42"/>
      <c r="I884" s="42" t="str">
        <f t="shared" si="9"/>
        <v/>
      </c>
    </row>
    <row r="885" spans="2:9" x14ac:dyDescent="0.25">
      <c r="B885" s="39"/>
      <c r="C885" s="40"/>
      <c r="D885" s="40"/>
      <c r="F885" s="40"/>
      <c r="G885" s="40"/>
      <c r="H885" s="42"/>
      <c r="I885" s="42" t="str">
        <f t="shared" si="9"/>
        <v/>
      </c>
    </row>
    <row r="886" spans="2:9" x14ac:dyDescent="0.25">
      <c r="B886" s="39"/>
      <c r="C886" s="40"/>
      <c r="D886" s="40"/>
      <c r="F886" s="40"/>
      <c r="G886" s="40"/>
      <c r="H886" s="42"/>
      <c r="I886" s="42" t="str">
        <f t="shared" si="9"/>
        <v/>
      </c>
    </row>
    <row r="887" spans="2:9" x14ac:dyDescent="0.25">
      <c r="B887" s="39"/>
      <c r="C887" s="40"/>
      <c r="D887" s="40"/>
      <c r="F887" s="40"/>
      <c r="G887" s="40"/>
      <c r="H887" s="42"/>
      <c r="I887" s="42" t="str">
        <f t="shared" si="9"/>
        <v/>
      </c>
    </row>
    <row r="888" spans="2:9" x14ac:dyDescent="0.25">
      <c r="B888" s="39"/>
      <c r="C888" s="40"/>
      <c r="D888" s="40"/>
      <c r="F888" s="40"/>
      <c r="G888" s="40"/>
      <c r="H888" s="42"/>
      <c r="I888" s="42" t="str">
        <f t="shared" si="9"/>
        <v/>
      </c>
    </row>
    <row r="889" spans="2:9" x14ac:dyDescent="0.25">
      <c r="B889" s="39"/>
      <c r="C889" s="40"/>
      <c r="D889" s="40"/>
      <c r="F889" s="40"/>
      <c r="G889" s="40"/>
      <c r="H889" s="42"/>
      <c r="I889" s="42" t="str">
        <f t="shared" si="9"/>
        <v/>
      </c>
    </row>
    <row r="890" spans="2:9" x14ac:dyDescent="0.25">
      <c r="B890" s="39"/>
      <c r="C890" s="40"/>
      <c r="D890" s="40"/>
      <c r="F890" s="40"/>
      <c r="G890" s="40"/>
      <c r="H890" s="42"/>
      <c r="I890" s="42" t="str">
        <f t="shared" si="9"/>
        <v/>
      </c>
    </row>
    <row r="891" spans="2:9" x14ac:dyDescent="0.25">
      <c r="B891" s="39"/>
      <c r="C891" s="40"/>
      <c r="D891" s="40"/>
      <c r="F891" s="40"/>
      <c r="G891" s="40"/>
      <c r="H891" s="42"/>
      <c r="I891" s="42" t="str">
        <f t="shared" si="9"/>
        <v/>
      </c>
    </row>
    <row r="892" spans="2:9" x14ac:dyDescent="0.25">
      <c r="B892" s="39"/>
      <c r="C892" s="40"/>
      <c r="D892" s="40"/>
      <c r="F892" s="40"/>
      <c r="G892" s="40"/>
      <c r="H892" s="42"/>
      <c r="I892" s="42" t="str">
        <f t="shared" si="9"/>
        <v/>
      </c>
    </row>
    <row r="893" spans="2:9" x14ac:dyDescent="0.25">
      <c r="B893" s="39"/>
      <c r="C893" s="40"/>
      <c r="D893" s="40"/>
      <c r="F893" s="40"/>
      <c r="G893" s="40"/>
      <c r="H893" s="42"/>
      <c r="I893" s="42" t="str">
        <f t="shared" si="9"/>
        <v/>
      </c>
    </row>
    <row r="894" spans="2:9" x14ac:dyDescent="0.25">
      <c r="B894" s="39"/>
      <c r="C894" s="40"/>
      <c r="D894" s="40"/>
      <c r="F894" s="40"/>
      <c r="G894" s="40"/>
      <c r="H894" s="42"/>
      <c r="I894" s="42" t="str">
        <f t="shared" si="9"/>
        <v/>
      </c>
    </row>
    <row r="895" spans="2:9" x14ac:dyDescent="0.25">
      <c r="B895" s="39"/>
      <c r="C895" s="40"/>
      <c r="D895" s="40"/>
      <c r="F895" s="40"/>
      <c r="G895" s="40"/>
      <c r="H895" s="42"/>
      <c r="I895" s="42" t="str">
        <f t="shared" si="9"/>
        <v/>
      </c>
    </row>
    <row r="896" spans="2:9" x14ac:dyDescent="0.25">
      <c r="B896" s="39"/>
      <c r="C896" s="40"/>
      <c r="D896" s="40"/>
      <c r="F896" s="40"/>
      <c r="G896" s="40"/>
      <c r="H896" s="42"/>
      <c r="I896" s="42" t="str">
        <f t="shared" ref="I896:I959" si="10">IF(H896&lt;&gt;"",H896-H895,"")</f>
        <v/>
      </c>
    </row>
    <row r="897" spans="2:9" x14ac:dyDescent="0.25">
      <c r="B897" s="39"/>
      <c r="C897" s="40"/>
      <c r="D897" s="40"/>
      <c r="F897" s="40"/>
      <c r="G897" s="40"/>
      <c r="H897" s="42"/>
      <c r="I897" s="42" t="str">
        <f t="shared" si="10"/>
        <v/>
      </c>
    </row>
    <row r="898" spans="2:9" x14ac:dyDescent="0.25">
      <c r="B898" s="39"/>
      <c r="C898" s="40"/>
      <c r="D898" s="40"/>
      <c r="F898" s="40"/>
      <c r="G898" s="40"/>
      <c r="H898" s="42"/>
      <c r="I898" s="42" t="str">
        <f t="shared" si="10"/>
        <v/>
      </c>
    </row>
    <row r="899" spans="2:9" x14ac:dyDescent="0.25">
      <c r="B899" s="39"/>
      <c r="C899" s="40"/>
      <c r="D899" s="40"/>
      <c r="F899" s="40"/>
      <c r="G899" s="40"/>
      <c r="H899" s="42"/>
      <c r="I899" s="42" t="str">
        <f t="shared" si="10"/>
        <v/>
      </c>
    </row>
    <row r="900" spans="2:9" x14ac:dyDescent="0.25">
      <c r="B900" s="39"/>
      <c r="C900" s="40"/>
      <c r="D900" s="40"/>
      <c r="F900" s="40"/>
      <c r="G900" s="40"/>
      <c r="H900" s="42"/>
      <c r="I900" s="42" t="str">
        <f t="shared" si="10"/>
        <v/>
      </c>
    </row>
    <row r="901" spans="2:9" x14ac:dyDescent="0.25">
      <c r="B901" s="39"/>
      <c r="C901" s="40"/>
      <c r="D901" s="40"/>
      <c r="F901" s="40"/>
      <c r="G901" s="40"/>
      <c r="H901" s="42"/>
      <c r="I901" s="42" t="str">
        <f t="shared" si="10"/>
        <v/>
      </c>
    </row>
    <row r="902" spans="2:9" x14ac:dyDescent="0.25">
      <c r="B902" s="39"/>
      <c r="C902" s="40"/>
      <c r="D902" s="40"/>
      <c r="F902" s="40"/>
      <c r="G902" s="40"/>
      <c r="H902" s="42"/>
      <c r="I902" s="42" t="str">
        <f t="shared" si="10"/>
        <v/>
      </c>
    </row>
    <row r="903" spans="2:9" x14ac:dyDescent="0.25">
      <c r="B903" s="39"/>
      <c r="C903" s="40"/>
      <c r="D903" s="40"/>
      <c r="F903" s="40"/>
      <c r="G903" s="40"/>
      <c r="H903" s="42"/>
      <c r="I903" s="42" t="str">
        <f t="shared" si="10"/>
        <v/>
      </c>
    </row>
    <row r="904" spans="2:9" x14ac:dyDescent="0.25">
      <c r="B904" s="39"/>
      <c r="C904" s="40"/>
      <c r="D904" s="40"/>
      <c r="F904" s="40"/>
      <c r="G904" s="40"/>
      <c r="H904" s="42"/>
      <c r="I904" s="42" t="str">
        <f t="shared" si="10"/>
        <v/>
      </c>
    </row>
    <row r="905" spans="2:9" x14ac:dyDescent="0.25">
      <c r="B905" s="39"/>
      <c r="C905" s="40"/>
      <c r="D905" s="40"/>
      <c r="F905" s="40"/>
      <c r="G905" s="40"/>
      <c r="H905" s="42"/>
      <c r="I905" s="42" t="str">
        <f t="shared" si="10"/>
        <v/>
      </c>
    </row>
    <row r="906" spans="2:9" x14ac:dyDescent="0.25">
      <c r="B906" s="39"/>
      <c r="C906" s="40"/>
      <c r="D906" s="40"/>
      <c r="F906" s="40"/>
      <c r="G906" s="40"/>
      <c r="H906" s="42"/>
      <c r="I906" s="42" t="str">
        <f t="shared" si="10"/>
        <v/>
      </c>
    </row>
    <row r="907" spans="2:9" x14ac:dyDescent="0.25">
      <c r="B907" s="39"/>
      <c r="C907" s="40"/>
      <c r="D907" s="40"/>
      <c r="F907" s="40"/>
      <c r="G907" s="40"/>
      <c r="H907" s="42"/>
      <c r="I907" s="42" t="str">
        <f t="shared" si="10"/>
        <v/>
      </c>
    </row>
    <row r="908" spans="2:9" x14ac:dyDescent="0.25">
      <c r="B908" s="39"/>
      <c r="C908" s="40"/>
      <c r="D908" s="40"/>
      <c r="F908" s="40"/>
      <c r="G908" s="40"/>
      <c r="H908" s="42"/>
      <c r="I908" s="42" t="str">
        <f t="shared" si="10"/>
        <v/>
      </c>
    </row>
    <row r="909" spans="2:9" x14ac:dyDescent="0.25">
      <c r="B909" s="39"/>
      <c r="C909" s="40"/>
      <c r="D909" s="40"/>
      <c r="F909" s="40"/>
      <c r="G909" s="40"/>
      <c r="H909" s="42"/>
      <c r="I909" s="42" t="str">
        <f t="shared" si="10"/>
        <v/>
      </c>
    </row>
    <row r="910" spans="2:9" x14ac:dyDescent="0.25">
      <c r="B910" s="39"/>
      <c r="C910" s="40"/>
      <c r="D910" s="40"/>
      <c r="F910" s="40"/>
      <c r="G910" s="40"/>
      <c r="H910" s="42"/>
      <c r="I910" s="42" t="str">
        <f t="shared" si="10"/>
        <v/>
      </c>
    </row>
    <row r="911" spans="2:9" x14ac:dyDescent="0.25">
      <c r="B911" s="39"/>
      <c r="C911" s="40"/>
      <c r="D911" s="40"/>
      <c r="F911" s="40"/>
      <c r="G911" s="40"/>
      <c r="H911" s="42"/>
      <c r="I911" s="42" t="str">
        <f t="shared" si="10"/>
        <v/>
      </c>
    </row>
    <row r="912" spans="2:9" x14ac:dyDescent="0.25">
      <c r="B912" s="39"/>
      <c r="C912" s="40"/>
      <c r="D912" s="40"/>
      <c r="F912" s="40"/>
      <c r="G912" s="40"/>
      <c r="H912" s="42"/>
      <c r="I912" s="42" t="str">
        <f t="shared" si="10"/>
        <v/>
      </c>
    </row>
    <row r="913" spans="2:9" x14ac:dyDescent="0.25">
      <c r="B913" s="39"/>
      <c r="C913" s="40"/>
      <c r="D913" s="40"/>
      <c r="F913" s="40"/>
      <c r="G913" s="40"/>
      <c r="H913" s="42"/>
      <c r="I913" s="42" t="str">
        <f t="shared" si="10"/>
        <v/>
      </c>
    </row>
    <row r="914" spans="2:9" x14ac:dyDescent="0.25">
      <c r="B914" s="39"/>
      <c r="C914" s="40"/>
      <c r="D914" s="40"/>
      <c r="F914" s="40"/>
      <c r="G914" s="40"/>
      <c r="H914" s="42"/>
      <c r="I914" s="42" t="str">
        <f t="shared" si="10"/>
        <v/>
      </c>
    </row>
    <row r="915" spans="2:9" x14ac:dyDescent="0.25">
      <c r="B915" s="39"/>
      <c r="C915" s="40"/>
      <c r="D915" s="40"/>
      <c r="F915" s="40"/>
      <c r="G915" s="40"/>
      <c r="H915" s="42"/>
      <c r="I915" s="42" t="str">
        <f t="shared" si="10"/>
        <v/>
      </c>
    </row>
    <row r="916" spans="2:9" x14ac:dyDescent="0.25">
      <c r="B916" s="39"/>
      <c r="C916" s="40"/>
      <c r="D916" s="40"/>
      <c r="F916" s="40"/>
      <c r="G916" s="40"/>
      <c r="H916" s="42"/>
      <c r="I916" s="42" t="str">
        <f t="shared" si="10"/>
        <v/>
      </c>
    </row>
    <row r="917" spans="2:9" x14ac:dyDescent="0.25">
      <c r="B917" s="39"/>
      <c r="C917" s="40"/>
      <c r="D917" s="40"/>
      <c r="F917" s="40"/>
      <c r="G917" s="40"/>
      <c r="H917" s="42"/>
      <c r="I917" s="42" t="str">
        <f t="shared" si="10"/>
        <v/>
      </c>
    </row>
    <row r="918" spans="2:9" x14ac:dyDescent="0.25">
      <c r="B918" s="39"/>
      <c r="C918" s="40"/>
      <c r="D918" s="40"/>
      <c r="F918" s="40"/>
      <c r="G918" s="40"/>
      <c r="H918" s="42"/>
      <c r="I918" s="42" t="str">
        <f t="shared" si="10"/>
        <v/>
      </c>
    </row>
    <row r="919" spans="2:9" x14ac:dyDescent="0.25">
      <c r="B919" s="39"/>
      <c r="C919" s="40"/>
      <c r="D919" s="40"/>
      <c r="F919" s="40"/>
      <c r="G919" s="40"/>
      <c r="H919" s="42"/>
      <c r="I919" s="42" t="str">
        <f t="shared" si="10"/>
        <v/>
      </c>
    </row>
    <row r="920" spans="2:9" x14ac:dyDescent="0.25">
      <c r="B920" s="39"/>
      <c r="C920" s="40"/>
      <c r="D920" s="40"/>
      <c r="F920" s="40"/>
      <c r="G920" s="40"/>
      <c r="H920" s="42"/>
      <c r="I920" s="42" t="str">
        <f t="shared" si="10"/>
        <v/>
      </c>
    </row>
    <row r="921" spans="2:9" x14ac:dyDescent="0.25">
      <c r="B921" s="39"/>
      <c r="C921" s="40"/>
      <c r="D921" s="40"/>
      <c r="F921" s="40"/>
      <c r="G921" s="40"/>
      <c r="H921" s="42"/>
      <c r="I921" s="42" t="str">
        <f t="shared" si="10"/>
        <v/>
      </c>
    </row>
    <row r="922" spans="2:9" x14ac:dyDescent="0.25">
      <c r="B922" s="39"/>
      <c r="C922" s="40"/>
      <c r="D922" s="40"/>
      <c r="F922" s="40"/>
      <c r="G922" s="40"/>
      <c r="H922" s="42"/>
      <c r="I922" s="42" t="str">
        <f t="shared" si="10"/>
        <v/>
      </c>
    </row>
    <row r="923" spans="2:9" x14ac:dyDescent="0.25">
      <c r="B923" s="39"/>
      <c r="C923" s="40"/>
      <c r="D923" s="40"/>
      <c r="F923" s="40"/>
      <c r="G923" s="40"/>
      <c r="H923" s="42"/>
      <c r="I923" s="42" t="str">
        <f t="shared" si="10"/>
        <v/>
      </c>
    </row>
    <row r="924" spans="2:9" x14ac:dyDescent="0.25">
      <c r="B924" s="39"/>
      <c r="C924" s="40"/>
      <c r="D924" s="40"/>
      <c r="F924" s="40"/>
      <c r="G924" s="40"/>
      <c r="H924" s="42"/>
      <c r="I924" s="42" t="str">
        <f t="shared" si="10"/>
        <v/>
      </c>
    </row>
    <row r="925" spans="2:9" x14ac:dyDescent="0.25">
      <c r="B925" s="39"/>
      <c r="C925" s="40"/>
      <c r="D925" s="40"/>
      <c r="F925" s="40"/>
      <c r="G925" s="40"/>
      <c r="H925" s="42"/>
      <c r="I925" s="42" t="str">
        <f t="shared" si="10"/>
        <v/>
      </c>
    </row>
    <row r="926" spans="2:9" x14ac:dyDescent="0.25">
      <c r="B926" s="39"/>
      <c r="C926" s="40"/>
      <c r="D926" s="40"/>
      <c r="F926" s="40"/>
      <c r="G926" s="40"/>
      <c r="H926" s="42"/>
      <c r="I926" s="42" t="str">
        <f t="shared" si="10"/>
        <v/>
      </c>
    </row>
    <row r="927" spans="2:9" x14ac:dyDescent="0.25">
      <c r="B927" s="39"/>
      <c r="C927" s="40"/>
      <c r="D927" s="40"/>
      <c r="F927" s="40"/>
      <c r="G927" s="40"/>
      <c r="H927" s="42"/>
      <c r="I927" s="42" t="str">
        <f t="shared" si="10"/>
        <v/>
      </c>
    </row>
    <row r="928" spans="2:9" x14ac:dyDescent="0.25">
      <c r="B928" s="39"/>
      <c r="C928" s="40"/>
      <c r="D928" s="40"/>
      <c r="F928" s="40"/>
      <c r="G928" s="40"/>
      <c r="H928" s="42"/>
      <c r="I928" s="42" t="str">
        <f t="shared" si="10"/>
        <v/>
      </c>
    </row>
    <row r="929" spans="2:9" x14ac:dyDescent="0.25">
      <c r="B929" s="39"/>
      <c r="C929" s="40"/>
      <c r="D929" s="40"/>
      <c r="F929" s="40"/>
      <c r="G929" s="40"/>
      <c r="H929" s="42"/>
      <c r="I929" s="42" t="str">
        <f t="shared" si="10"/>
        <v/>
      </c>
    </row>
    <row r="930" spans="2:9" x14ac:dyDescent="0.25">
      <c r="B930" s="39"/>
      <c r="C930" s="40"/>
      <c r="D930" s="40"/>
      <c r="F930" s="40"/>
      <c r="G930" s="40"/>
      <c r="H930" s="42"/>
      <c r="I930" s="42" t="str">
        <f t="shared" si="10"/>
        <v/>
      </c>
    </row>
    <row r="931" spans="2:9" x14ac:dyDescent="0.25">
      <c r="B931" s="39"/>
      <c r="C931" s="40"/>
      <c r="D931" s="40"/>
      <c r="F931" s="40"/>
      <c r="G931" s="40"/>
      <c r="H931" s="42"/>
      <c r="I931" s="42" t="str">
        <f t="shared" si="10"/>
        <v/>
      </c>
    </row>
    <row r="932" spans="2:9" x14ac:dyDescent="0.25">
      <c r="B932" s="39"/>
      <c r="C932" s="40"/>
      <c r="D932" s="40"/>
      <c r="F932" s="40"/>
      <c r="G932" s="40"/>
      <c r="H932" s="42"/>
      <c r="I932" s="42" t="str">
        <f t="shared" si="10"/>
        <v/>
      </c>
    </row>
    <row r="933" spans="2:9" x14ac:dyDescent="0.25">
      <c r="B933" s="39"/>
      <c r="C933" s="40"/>
      <c r="D933" s="40"/>
      <c r="F933" s="40"/>
      <c r="G933" s="40"/>
      <c r="H933" s="42"/>
      <c r="I933" s="42" t="str">
        <f t="shared" si="10"/>
        <v/>
      </c>
    </row>
    <row r="934" spans="2:9" x14ac:dyDescent="0.25">
      <c r="B934" s="39"/>
      <c r="C934" s="40"/>
      <c r="D934" s="40"/>
      <c r="F934" s="40"/>
      <c r="G934" s="40"/>
      <c r="H934" s="42"/>
      <c r="I934" s="42" t="str">
        <f t="shared" si="10"/>
        <v/>
      </c>
    </row>
    <row r="935" spans="2:9" x14ac:dyDescent="0.25">
      <c r="B935" s="39"/>
      <c r="C935" s="40"/>
      <c r="D935" s="40"/>
      <c r="F935" s="40"/>
      <c r="G935" s="40"/>
      <c r="H935" s="42"/>
      <c r="I935" s="42" t="str">
        <f t="shared" si="10"/>
        <v/>
      </c>
    </row>
    <row r="936" spans="2:9" x14ac:dyDescent="0.25">
      <c r="B936" s="39"/>
      <c r="C936" s="40"/>
      <c r="D936" s="40"/>
      <c r="F936" s="40"/>
      <c r="G936" s="40"/>
      <c r="H936" s="42"/>
      <c r="I936" s="42" t="str">
        <f t="shared" si="10"/>
        <v/>
      </c>
    </row>
    <row r="937" spans="2:9" x14ac:dyDescent="0.25">
      <c r="B937" s="39"/>
      <c r="C937" s="40"/>
      <c r="D937" s="40"/>
      <c r="F937" s="40"/>
      <c r="G937" s="40"/>
      <c r="H937" s="42"/>
      <c r="I937" s="42" t="str">
        <f t="shared" si="10"/>
        <v/>
      </c>
    </row>
    <row r="938" spans="2:9" x14ac:dyDescent="0.25">
      <c r="B938" s="39"/>
      <c r="C938" s="40"/>
      <c r="D938" s="40"/>
      <c r="F938" s="40"/>
      <c r="G938" s="40"/>
      <c r="H938" s="42"/>
      <c r="I938" s="42" t="str">
        <f t="shared" si="10"/>
        <v/>
      </c>
    </row>
    <row r="939" spans="2:9" x14ac:dyDescent="0.25">
      <c r="B939" s="39"/>
      <c r="C939" s="40"/>
      <c r="D939" s="40"/>
      <c r="F939" s="40"/>
      <c r="G939" s="40"/>
      <c r="H939" s="42"/>
      <c r="I939" s="42" t="str">
        <f t="shared" si="10"/>
        <v/>
      </c>
    </row>
    <row r="940" spans="2:9" x14ac:dyDescent="0.25">
      <c r="B940" s="39"/>
      <c r="C940" s="40"/>
      <c r="D940" s="40"/>
      <c r="F940" s="40"/>
      <c r="G940" s="40"/>
      <c r="H940" s="42"/>
      <c r="I940" s="42" t="str">
        <f t="shared" si="10"/>
        <v/>
      </c>
    </row>
    <row r="941" spans="2:9" x14ac:dyDescent="0.25">
      <c r="B941" s="39"/>
      <c r="C941" s="40"/>
      <c r="D941" s="40"/>
      <c r="F941" s="40"/>
      <c r="G941" s="40"/>
      <c r="H941" s="42"/>
      <c r="I941" s="42" t="str">
        <f t="shared" si="10"/>
        <v/>
      </c>
    </row>
    <row r="942" spans="2:9" x14ac:dyDescent="0.25">
      <c r="B942" s="39"/>
      <c r="C942" s="40"/>
      <c r="D942" s="40"/>
      <c r="F942" s="40"/>
      <c r="G942" s="40"/>
      <c r="H942" s="42"/>
      <c r="I942" s="42" t="str">
        <f t="shared" si="10"/>
        <v/>
      </c>
    </row>
    <row r="943" spans="2:9" x14ac:dyDescent="0.25">
      <c r="B943" s="39"/>
      <c r="C943" s="40"/>
      <c r="D943" s="40"/>
      <c r="F943" s="40"/>
      <c r="G943" s="40"/>
      <c r="H943" s="42"/>
      <c r="I943" s="42" t="str">
        <f t="shared" si="10"/>
        <v/>
      </c>
    </row>
    <row r="944" spans="2:9" x14ac:dyDescent="0.25">
      <c r="B944" s="39"/>
      <c r="C944" s="40"/>
      <c r="D944" s="40"/>
      <c r="F944" s="40"/>
      <c r="G944" s="40"/>
      <c r="H944" s="42"/>
      <c r="I944" s="42" t="str">
        <f t="shared" si="10"/>
        <v/>
      </c>
    </row>
    <row r="945" spans="2:9" x14ac:dyDescent="0.25">
      <c r="B945" s="39"/>
      <c r="C945" s="40"/>
      <c r="D945" s="40"/>
      <c r="F945" s="40"/>
      <c r="G945" s="40"/>
      <c r="H945" s="42"/>
      <c r="I945" s="42" t="str">
        <f t="shared" si="10"/>
        <v/>
      </c>
    </row>
    <row r="946" spans="2:9" x14ac:dyDescent="0.25">
      <c r="B946" s="39"/>
      <c r="C946" s="40"/>
      <c r="D946" s="40"/>
      <c r="F946" s="40"/>
      <c r="G946" s="40"/>
      <c r="H946" s="42"/>
      <c r="I946" s="42" t="str">
        <f t="shared" si="10"/>
        <v/>
      </c>
    </row>
    <row r="947" spans="2:9" x14ac:dyDescent="0.25">
      <c r="B947" s="39"/>
      <c r="C947" s="40"/>
      <c r="D947" s="40"/>
      <c r="F947" s="40"/>
      <c r="G947" s="40"/>
      <c r="H947" s="42"/>
      <c r="I947" s="42" t="str">
        <f t="shared" si="10"/>
        <v/>
      </c>
    </row>
    <row r="948" spans="2:9" x14ac:dyDescent="0.25">
      <c r="B948" s="39"/>
      <c r="C948" s="40"/>
      <c r="D948" s="40"/>
      <c r="F948" s="40"/>
      <c r="G948" s="40"/>
      <c r="H948" s="42"/>
      <c r="I948" s="42" t="str">
        <f t="shared" si="10"/>
        <v/>
      </c>
    </row>
    <row r="949" spans="2:9" x14ac:dyDescent="0.25">
      <c r="B949" s="39"/>
      <c r="C949" s="40"/>
      <c r="D949" s="40"/>
      <c r="F949" s="40"/>
      <c r="G949" s="40"/>
      <c r="H949" s="42"/>
      <c r="I949" s="42" t="str">
        <f t="shared" si="10"/>
        <v/>
      </c>
    </row>
    <row r="950" spans="2:9" x14ac:dyDescent="0.25">
      <c r="B950" s="39"/>
      <c r="C950" s="40"/>
      <c r="D950" s="40"/>
      <c r="F950" s="40"/>
      <c r="G950" s="40"/>
      <c r="H950" s="42"/>
      <c r="I950" s="42" t="str">
        <f t="shared" si="10"/>
        <v/>
      </c>
    </row>
    <row r="951" spans="2:9" x14ac:dyDescent="0.25">
      <c r="B951" s="39"/>
      <c r="C951" s="40"/>
      <c r="D951" s="40"/>
      <c r="F951" s="40"/>
      <c r="G951" s="40"/>
      <c r="H951" s="42"/>
      <c r="I951" s="42" t="str">
        <f t="shared" si="10"/>
        <v/>
      </c>
    </row>
    <row r="952" spans="2:9" x14ac:dyDescent="0.25">
      <c r="B952" s="39"/>
      <c r="C952" s="40"/>
      <c r="D952" s="40"/>
      <c r="F952" s="40"/>
      <c r="G952" s="40"/>
      <c r="H952" s="42"/>
      <c r="I952" s="42" t="str">
        <f t="shared" si="10"/>
        <v/>
      </c>
    </row>
    <row r="953" spans="2:9" x14ac:dyDescent="0.25">
      <c r="B953" s="39"/>
      <c r="C953" s="40"/>
      <c r="D953" s="40"/>
      <c r="F953" s="40"/>
      <c r="G953" s="40"/>
      <c r="H953" s="42"/>
      <c r="I953" s="42" t="str">
        <f t="shared" si="10"/>
        <v/>
      </c>
    </row>
    <row r="954" spans="2:9" x14ac:dyDescent="0.25">
      <c r="B954" s="39"/>
      <c r="C954" s="40"/>
      <c r="D954" s="40"/>
      <c r="F954" s="40"/>
      <c r="G954" s="40"/>
      <c r="H954" s="42"/>
      <c r="I954" s="42" t="str">
        <f t="shared" si="10"/>
        <v/>
      </c>
    </row>
    <row r="955" spans="2:9" x14ac:dyDescent="0.25">
      <c r="B955" s="39"/>
      <c r="C955" s="40"/>
      <c r="D955" s="40"/>
      <c r="F955" s="40"/>
      <c r="G955" s="40"/>
      <c r="H955" s="42"/>
      <c r="I955" s="42" t="str">
        <f t="shared" si="10"/>
        <v/>
      </c>
    </row>
    <row r="956" spans="2:9" x14ac:dyDescent="0.25">
      <c r="B956" s="39"/>
      <c r="C956" s="40"/>
      <c r="D956" s="40"/>
      <c r="F956" s="40"/>
      <c r="G956" s="40"/>
      <c r="H956" s="42"/>
      <c r="I956" s="42" t="str">
        <f t="shared" si="10"/>
        <v/>
      </c>
    </row>
    <row r="957" spans="2:9" x14ac:dyDescent="0.25">
      <c r="B957" s="39"/>
      <c r="C957" s="40"/>
      <c r="D957" s="40"/>
      <c r="F957" s="40"/>
      <c r="G957" s="40"/>
      <c r="H957" s="42"/>
      <c r="I957" s="42" t="str">
        <f t="shared" si="10"/>
        <v/>
      </c>
    </row>
    <row r="958" spans="2:9" x14ac:dyDescent="0.25">
      <c r="B958" s="39"/>
      <c r="C958" s="40"/>
      <c r="D958" s="40"/>
      <c r="F958" s="40"/>
      <c r="G958" s="40"/>
      <c r="H958" s="42"/>
      <c r="I958" s="42" t="str">
        <f t="shared" si="10"/>
        <v/>
      </c>
    </row>
    <row r="959" spans="2:9" x14ac:dyDescent="0.25">
      <c r="B959" s="39"/>
      <c r="C959" s="40"/>
      <c r="D959" s="40"/>
      <c r="F959" s="40"/>
      <c r="G959" s="40"/>
      <c r="H959" s="42"/>
      <c r="I959" s="42" t="str">
        <f t="shared" si="10"/>
        <v/>
      </c>
    </row>
    <row r="960" spans="2:9" x14ac:dyDescent="0.25">
      <c r="B960" s="39"/>
      <c r="C960" s="40"/>
      <c r="D960" s="40"/>
      <c r="F960" s="40"/>
      <c r="G960" s="40"/>
      <c r="H960" s="42"/>
      <c r="I960" s="42" t="str">
        <f t="shared" ref="I960:I1023" si="11">IF(H960&lt;&gt;"",H960-H959,"")</f>
        <v/>
      </c>
    </row>
    <row r="961" spans="2:9" x14ac:dyDescent="0.25">
      <c r="B961" s="39"/>
      <c r="C961" s="40"/>
      <c r="D961" s="40"/>
      <c r="F961" s="40"/>
      <c r="G961" s="40"/>
      <c r="H961" s="42"/>
      <c r="I961" s="42" t="str">
        <f t="shared" si="11"/>
        <v/>
      </c>
    </row>
    <row r="962" spans="2:9" x14ac:dyDescent="0.25">
      <c r="B962" s="39"/>
      <c r="C962" s="40"/>
      <c r="D962" s="40"/>
      <c r="F962" s="40"/>
      <c r="G962" s="40"/>
      <c r="H962" s="42"/>
      <c r="I962" s="42" t="str">
        <f t="shared" si="11"/>
        <v/>
      </c>
    </row>
    <row r="963" spans="2:9" x14ac:dyDescent="0.25">
      <c r="B963" s="39"/>
      <c r="C963" s="40"/>
      <c r="D963" s="40"/>
      <c r="F963" s="40"/>
      <c r="G963" s="40"/>
      <c r="H963" s="42"/>
      <c r="I963" s="42" t="str">
        <f t="shared" si="11"/>
        <v/>
      </c>
    </row>
    <row r="964" spans="2:9" x14ac:dyDescent="0.25">
      <c r="B964" s="39"/>
      <c r="C964" s="40"/>
      <c r="D964" s="40"/>
      <c r="F964" s="40"/>
      <c r="G964" s="40"/>
      <c r="H964" s="42"/>
      <c r="I964" s="42" t="str">
        <f t="shared" si="11"/>
        <v/>
      </c>
    </row>
    <row r="965" spans="2:9" x14ac:dyDescent="0.25">
      <c r="B965" s="39"/>
      <c r="C965" s="40"/>
      <c r="D965" s="40"/>
      <c r="F965" s="40"/>
      <c r="G965" s="40"/>
      <c r="H965" s="42"/>
      <c r="I965" s="42" t="str">
        <f t="shared" si="11"/>
        <v/>
      </c>
    </row>
    <row r="966" spans="2:9" x14ac:dyDescent="0.25">
      <c r="B966" s="39"/>
      <c r="C966" s="40"/>
      <c r="D966" s="40"/>
      <c r="F966" s="40"/>
      <c r="G966" s="40"/>
      <c r="H966" s="42"/>
      <c r="I966" s="42" t="str">
        <f t="shared" si="11"/>
        <v/>
      </c>
    </row>
    <row r="967" spans="2:9" x14ac:dyDescent="0.25">
      <c r="B967" s="39"/>
      <c r="C967" s="40"/>
      <c r="D967" s="40"/>
      <c r="F967" s="40"/>
      <c r="G967" s="40"/>
      <c r="H967" s="42"/>
      <c r="I967" s="42" t="str">
        <f t="shared" si="11"/>
        <v/>
      </c>
    </row>
    <row r="968" spans="2:9" x14ac:dyDescent="0.25">
      <c r="B968" s="39"/>
      <c r="C968" s="40"/>
      <c r="D968" s="40"/>
      <c r="F968" s="40"/>
      <c r="G968" s="40"/>
      <c r="H968" s="42"/>
      <c r="I968" s="42" t="str">
        <f t="shared" si="11"/>
        <v/>
      </c>
    </row>
    <row r="969" spans="2:9" x14ac:dyDescent="0.25">
      <c r="B969" s="39"/>
      <c r="C969" s="40"/>
      <c r="D969" s="40"/>
      <c r="F969" s="40"/>
      <c r="G969" s="40"/>
      <c r="H969" s="42"/>
      <c r="I969" s="42" t="str">
        <f t="shared" si="11"/>
        <v/>
      </c>
    </row>
    <row r="970" spans="2:9" x14ac:dyDescent="0.25">
      <c r="B970" s="39"/>
      <c r="C970" s="40"/>
      <c r="D970" s="40"/>
      <c r="F970" s="40"/>
      <c r="G970" s="40"/>
      <c r="H970" s="42"/>
      <c r="I970" s="42" t="str">
        <f t="shared" si="11"/>
        <v/>
      </c>
    </row>
    <row r="971" spans="2:9" x14ac:dyDescent="0.25">
      <c r="B971" s="39"/>
      <c r="C971" s="40"/>
      <c r="D971" s="40"/>
      <c r="F971" s="40"/>
      <c r="G971" s="40"/>
      <c r="H971" s="42"/>
      <c r="I971" s="42" t="str">
        <f t="shared" si="11"/>
        <v/>
      </c>
    </row>
    <row r="972" spans="2:9" x14ac:dyDescent="0.25">
      <c r="B972" s="39"/>
      <c r="C972" s="40"/>
      <c r="D972" s="40"/>
      <c r="F972" s="40"/>
      <c r="G972" s="40"/>
      <c r="H972" s="42"/>
      <c r="I972" s="42" t="str">
        <f t="shared" si="11"/>
        <v/>
      </c>
    </row>
    <row r="973" spans="2:9" x14ac:dyDescent="0.25">
      <c r="B973" s="39"/>
      <c r="C973" s="40"/>
      <c r="D973" s="40"/>
      <c r="F973" s="40"/>
      <c r="G973" s="40"/>
      <c r="H973" s="42"/>
      <c r="I973" s="42" t="str">
        <f t="shared" si="11"/>
        <v/>
      </c>
    </row>
    <row r="974" spans="2:9" x14ac:dyDescent="0.25">
      <c r="B974" s="39"/>
      <c r="C974" s="40"/>
      <c r="D974" s="40"/>
      <c r="F974" s="40"/>
      <c r="G974" s="40"/>
      <c r="H974" s="42"/>
      <c r="I974" s="42" t="str">
        <f t="shared" si="11"/>
        <v/>
      </c>
    </row>
    <row r="975" spans="2:9" x14ac:dyDescent="0.25">
      <c r="B975" s="39"/>
      <c r="C975" s="40"/>
      <c r="D975" s="40"/>
      <c r="F975" s="40"/>
      <c r="G975" s="40"/>
      <c r="H975" s="42"/>
      <c r="I975" s="42" t="str">
        <f t="shared" si="11"/>
        <v/>
      </c>
    </row>
    <row r="976" spans="2:9" x14ac:dyDescent="0.25">
      <c r="B976" s="39"/>
      <c r="C976" s="40"/>
      <c r="D976" s="40"/>
      <c r="F976" s="40"/>
      <c r="G976" s="40"/>
      <c r="H976" s="42"/>
      <c r="I976" s="42" t="str">
        <f t="shared" si="11"/>
        <v/>
      </c>
    </row>
    <row r="977" spans="2:9" x14ac:dyDescent="0.25">
      <c r="B977" s="39"/>
      <c r="C977" s="40"/>
      <c r="D977" s="40"/>
      <c r="F977" s="40"/>
      <c r="G977" s="40"/>
      <c r="H977" s="42"/>
      <c r="I977" s="42" t="str">
        <f t="shared" si="11"/>
        <v/>
      </c>
    </row>
    <row r="978" spans="2:9" x14ac:dyDescent="0.25">
      <c r="B978" s="39"/>
      <c r="C978" s="40"/>
      <c r="D978" s="40"/>
      <c r="F978" s="40"/>
      <c r="G978" s="40"/>
      <c r="H978" s="42"/>
      <c r="I978" s="42" t="str">
        <f t="shared" si="11"/>
        <v/>
      </c>
    </row>
    <row r="979" spans="2:9" x14ac:dyDescent="0.25">
      <c r="B979" s="39"/>
      <c r="C979" s="40"/>
      <c r="D979" s="40"/>
      <c r="F979" s="40"/>
      <c r="G979" s="40"/>
      <c r="H979" s="42"/>
      <c r="I979" s="42" t="str">
        <f t="shared" si="11"/>
        <v/>
      </c>
    </row>
    <row r="980" spans="2:9" x14ac:dyDescent="0.25">
      <c r="B980" s="39"/>
      <c r="C980" s="40"/>
      <c r="D980" s="40"/>
      <c r="F980" s="40"/>
      <c r="G980" s="40"/>
      <c r="H980" s="42"/>
      <c r="I980" s="42" t="str">
        <f t="shared" si="11"/>
        <v/>
      </c>
    </row>
    <row r="981" spans="2:9" x14ac:dyDescent="0.25">
      <c r="B981" s="39"/>
      <c r="C981" s="40"/>
      <c r="D981" s="40"/>
      <c r="F981" s="40"/>
      <c r="G981" s="40"/>
      <c r="H981" s="42"/>
      <c r="I981" s="42" t="str">
        <f t="shared" si="11"/>
        <v/>
      </c>
    </row>
    <row r="982" spans="2:9" x14ac:dyDescent="0.25">
      <c r="B982" s="39"/>
      <c r="C982" s="40"/>
      <c r="D982" s="40"/>
      <c r="F982" s="40"/>
      <c r="G982" s="40"/>
      <c r="H982" s="42"/>
      <c r="I982" s="42" t="str">
        <f t="shared" si="11"/>
        <v/>
      </c>
    </row>
    <row r="983" spans="2:9" x14ac:dyDescent="0.25">
      <c r="B983" s="39"/>
      <c r="C983" s="40"/>
      <c r="D983" s="40"/>
      <c r="F983" s="40"/>
      <c r="G983" s="40"/>
      <c r="H983" s="42"/>
      <c r="I983" s="42" t="str">
        <f t="shared" si="11"/>
        <v/>
      </c>
    </row>
    <row r="984" spans="2:9" x14ac:dyDescent="0.25">
      <c r="B984" s="39"/>
      <c r="C984" s="40"/>
      <c r="D984" s="40"/>
      <c r="F984" s="40"/>
      <c r="G984" s="40"/>
      <c r="H984" s="42"/>
      <c r="I984" s="42" t="str">
        <f t="shared" si="11"/>
        <v/>
      </c>
    </row>
    <row r="985" spans="2:9" x14ac:dyDescent="0.25">
      <c r="B985" s="39"/>
      <c r="C985" s="40"/>
      <c r="D985" s="40"/>
      <c r="F985" s="40"/>
      <c r="G985" s="40"/>
      <c r="H985" s="42"/>
      <c r="I985" s="42" t="str">
        <f t="shared" si="11"/>
        <v/>
      </c>
    </row>
    <row r="986" spans="2:9" x14ac:dyDescent="0.25">
      <c r="B986" s="39"/>
      <c r="C986" s="40"/>
      <c r="D986" s="40"/>
      <c r="F986" s="40"/>
      <c r="G986" s="40"/>
      <c r="H986" s="42"/>
      <c r="I986" s="42" t="str">
        <f t="shared" si="11"/>
        <v/>
      </c>
    </row>
    <row r="987" spans="2:9" x14ac:dyDescent="0.25">
      <c r="B987" s="39"/>
      <c r="C987" s="40"/>
      <c r="D987" s="40"/>
      <c r="F987" s="40"/>
      <c r="G987" s="40"/>
      <c r="H987" s="42"/>
      <c r="I987" s="42" t="str">
        <f t="shared" si="11"/>
        <v/>
      </c>
    </row>
    <row r="988" spans="2:9" x14ac:dyDescent="0.25">
      <c r="B988" s="39"/>
      <c r="C988" s="40"/>
      <c r="D988" s="40"/>
      <c r="F988" s="40"/>
      <c r="G988" s="40"/>
      <c r="H988" s="42"/>
      <c r="I988" s="42" t="str">
        <f t="shared" si="11"/>
        <v/>
      </c>
    </row>
    <row r="989" spans="2:9" x14ac:dyDescent="0.25">
      <c r="B989" s="39"/>
      <c r="C989" s="40"/>
      <c r="D989" s="40"/>
      <c r="F989" s="40"/>
      <c r="G989" s="40"/>
      <c r="H989" s="42"/>
      <c r="I989" s="42" t="str">
        <f t="shared" si="11"/>
        <v/>
      </c>
    </row>
    <row r="990" spans="2:9" x14ac:dyDescent="0.25">
      <c r="B990" s="39"/>
      <c r="C990" s="40"/>
      <c r="D990" s="40"/>
      <c r="F990" s="40"/>
      <c r="G990" s="40"/>
      <c r="H990" s="42"/>
      <c r="I990" s="42" t="str">
        <f t="shared" si="11"/>
        <v/>
      </c>
    </row>
    <row r="991" spans="2:9" x14ac:dyDescent="0.25">
      <c r="B991" s="39"/>
      <c r="C991" s="40"/>
      <c r="D991" s="40"/>
      <c r="F991" s="40"/>
      <c r="G991" s="40"/>
      <c r="H991" s="42"/>
      <c r="I991" s="42" t="str">
        <f t="shared" si="11"/>
        <v/>
      </c>
    </row>
    <row r="992" spans="2:9" x14ac:dyDescent="0.25">
      <c r="B992" s="39"/>
      <c r="C992" s="40"/>
      <c r="D992" s="40"/>
      <c r="F992" s="40"/>
      <c r="G992" s="40"/>
      <c r="H992" s="42"/>
      <c r="I992" s="42" t="str">
        <f t="shared" si="11"/>
        <v/>
      </c>
    </row>
    <row r="993" spans="2:9" x14ac:dyDescent="0.25">
      <c r="B993" s="39"/>
      <c r="C993" s="40"/>
      <c r="D993" s="40"/>
      <c r="F993" s="40"/>
      <c r="G993" s="40"/>
      <c r="H993" s="42"/>
      <c r="I993" s="42" t="str">
        <f t="shared" si="11"/>
        <v/>
      </c>
    </row>
    <row r="994" spans="2:9" x14ac:dyDescent="0.25">
      <c r="B994" s="39"/>
      <c r="C994" s="40"/>
      <c r="D994" s="40"/>
      <c r="F994" s="40"/>
      <c r="G994" s="40"/>
      <c r="H994" s="42"/>
      <c r="I994" s="42" t="str">
        <f t="shared" si="11"/>
        <v/>
      </c>
    </row>
    <row r="995" spans="2:9" x14ac:dyDescent="0.25">
      <c r="B995" s="39"/>
      <c r="C995" s="40"/>
      <c r="D995" s="40"/>
      <c r="F995" s="40"/>
      <c r="G995" s="40"/>
      <c r="H995" s="42"/>
      <c r="I995" s="42" t="str">
        <f t="shared" si="11"/>
        <v/>
      </c>
    </row>
    <row r="996" spans="2:9" x14ac:dyDescent="0.25">
      <c r="B996" s="39"/>
      <c r="C996" s="40"/>
      <c r="D996" s="40"/>
      <c r="F996" s="40"/>
      <c r="G996" s="40"/>
      <c r="H996" s="42"/>
      <c r="I996" s="42" t="str">
        <f t="shared" si="11"/>
        <v/>
      </c>
    </row>
    <row r="997" spans="2:9" x14ac:dyDescent="0.25">
      <c r="B997" s="39"/>
      <c r="C997" s="40"/>
      <c r="D997" s="40"/>
      <c r="F997" s="40"/>
      <c r="G997" s="40"/>
      <c r="H997" s="42"/>
      <c r="I997" s="42" t="str">
        <f t="shared" si="11"/>
        <v/>
      </c>
    </row>
    <row r="998" spans="2:9" x14ac:dyDescent="0.25">
      <c r="B998" s="39"/>
      <c r="C998" s="40"/>
      <c r="D998" s="40"/>
      <c r="F998" s="40"/>
      <c r="G998" s="40"/>
      <c r="H998" s="42"/>
      <c r="I998" s="42" t="str">
        <f t="shared" si="11"/>
        <v/>
      </c>
    </row>
    <row r="999" spans="2:9" x14ac:dyDescent="0.25">
      <c r="B999" s="39"/>
      <c r="C999" s="40"/>
      <c r="D999" s="40"/>
      <c r="F999" s="40"/>
      <c r="G999" s="40"/>
      <c r="H999" s="42"/>
      <c r="I999" s="42" t="str">
        <f t="shared" si="11"/>
        <v/>
      </c>
    </row>
    <row r="1000" spans="2:9" x14ac:dyDescent="0.25">
      <c r="B1000" s="39"/>
      <c r="C1000" s="40"/>
      <c r="D1000" s="40"/>
      <c r="F1000" s="40"/>
      <c r="G1000" s="40"/>
      <c r="H1000" s="42"/>
      <c r="I1000" s="42" t="str">
        <f t="shared" si="11"/>
        <v/>
      </c>
    </row>
    <row r="1001" spans="2:9" x14ac:dyDescent="0.25">
      <c r="B1001" s="39"/>
      <c r="C1001" s="40"/>
      <c r="D1001" s="40"/>
      <c r="F1001" s="40"/>
      <c r="G1001" s="40"/>
      <c r="H1001" s="42"/>
      <c r="I1001" s="42" t="str">
        <f t="shared" si="11"/>
        <v/>
      </c>
    </row>
    <row r="1002" spans="2:9" x14ac:dyDescent="0.25">
      <c r="B1002" s="39"/>
      <c r="C1002" s="40"/>
      <c r="D1002" s="40"/>
      <c r="F1002" s="40"/>
      <c r="G1002" s="40"/>
      <c r="H1002" s="42"/>
      <c r="I1002" s="42" t="str">
        <f t="shared" si="11"/>
        <v/>
      </c>
    </row>
    <row r="1003" spans="2:9" x14ac:dyDescent="0.25">
      <c r="B1003" s="39"/>
      <c r="C1003" s="40"/>
      <c r="D1003" s="40"/>
      <c r="F1003" s="40"/>
      <c r="G1003" s="40"/>
      <c r="H1003" s="42"/>
      <c r="I1003" s="42" t="str">
        <f t="shared" si="11"/>
        <v/>
      </c>
    </row>
    <row r="1004" spans="2:9" x14ac:dyDescent="0.25">
      <c r="B1004" s="39"/>
      <c r="C1004" s="40"/>
      <c r="D1004" s="40"/>
      <c r="F1004" s="40"/>
      <c r="G1004" s="40"/>
      <c r="H1004" s="42"/>
      <c r="I1004" s="42" t="str">
        <f t="shared" si="11"/>
        <v/>
      </c>
    </row>
    <row r="1005" spans="2:9" x14ac:dyDescent="0.25">
      <c r="B1005" s="39"/>
      <c r="C1005" s="40"/>
      <c r="D1005" s="40"/>
      <c r="F1005" s="40"/>
      <c r="G1005" s="40"/>
      <c r="H1005" s="42"/>
      <c r="I1005" s="42" t="str">
        <f t="shared" si="11"/>
        <v/>
      </c>
    </row>
    <row r="1006" spans="2:9" x14ac:dyDescent="0.25">
      <c r="B1006" s="39"/>
      <c r="C1006" s="40"/>
      <c r="D1006" s="40"/>
      <c r="F1006" s="40"/>
      <c r="G1006" s="40"/>
      <c r="H1006" s="42"/>
      <c r="I1006" s="42" t="str">
        <f t="shared" si="11"/>
        <v/>
      </c>
    </row>
    <row r="1007" spans="2:9" x14ac:dyDescent="0.25">
      <c r="B1007" s="39"/>
      <c r="C1007" s="40"/>
      <c r="D1007" s="40"/>
      <c r="F1007" s="40"/>
      <c r="G1007" s="40"/>
      <c r="H1007" s="42"/>
      <c r="I1007" s="42" t="str">
        <f t="shared" si="11"/>
        <v/>
      </c>
    </row>
    <row r="1008" spans="2:9" x14ac:dyDescent="0.25">
      <c r="B1008" s="39"/>
      <c r="C1008" s="40"/>
      <c r="D1008" s="40"/>
      <c r="F1008" s="40"/>
      <c r="G1008" s="40"/>
      <c r="H1008" s="42"/>
      <c r="I1008" s="42" t="str">
        <f t="shared" si="11"/>
        <v/>
      </c>
    </row>
    <row r="1009" spans="2:9" x14ac:dyDescent="0.25">
      <c r="B1009" s="39"/>
      <c r="C1009" s="40"/>
      <c r="D1009" s="40"/>
      <c r="F1009" s="40"/>
      <c r="G1009" s="40"/>
      <c r="H1009" s="42"/>
      <c r="I1009" s="42" t="str">
        <f t="shared" si="11"/>
        <v/>
      </c>
    </row>
    <row r="1010" spans="2:9" x14ac:dyDescent="0.25">
      <c r="B1010" s="39"/>
      <c r="C1010" s="40"/>
      <c r="D1010" s="40"/>
      <c r="F1010" s="40"/>
      <c r="G1010" s="40"/>
      <c r="H1010" s="42"/>
      <c r="I1010" s="42" t="str">
        <f t="shared" si="11"/>
        <v/>
      </c>
    </row>
    <row r="1011" spans="2:9" x14ac:dyDescent="0.25">
      <c r="B1011" s="39"/>
      <c r="C1011" s="40"/>
      <c r="D1011" s="40"/>
      <c r="F1011" s="40"/>
      <c r="G1011" s="40"/>
      <c r="H1011" s="42"/>
      <c r="I1011" s="42" t="str">
        <f t="shared" si="11"/>
        <v/>
      </c>
    </row>
    <row r="1012" spans="2:9" x14ac:dyDescent="0.25">
      <c r="B1012" s="39"/>
      <c r="C1012" s="40"/>
      <c r="D1012" s="40"/>
      <c r="F1012" s="40"/>
      <c r="G1012" s="40"/>
      <c r="H1012" s="42"/>
      <c r="I1012" s="42" t="str">
        <f t="shared" si="11"/>
        <v/>
      </c>
    </row>
    <row r="1013" spans="2:9" x14ac:dyDescent="0.25">
      <c r="B1013" s="39"/>
      <c r="C1013" s="40"/>
      <c r="D1013" s="40"/>
      <c r="F1013" s="40"/>
      <c r="G1013" s="40"/>
      <c r="H1013" s="42"/>
      <c r="I1013" s="42" t="str">
        <f t="shared" si="11"/>
        <v/>
      </c>
    </row>
    <row r="1014" spans="2:9" x14ac:dyDescent="0.25">
      <c r="B1014" s="39"/>
      <c r="C1014" s="40"/>
      <c r="D1014" s="40"/>
      <c r="F1014" s="40"/>
      <c r="G1014" s="40"/>
      <c r="H1014" s="42"/>
      <c r="I1014" s="42" t="str">
        <f t="shared" si="11"/>
        <v/>
      </c>
    </row>
    <row r="1015" spans="2:9" x14ac:dyDescent="0.25">
      <c r="B1015" s="39"/>
      <c r="C1015" s="40"/>
      <c r="D1015" s="40"/>
      <c r="F1015" s="40"/>
      <c r="G1015" s="40"/>
      <c r="H1015" s="42"/>
      <c r="I1015" s="42" t="str">
        <f t="shared" si="11"/>
        <v/>
      </c>
    </row>
    <row r="1016" spans="2:9" x14ac:dyDescent="0.25">
      <c r="B1016" s="39"/>
      <c r="C1016" s="40"/>
      <c r="D1016" s="40"/>
      <c r="F1016" s="40"/>
      <c r="G1016" s="40"/>
      <c r="H1016" s="42"/>
      <c r="I1016" s="42" t="str">
        <f t="shared" si="11"/>
        <v/>
      </c>
    </row>
    <row r="1017" spans="2:9" x14ac:dyDescent="0.25">
      <c r="B1017" s="39"/>
      <c r="C1017" s="40"/>
      <c r="D1017" s="40"/>
      <c r="F1017" s="40"/>
      <c r="G1017" s="40"/>
      <c r="H1017" s="42"/>
      <c r="I1017" s="42" t="str">
        <f t="shared" si="11"/>
        <v/>
      </c>
    </row>
    <row r="1018" spans="2:9" x14ac:dyDescent="0.25">
      <c r="B1018" s="39"/>
      <c r="C1018" s="40"/>
      <c r="D1018" s="40"/>
      <c r="F1018" s="40"/>
      <c r="G1018" s="40"/>
      <c r="H1018" s="42"/>
      <c r="I1018" s="42" t="str">
        <f t="shared" si="11"/>
        <v/>
      </c>
    </row>
    <row r="1019" spans="2:9" x14ac:dyDescent="0.25">
      <c r="B1019" s="39"/>
      <c r="C1019" s="40"/>
      <c r="D1019" s="40"/>
      <c r="F1019" s="40"/>
      <c r="G1019" s="40"/>
      <c r="H1019" s="42"/>
      <c r="I1019" s="42" t="str">
        <f t="shared" si="11"/>
        <v/>
      </c>
    </row>
    <row r="1020" spans="2:9" x14ac:dyDescent="0.25">
      <c r="B1020" s="39"/>
      <c r="C1020" s="40"/>
      <c r="D1020" s="40"/>
      <c r="F1020" s="40"/>
      <c r="G1020" s="40"/>
      <c r="H1020" s="42"/>
      <c r="I1020" s="42" t="str">
        <f t="shared" si="11"/>
        <v/>
      </c>
    </row>
    <row r="1021" spans="2:9" x14ac:dyDescent="0.25">
      <c r="B1021" s="39"/>
      <c r="C1021" s="40"/>
      <c r="D1021" s="40"/>
      <c r="F1021" s="40"/>
      <c r="G1021" s="40"/>
      <c r="H1021" s="42"/>
      <c r="I1021" s="42" t="str">
        <f t="shared" si="11"/>
        <v/>
      </c>
    </row>
    <row r="1022" spans="2:9" x14ac:dyDescent="0.25">
      <c r="B1022" s="39"/>
      <c r="C1022" s="40"/>
      <c r="D1022" s="40"/>
      <c r="F1022" s="40"/>
      <c r="G1022" s="40"/>
      <c r="H1022" s="42"/>
      <c r="I1022" s="42" t="str">
        <f t="shared" si="11"/>
        <v/>
      </c>
    </row>
    <row r="1023" spans="2:9" x14ac:dyDescent="0.25">
      <c r="B1023" s="39"/>
      <c r="C1023" s="40"/>
      <c r="D1023" s="40"/>
      <c r="F1023" s="40"/>
      <c r="G1023" s="40"/>
      <c r="H1023" s="42"/>
      <c r="I1023" s="42" t="str">
        <f t="shared" si="11"/>
        <v/>
      </c>
    </row>
    <row r="1024" spans="2:9" x14ac:dyDescent="0.25">
      <c r="B1024" s="39"/>
      <c r="C1024" s="40"/>
      <c r="D1024" s="40"/>
      <c r="F1024" s="40"/>
      <c r="G1024" s="40"/>
      <c r="H1024" s="42"/>
      <c r="I1024" s="42" t="str">
        <f t="shared" ref="I1024:I1087" si="12">IF(H1024&lt;&gt;"",H1024-H1023,"")</f>
        <v/>
      </c>
    </row>
    <row r="1025" spans="2:9" x14ac:dyDescent="0.25">
      <c r="B1025" s="39"/>
      <c r="C1025" s="40"/>
      <c r="D1025" s="40"/>
      <c r="F1025" s="40"/>
      <c r="G1025" s="40"/>
      <c r="H1025" s="42"/>
      <c r="I1025" s="42" t="str">
        <f t="shared" si="12"/>
        <v/>
      </c>
    </row>
    <row r="1026" spans="2:9" x14ac:dyDescent="0.25">
      <c r="B1026" s="39"/>
      <c r="C1026" s="40"/>
      <c r="D1026" s="40"/>
      <c r="F1026" s="40"/>
      <c r="G1026" s="40"/>
      <c r="H1026" s="42"/>
      <c r="I1026" s="42" t="str">
        <f t="shared" si="12"/>
        <v/>
      </c>
    </row>
    <row r="1027" spans="2:9" x14ac:dyDescent="0.25">
      <c r="B1027" s="39"/>
      <c r="C1027" s="40"/>
      <c r="D1027" s="40"/>
      <c r="F1027" s="40"/>
      <c r="G1027" s="40"/>
      <c r="H1027" s="42"/>
      <c r="I1027" s="42" t="str">
        <f t="shared" si="12"/>
        <v/>
      </c>
    </row>
    <row r="1028" spans="2:9" x14ac:dyDescent="0.25">
      <c r="B1028" s="39"/>
      <c r="C1028" s="40"/>
      <c r="D1028" s="40"/>
      <c r="F1028" s="40"/>
      <c r="G1028" s="40"/>
      <c r="H1028" s="42"/>
      <c r="I1028" s="42" t="str">
        <f t="shared" si="12"/>
        <v/>
      </c>
    </row>
    <row r="1029" spans="2:9" x14ac:dyDescent="0.25">
      <c r="B1029" s="39"/>
      <c r="C1029" s="40"/>
      <c r="D1029" s="40"/>
      <c r="F1029" s="40"/>
      <c r="G1029" s="40"/>
      <c r="H1029" s="42"/>
      <c r="I1029" s="42" t="str">
        <f t="shared" si="12"/>
        <v/>
      </c>
    </row>
    <row r="1030" spans="2:9" x14ac:dyDescent="0.25">
      <c r="B1030" s="39"/>
      <c r="C1030" s="40"/>
      <c r="D1030" s="40"/>
      <c r="F1030" s="40"/>
      <c r="G1030" s="40"/>
      <c r="H1030" s="42"/>
      <c r="I1030" s="42" t="str">
        <f t="shared" si="12"/>
        <v/>
      </c>
    </row>
    <row r="1031" spans="2:9" x14ac:dyDescent="0.25">
      <c r="B1031" s="39"/>
      <c r="C1031" s="40"/>
      <c r="D1031" s="40"/>
      <c r="F1031" s="40"/>
      <c r="G1031" s="40"/>
      <c r="H1031" s="42"/>
      <c r="I1031" s="42" t="str">
        <f t="shared" si="12"/>
        <v/>
      </c>
    </row>
    <row r="1032" spans="2:9" x14ac:dyDescent="0.25">
      <c r="B1032" s="39"/>
      <c r="C1032" s="40"/>
      <c r="D1032" s="40"/>
      <c r="F1032" s="40"/>
      <c r="G1032" s="40"/>
      <c r="H1032" s="42"/>
      <c r="I1032" s="42" t="str">
        <f t="shared" si="12"/>
        <v/>
      </c>
    </row>
    <row r="1033" spans="2:9" x14ac:dyDescent="0.25">
      <c r="B1033" s="39"/>
      <c r="C1033" s="40"/>
      <c r="D1033" s="40"/>
      <c r="F1033" s="40"/>
      <c r="G1033" s="40"/>
      <c r="H1033" s="42"/>
      <c r="I1033" s="42" t="str">
        <f t="shared" si="12"/>
        <v/>
      </c>
    </row>
    <row r="1034" spans="2:9" x14ac:dyDescent="0.25">
      <c r="B1034" s="39"/>
      <c r="C1034" s="40"/>
      <c r="D1034" s="40"/>
      <c r="F1034" s="40"/>
      <c r="G1034" s="40"/>
      <c r="H1034" s="42"/>
      <c r="I1034" s="42" t="str">
        <f t="shared" si="12"/>
        <v/>
      </c>
    </row>
    <row r="1035" spans="2:9" x14ac:dyDescent="0.25">
      <c r="B1035" s="39"/>
      <c r="C1035" s="40"/>
      <c r="D1035" s="40"/>
      <c r="F1035" s="40"/>
      <c r="G1035" s="40"/>
      <c r="H1035" s="42"/>
      <c r="I1035" s="42" t="str">
        <f t="shared" si="12"/>
        <v/>
      </c>
    </row>
    <row r="1036" spans="2:9" x14ac:dyDescent="0.25">
      <c r="B1036" s="39"/>
      <c r="C1036" s="40"/>
      <c r="D1036" s="40"/>
      <c r="F1036" s="40"/>
      <c r="G1036" s="40"/>
      <c r="H1036" s="42"/>
      <c r="I1036" s="42" t="str">
        <f t="shared" si="12"/>
        <v/>
      </c>
    </row>
    <row r="1037" spans="2:9" x14ac:dyDescent="0.25">
      <c r="B1037" s="39"/>
      <c r="C1037" s="40"/>
      <c r="D1037" s="40"/>
      <c r="F1037" s="40"/>
      <c r="G1037" s="40"/>
      <c r="H1037" s="42"/>
      <c r="I1037" s="42" t="str">
        <f t="shared" si="12"/>
        <v/>
      </c>
    </row>
    <row r="1038" spans="2:9" x14ac:dyDescent="0.25">
      <c r="B1038" s="39"/>
      <c r="C1038" s="40"/>
      <c r="D1038" s="40"/>
      <c r="F1038" s="40"/>
      <c r="G1038" s="40"/>
      <c r="H1038" s="42"/>
      <c r="I1038" s="42" t="str">
        <f t="shared" si="12"/>
        <v/>
      </c>
    </row>
    <row r="1039" spans="2:9" x14ac:dyDescent="0.25">
      <c r="B1039" s="39"/>
      <c r="C1039" s="40"/>
      <c r="D1039" s="40"/>
      <c r="F1039" s="40"/>
      <c r="G1039" s="40"/>
      <c r="H1039" s="42"/>
      <c r="I1039" s="42" t="str">
        <f t="shared" si="12"/>
        <v/>
      </c>
    </row>
    <row r="1040" spans="2:9" x14ac:dyDescent="0.25">
      <c r="B1040" s="39"/>
      <c r="C1040" s="40"/>
      <c r="D1040" s="40"/>
      <c r="F1040" s="40"/>
      <c r="G1040" s="40"/>
      <c r="H1040" s="42"/>
      <c r="I1040" s="42" t="str">
        <f t="shared" si="12"/>
        <v/>
      </c>
    </row>
    <row r="1041" spans="2:9" x14ac:dyDescent="0.25">
      <c r="B1041" s="39"/>
      <c r="C1041" s="40"/>
      <c r="D1041" s="40"/>
      <c r="F1041" s="40"/>
      <c r="G1041" s="40"/>
      <c r="H1041" s="42"/>
      <c r="I1041" s="42" t="str">
        <f t="shared" si="12"/>
        <v/>
      </c>
    </row>
    <row r="1042" spans="2:9" x14ac:dyDescent="0.25">
      <c r="B1042" s="39"/>
      <c r="C1042" s="40"/>
      <c r="D1042" s="40"/>
      <c r="F1042" s="40"/>
      <c r="G1042" s="40"/>
      <c r="H1042" s="42"/>
      <c r="I1042" s="42" t="str">
        <f t="shared" si="12"/>
        <v/>
      </c>
    </row>
    <row r="1043" spans="2:9" x14ac:dyDescent="0.25">
      <c r="B1043" s="39"/>
      <c r="C1043" s="40"/>
      <c r="D1043" s="40"/>
      <c r="F1043" s="40"/>
      <c r="G1043" s="40"/>
      <c r="H1043" s="42"/>
      <c r="I1043" s="42" t="str">
        <f t="shared" si="12"/>
        <v/>
      </c>
    </row>
    <row r="1044" spans="2:9" x14ac:dyDescent="0.25">
      <c r="B1044" s="39"/>
      <c r="C1044" s="40"/>
      <c r="D1044" s="40"/>
      <c r="F1044" s="40"/>
      <c r="G1044" s="40"/>
      <c r="H1044" s="42"/>
      <c r="I1044" s="42" t="str">
        <f t="shared" si="12"/>
        <v/>
      </c>
    </row>
    <row r="1045" spans="2:9" x14ac:dyDescent="0.25">
      <c r="B1045" s="39"/>
      <c r="C1045" s="40"/>
      <c r="D1045" s="40"/>
      <c r="F1045" s="40"/>
      <c r="G1045" s="40"/>
      <c r="H1045" s="42"/>
      <c r="I1045" s="42" t="str">
        <f t="shared" si="12"/>
        <v/>
      </c>
    </row>
    <row r="1046" spans="2:9" x14ac:dyDescent="0.25">
      <c r="B1046" s="39"/>
      <c r="C1046" s="40"/>
      <c r="D1046" s="40"/>
      <c r="F1046" s="40"/>
      <c r="G1046" s="40"/>
      <c r="H1046" s="42"/>
      <c r="I1046" s="42" t="str">
        <f t="shared" si="12"/>
        <v/>
      </c>
    </row>
    <row r="1047" spans="2:9" x14ac:dyDescent="0.25">
      <c r="B1047" s="39"/>
      <c r="C1047" s="40"/>
      <c r="D1047" s="40"/>
      <c r="F1047" s="40"/>
      <c r="G1047" s="40"/>
      <c r="H1047" s="42"/>
      <c r="I1047" s="42" t="str">
        <f t="shared" si="12"/>
        <v/>
      </c>
    </row>
    <row r="1048" spans="2:9" x14ac:dyDescent="0.25">
      <c r="B1048" s="39"/>
      <c r="C1048" s="40"/>
      <c r="D1048" s="40"/>
      <c r="F1048" s="40"/>
      <c r="G1048" s="40"/>
      <c r="H1048" s="42"/>
      <c r="I1048" s="42" t="str">
        <f t="shared" si="12"/>
        <v/>
      </c>
    </row>
    <row r="1049" spans="2:9" x14ac:dyDescent="0.25">
      <c r="B1049" s="39"/>
      <c r="C1049" s="40"/>
      <c r="D1049" s="40"/>
      <c r="F1049" s="40"/>
      <c r="G1049" s="40"/>
      <c r="H1049" s="42"/>
      <c r="I1049" s="42" t="str">
        <f t="shared" si="12"/>
        <v/>
      </c>
    </row>
    <row r="1050" spans="2:9" x14ac:dyDescent="0.25">
      <c r="B1050" s="39"/>
      <c r="C1050" s="40"/>
      <c r="D1050" s="40"/>
      <c r="F1050" s="40"/>
      <c r="G1050" s="40"/>
      <c r="H1050" s="42"/>
      <c r="I1050" s="42" t="str">
        <f t="shared" si="12"/>
        <v/>
      </c>
    </row>
    <row r="1051" spans="2:9" x14ac:dyDescent="0.25">
      <c r="B1051" s="39"/>
      <c r="C1051" s="40"/>
      <c r="D1051" s="40"/>
      <c r="F1051" s="40"/>
      <c r="G1051" s="40"/>
      <c r="H1051" s="42"/>
      <c r="I1051" s="42" t="str">
        <f t="shared" si="12"/>
        <v/>
      </c>
    </row>
    <row r="1052" spans="2:9" x14ac:dyDescent="0.25">
      <c r="B1052" s="39"/>
      <c r="C1052" s="40"/>
      <c r="D1052" s="40"/>
      <c r="F1052" s="40"/>
      <c r="G1052" s="40"/>
      <c r="H1052" s="42"/>
      <c r="I1052" s="42" t="str">
        <f t="shared" si="12"/>
        <v/>
      </c>
    </row>
    <row r="1053" spans="2:9" x14ac:dyDescent="0.25">
      <c r="B1053" s="39"/>
      <c r="C1053" s="40"/>
      <c r="D1053" s="40"/>
      <c r="F1053" s="40"/>
      <c r="G1053" s="40"/>
      <c r="H1053" s="42"/>
      <c r="I1053" s="42" t="str">
        <f t="shared" si="12"/>
        <v/>
      </c>
    </row>
    <row r="1054" spans="2:9" x14ac:dyDescent="0.25">
      <c r="B1054" s="39"/>
      <c r="C1054" s="40"/>
      <c r="D1054" s="40"/>
      <c r="F1054" s="40"/>
      <c r="G1054" s="40"/>
      <c r="H1054" s="42"/>
      <c r="I1054" s="42" t="str">
        <f t="shared" si="12"/>
        <v/>
      </c>
    </row>
    <row r="1055" spans="2:9" x14ac:dyDescent="0.25">
      <c r="B1055" s="39"/>
      <c r="C1055" s="40"/>
      <c r="D1055" s="40"/>
      <c r="F1055" s="40"/>
      <c r="G1055" s="40"/>
      <c r="H1055" s="42"/>
      <c r="I1055" s="42" t="str">
        <f t="shared" si="12"/>
        <v/>
      </c>
    </row>
    <row r="1056" spans="2:9" x14ac:dyDescent="0.25">
      <c r="B1056" s="39"/>
      <c r="C1056" s="40"/>
      <c r="D1056" s="40"/>
      <c r="F1056" s="40"/>
      <c r="G1056" s="40"/>
      <c r="H1056" s="42"/>
      <c r="I1056" s="42" t="str">
        <f t="shared" si="12"/>
        <v/>
      </c>
    </row>
    <row r="1057" spans="2:9" x14ac:dyDescent="0.25">
      <c r="B1057" s="39"/>
      <c r="C1057" s="40"/>
      <c r="D1057" s="40"/>
      <c r="F1057" s="40"/>
      <c r="G1057" s="40"/>
      <c r="H1057" s="42"/>
      <c r="I1057" s="42" t="str">
        <f t="shared" si="12"/>
        <v/>
      </c>
    </row>
    <row r="1058" spans="2:9" x14ac:dyDescent="0.25">
      <c r="B1058" s="39"/>
      <c r="C1058" s="40"/>
      <c r="D1058" s="40"/>
      <c r="F1058" s="40"/>
      <c r="G1058" s="40"/>
      <c r="H1058" s="42"/>
      <c r="I1058" s="42" t="str">
        <f t="shared" si="12"/>
        <v/>
      </c>
    </row>
    <row r="1059" spans="2:9" x14ac:dyDescent="0.25">
      <c r="B1059" s="39"/>
      <c r="C1059" s="40"/>
      <c r="D1059" s="40"/>
      <c r="F1059" s="40"/>
      <c r="G1059" s="40"/>
      <c r="H1059" s="42"/>
      <c r="I1059" s="42" t="str">
        <f t="shared" si="12"/>
        <v/>
      </c>
    </row>
    <row r="1060" spans="2:9" x14ac:dyDescent="0.25">
      <c r="B1060" s="39"/>
      <c r="C1060" s="40"/>
      <c r="D1060" s="40"/>
      <c r="F1060" s="40"/>
      <c r="G1060" s="40"/>
      <c r="H1060" s="42"/>
      <c r="I1060" s="42" t="str">
        <f t="shared" si="12"/>
        <v/>
      </c>
    </row>
    <row r="1061" spans="2:9" x14ac:dyDescent="0.25">
      <c r="B1061" s="39"/>
      <c r="C1061" s="40"/>
      <c r="D1061" s="40"/>
      <c r="F1061" s="40"/>
      <c r="G1061" s="40"/>
      <c r="H1061" s="42"/>
      <c r="I1061" s="42" t="str">
        <f t="shared" si="12"/>
        <v/>
      </c>
    </row>
    <row r="1062" spans="2:9" x14ac:dyDescent="0.25">
      <c r="B1062" s="39"/>
      <c r="C1062" s="40"/>
      <c r="D1062" s="40"/>
      <c r="F1062" s="40"/>
      <c r="G1062" s="40"/>
      <c r="H1062" s="42"/>
      <c r="I1062" s="42" t="str">
        <f t="shared" si="12"/>
        <v/>
      </c>
    </row>
    <row r="1063" spans="2:9" x14ac:dyDescent="0.25">
      <c r="B1063" s="39"/>
      <c r="C1063" s="40"/>
      <c r="D1063" s="40"/>
      <c r="F1063" s="40"/>
      <c r="G1063" s="40"/>
      <c r="H1063" s="42"/>
      <c r="I1063" s="42" t="str">
        <f t="shared" si="12"/>
        <v/>
      </c>
    </row>
    <row r="1064" spans="2:9" x14ac:dyDescent="0.25">
      <c r="B1064" s="39"/>
      <c r="C1064" s="40"/>
      <c r="D1064" s="40"/>
      <c r="F1064" s="40"/>
      <c r="G1064" s="40"/>
      <c r="H1064" s="42"/>
      <c r="I1064" s="42" t="str">
        <f t="shared" si="12"/>
        <v/>
      </c>
    </row>
    <row r="1065" spans="2:9" x14ac:dyDescent="0.25">
      <c r="B1065" s="39"/>
      <c r="C1065" s="40"/>
      <c r="D1065" s="40"/>
      <c r="F1065" s="40"/>
      <c r="G1065" s="40"/>
      <c r="H1065" s="42"/>
      <c r="I1065" s="42" t="str">
        <f t="shared" si="12"/>
        <v/>
      </c>
    </row>
    <row r="1066" spans="2:9" x14ac:dyDescent="0.25">
      <c r="B1066" s="39"/>
      <c r="C1066" s="40"/>
      <c r="D1066" s="40"/>
      <c r="F1066" s="40"/>
      <c r="G1066" s="40"/>
      <c r="H1066" s="42"/>
      <c r="I1066" s="42" t="str">
        <f t="shared" si="12"/>
        <v/>
      </c>
    </row>
    <row r="1067" spans="2:9" x14ac:dyDescent="0.25">
      <c r="B1067" s="39"/>
      <c r="C1067" s="40"/>
      <c r="D1067" s="40"/>
      <c r="F1067" s="40"/>
      <c r="G1067" s="40"/>
      <c r="H1067" s="42"/>
      <c r="I1067" s="42" t="str">
        <f t="shared" si="12"/>
        <v/>
      </c>
    </row>
    <row r="1068" spans="2:9" x14ac:dyDescent="0.25">
      <c r="B1068" s="39"/>
      <c r="C1068" s="40"/>
      <c r="D1068" s="40"/>
      <c r="F1068" s="40"/>
      <c r="G1068" s="40"/>
      <c r="H1068" s="42"/>
      <c r="I1068" s="42" t="str">
        <f t="shared" si="12"/>
        <v/>
      </c>
    </row>
    <row r="1069" spans="2:9" x14ac:dyDescent="0.25">
      <c r="B1069" s="39"/>
      <c r="C1069" s="40"/>
      <c r="D1069" s="40"/>
      <c r="F1069" s="40"/>
      <c r="G1069" s="40"/>
      <c r="H1069" s="42"/>
      <c r="I1069" s="42" t="str">
        <f t="shared" si="12"/>
        <v/>
      </c>
    </row>
    <row r="1070" spans="2:9" x14ac:dyDescent="0.25">
      <c r="B1070" s="39"/>
      <c r="C1070" s="40"/>
      <c r="D1070" s="40"/>
      <c r="F1070" s="40"/>
      <c r="G1070" s="40"/>
      <c r="H1070" s="42"/>
      <c r="I1070" s="42" t="str">
        <f t="shared" si="12"/>
        <v/>
      </c>
    </row>
    <row r="1071" spans="2:9" x14ac:dyDescent="0.25">
      <c r="B1071" s="39"/>
      <c r="C1071" s="40"/>
      <c r="D1071" s="40"/>
      <c r="F1071" s="40"/>
      <c r="G1071" s="40"/>
      <c r="H1071" s="42"/>
      <c r="I1071" s="42" t="str">
        <f t="shared" si="12"/>
        <v/>
      </c>
    </row>
    <row r="1072" spans="2:9" x14ac:dyDescent="0.25">
      <c r="B1072" s="39"/>
      <c r="C1072" s="40"/>
      <c r="D1072" s="40"/>
      <c r="F1072" s="40"/>
      <c r="G1072" s="40"/>
      <c r="H1072" s="42"/>
      <c r="I1072" s="42" t="str">
        <f t="shared" si="12"/>
        <v/>
      </c>
    </row>
    <row r="1073" spans="2:9" x14ac:dyDescent="0.25">
      <c r="B1073" s="39"/>
      <c r="C1073" s="40"/>
      <c r="D1073" s="40"/>
      <c r="F1073" s="40"/>
      <c r="G1073" s="40"/>
      <c r="H1073" s="42"/>
      <c r="I1073" s="42" t="str">
        <f t="shared" si="12"/>
        <v/>
      </c>
    </row>
    <row r="1074" spans="2:9" x14ac:dyDescent="0.25">
      <c r="B1074" s="39"/>
      <c r="C1074" s="40"/>
      <c r="D1074" s="40"/>
      <c r="F1074" s="40"/>
      <c r="G1074" s="40"/>
      <c r="H1074" s="42"/>
      <c r="I1074" s="42" t="str">
        <f t="shared" si="12"/>
        <v/>
      </c>
    </row>
    <row r="1075" spans="2:9" x14ac:dyDescent="0.25">
      <c r="B1075" s="39"/>
      <c r="C1075" s="40"/>
      <c r="D1075" s="40"/>
      <c r="F1075" s="40"/>
      <c r="G1075" s="40"/>
      <c r="H1075" s="42"/>
      <c r="I1075" s="42" t="str">
        <f t="shared" si="12"/>
        <v/>
      </c>
    </row>
    <row r="1076" spans="2:9" x14ac:dyDescent="0.25">
      <c r="B1076" s="39"/>
      <c r="C1076" s="40"/>
      <c r="D1076" s="40"/>
      <c r="F1076" s="40"/>
      <c r="G1076" s="40"/>
      <c r="H1076" s="42"/>
      <c r="I1076" s="42" t="str">
        <f t="shared" si="12"/>
        <v/>
      </c>
    </row>
    <row r="1077" spans="2:9" x14ac:dyDescent="0.25">
      <c r="B1077" s="39"/>
      <c r="C1077" s="40"/>
      <c r="D1077" s="40"/>
      <c r="F1077" s="40"/>
      <c r="G1077" s="40"/>
      <c r="H1077" s="42"/>
      <c r="I1077" s="42" t="str">
        <f t="shared" si="12"/>
        <v/>
      </c>
    </row>
    <row r="1078" spans="2:9" x14ac:dyDescent="0.25">
      <c r="B1078" s="39"/>
      <c r="C1078" s="40"/>
      <c r="D1078" s="40"/>
      <c r="F1078" s="40"/>
      <c r="G1078" s="40"/>
      <c r="H1078" s="42"/>
      <c r="I1078" s="42" t="str">
        <f t="shared" si="12"/>
        <v/>
      </c>
    </row>
    <row r="1079" spans="2:9" x14ac:dyDescent="0.25">
      <c r="B1079" s="39"/>
      <c r="C1079" s="40"/>
      <c r="D1079" s="40"/>
      <c r="F1079" s="40"/>
      <c r="G1079" s="40"/>
      <c r="H1079" s="42"/>
      <c r="I1079" s="42" t="str">
        <f t="shared" si="12"/>
        <v/>
      </c>
    </row>
    <row r="1080" spans="2:9" x14ac:dyDescent="0.25">
      <c r="B1080" s="39"/>
      <c r="C1080" s="40"/>
      <c r="D1080" s="40"/>
      <c r="F1080" s="40"/>
      <c r="G1080" s="40"/>
      <c r="H1080" s="42"/>
      <c r="I1080" s="42" t="str">
        <f t="shared" si="12"/>
        <v/>
      </c>
    </row>
    <row r="1081" spans="2:9" x14ac:dyDescent="0.25">
      <c r="B1081" s="39"/>
      <c r="C1081" s="40"/>
      <c r="D1081" s="40"/>
      <c r="F1081" s="40"/>
      <c r="G1081" s="40"/>
      <c r="H1081" s="42"/>
      <c r="I1081" s="42" t="str">
        <f t="shared" si="12"/>
        <v/>
      </c>
    </row>
    <row r="1082" spans="2:9" x14ac:dyDescent="0.25">
      <c r="B1082" s="39"/>
      <c r="C1082" s="40"/>
      <c r="D1082" s="40"/>
      <c r="F1082" s="40"/>
      <c r="G1082" s="40"/>
      <c r="H1082" s="42"/>
      <c r="I1082" s="42" t="str">
        <f t="shared" si="12"/>
        <v/>
      </c>
    </row>
    <row r="1083" spans="2:9" x14ac:dyDescent="0.25">
      <c r="B1083" s="39"/>
      <c r="C1083" s="40"/>
      <c r="D1083" s="40"/>
      <c r="F1083" s="40"/>
      <c r="G1083" s="40"/>
      <c r="H1083" s="42"/>
      <c r="I1083" s="42" t="str">
        <f t="shared" si="12"/>
        <v/>
      </c>
    </row>
    <row r="1084" spans="2:9" x14ac:dyDescent="0.25">
      <c r="B1084" s="39"/>
      <c r="C1084" s="40"/>
      <c r="D1084" s="40"/>
      <c r="F1084" s="40"/>
      <c r="G1084" s="40"/>
      <c r="H1084" s="42"/>
      <c r="I1084" s="42" t="str">
        <f t="shared" si="12"/>
        <v/>
      </c>
    </row>
    <row r="1085" spans="2:9" x14ac:dyDescent="0.25">
      <c r="B1085" s="39"/>
      <c r="C1085" s="40"/>
      <c r="D1085" s="40"/>
      <c r="F1085" s="40"/>
      <c r="G1085" s="40"/>
      <c r="H1085" s="42"/>
      <c r="I1085" s="42" t="str">
        <f t="shared" si="12"/>
        <v/>
      </c>
    </row>
    <row r="1086" spans="2:9" x14ac:dyDescent="0.25">
      <c r="B1086" s="39"/>
      <c r="C1086" s="40"/>
      <c r="D1086" s="40"/>
      <c r="F1086" s="40"/>
      <c r="G1086" s="40"/>
      <c r="H1086" s="42"/>
      <c r="I1086" s="42" t="str">
        <f t="shared" si="12"/>
        <v/>
      </c>
    </row>
    <row r="1087" spans="2:9" x14ac:dyDescent="0.25">
      <c r="B1087" s="39"/>
      <c r="C1087" s="40"/>
      <c r="D1087" s="40"/>
      <c r="F1087" s="40"/>
      <c r="G1087" s="40"/>
      <c r="H1087" s="42"/>
      <c r="I1087" s="42" t="str">
        <f t="shared" si="12"/>
        <v/>
      </c>
    </row>
    <row r="1088" spans="2:9" x14ac:dyDescent="0.25">
      <c r="B1088" s="39"/>
      <c r="C1088" s="40"/>
      <c r="D1088" s="40"/>
      <c r="F1088" s="40"/>
      <c r="G1088" s="40"/>
      <c r="H1088" s="42"/>
      <c r="I1088" s="42" t="str">
        <f t="shared" ref="I1088:I1151" si="13">IF(H1088&lt;&gt;"",H1088-H1087,"")</f>
        <v/>
      </c>
    </row>
    <row r="1089" spans="2:9" x14ac:dyDescent="0.25">
      <c r="B1089" s="39"/>
      <c r="C1089" s="40"/>
      <c r="D1089" s="40"/>
      <c r="F1089" s="40"/>
      <c r="G1089" s="40"/>
      <c r="H1089" s="42"/>
      <c r="I1089" s="42" t="str">
        <f t="shared" si="13"/>
        <v/>
      </c>
    </row>
    <row r="1090" spans="2:9" x14ac:dyDescent="0.25">
      <c r="B1090" s="39"/>
      <c r="C1090" s="40"/>
      <c r="D1090" s="40"/>
      <c r="F1090" s="40"/>
      <c r="G1090" s="40"/>
      <c r="H1090" s="42"/>
      <c r="I1090" s="42" t="str">
        <f t="shared" si="13"/>
        <v/>
      </c>
    </row>
    <row r="1091" spans="2:9" x14ac:dyDescent="0.25">
      <c r="B1091" s="39"/>
      <c r="C1091" s="40"/>
      <c r="D1091" s="40"/>
      <c r="F1091" s="40"/>
      <c r="G1091" s="40"/>
      <c r="H1091" s="42"/>
      <c r="I1091" s="42" t="str">
        <f t="shared" si="13"/>
        <v/>
      </c>
    </row>
    <row r="1092" spans="2:9" x14ac:dyDescent="0.25">
      <c r="B1092" s="39"/>
      <c r="C1092" s="40"/>
      <c r="D1092" s="40"/>
      <c r="F1092" s="40"/>
      <c r="G1092" s="40"/>
      <c r="H1092" s="42"/>
      <c r="I1092" s="42" t="str">
        <f t="shared" si="13"/>
        <v/>
      </c>
    </row>
    <row r="1093" spans="2:9" x14ac:dyDescent="0.25">
      <c r="B1093" s="39"/>
      <c r="C1093" s="40"/>
      <c r="D1093" s="40"/>
      <c r="F1093" s="40"/>
      <c r="G1093" s="40"/>
      <c r="H1093" s="42"/>
      <c r="I1093" s="42" t="str">
        <f t="shared" si="13"/>
        <v/>
      </c>
    </row>
    <row r="1094" spans="2:9" x14ac:dyDescent="0.25">
      <c r="B1094" s="39"/>
      <c r="C1094" s="40"/>
      <c r="D1094" s="40"/>
      <c r="F1094" s="40"/>
      <c r="G1094" s="40"/>
      <c r="H1094" s="42"/>
      <c r="I1094" s="42" t="str">
        <f t="shared" si="13"/>
        <v/>
      </c>
    </row>
    <row r="1095" spans="2:9" x14ac:dyDescent="0.25">
      <c r="B1095" s="39"/>
      <c r="C1095" s="40"/>
      <c r="D1095" s="40"/>
      <c r="F1095" s="40"/>
      <c r="G1095" s="40"/>
      <c r="H1095" s="42"/>
      <c r="I1095" s="42" t="str">
        <f t="shared" si="13"/>
        <v/>
      </c>
    </row>
    <row r="1096" spans="2:9" x14ac:dyDescent="0.25">
      <c r="B1096" s="39"/>
      <c r="C1096" s="40"/>
      <c r="D1096" s="40"/>
      <c r="F1096" s="40"/>
      <c r="G1096" s="40"/>
      <c r="H1096" s="42"/>
      <c r="I1096" s="42" t="str">
        <f t="shared" si="13"/>
        <v/>
      </c>
    </row>
    <row r="1097" spans="2:9" x14ac:dyDescent="0.25">
      <c r="B1097" s="39"/>
      <c r="C1097" s="40"/>
      <c r="D1097" s="40"/>
      <c r="F1097" s="40"/>
      <c r="G1097" s="40"/>
      <c r="H1097" s="42"/>
      <c r="I1097" s="42" t="str">
        <f t="shared" si="13"/>
        <v/>
      </c>
    </row>
    <row r="1098" spans="2:9" x14ac:dyDescent="0.25">
      <c r="B1098" s="39"/>
      <c r="C1098" s="40"/>
      <c r="D1098" s="40"/>
      <c r="F1098" s="40"/>
      <c r="G1098" s="40"/>
      <c r="H1098" s="42"/>
      <c r="I1098" s="42" t="str">
        <f t="shared" si="13"/>
        <v/>
      </c>
    </row>
    <row r="1099" spans="2:9" x14ac:dyDescent="0.25">
      <c r="B1099" s="39"/>
      <c r="C1099" s="40"/>
      <c r="D1099" s="40"/>
      <c r="F1099" s="40"/>
      <c r="G1099" s="40"/>
      <c r="H1099" s="42"/>
      <c r="I1099" s="42" t="str">
        <f t="shared" si="13"/>
        <v/>
      </c>
    </row>
    <row r="1100" spans="2:9" x14ac:dyDescent="0.25">
      <c r="B1100" s="39"/>
      <c r="C1100" s="40"/>
      <c r="D1100" s="40"/>
      <c r="F1100" s="40"/>
      <c r="G1100" s="40"/>
      <c r="H1100" s="42"/>
      <c r="I1100" s="42" t="str">
        <f t="shared" si="13"/>
        <v/>
      </c>
    </row>
    <row r="1101" spans="2:9" x14ac:dyDescent="0.25">
      <c r="B1101" s="39"/>
      <c r="C1101" s="40"/>
      <c r="D1101" s="40"/>
      <c r="F1101" s="40"/>
      <c r="G1101" s="40"/>
      <c r="H1101" s="42"/>
      <c r="I1101" s="42" t="str">
        <f t="shared" si="13"/>
        <v/>
      </c>
    </row>
    <row r="1102" spans="2:9" x14ac:dyDescent="0.25">
      <c r="B1102" s="39"/>
      <c r="C1102" s="40"/>
      <c r="D1102" s="40"/>
      <c r="F1102" s="40"/>
      <c r="G1102" s="40"/>
      <c r="H1102" s="42"/>
      <c r="I1102" s="42" t="str">
        <f t="shared" si="13"/>
        <v/>
      </c>
    </row>
    <row r="1103" spans="2:9" x14ac:dyDescent="0.25">
      <c r="B1103" s="39"/>
      <c r="C1103" s="40"/>
      <c r="D1103" s="40"/>
      <c r="F1103" s="40"/>
      <c r="G1103" s="40"/>
      <c r="H1103" s="42"/>
      <c r="I1103" s="42" t="str">
        <f t="shared" si="13"/>
        <v/>
      </c>
    </row>
    <row r="1104" spans="2:9" x14ac:dyDescent="0.25">
      <c r="B1104" s="39"/>
      <c r="C1104" s="40"/>
      <c r="D1104" s="40"/>
      <c r="F1104" s="40"/>
      <c r="G1104" s="40"/>
      <c r="H1104" s="42"/>
      <c r="I1104" s="42" t="str">
        <f t="shared" si="13"/>
        <v/>
      </c>
    </row>
    <row r="1105" spans="2:9" x14ac:dyDescent="0.25">
      <c r="B1105" s="39"/>
      <c r="C1105" s="40"/>
      <c r="D1105" s="40"/>
      <c r="F1105" s="40"/>
      <c r="G1105" s="40"/>
      <c r="H1105" s="42"/>
      <c r="I1105" s="42" t="str">
        <f t="shared" si="13"/>
        <v/>
      </c>
    </row>
    <row r="1106" spans="2:9" x14ac:dyDescent="0.25">
      <c r="B1106" s="39"/>
      <c r="C1106" s="40"/>
      <c r="D1106" s="40"/>
      <c r="F1106" s="40"/>
      <c r="G1106" s="40"/>
      <c r="H1106" s="42"/>
      <c r="I1106" s="42" t="str">
        <f t="shared" si="13"/>
        <v/>
      </c>
    </row>
    <row r="1107" spans="2:9" x14ac:dyDescent="0.25">
      <c r="B1107" s="39"/>
      <c r="C1107" s="40"/>
      <c r="D1107" s="40"/>
      <c r="F1107" s="40"/>
      <c r="G1107" s="40"/>
      <c r="H1107" s="42"/>
      <c r="I1107" s="42" t="str">
        <f t="shared" si="13"/>
        <v/>
      </c>
    </row>
    <row r="1108" spans="2:9" x14ac:dyDescent="0.25">
      <c r="B1108" s="39"/>
      <c r="C1108" s="40"/>
      <c r="D1108" s="40"/>
      <c r="F1108" s="40"/>
      <c r="G1108" s="40"/>
      <c r="H1108" s="42"/>
      <c r="I1108" s="42" t="str">
        <f t="shared" si="13"/>
        <v/>
      </c>
    </row>
    <row r="1109" spans="2:9" x14ac:dyDescent="0.25">
      <c r="B1109" s="39"/>
      <c r="C1109" s="40"/>
      <c r="D1109" s="40"/>
      <c r="F1109" s="40"/>
      <c r="G1109" s="40"/>
      <c r="H1109" s="42"/>
      <c r="I1109" s="42" t="str">
        <f t="shared" si="13"/>
        <v/>
      </c>
    </row>
    <row r="1110" spans="2:9" x14ac:dyDescent="0.25">
      <c r="B1110" s="39"/>
      <c r="C1110" s="40"/>
      <c r="D1110" s="40"/>
      <c r="F1110" s="40"/>
      <c r="G1110" s="40"/>
      <c r="H1110" s="42"/>
      <c r="I1110" s="42" t="str">
        <f t="shared" si="13"/>
        <v/>
      </c>
    </row>
    <row r="1111" spans="2:9" x14ac:dyDescent="0.25">
      <c r="B1111" s="39"/>
      <c r="C1111" s="40"/>
      <c r="D1111" s="40"/>
      <c r="F1111" s="40"/>
      <c r="G1111" s="40"/>
      <c r="H1111" s="42"/>
      <c r="I1111" s="42" t="str">
        <f t="shared" si="13"/>
        <v/>
      </c>
    </row>
    <row r="1112" spans="2:9" x14ac:dyDescent="0.25">
      <c r="B1112" s="39"/>
      <c r="C1112" s="40"/>
      <c r="D1112" s="40"/>
      <c r="F1112" s="40"/>
      <c r="G1112" s="40"/>
      <c r="H1112" s="42"/>
      <c r="I1112" s="42" t="str">
        <f t="shared" si="13"/>
        <v/>
      </c>
    </row>
    <row r="1113" spans="2:9" x14ac:dyDescent="0.25">
      <c r="B1113" s="39"/>
      <c r="C1113" s="40"/>
      <c r="D1113" s="40"/>
      <c r="F1113" s="40"/>
      <c r="G1113" s="40"/>
      <c r="H1113" s="42"/>
      <c r="I1113" s="42" t="str">
        <f t="shared" si="13"/>
        <v/>
      </c>
    </row>
    <row r="1114" spans="2:9" x14ac:dyDescent="0.25">
      <c r="B1114" s="39"/>
      <c r="C1114" s="40"/>
      <c r="D1114" s="40"/>
      <c r="F1114" s="40"/>
      <c r="G1114" s="40"/>
      <c r="H1114" s="42"/>
      <c r="I1114" s="42" t="str">
        <f t="shared" si="13"/>
        <v/>
      </c>
    </row>
    <row r="1115" spans="2:9" x14ac:dyDescent="0.25">
      <c r="B1115" s="39"/>
      <c r="C1115" s="40"/>
      <c r="D1115" s="40"/>
      <c r="F1115" s="40"/>
      <c r="G1115" s="40"/>
      <c r="H1115" s="42"/>
      <c r="I1115" s="42" t="str">
        <f t="shared" si="13"/>
        <v/>
      </c>
    </row>
    <row r="1116" spans="2:9" x14ac:dyDescent="0.25">
      <c r="B1116" s="39"/>
      <c r="C1116" s="40"/>
      <c r="D1116" s="40"/>
      <c r="F1116" s="40"/>
      <c r="G1116" s="40"/>
      <c r="H1116" s="42"/>
      <c r="I1116" s="42" t="str">
        <f t="shared" si="13"/>
        <v/>
      </c>
    </row>
    <row r="1117" spans="2:9" x14ac:dyDescent="0.25">
      <c r="B1117" s="39"/>
      <c r="C1117" s="40"/>
      <c r="D1117" s="40"/>
      <c r="F1117" s="40"/>
      <c r="G1117" s="40"/>
      <c r="H1117" s="42"/>
      <c r="I1117" s="42" t="str">
        <f t="shared" si="13"/>
        <v/>
      </c>
    </row>
    <row r="1118" spans="2:9" x14ac:dyDescent="0.25">
      <c r="B1118" s="39"/>
      <c r="C1118" s="40"/>
      <c r="D1118" s="40"/>
      <c r="F1118" s="40"/>
      <c r="G1118" s="40"/>
      <c r="H1118" s="42"/>
      <c r="I1118" s="42" t="str">
        <f t="shared" si="13"/>
        <v/>
      </c>
    </row>
    <row r="1119" spans="2:9" x14ac:dyDescent="0.25">
      <c r="B1119" s="39"/>
      <c r="C1119" s="40"/>
      <c r="D1119" s="40"/>
      <c r="F1119" s="40"/>
      <c r="G1119" s="40"/>
      <c r="H1119" s="42"/>
      <c r="I1119" s="42" t="str">
        <f t="shared" si="13"/>
        <v/>
      </c>
    </row>
    <row r="1120" spans="2:9" x14ac:dyDescent="0.25">
      <c r="B1120" s="39"/>
      <c r="C1120" s="40"/>
      <c r="D1120" s="40"/>
      <c r="F1120" s="40"/>
      <c r="G1120" s="40"/>
      <c r="H1120" s="42"/>
      <c r="I1120" s="42" t="str">
        <f t="shared" si="13"/>
        <v/>
      </c>
    </row>
    <row r="1121" spans="2:9" x14ac:dyDescent="0.25">
      <c r="B1121" s="39"/>
      <c r="C1121" s="40"/>
      <c r="D1121" s="40"/>
      <c r="F1121" s="40"/>
      <c r="G1121" s="40"/>
      <c r="H1121" s="42"/>
      <c r="I1121" s="42" t="str">
        <f t="shared" si="13"/>
        <v/>
      </c>
    </row>
    <row r="1122" spans="2:9" x14ac:dyDescent="0.25">
      <c r="B1122" s="39"/>
      <c r="C1122" s="40"/>
      <c r="D1122" s="40"/>
      <c r="F1122" s="40"/>
      <c r="G1122" s="40"/>
      <c r="H1122" s="42"/>
      <c r="I1122" s="42" t="str">
        <f t="shared" si="13"/>
        <v/>
      </c>
    </row>
    <row r="1123" spans="2:9" x14ac:dyDescent="0.25">
      <c r="B1123" s="39"/>
      <c r="C1123" s="40"/>
      <c r="D1123" s="40"/>
      <c r="F1123" s="40"/>
      <c r="G1123" s="40"/>
      <c r="H1123" s="42"/>
      <c r="I1123" s="42" t="str">
        <f t="shared" si="13"/>
        <v/>
      </c>
    </row>
    <row r="1124" spans="2:9" x14ac:dyDescent="0.25">
      <c r="B1124" s="39"/>
      <c r="C1124" s="40"/>
      <c r="D1124" s="40"/>
      <c r="F1124" s="40"/>
      <c r="G1124" s="40"/>
      <c r="H1124" s="42"/>
      <c r="I1124" s="42" t="str">
        <f t="shared" si="13"/>
        <v/>
      </c>
    </row>
    <row r="1125" spans="2:9" x14ac:dyDescent="0.25">
      <c r="B1125" s="39"/>
      <c r="C1125" s="40"/>
      <c r="D1125" s="40"/>
      <c r="F1125" s="40"/>
      <c r="G1125" s="40"/>
      <c r="H1125" s="42"/>
      <c r="I1125" s="42" t="str">
        <f t="shared" si="13"/>
        <v/>
      </c>
    </row>
    <row r="1126" spans="2:9" x14ac:dyDescent="0.25">
      <c r="B1126" s="39"/>
      <c r="C1126" s="40"/>
      <c r="D1126" s="40"/>
      <c r="F1126" s="40"/>
      <c r="G1126" s="40"/>
      <c r="H1126" s="42"/>
      <c r="I1126" s="42" t="str">
        <f t="shared" si="13"/>
        <v/>
      </c>
    </row>
    <row r="1127" spans="2:9" x14ac:dyDescent="0.25">
      <c r="B1127" s="39"/>
      <c r="C1127" s="40"/>
      <c r="D1127" s="40"/>
      <c r="F1127" s="40"/>
      <c r="G1127" s="40"/>
      <c r="H1127" s="42"/>
      <c r="I1127" s="42" t="str">
        <f t="shared" si="13"/>
        <v/>
      </c>
    </row>
    <row r="1128" spans="2:9" x14ac:dyDescent="0.25">
      <c r="B1128" s="39"/>
      <c r="C1128" s="40"/>
      <c r="D1128" s="40"/>
      <c r="F1128" s="40"/>
      <c r="G1128" s="40"/>
      <c r="H1128" s="42"/>
      <c r="I1128" s="42" t="str">
        <f t="shared" si="13"/>
        <v/>
      </c>
    </row>
    <row r="1129" spans="2:9" x14ac:dyDescent="0.25">
      <c r="B1129" s="39"/>
      <c r="C1129" s="40"/>
      <c r="D1129" s="40"/>
      <c r="F1129" s="40"/>
      <c r="G1129" s="40"/>
      <c r="H1129" s="42"/>
      <c r="I1129" s="42" t="str">
        <f t="shared" si="13"/>
        <v/>
      </c>
    </row>
    <row r="1130" spans="2:9" x14ac:dyDescent="0.25">
      <c r="B1130" s="39"/>
      <c r="C1130" s="40"/>
      <c r="D1130" s="40"/>
      <c r="F1130" s="40"/>
      <c r="G1130" s="40"/>
      <c r="H1130" s="42"/>
      <c r="I1130" s="42" t="str">
        <f t="shared" si="13"/>
        <v/>
      </c>
    </row>
    <row r="1131" spans="2:9" x14ac:dyDescent="0.25">
      <c r="B1131" s="39"/>
      <c r="C1131" s="40"/>
      <c r="D1131" s="40"/>
      <c r="F1131" s="40"/>
      <c r="G1131" s="40"/>
      <c r="H1131" s="42"/>
      <c r="I1131" s="42" t="str">
        <f t="shared" si="13"/>
        <v/>
      </c>
    </row>
    <row r="1132" spans="2:9" x14ac:dyDescent="0.25">
      <c r="B1132" s="39"/>
      <c r="C1132" s="40"/>
      <c r="D1132" s="40"/>
      <c r="F1132" s="40"/>
      <c r="G1132" s="40"/>
      <c r="H1132" s="42"/>
      <c r="I1132" s="42" t="str">
        <f t="shared" si="13"/>
        <v/>
      </c>
    </row>
    <row r="1133" spans="2:9" x14ac:dyDescent="0.25">
      <c r="B1133" s="39"/>
      <c r="C1133" s="40"/>
      <c r="D1133" s="40"/>
      <c r="F1133" s="40"/>
      <c r="G1133" s="40"/>
      <c r="H1133" s="42"/>
      <c r="I1133" s="42" t="str">
        <f t="shared" si="13"/>
        <v/>
      </c>
    </row>
    <row r="1134" spans="2:9" x14ac:dyDescent="0.25">
      <c r="B1134" s="39"/>
      <c r="C1134" s="40"/>
      <c r="D1134" s="40"/>
      <c r="F1134" s="40"/>
      <c r="G1134" s="40"/>
      <c r="H1134" s="42"/>
      <c r="I1134" s="42" t="str">
        <f t="shared" si="13"/>
        <v/>
      </c>
    </row>
    <row r="1135" spans="2:9" x14ac:dyDescent="0.25">
      <c r="B1135" s="39"/>
      <c r="C1135" s="40"/>
      <c r="D1135" s="40"/>
      <c r="F1135" s="40"/>
      <c r="G1135" s="40"/>
      <c r="H1135" s="42"/>
      <c r="I1135" s="42" t="str">
        <f t="shared" si="13"/>
        <v/>
      </c>
    </row>
    <row r="1136" spans="2:9" x14ac:dyDescent="0.25">
      <c r="B1136" s="39"/>
      <c r="C1136" s="40"/>
      <c r="D1136" s="40"/>
      <c r="F1136" s="40"/>
      <c r="G1136" s="40"/>
      <c r="H1136" s="42"/>
      <c r="I1136" s="42" t="str">
        <f t="shared" si="13"/>
        <v/>
      </c>
    </row>
    <row r="1137" spans="2:9" x14ac:dyDescent="0.25">
      <c r="B1137" s="39"/>
      <c r="C1137" s="40"/>
      <c r="D1137" s="40"/>
      <c r="F1137" s="40"/>
      <c r="G1137" s="40"/>
      <c r="H1137" s="42"/>
      <c r="I1137" s="42" t="str">
        <f t="shared" si="13"/>
        <v/>
      </c>
    </row>
    <row r="1138" spans="2:9" x14ac:dyDescent="0.25">
      <c r="B1138" s="39"/>
      <c r="C1138" s="40"/>
      <c r="D1138" s="40"/>
      <c r="F1138" s="40"/>
      <c r="G1138" s="40"/>
      <c r="H1138" s="42"/>
      <c r="I1138" s="42" t="str">
        <f t="shared" si="13"/>
        <v/>
      </c>
    </row>
    <row r="1139" spans="2:9" x14ac:dyDescent="0.25">
      <c r="B1139" s="39"/>
      <c r="C1139" s="40"/>
      <c r="D1139" s="40"/>
      <c r="F1139" s="40"/>
      <c r="G1139" s="40"/>
      <c r="H1139" s="42"/>
      <c r="I1139" s="42" t="str">
        <f t="shared" si="13"/>
        <v/>
      </c>
    </row>
    <row r="1140" spans="2:9" x14ac:dyDescent="0.25">
      <c r="B1140" s="39"/>
      <c r="C1140" s="40"/>
      <c r="D1140" s="40"/>
      <c r="F1140" s="40"/>
      <c r="G1140" s="40"/>
      <c r="H1140" s="42"/>
      <c r="I1140" s="42" t="str">
        <f t="shared" si="13"/>
        <v/>
      </c>
    </row>
    <row r="1141" spans="2:9" x14ac:dyDescent="0.25">
      <c r="B1141" s="39"/>
      <c r="C1141" s="40"/>
      <c r="D1141" s="40"/>
      <c r="F1141" s="40"/>
      <c r="G1141" s="40"/>
      <c r="H1141" s="42"/>
      <c r="I1141" s="42" t="str">
        <f t="shared" si="13"/>
        <v/>
      </c>
    </row>
    <row r="1142" spans="2:9" x14ac:dyDescent="0.25">
      <c r="B1142" s="39"/>
      <c r="C1142" s="40"/>
      <c r="D1142" s="40"/>
      <c r="F1142" s="40"/>
      <c r="G1142" s="40"/>
      <c r="H1142" s="42"/>
      <c r="I1142" s="42" t="str">
        <f t="shared" si="13"/>
        <v/>
      </c>
    </row>
    <row r="1143" spans="2:9" x14ac:dyDescent="0.25">
      <c r="B1143" s="39"/>
      <c r="C1143" s="40"/>
      <c r="D1143" s="40"/>
      <c r="F1143" s="40"/>
      <c r="G1143" s="40"/>
      <c r="H1143" s="42"/>
      <c r="I1143" s="42" t="str">
        <f t="shared" si="13"/>
        <v/>
      </c>
    </row>
    <row r="1144" spans="2:9" x14ac:dyDescent="0.25">
      <c r="B1144" s="39"/>
      <c r="C1144" s="40"/>
      <c r="D1144" s="40"/>
      <c r="F1144" s="40"/>
      <c r="G1144" s="40"/>
      <c r="H1144" s="42"/>
      <c r="I1144" s="42" t="str">
        <f t="shared" si="13"/>
        <v/>
      </c>
    </row>
    <row r="1145" spans="2:9" x14ac:dyDescent="0.25">
      <c r="B1145" s="39"/>
      <c r="C1145" s="40"/>
      <c r="D1145" s="40"/>
      <c r="F1145" s="40"/>
      <c r="G1145" s="40"/>
      <c r="H1145" s="42"/>
      <c r="I1145" s="42" t="str">
        <f t="shared" si="13"/>
        <v/>
      </c>
    </row>
    <row r="1146" spans="2:9" x14ac:dyDescent="0.25">
      <c r="B1146" s="39"/>
      <c r="C1146" s="40"/>
      <c r="D1146" s="40"/>
      <c r="F1146" s="40"/>
      <c r="G1146" s="40"/>
      <c r="H1146" s="42"/>
      <c r="I1146" s="42" t="str">
        <f t="shared" si="13"/>
        <v/>
      </c>
    </row>
    <row r="1147" spans="2:9" x14ac:dyDescent="0.25">
      <c r="B1147" s="39"/>
      <c r="C1147" s="40"/>
      <c r="D1147" s="40"/>
      <c r="F1147" s="40"/>
      <c r="G1147" s="40"/>
      <c r="H1147" s="42"/>
      <c r="I1147" s="42" t="str">
        <f t="shared" si="13"/>
        <v/>
      </c>
    </row>
    <row r="1148" spans="2:9" x14ac:dyDescent="0.25">
      <c r="B1148" s="39"/>
      <c r="C1148" s="40"/>
      <c r="D1148" s="40"/>
      <c r="F1148" s="40"/>
      <c r="G1148" s="40"/>
      <c r="H1148" s="42"/>
      <c r="I1148" s="42" t="str">
        <f t="shared" si="13"/>
        <v/>
      </c>
    </row>
    <row r="1149" spans="2:9" x14ac:dyDescent="0.25">
      <c r="B1149" s="39"/>
      <c r="C1149" s="40"/>
      <c r="D1149" s="40"/>
      <c r="F1149" s="40"/>
      <c r="G1149" s="40"/>
      <c r="H1149" s="42"/>
      <c r="I1149" s="42" t="str">
        <f t="shared" si="13"/>
        <v/>
      </c>
    </row>
    <row r="1150" spans="2:9" x14ac:dyDescent="0.25">
      <c r="B1150" s="39"/>
      <c r="C1150" s="40"/>
      <c r="D1150" s="40"/>
      <c r="F1150" s="40"/>
      <c r="G1150" s="40"/>
      <c r="H1150" s="42"/>
      <c r="I1150" s="42" t="str">
        <f t="shared" si="13"/>
        <v/>
      </c>
    </row>
    <row r="1151" spans="2:9" x14ac:dyDescent="0.25">
      <c r="B1151" s="39"/>
      <c r="C1151" s="40"/>
      <c r="D1151" s="40"/>
      <c r="F1151" s="40"/>
      <c r="G1151" s="40"/>
      <c r="H1151" s="42"/>
      <c r="I1151" s="42" t="str">
        <f t="shared" si="13"/>
        <v/>
      </c>
    </row>
    <row r="1152" spans="2:9" x14ac:dyDescent="0.25">
      <c r="B1152" s="39"/>
      <c r="C1152" s="40"/>
      <c r="D1152" s="40"/>
      <c r="F1152" s="40"/>
      <c r="G1152" s="40"/>
      <c r="H1152" s="42"/>
      <c r="I1152" s="42" t="str">
        <f t="shared" ref="I1152:I1215" si="14">IF(H1152&lt;&gt;"",H1152-H1151,"")</f>
        <v/>
      </c>
    </row>
    <row r="1153" spans="2:9" x14ac:dyDescent="0.25">
      <c r="B1153" s="39"/>
      <c r="C1153" s="40"/>
      <c r="D1153" s="40"/>
      <c r="F1153" s="40"/>
      <c r="G1153" s="40"/>
      <c r="H1153" s="42"/>
      <c r="I1153" s="42" t="str">
        <f t="shared" si="14"/>
        <v/>
      </c>
    </row>
    <row r="1154" spans="2:9" x14ac:dyDescent="0.25">
      <c r="B1154" s="39"/>
      <c r="C1154" s="40"/>
      <c r="D1154" s="40"/>
      <c r="F1154" s="40"/>
      <c r="G1154" s="40"/>
      <c r="H1154" s="42"/>
      <c r="I1154" s="42" t="str">
        <f t="shared" si="14"/>
        <v/>
      </c>
    </row>
    <row r="1155" spans="2:9" x14ac:dyDescent="0.25">
      <c r="B1155" s="39"/>
      <c r="C1155" s="40"/>
      <c r="D1155" s="40"/>
      <c r="F1155" s="40"/>
      <c r="G1155" s="40"/>
      <c r="H1155" s="42"/>
      <c r="I1155" s="42" t="str">
        <f t="shared" si="14"/>
        <v/>
      </c>
    </row>
    <row r="1156" spans="2:9" x14ac:dyDescent="0.25">
      <c r="B1156" s="39"/>
      <c r="C1156" s="40"/>
      <c r="D1156" s="40"/>
      <c r="F1156" s="40"/>
      <c r="G1156" s="40"/>
      <c r="H1156" s="42"/>
      <c r="I1156" s="42" t="str">
        <f t="shared" si="14"/>
        <v/>
      </c>
    </row>
    <row r="1157" spans="2:9" x14ac:dyDescent="0.25">
      <c r="B1157" s="39"/>
      <c r="C1157" s="40"/>
      <c r="D1157" s="40"/>
      <c r="F1157" s="40"/>
      <c r="G1157" s="40"/>
      <c r="H1157" s="42"/>
      <c r="I1157" s="42" t="str">
        <f t="shared" si="14"/>
        <v/>
      </c>
    </row>
    <row r="1158" spans="2:9" x14ac:dyDescent="0.25">
      <c r="B1158" s="39"/>
      <c r="C1158" s="40"/>
      <c r="D1158" s="40"/>
      <c r="F1158" s="40"/>
      <c r="G1158" s="40"/>
      <c r="H1158" s="42"/>
      <c r="I1158" s="42" t="str">
        <f t="shared" si="14"/>
        <v/>
      </c>
    </row>
    <row r="1159" spans="2:9" x14ac:dyDescent="0.25">
      <c r="B1159" s="39"/>
      <c r="C1159" s="40"/>
      <c r="D1159" s="40"/>
      <c r="F1159" s="40"/>
      <c r="G1159" s="40"/>
      <c r="H1159" s="42"/>
      <c r="I1159" s="42" t="str">
        <f t="shared" si="14"/>
        <v/>
      </c>
    </row>
    <row r="1160" spans="2:9" x14ac:dyDescent="0.25">
      <c r="B1160" s="39"/>
      <c r="C1160" s="40"/>
      <c r="D1160" s="40"/>
      <c r="F1160" s="40"/>
      <c r="G1160" s="40"/>
      <c r="H1160" s="42"/>
      <c r="I1160" s="42" t="str">
        <f t="shared" si="14"/>
        <v/>
      </c>
    </row>
    <row r="1161" spans="2:9" x14ac:dyDescent="0.25">
      <c r="B1161" s="39"/>
      <c r="C1161" s="40"/>
      <c r="D1161" s="40"/>
      <c r="F1161" s="40"/>
      <c r="G1161" s="40"/>
      <c r="H1161" s="42"/>
      <c r="I1161" s="42" t="str">
        <f t="shared" si="14"/>
        <v/>
      </c>
    </row>
    <row r="1162" spans="2:9" x14ac:dyDescent="0.25">
      <c r="B1162" s="39"/>
      <c r="C1162" s="40"/>
      <c r="D1162" s="40"/>
      <c r="F1162" s="40"/>
      <c r="G1162" s="40"/>
      <c r="H1162" s="42"/>
      <c r="I1162" s="42" t="str">
        <f t="shared" si="14"/>
        <v/>
      </c>
    </row>
    <row r="1163" spans="2:9" x14ac:dyDescent="0.25">
      <c r="B1163" s="39"/>
      <c r="C1163" s="40"/>
      <c r="D1163" s="40"/>
      <c r="F1163" s="40"/>
      <c r="G1163" s="40"/>
      <c r="H1163" s="42"/>
      <c r="I1163" s="42" t="str">
        <f t="shared" si="14"/>
        <v/>
      </c>
    </row>
    <row r="1164" spans="2:9" x14ac:dyDescent="0.25">
      <c r="B1164" s="39"/>
      <c r="C1164" s="40"/>
      <c r="D1164" s="40"/>
      <c r="F1164" s="40"/>
      <c r="G1164" s="40"/>
      <c r="H1164" s="42"/>
      <c r="I1164" s="42" t="str">
        <f t="shared" si="14"/>
        <v/>
      </c>
    </row>
    <row r="1165" spans="2:9" x14ac:dyDescent="0.25">
      <c r="B1165" s="39"/>
      <c r="C1165" s="40"/>
      <c r="D1165" s="40"/>
      <c r="F1165" s="40"/>
      <c r="G1165" s="40"/>
      <c r="H1165" s="42"/>
      <c r="I1165" s="42" t="str">
        <f t="shared" si="14"/>
        <v/>
      </c>
    </row>
    <row r="1166" spans="2:9" x14ac:dyDescent="0.25">
      <c r="B1166" s="39"/>
      <c r="C1166" s="40"/>
      <c r="D1166" s="40"/>
      <c r="F1166" s="40"/>
      <c r="G1166" s="40"/>
      <c r="H1166" s="42"/>
      <c r="I1166" s="42" t="str">
        <f t="shared" si="14"/>
        <v/>
      </c>
    </row>
    <row r="1167" spans="2:9" x14ac:dyDescent="0.25">
      <c r="B1167" s="39"/>
      <c r="C1167" s="40"/>
      <c r="D1167" s="40"/>
      <c r="F1167" s="40"/>
      <c r="G1167" s="40"/>
      <c r="H1167" s="42"/>
      <c r="I1167" s="42" t="str">
        <f t="shared" si="14"/>
        <v/>
      </c>
    </row>
    <row r="1168" spans="2:9" x14ac:dyDescent="0.25">
      <c r="B1168" s="39"/>
      <c r="C1168" s="40"/>
      <c r="D1168" s="40"/>
      <c r="F1168" s="40"/>
      <c r="G1168" s="40"/>
      <c r="H1168" s="42"/>
      <c r="I1168" s="42" t="str">
        <f t="shared" si="14"/>
        <v/>
      </c>
    </row>
    <row r="1169" spans="2:9" x14ac:dyDescent="0.25">
      <c r="B1169" s="39"/>
      <c r="C1169" s="40"/>
      <c r="D1169" s="40"/>
      <c r="F1169" s="40"/>
      <c r="G1169" s="40"/>
      <c r="H1169" s="42"/>
      <c r="I1169" s="42" t="str">
        <f t="shared" si="14"/>
        <v/>
      </c>
    </row>
    <row r="1170" spans="2:9" x14ac:dyDescent="0.25">
      <c r="B1170" s="39"/>
      <c r="C1170" s="40"/>
      <c r="D1170" s="40"/>
      <c r="F1170" s="40"/>
      <c r="G1170" s="40"/>
      <c r="H1170" s="42"/>
      <c r="I1170" s="42" t="str">
        <f t="shared" si="14"/>
        <v/>
      </c>
    </row>
    <row r="1171" spans="2:9" x14ac:dyDescent="0.25">
      <c r="B1171" s="39"/>
      <c r="C1171" s="40"/>
      <c r="D1171" s="40"/>
      <c r="F1171" s="40"/>
      <c r="G1171" s="40"/>
      <c r="H1171" s="42"/>
      <c r="I1171" s="42" t="str">
        <f t="shared" si="14"/>
        <v/>
      </c>
    </row>
    <row r="1172" spans="2:9" x14ac:dyDescent="0.25">
      <c r="B1172" s="39"/>
      <c r="C1172" s="40"/>
      <c r="D1172" s="40"/>
      <c r="F1172" s="40"/>
      <c r="G1172" s="40"/>
      <c r="H1172" s="42"/>
      <c r="I1172" s="42" t="str">
        <f t="shared" si="14"/>
        <v/>
      </c>
    </row>
    <row r="1173" spans="2:9" x14ac:dyDescent="0.25">
      <c r="B1173" s="39"/>
      <c r="C1173" s="40"/>
      <c r="D1173" s="40"/>
      <c r="F1173" s="40"/>
      <c r="G1173" s="40"/>
      <c r="H1173" s="42"/>
      <c r="I1173" s="42" t="str">
        <f t="shared" si="14"/>
        <v/>
      </c>
    </row>
    <row r="1174" spans="2:9" x14ac:dyDescent="0.25">
      <c r="B1174" s="39"/>
      <c r="C1174" s="40"/>
      <c r="D1174" s="40"/>
      <c r="F1174" s="40"/>
      <c r="G1174" s="40"/>
      <c r="H1174" s="42"/>
      <c r="I1174" s="42" t="str">
        <f t="shared" si="14"/>
        <v/>
      </c>
    </row>
    <row r="1175" spans="2:9" x14ac:dyDescent="0.25">
      <c r="B1175" s="39"/>
      <c r="C1175" s="40"/>
      <c r="D1175" s="40"/>
      <c r="F1175" s="40"/>
      <c r="G1175" s="40"/>
      <c r="H1175" s="42"/>
      <c r="I1175" s="42" t="str">
        <f t="shared" si="14"/>
        <v/>
      </c>
    </row>
    <row r="1176" spans="2:9" x14ac:dyDescent="0.25">
      <c r="B1176" s="39"/>
      <c r="C1176" s="40"/>
      <c r="D1176" s="40"/>
      <c r="F1176" s="40"/>
      <c r="G1176" s="40"/>
      <c r="H1176" s="42"/>
      <c r="I1176" s="42" t="str">
        <f t="shared" si="14"/>
        <v/>
      </c>
    </row>
    <row r="1177" spans="2:9" x14ac:dyDescent="0.25">
      <c r="B1177" s="39"/>
      <c r="C1177" s="40"/>
      <c r="D1177" s="40"/>
      <c r="F1177" s="40"/>
      <c r="G1177" s="40"/>
      <c r="H1177" s="42"/>
      <c r="I1177" s="42" t="str">
        <f t="shared" si="14"/>
        <v/>
      </c>
    </row>
    <row r="1178" spans="2:9" x14ac:dyDescent="0.25">
      <c r="B1178" s="39"/>
      <c r="C1178" s="40"/>
      <c r="D1178" s="40"/>
      <c r="F1178" s="40"/>
      <c r="G1178" s="40"/>
      <c r="H1178" s="42"/>
      <c r="I1178" s="42" t="str">
        <f t="shared" si="14"/>
        <v/>
      </c>
    </row>
    <row r="1179" spans="2:9" x14ac:dyDescent="0.25">
      <c r="B1179" s="39"/>
      <c r="C1179" s="40"/>
      <c r="D1179" s="40"/>
      <c r="F1179" s="40"/>
      <c r="G1179" s="40"/>
      <c r="H1179" s="42"/>
      <c r="I1179" s="42" t="str">
        <f t="shared" si="14"/>
        <v/>
      </c>
    </row>
    <row r="1180" spans="2:9" x14ac:dyDescent="0.25">
      <c r="B1180" s="39"/>
      <c r="C1180" s="40"/>
      <c r="D1180" s="40"/>
      <c r="F1180" s="40"/>
      <c r="G1180" s="40"/>
      <c r="H1180" s="42"/>
      <c r="I1180" s="42" t="str">
        <f t="shared" si="14"/>
        <v/>
      </c>
    </row>
    <row r="1181" spans="2:9" x14ac:dyDescent="0.25">
      <c r="B1181" s="39"/>
      <c r="C1181" s="40"/>
      <c r="D1181" s="40"/>
      <c r="F1181" s="40"/>
      <c r="G1181" s="40"/>
      <c r="H1181" s="42"/>
      <c r="I1181" s="42" t="str">
        <f t="shared" si="14"/>
        <v/>
      </c>
    </row>
    <row r="1182" spans="2:9" x14ac:dyDescent="0.25">
      <c r="B1182" s="39"/>
      <c r="C1182" s="40"/>
      <c r="D1182" s="40"/>
      <c r="F1182" s="40"/>
      <c r="G1182" s="40"/>
      <c r="H1182" s="42"/>
      <c r="I1182" s="42" t="str">
        <f t="shared" si="14"/>
        <v/>
      </c>
    </row>
    <row r="1183" spans="2:9" x14ac:dyDescent="0.25">
      <c r="B1183" s="39"/>
      <c r="C1183" s="40"/>
      <c r="D1183" s="40"/>
      <c r="F1183" s="40"/>
      <c r="G1183" s="40"/>
      <c r="H1183" s="42"/>
      <c r="I1183" s="42" t="str">
        <f t="shared" si="14"/>
        <v/>
      </c>
    </row>
    <row r="1184" spans="2:9" x14ac:dyDescent="0.25">
      <c r="B1184" s="39"/>
      <c r="C1184" s="40"/>
      <c r="D1184" s="40"/>
      <c r="F1184" s="40"/>
      <c r="G1184" s="40"/>
      <c r="H1184" s="42"/>
      <c r="I1184" s="42" t="str">
        <f t="shared" si="14"/>
        <v/>
      </c>
    </row>
    <row r="1185" spans="2:9" x14ac:dyDescent="0.25">
      <c r="B1185" s="39"/>
      <c r="C1185" s="40"/>
      <c r="D1185" s="40"/>
      <c r="F1185" s="40"/>
      <c r="G1185" s="40"/>
      <c r="H1185" s="42"/>
      <c r="I1185" s="42" t="str">
        <f t="shared" si="14"/>
        <v/>
      </c>
    </row>
    <row r="1186" spans="2:9" x14ac:dyDescent="0.25">
      <c r="B1186" s="39"/>
      <c r="C1186" s="40"/>
      <c r="D1186" s="40"/>
      <c r="F1186" s="40"/>
      <c r="G1186" s="40"/>
      <c r="H1186" s="42"/>
      <c r="I1186" s="42" t="str">
        <f t="shared" si="14"/>
        <v/>
      </c>
    </row>
    <row r="1187" spans="2:9" x14ac:dyDescent="0.25">
      <c r="B1187" s="39"/>
      <c r="C1187" s="40"/>
      <c r="D1187" s="40"/>
      <c r="F1187" s="40"/>
      <c r="G1187" s="40"/>
      <c r="H1187" s="42"/>
      <c r="I1187" s="42" t="str">
        <f t="shared" si="14"/>
        <v/>
      </c>
    </row>
    <row r="1188" spans="2:9" x14ac:dyDescent="0.25">
      <c r="B1188" s="39"/>
      <c r="C1188" s="40"/>
      <c r="D1188" s="40"/>
      <c r="F1188" s="40"/>
      <c r="G1188" s="40"/>
      <c r="H1188" s="42"/>
      <c r="I1188" s="42" t="str">
        <f t="shared" si="14"/>
        <v/>
      </c>
    </row>
    <row r="1189" spans="2:9" x14ac:dyDescent="0.25">
      <c r="B1189" s="39"/>
      <c r="C1189" s="40"/>
      <c r="D1189" s="40"/>
      <c r="F1189" s="40"/>
      <c r="G1189" s="40"/>
      <c r="H1189" s="42"/>
      <c r="I1189" s="42" t="str">
        <f t="shared" si="14"/>
        <v/>
      </c>
    </row>
    <row r="1190" spans="2:9" x14ac:dyDescent="0.25">
      <c r="B1190" s="39"/>
      <c r="C1190" s="40"/>
      <c r="D1190" s="40"/>
      <c r="F1190" s="40"/>
      <c r="G1190" s="40"/>
      <c r="H1190" s="42"/>
      <c r="I1190" s="42" t="str">
        <f t="shared" si="14"/>
        <v/>
      </c>
    </row>
    <row r="1191" spans="2:9" x14ac:dyDescent="0.25">
      <c r="B1191" s="39"/>
      <c r="C1191" s="40"/>
      <c r="D1191" s="40"/>
      <c r="F1191" s="40"/>
      <c r="G1191" s="40"/>
      <c r="H1191" s="42"/>
      <c r="I1191" s="42" t="str">
        <f t="shared" si="14"/>
        <v/>
      </c>
    </row>
    <row r="1192" spans="2:9" x14ac:dyDescent="0.25">
      <c r="B1192" s="39"/>
      <c r="C1192" s="40"/>
      <c r="D1192" s="40"/>
      <c r="F1192" s="40"/>
      <c r="G1192" s="40"/>
      <c r="H1192" s="42"/>
      <c r="I1192" s="42" t="str">
        <f t="shared" si="14"/>
        <v/>
      </c>
    </row>
    <row r="1193" spans="2:9" x14ac:dyDescent="0.25">
      <c r="B1193" s="39"/>
      <c r="C1193" s="40"/>
      <c r="D1193" s="40"/>
      <c r="F1193" s="40"/>
      <c r="G1193" s="40"/>
      <c r="H1193" s="42"/>
      <c r="I1193" s="42" t="str">
        <f t="shared" si="14"/>
        <v/>
      </c>
    </row>
    <row r="1194" spans="2:9" x14ac:dyDescent="0.25">
      <c r="B1194" s="39"/>
      <c r="C1194" s="40"/>
      <c r="D1194" s="40"/>
      <c r="F1194" s="40"/>
      <c r="G1194" s="40"/>
      <c r="H1194" s="42"/>
      <c r="I1194" s="42" t="str">
        <f t="shared" si="14"/>
        <v/>
      </c>
    </row>
    <row r="1195" spans="2:9" x14ac:dyDescent="0.25">
      <c r="B1195" s="39"/>
      <c r="C1195" s="40"/>
      <c r="D1195" s="40"/>
      <c r="F1195" s="40"/>
      <c r="G1195" s="40"/>
      <c r="H1195" s="42"/>
      <c r="I1195" s="42" t="str">
        <f t="shared" si="14"/>
        <v/>
      </c>
    </row>
    <row r="1196" spans="2:9" x14ac:dyDescent="0.25">
      <c r="B1196" s="39"/>
      <c r="C1196" s="40"/>
      <c r="D1196" s="40"/>
      <c r="F1196" s="40"/>
      <c r="G1196" s="40"/>
      <c r="H1196" s="42"/>
      <c r="I1196" s="42" t="str">
        <f t="shared" si="14"/>
        <v/>
      </c>
    </row>
    <row r="1197" spans="2:9" x14ac:dyDescent="0.25">
      <c r="B1197" s="39"/>
      <c r="C1197" s="40"/>
      <c r="D1197" s="40"/>
      <c r="F1197" s="40"/>
      <c r="G1197" s="40"/>
      <c r="H1197" s="42"/>
      <c r="I1197" s="42" t="str">
        <f t="shared" si="14"/>
        <v/>
      </c>
    </row>
    <row r="1198" spans="2:9" x14ac:dyDescent="0.25">
      <c r="B1198" s="39"/>
      <c r="C1198" s="40"/>
      <c r="D1198" s="40"/>
      <c r="F1198" s="40"/>
      <c r="G1198" s="40"/>
      <c r="H1198" s="42"/>
      <c r="I1198" s="42" t="str">
        <f t="shared" si="14"/>
        <v/>
      </c>
    </row>
    <row r="1199" spans="2:9" x14ac:dyDescent="0.25">
      <c r="B1199" s="39"/>
      <c r="C1199" s="40"/>
      <c r="D1199" s="40"/>
      <c r="F1199" s="40"/>
      <c r="G1199" s="40"/>
      <c r="H1199" s="42"/>
      <c r="I1199" s="42" t="str">
        <f t="shared" si="14"/>
        <v/>
      </c>
    </row>
    <row r="1200" spans="2:9" x14ac:dyDescent="0.25">
      <c r="B1200" s="39"/>
      <c r="C1200" s="40"/>
      <c r="D1200" s="40"/>
      <c r="F1200" s="40"/>
      <c r="G1200" s="40"/>
      <c r="H1200" s="42"/>
      <c r="I1200" s="42" t="str">
        <f t="shared" si="14"/>
        <v/>
      </c>
    </row>
    <row r="1201" spans="2:9" x14ac:dyDescent="0.25">
      <c r="B1201" s="39"/>
      <c r="C1201" s="40"/>
      <c r="D1201" s="40"/>
      <c r="F1201" s="40"/>
      <c r="G1201" s="40"/>
      <c r="H1201" s="42"/>
      <c r="I1201" s="42" t="str">
        <f t="shared" si="14"/>
        <v/>
      </c>
    </row>
    <row r="1202" spans="2:9" x14ac:dyDescent="0.25">
      <c r="B1202" s="39"/>
      <c r="C1202" s="40"/>
      <c r="D1202" s="40"/>
      <c r="F1202" s="40"/>
      <c r="G1202" s="40"/>
      <c r="H1202" s="42"/>
      <c r="I1202" s="42" t="str">
        <f t="shared" si="14"/>
        <v/>
      </c>
    </row>
    <row r="1203" spans="2:9" x14ac:dyDescent="0.25">
      <c r="B1203" s="39"/>
      <c r="C1203" s="40"/>
      <c r="D1203" s="40"/>
      <c r="F1203" s="40"/>
      <c r="G1203" s="40"/>
      <c r="H1203" s="42"/>
      <c r="I1203" s="42" t="str">
        <f t="shared" si="14"/>
        <v/>
      </c>
    </row>
    <row r="1204" spans="2:9" x14ac:dyDescent="0.25">
      <c r="B1204" s="39"/>
      <c r="C1204" s="40"/>
      <c r="D1204" s="40"/>
      <c r="F1204" s="40"/>
      <c r="G1204" s="40"/>
      <c r="H1204" s="42"/>
      <c r="I1204" s="42" t="str">
        <f t="shared" si="14"/>
        <v/>
      </c>
    </row>
    <row r="1205" spans="2:9" x14ac:dyDescent="0.25">
      <c r="B1205" s="39"/>
      <c r="C1205" s="40"/>
      <c r="D1205" s="40"/>
      <c r="F1205" s="40"/>
      <c r="G1205" s="40"/>
      <c r="H1205" s="42"/>
      <c r="I1205" s="42" t="str">
        <f t="shared" si="14"/>
        <v/>
      </c>
    </row>
    <row r="1206" spans="2:9" x14ac:dyDescent="0.25">
      <c r="B1206" s="39"/>
      <c r="C1206" s="40"/>
      <c r="D1206" s="40"/>
      <c r="F1206" s="40"/>
      <c r="G1206" s="40"/>
      <c r="H1206" s="42"/>
      <c r="I1206" s="42" t="str">
        <f t="shared" si="14"/>
        <v/>
      </c>
    </row>
    <row r="1207" spans="2:9" x14ac:dyDescent="0.25">
      <c r="B1207" s="39"/>
      <c r="C1207" s="40"/>
      <c r="D1207" s="40"/>
      <c r="F1207" s="40"/>
      <c r="G1207" s="40"/>
      <c r="H1207" s="42"/>
      <c r="I1207" s="42" t="str">
        <f t="shared" si="14"/>
        <v/>
      </c>
    </row>
    <row r="1208" spans="2:9" x14ac:dyDescent="0.25">
      <c r="B1208" s="39"/>
      <c r="C1208" s="40"/>
      <c r="D1208" s="40"/>
      <c r="F1208" s="40"/>
      <c r="G1208" s="40"/>
      <c r="H1208" s="42"/>
      <c r="I1208" s="42" t="str">
        <f t="shared" si="14"/>
        <v/>
      </c>
    </row>
    <row r="1209" spans="2:9" x14ac:dyDescent="0.25">
      <c r="B1209" s="39"/>
      <c r="C1209" s="40"/>
      <c r="D1209" s="40"/>
      <c r="F1209" s="40"/>
      <c r="G1209" s="40"/>
      <c r="H1209" s="42"/>
      <c r="I1209" s="42" t="str">
        <f t="shared" si="14"/>
        <v/>
      </c>
    </row>
    <row r="1210" spans="2:9" x14ac:dyDescent="0.25">
      <c r="B1210" s="39"/>
      <c r="C1210" s="40"/>
      <c r="D1210" s="40"/>
      <c r="F1210" s="40"/>
      <c r="G1210" s="40"/>
      <c r="H1210" s="42"/>
      <c r="I1210" s="42" t="str">
        <f t="shared" si="14"/>
        <v/>
      </c>
    </row>
    <row r="1211" spans="2:9" x14ac:dyDescent="0.25">
      <c r="B1211" s="39"/>
      <c r="C1211" s="40"/>
      <c r="D1211" s="40"/>
      <c r="F1211" s="40"/>
      <c r="G1211" s="40"/>
      <c r="H1211" s="42"/>
      <c r="I1211" s="42" t="str">
        <f t="shared" si="14"/>
        <v/>
      </c>
    </row>
    <row r="1212" spans="2:9" x14ac:dyDescent="0.25">
      <c r="B1212" s="39"/>
      <c r="C1212" s="40"/>
      <c r="D1212" s="40"/>
      <c r="F1212" s="40"/>
      <c r="G1212" s="40"/>
      <c r="H1212" s="42"/>
      <c r="I1212" s="42" t="str">
        <f t="shared" si="14"/>
        <v/>
      </c>
    </row>
    <row r="1213" spans="2:9" x14ac:dyDescent="0.25">
      <c r="B1213" s="39"/>
      <c r="C1213" s="40"/>
      <c r="D1213" s="40"/>
      <c r="F1213" s="40"/>
      <c r="G1213" s="40"/>
      <c r="H1213" s="42"/>
      <c r="I1213" s="42" t="str">
        <f t="shared" si="14"/>
        <v/>
      </c>
    </row>
    <row r="1214" spans="2:9" x14ac:dyDescent="0.25">
      <c r="B1214" s="39"/>
      <c r="C1214" s="40"/>
      <c r="D1214" s="40"/>
      <c r="F1214" s="40"/>
      <c r="G1214" s="40"/>
      <c r="H1214" s="42"/>
      <c r="I1214" s="42" t="str">
        <f t="shared" si="14"/>
        <v/>
      </c>
    </row>
    <row r="1215" spans="2:9" x14ac:dyDescent="0.25">
      <c r="B1215" s="39"/>
      <c r="C1215" s="40"/>
      <c r="D1215" s="40"/>
      <c r="F1215" s="40"/>
      <c r="G1215" s="40"/>
      <c r="H1215" s="42"/>
      <c r="I1215" s="42" t="str">
        <f t="shared" si="14"/>
        <v/>
      </c>
    </row>
    <row r="1216" spans="2:9" x14ac:dyDescent="0.25">
      <c r="B1216" s="39"/>
      <c r="C1216" s="40"/>
      <c r="D1216" s="40"/>
      <c r="F1216" s="40"/>
      <c r="G1216" s="40"/>
      <c r="H1216" s="42"/>
      <c r="I1216" s="42" t="str">
        <f t="shared" ref="I1216:I1279" si="15">IF(H1216&lt;&gt;"",H1216-H1215,"")</f>
        <v/>
      </c>
    </row>
    <row r="1217" spans="2:9" x14ac:dyDescent="0.25">
      <c r="B1217" s="39"/>
      <c r="C1217" s="40"/>
      <c r="D1217" s="40"/>
      <c r="F1217" s="40"/>
      <c r="G1217" s="40"/>
      <c r="H1217" s="42"/>
      <c r="I1217" s="42" t="str">
        <f t="shared" si="15"/>
        <v/>
      </c>
    </row>
    <row r="1218" spans="2:9" x14ac:dyDescent="0.25">
      <c r="B1218" s="39"/>
      <c r="C1218" s="40"/>
      <c r="D1218" s="40"/>
      <c r="F1218" s="40"/>
      <c r="G1218" s="40"/>
      <c r="H1218" s="42"/>
      <c r="I1218" s="42" t="str">
        <f t="shared" si="15"/>
        <v/>
      </c>
    </row>
    <row r="1219" spans="2:9" x14ac:dyDescent="0.25">
      <c r="B1219" s="39"/>
      <c r="C1219" s="40"/>
      <c r="D1219" s="40"/>
      <c r="F1219" s="40"/>
      <c r="G1219" s="40"/>
      <c r="H1219" s="42"/>
      <c r="I1219" s="42" t="str">
        <f t="shared" si="15"/>
        <v/>
      </c>
    </row>
    <row r="1220" spans="2:9" x14ac:dyDescent="0.25">
      <c r="B1220" s="39"/>
      <c r="C1220" s="40"/>
      <c r="D1220" s="40"/>
      <c r="F1220" s="40"/>
      <c r="G1220" s="40"/>
      <c r="H1220" s="42"/>
      <c r="I1220" s="42" t="str">
        <f t="shared" si="15"/>
        <v/>
      </c>
    </row>
    <row r="1221" spans="2:9" x14ac:dyDescent="0.25">
      <c r="B1221" s="39"/>
      <c r="C1221" s="40"/>
      <c r="D1221" s="40"/>
      <c r="F1221" s="40"/>
      <c r="G1221" s="40"/>
      <c r="H1221" s="42"/>
      <c r="I1221" s="42" t="str">
        <f t="shared" si="15"/>
        <v/>
      </c>
    </row>
    <row r="1222" spans="2:9" x14ac:dyDescent="0.25">
      <c r="B1222" s="39"/>
      <c r="C1222" s="40"/>
      <c r="D1222" s="40"/>
      <c r="F1222" s="40"/>
      <c r="G1222" s="40"/>
      <c r="H1222" s="42"/>
      <c r="I1222" s="42" t="str">
        <f t="shared" si="15"/>
        <v/>
      </c>
    </row>
    <row r="1223" spans="2:9" x14ac:dyDescent="0.25">
      <c r="B1223" s="39"/>
      <c r="C1223" s="40"/>
      <c r="D1223" s="40"/>
      <c r="F1223" s="40"/>
      <c r="G1223" s="40"/>
      <c r="H1223" s="42"/>
      <c r="I1223" s="42" t="str">
        <f t="shared" si="15"/>
        <v/>
      </c>
    </row>
    <row r="1224" spans="2:9" x14ac:dyDescent="0.25">
      <c r="B1224" s="39"/>
      <c r="C1224" s="40"/>
      <c r="D1224" s="40"/>
      <c r="F1224" s="40"/>
      <c r="G1224" s="40"/>
      <c r="H1224" s="42"/>
      <c r="I1224" s="42" t="str">
        <f t="shared" si="15"/>
        <v/>
      </c>
    </row>
    <row r="1225" spans="2:9" x14ac:dyDescent="0.25">
      <c r="B1225" s="39"/>
      <c r="C1225" s="40"/>
      <c r="D1225" s="40"/>
      <c r="F1225" s="40"/>
      <c r="G1225" s="40"/>
      <c r="H1225" s="42"/>
      <c r="I1225" s="42" t="str">
        <f t="shared" si="15"/>
        <v/>
      </c>
    </row>
    <row r="1226" spans="2:9" x14ac:dyDescent="0.25">
      <c r="B1226" s="39"/>
      <c r="C1226" s="40"/>
      <c r="D1226" s="40"/>
      <c r="F1226" s="40"/>
      <c r="G1226" s="40"/>
      <c r="H1226" s="42"/>
      <c r="I1226" s="42" t="str">
        <f t="shared" si="15"/>
        <v/>
      </c>
    </row>
    <row r="1227" spans="2:9" x14ac:dyDescent="0.25">
      <c r="B1227" s="39"/>
      <c r="C1227" s="40"/>
      <c r="D1227" s="40"/>
      <c r="F1227" s="40"/>
      <c r="G1227" s="40"/>
      <c r="H1227" s="42"/>
      <c r="I1227" s="42" t="str">
        <f t="shared" si="15"/>
        <v/>
      </c>
    </row>
    <row r="1228" spans="2:9" x14ac:dyDescent="0.25">
      <c r="B1228" s="39"/>
      <c r="C1228" s="40"/>
      <c r="D1228" s="40"/>
      <c r="F1228" s="40"/>
      <c r="G1228" s="40"/>
      <c r="H1228" s="42"/>
      <c r="I1228" s="42" t="str">
        <f t="shared" si="15"/>
        <v/>
      </c>
    </row>
    <row r="1229" spans="2:9" x14ac:dyDescent="0.25">
      <c r="B1229" s="39"/>
      <c r="C1229" s="40"/>
      <c r="D1229" s="40"/>
      <c r="F1229" s="40"/>
      <c r="G1229" s="40"/>
      <c r="H1229" s="42"/>
      <c r="I1229" s="42" t="str">
        <f t="shared" si="15"/>
        <v/>
      </c>
    </row>
    <row r="1230" spans="2:9" x14ac:dyDescent="0.25">
      <c r="B1230" s="39"/>
      <c r="C1230" s="40"/>
      <c r="D1230" s="40"/>
      <c r="F1230" s="40"/>
      <c r="G1230" s="40"/>
      <c r="H1230" s="42"/>
      <c r="I1230" s="42" t="str">
        <f t="shared" si="15"/>
        <v/>
      </c>
    </row>
    <row r="1231" spans="2:9" x14ac:dyDescent="0.25">
      <c r="B1231" s="39"/>
      <c r="C1231" s="40"/>
      <c r="D1231" s="40"/>
      <c r="F1231" s="40"/>
      <c r="G1231" s="40"/>
      <c r="H1231" s="42"/>
      <c r="I1231" s="42" t="str">
        <f t="shared" si="15"/>
        <v/>
      </c>
    </row>
    <row r="1232" spans="2:9" x14ac:dyDescent="0.25">
      <c r="B1232" s="39"/>
      <c r="C1232" s="40"/>
      <c r="D1232" s="40"/>
      <c r="F1232" s="40"/>
      <c r="G1232" s="40"/>
      <c r="H1232" s="42"/>
      <c r="I1232" s="42" t="str">
        <f t="shared" si="15"/>
        <v/>
      </c>
    </row>
    <row r="1233" spans="2:9" x14ac:dyDescent="0.25">
      <c r="B1233" s="39"/>
      <c r="C1233" s="40"/>
      <c r="D1233" s="40"/>
      <c r="F1233" s="40"/>
      <c r="G1233" s="40"/>
      <c r="H1233" s="42"/>
      <c r="I1233" s="42" t="str">
        <f t="shared" si="15"/>
        <v/>
      </c>
    </row>
    <row r="1234" spans="2:9" x14ac:dyDescent="0.25">
      <c r="B1234" s="39"/>
      <c r="C1234" s="40"/>
      <c r="D1234" s="40"/>
      <c r="F1234" s="40"/>
      <c r="G1234" s="40"/>
      <c r="H1234" s="42"/>
      <c r="I1234" s="42" t="str">
        <f t="shared" si="15"/>
        <v/>
      </c>
    </row>
    <row r="1235" spans="2:9" x14ac:dyDescent="0.25">
      <c r="B1235" s="39"/>
      <c r="C1235" s="40"/>
      <c r="D1235" s="40"/>
      <c r="F1235" s="40"/>
      <c r="G1235" s="40"/>
      <c r="H1235" s="42"/>
      <c r="I1235" s="42" t="str">
        <f t="shared" si="15"/>
        <v/>
      </c>
    </row>
    <row r="1236" spans="2:9" x14ac:dyDescent="0.25">
      <c r="B1236" s="39"/>
      <c r="C1236" s="40"/>
      <c r="D1236" s="40"/>
      <c r="F1236" s="40"/>
      <c r="G1236" s="40"/>
      <c r="H1236" s="42"/>
      <c r="I1236" s="42" t="str">
        <f t="shared" si="15"/>
        <v/>
      </c>
    </row>
    <row r="1237" spans="2:9" x14ac:dyDescent="0.25">
      <c r="B1237" s="39"/>
      <c r="C1237" s="40"/>
      <c r="D1237" s="40"/>
      <c r="F1237" s="40"/>
      <c r="G1237" s="40"/>
      <c r="H1237" s="42"/>
      <c r="I1237" s="42" t="str">
        <f t="shared" si="15"/>
        <v/>
      </c>
    </row>
    <row r="1238" spans="2:9" x14ac:dyDescent="0.25">
      <c r="B1238" s="39"/>
      <c r="C1238" s="40"/>
      <c r="D1238" s="40"/>
      <c r="F1238" s="40"/>
      <c r="G1238" s="40"/>
      <c r="H1238" s="42"/>
      <c r="I1238" s="42" t="str">
        <f t="shared" si="15"/>
        <v/>
      </c>
    </row>
    <row r="1239" spans="2:9" x14ac:dyDescent="0.25">
      <c r="B1239" s="39"/>
      <c r="C1239" s="40"/>
      <c r="D1239" s="40"/>
      <c r="F1239" s="40"/>
      <c r="G1239" s="40"/>
      <c r="H1239" s="42"/>
      <c r="I1239" s="42" t="str">
        <f t="shared" si="15"/>
        <v/>
      </c>
    </row>
    <row r="1240" spans="2:9" x14ac:dyDescent="0.25">
      <c r="B1240" s="39"/>
      <c r="C1240" s="40"/>
      <c r="D1240" s="40"/>
      <c r="F1240" s="40"/>
      <c r="G1240" s="40"/>
      <c r="H1240" s="42"/>
      <c r="I1240" s="42" t="str">
        <f t="shared" si="15"/>
        <v/>
      </c>
    </row>
    <row r="1241" spans="2:9" x14ac:dyDescent="0.25">
      <c r="B1241" s="39"/>
      <c r="C1241" s="40"/>
      <c r="D1241" s="40"/>
      <c r="F1241" s="40"/>
      <c r="G1241" s="40"/>
      <c r="H1241" s="42"/>
      <c r="I1241" s="42" t="str">
        <f t="shared" si="15"/>
        <v/>
      </c>
    </row>
    <row r="1242" spans="2:9" x14ac:dyDescent="0.25">
      <c r="B1242" s="39"/>
      <c r="C1242" s="40"/>
      <c r="D1242" s="40"/>
      <c r="F1242" s="40"/>
      <c r="G1242" s="40"/>
      <c r="H1242" s="42"/>
      <c r="I1242" s="42" t="str">
        <f t="shared" si="15"/>
        <v/>
      </c>
    </row>
    <row r="1243" spans="2:9" x14ac:dyDescent="0.25">
      <c r="B1243" s="39"/>
      <c r="C1243" s="40"/>
      <c r="D1243" s="40"/>
      <c r="F1243" s="40"/>
      <c r="G1243" s="40"/>
      <c r="H1243" s="42"/>
      <c r="I1243" s="42" t="str">
        <f t="shared" si="15"/>
        <v/>
      </c>
    </row>
    <row r="1244" spans="2:9" x14ac:dyDescent="0.25">
      <c r="B1244" s="39"/>
      <c r="C1244" s="40"/>
      <c r="D1244" s="40"/>
      <c r="F1244" s="40"/>
      <c r="G1244" s="40"/>
      <c r="H1244" s="42"/>
      <c r="I1244" s="42" t="str">
        <f t="shared" si="15"/>
        <v/>
      </c>
    </row>
    <row r="1245" spans="2:9" x14ac:dyDescent="0.25">
      <c r="B1245" s="39"/>
      <c r="C1245" s="40"/>
      <c r="D1245" s="40"/>
      <c r="F1245" s="40"/>
      <c r="G1245" s="40"/>
      <c r="H1245" s="42"/>
      <c r="I1245" s="42" t="str">
        <f t="shared" si="15"/>
        <v/>
      </c>
    </row>
    <row r="1246" spans="2:9" x14ac:dyDescent="0.25">
      <c r="B1246" s="39"/>
      <c r="C1246" s="40"/>
      <c r="D1246" s="40"/>
      <c r="F1246" s="40"/>
      <c r="G1246" s="40"/>
      <c r="H1246" s="42"/>
      <c r="I1246" s="42" t="str">
        <f t="shared" si="15"/>
        <v/>
      </c>
    </row>
    <row r="1247" spans="2:9" x14ac:dyDescent="0.25">
      <c r="B1247" s="39"/>
      <c r="C1247" s="40"/>
      <c r="D1247" s="40"/>
      <c r="F1247" s="40"/>
      <c r="G1247" s="40"/>
      <c r="H1247" s="42"/>
      <c r="I1247" s="42" t="str">
        <f t="shared" si="15"/>
        <v/>
      </c>
    </row>
    <row r="1248" spans="2:9" x14ac:dyDescent="0.25">
      <c r="B1248" s="39"/>
      <c r="C1248" s="40"/>
      <c r="D1248" s="40"/>
      <c r="F1248" s="40"/>
      <c r="G1248" s="40"/>
      <c r="H1248" s="42"/>
      <c r="I1248" s="42" t="str">
        <f t="shared" si="15"/>
        <v/>
      </c>
    </row>
    <row r="1249" spans="2:9" x14ac:dyDescent="0.25">
      <c r="B1249" s="39"/>
      <c r="C1249" s="40"/>
      <c r="D1249" s="40"/>
      <c r="F1249" s="40"/>
      <c r="G1249" s="40"/>
      <c r="H1249" s="42"/>
      <c r="I1249" s="42" t="str">
        <f t="shared" si="15"/>
        <v/>
      </c>
    </row>
    <row r="1250" spans="2:9" x14ac:dyDescent="0.25">
      <c r="B1250" s="39"/>
      <c r="C1250" s="40"/>
      <c r="D1250" s="40"/>
      <c r="F1250" s="40"/>
      <c r="G1250" s="40"/>
      <c r="H1250" s="42"/>
      <c r="I1250" s="42" t="str">
        <f t="shared" si="15"/>
        <v/>
      </c>
    </row>
    <row r="1251" spans="2:9" x14ac:dyDescent="0.25">
      <c r="B1251" s="39"/>
      <c r="C1251" s="40"/>
      <c r="D1251" s="40"/>
      <c r="F1251" s="40"/>
      <c r="G1251" s="40"/>
      <c r="H1251" s="42"/>
      <c r="I1251" s="42" t="str">
        <f t="shared" si="15"/>
        <v/>
      </c>
    </row>
    <row r="1252" spans="2:9" x14ac:dyDescent="0.25">
      <c r="B1252" s="39"/>
      <c r="C1252" s="40"/>
      <c r="D1252" s="40"/>
      <c r="F1252" s="40"/>
      <c r="G1252" s="40"/>
      <c r="H1252" s="42"/>
      <c r="I1252" s="42" t="str">
        <f t="shared" si="15"/>
        <v/>
      </c>
    </row>
    <row r="1253" spans="2:9" x14ac:dyDescent="0.25">
      <c r="B1253" s="39"/>
      <c r="C1253" s="40"/>
      <c r="D1253" s="40"/>
      <c r="F1253" s="40"/>
      <c r="G1253" s="40"/>
      <c r="H1253" s="42"/>
      <c r="I1253" s="42" t="str">
        <f t="shared" si="15"/>
        <v/>
      </c>
    </row>
    <row r="1254" spans="2:9" x14ac:dyDescent="0.25">
      <c r="B1254" s="39"/>
      <c r="C1254" s="40"/>
      <c r="D1254" s="40"/>
      <c r="F1254" s="40"/>
      <c r="G1254" s="40"/>
      <c r="H1254" s="42"/>
      <c r="I1254" s="42" t="str">
        <f t="shared" si="15"/>
        <v/>
      </c>
    </row>
    <row r="1255" spans="2:9" x14ac:dyDescent="0.25">
      <c r="B1255" s="39"/>
      <c r="C1255" s="40"/>
      <c r="D1255" s="40"/>
      <c r="F1255" s="40"/>
      <c r="G1255" s="40"/>
      <c r="H1255" s="42"/>
      <c r="I1255" s="42" t="str">
        <f t="shared" si="15"/>
        <v/>
      </c>
    </row>
    <row r="1256" spans="2:9" x14ac:dyDescent="0.25">
      <c r="B1256" s="39"/>
      <c r="C1256" s="40"/>
      <c r="D1256" s="40"/>
      <c r="F1256" s="40"/>
      <c r="G1256" s="40"/>
      <c r="H1256" s="42"/>
      <c r="I1256" s="42" t="str">
        <f t="shared" si="15"/>
        <v/>
      </c>
    </row>
    <row r="1257" spans="2:9" x14ac:dyDescent="0.25">
      <c r="B1257" s="39"/>
      <c r="C1257" s="40"/>
      <c r="D1257" s="40"/>
      <c r="F1257" s="40"/>
      <c r="G1257" s="40"/>
      <c r="H1257" s="42"/>
      <c r="I1257" s="42" t="str">
        <f t="shared" si="15"/>
        <v/>
      </c>
    </row>
    <row r="1258" spans="2:9" x14ac:dyDescent="0.25">
      <c r="B1258" s="39"/>
      <c r="C1258" s="40"/>
      <c r="D1258" s="40"/>
      <c r="F1258" s="40"/>
      <c r="G1258" s="40"/>
      <c r="H1258" s="42"/>
      <c r="I1258" s="42" t="str">
        <f t="shared" si="15"/>
        <v/>
      </c>
    </row>
    <row r="1259" spans="2:9" x14ac:dyDescent="0.25">
      <c r="B1259" s="39"/>
      <c r="C1259" s="40"/>
      <c r="D1259" s="40"/>
      <c r="F1259" s="40"/>
      <c r="G1259" s="40"/>
      <c r="H1259" s="42"/>
      <c r="I1259" s="42" t="str">
        <f t="shared" si="15"/>
        <v/>
      </c>
    </row>
    <row r="1260" spans="2:9" x14ac:dyDescent="0.25">
      <c r="B1260" s="39"/>
      <c r="C1260" s="40"/>
      <c r="D1260" s="40"/>
      <c r="F1260" s="40"/>
      <c r="G1260" s="40"/>
      <c r="H1260" s="42"/>
      <c r="I1260" s="42" t="str">
        <f t="shared" si="15"/>
        <v/>
      </c>
    </row>
    <row r="1261" spans="2:9" x14ac:dyDescent="0.25">
      <c r="B1261" s="39"/>
      <c r="C1261" s="40"/>
      <c r="D1261" s="40"/>
      <c r="F1261" s="40"/>
      <c r="G1261" s="40"/>
      <c r="H1261" s="42"/>
      <c r="I1261" s="42" t="str">
        <f t="shared" si="15"/>
        <v/>
      </c>
    </row>
    <row r="1262" spans="2:9" x14ac:dyDescent="0.25">
      <c r="B1262" s="39"/>
      <c r="C1262" s="40"/>
      <c r="D1262" s="40"/>
      <c r="F1262" s="40"/>
      <c r="G1262" s="40"/>
      <c r="H1262" s="42"/>
      <c r="I1262" s="42" t="str">
        <f t="shared" si="15"/>
        <v/>
      </c>
    </row>
    <row r="1263" spans="2:9" x14ac:dyDescent="0.25">
      <c r="B1263" s="39"/>
      <c r="C1263" s="40"/>
      <c r="D1263" s="40"/>
      <c r="F1263" s="40"/>
      <c r="G1263" s="40"/>
      <c r="H1263" s="42"/>
      <c r="I1263" s="42" t="str">
        <f t="shared" si="15"/>
        <v/>
      </c>
    </row>
    <row r="1264" spans="2:9" x14ac:dyDescent="0.25">
      <c r="B1264" s="39"/>
      <c r="C1264" s="40"/>
      <c r="D1264" s="40"/>
      <c r="F1264" s="40"/>
      <c r="G1264" s="40"/>
      <c r="H1264" s="42"/>
      <c r="I1264" s="42" t="str">
        <f t="shared" si="15"/>
        <v/>
      </c>
    </row>
    <row r="1265" spans="2:9" x14ac:dyDescent="0.25">
      <c r="B1265" s="39"/>
      <c r="C1265" s="40"/>
      <c r="D1265" s="40"/>
      <c r="F1265" s="40"/>
      <c r="G1265" s="40"/>
      <c r="H1265" s="42"/>
      <c r="I1265" s="42" t="str">
        <f t="shared" si="15"/>
        <v/>
      </c>
    </row>
    <row r="1266" spans="2:9" x14ac:dyDescent="0.25">
      <c r="B1266" s="39"/>
      <c r="C1266" s="40"/>
      <c r="D1266" s="40"/>
      <c r="F1266" s="40"/>
      <c r="G1266" s="40"/>
      <c r="H1266" s="42"/>
      <c r="I1266" s="42" t="str">
        <f t="shared" si="15"/>
        <v/>
      </c>
    </row>
    <row r="1267" spans="2:9" x14ac:dyDescent="0.25">
      <c r="B1267" s="39"/>
      <c r="C1267" s="40"/>
      <c r="D1267" s="40"/>
      <c r="F1267" s="40"/>
      <c r="G1267" s="40"/>
      <c r="H1267" s="42"/>
      <c r="I1267" s="42" t="str">
        <f t="shared" si="15"/>
        <v/>
      </c>
    </row>
    <row r="1268" spans="2:9" x14ac:dyDescent="0.25">
      <c r="B1268" s="39"/>
      <c r="C1268" s="40"/>
      <c r="D1268" s="40"/>
      <c r="F1268" s="40"/>
      <c r="G1268" s="40"/>
      <c r="H1268" s="42"/>
      <c r="I1268" s="42" t="str">
        <f t="shared" si="15"/>
        <v/>
      </c>
    </row>
    <row r="1269" spans="2:9" x14ac:dyDescent="0.25">
      <c r="B1269" s="39"/>
      <c r="C1269" s="40"/>
      <c r="D1269" s="40"/>
      <c r="F1269" s="40"/>
      <c r="G1269" s="40"/>
      <c r="H1269" s="42"/>
      <c r="I1269" s="42" t="str">
        <f t="shared" si="15"/>
        <v/>
      </c>
    </row>
    <row r="1270" spans="2:9" x14ac:dyDescent="0.25">
      <c r="B1270" s="39"/>
      <c r="C1270" s="40"/>
      <c r="D1270" s="40"/>
      <c r="F1270" s="40"/>
      <c r="G1270" s="40"/>
      <c r="H1270" s="42"/>
      <c r="I1270" s="42" t="str">
        <f t="shared" si="15"/>
        <v/>
      </c>
    </row>
    <row r="1271" spans="2:9" x14ac:dyDescent="0.25">
      <c r="B1271" s="39"/>
      <c r="C1271" s="40"/>
      <c r="D1271" s="40"/>
      <c r="F1271" s="40"/>
      <c r="G1271" s="40"/>
      <c r="H1271" s="42"/>
      <c r="I1271" s="42" t="str">
        <f t="shared" si="15"/>
        <v/>
      </c>
    </row>
    <row r="1272" spans="2:9" x14ac:dyDescent="0.25">
      <c r="B1272" s="39"/>
      <c r="C1272" s="40"/>
      <c r="D1272" s="40"/>
      <c r="F1272" s="40"/>
      <c r="G1272" s="40"/>
      <c r="H1272" s="42"/>
      <c r="I1272" s="42" t="str">
        <f t="shared" si="15"/>
        <v/>
      </c>
    </row>
    <row r="1273" spans="2:9" x14ac:dyDescent="0.25">
      <c r="B1273" s="39"/>
      <c r="C1273" s="40"/>
      <c r="D1273" s="40"/>
      <c r="F1273" s="40"/>
      <c r="G1273" s="40"/>
      <c r="H1273" s="42"/>
      <c r="I1273" s="42" t="str">
        <f t="shared" si="15"/>
        <v/>
      </c>
    </row>
    <row r="1274" spans="2:9" x14ac:dyDescent="0.25">
      <c r="B1274" s="39"/>
      <c r="C1274" s="40"/>
      <c r="D1274" s="40"/>
      <c r="F1274" s="40"/>
      <c r="G1274" s="40"/>
      <c r="H1274" s="42"/>
      <c r="I1274" s="42" t="str">
        <f t="shared" si="15"/>
        <v/>
      </c>
    </row>
    <row r="1275" spans="2:9" x14ac:dyDescent="0.25">
      <c r="B1275" s="39"/>
      <c r="C1275" s="40"/>
      <c r="D1275" s="40"/>
      <c r="F1275" s="40"/>
      <c r="G1275" s="40"/>
      <c r="H1275" s="42"/>
      <c r="I1275" s="42" t="str">
        <f t="shared" si="15"/>
        <v/>
      </c>
    </row>
    <row r="1276" spans="2:9" x14ac:dyDescent="0.25">
      <c r="B1276" s="39"/>
      <c r="C1276" s="40"/>
      <c r="D1276" s="40"/>
      <c r="F1276" s="40"/>
      <c r="G1276" s="40"/>
      <c r="H1276" s="42"/>
      <c r="I1276" s="42" t="str">
        <f t="shared" si="15"/>
        <v/>
      </c>
    </row>
    <row r="1277" spans="2:9" x14ac:dyDescent="0.25">
      <c r="B1277" s="39"/>
      <c r="C1277" s="40"/>
      <c r="D1277" s="40"/>
      <c r="F1277" s="40"/>
      <c r="G1277" s="40"/>
      <c r="H1277" s="42"/>
      <c r="I1277" s="42" t="str">
        <f t="shared" si="15"/>
        <v/>
      </c>
    </row>
    <row r="1278" spans="2:9" x14ac:dyDescent="0.25">
      <c r="B1278" s="39"/>
      <c r="C1278" s="40"/>
      <c r="D1278" s="40"/>
      <c r="F1278" s="40"/>
      <c r="G1278" s="40"/>
      <c r="H1278" s="42"/>
      <c r="I1278" s="42" t="str">
        <f t="shared" si="15"/>
        <v/>
      </c>
    </row>
    <row r="1279" spans="2:9" x14ac:dyDescent="0.25">
      <c r="B1279" s="39"/>
      <c r="C1279" s="40"/>
      <c r="D1279" s="40"/>
      <c r="F1279" s="40"/>
      <c r="G1279" s="40"/>
      <c r="H1279" s="42"/>
      <c r="I1279" s="42" t="str">
        <f t="shared" si="15"/>
        <v/>
      </c>
    </row>
    <row r="1280" spans="2:9" x14ac:dyDescent="0.25">
      <c r="B1280" s="39"/>
      <c r="C1280" s="40"/>
      <c r="D1280" s="40"/>
      <c r="F1280" s="40"/>
      <c r="G1280" s="40"/>
      <c r="H1280" s="42"/>
      <c r="I1280" s="42" t="str">
        <f t="shared" ref="I1280:I1343" si="16">IF(H1280&lt;&gt;"",H1280-H1279,"")</f>
        <v/>
      </c>
    </row>
    <row r="1281" spans="2:9" x14ac:dyDescent="0.25">
      <c r="B1281" s="39"/>
      <c r="C1281" s="40"/>
      <c r="D1281" s="40"/>
      <c r="F1281" s="40"/>
      <c r="G1281" s="40"/>
      <c r="H1281" s="42"/>
      <c r="I1281" s="42" t="str">
        <f t="shared" si="16"/>
        <v/>
      </c>
    </row>
    <row r="1282" spans="2:9" x14ac:dyDescent="0.25">
      <c r="B1282" s="39"/>
      <c r="C1282" s="40"/>
      <c r="D1282" s="40"/>
      <c r="F1282" s="40"/>
      <c r="G1282" s="40"/>
      <c r="H1282" s="42"/>
      <c r="I1282" s="42" t="str">
        <f t="shared" si="16"/>
        <v/>
      </c>
    </row>
    <row r="1283" spans="2:9" x14ac:dyDescent="0.25">
      <c r="B1283" s="39"/>
      <c r="C1283" s="40"/>
      <c r="D1283" s="40"/>
      <c r="F1283" s="40"/>
      <c r="G1283" s="40"/>
      <c r="H1283" s="42"/>
      <c r="I1283" s="42" t="str">
        <f t="shared" si="16"/>
        <v/>
      </c>
    </row>
    <row r="1284" spans="2:9" x14ac:dyDescent="0.25">
      <c r="B1284" s="39"/>
      <c r="C1284" s="40"/>
      <c r="D1284" s="40"/>
      <c r="F1284" s="40"/>
      <c r="G1284" s="40"/>
      <c r="H1284" s="42"/>
      <c r="I1284" s="42" t="str">
        <f t="shared" si="16"/>
        <v/>
      </c>
    </row>
    <row r="1285" spans="2:9" x14ac:dyDescent="0.25">
      <c r="B1285" s="39"/>
      <c r="C1285" s="40"/>
      <c r="D1285" s="40"/>
      <c r="F1285" s="40"/>
      <c r="G1285" s="40"/>
      <c r="H1285" s="42"/>
      <c r="I1285" s="42" t="str">
        <f t="shared" si="16"/>
        <v/>
      </c>
    </row>
    <row r="1286" spans="2:9" x14ac:dyDescent="0.25">
      <c r="B1286" s="39"/>
      <c r="C1286" s="40"/>
      <c r="D1286" s="40"/>
      <c r="F1286" s="40"/>
      <c r="G1286" s="40"/>
      <c r="H1286" s="42"/>
      <c r="I1286" s="42" t="str">
        <f t="shared" si="16"/>
        <v/>
      </c>
    </row>
    <row r="1287" spans="2:9" x14ac:dyDescent="0.25">
      <c r="B1287" s="39"/>
      <c r="C1287" s="40"/>
      <c r="D1287" s="40"/>
      <c r="F1287" s="40"/>
      <c r="G1287" s="40"/>
      <c r="H1287" s="42"/>
      <c r="I1287" s="42" t="str">
        <f t="shared" si="16"/>
        <v/>
      </c>
    </row>
    <row r="1288" spans="2:9" x14ac:dyDescent="0.25">
      <c r="B1288" s="39"/>
      <c r="C1288" s="40"/>
      <c r="D1288" s="40"/>
      <c r="F1288" s="40"/>
      <c r="G1288" s="40"/>
      <c r="H1288" s="42"/>
      <c r="I1288" s="42" t="str">
        <f t="shared" si="16"/>
        <v/>
      </c>
    </row>
    <row r="1289" spans="2:9" x14ac:dyDescent="0.25">
      <c r="B1289" s="39"/>
      <c r="C1289" s="40"/>
      <c r="D1289" s="40"/>
      <c r="F1289" s="40"/>
      <c r="G1289" s="40"/>
      <c r="H1289" s="42"/>
      <c r="I1289" s="42" t="str">
        <f t="shared" si="16"/>
        <v/>
      </c>
    </row>
    <row r="1290" spans="2:9" x14ac:dyDescent="0.25">
      <c r="B1290" s="39"/>
      <c r="C1290" s="40"/>
      <c r="D1290" s="40"/>
      <c r="F1290" s="40"/>
      <c r="G1290" s="40"/>
      <c r="H1290" s="42"/>
      <c r="I1290" s="42" t="str">
        <f t="shared" si="16"/>
        <v/>
      </c>
    </row>
    <row r="1291" spans="2:9" x14ac:dyDescent="0.25">
      <c r="B1291" s="39"/>
      <c r="C1291" s="40"/>
      <c r="D1291" s="40"/>
      <c r="F1291" s="40"/>
      <c r="G1291" s="40"/>
      <c r="H1291" s="42"/>
      <c r="I1291" s="42" t="str">
        <f t="shared" si="16"/>
        <v/>
      </c>
    </row>
    <row r="1292" spans="2:9" x14ac:dyDescent="0.25">
      <c r="B1292" s="39"/>
      <c r="C1292" s="40"/>
      <c r="D1292" s="40"/>
      <c r="F1292" s="40"/>
      <c r="G1292" s="40"/>
      <c r="H1292" s="42"/>
      <c r="I1292" s="42" t="str">
        <f t="shared" si="16"/>
        <v/>
      </c>
    </row>
    <row r="1293" spans="2:9" x14ac:dyDescent="0.25">
      <c r="B1293" s="39"/>
      <c r="C1293" s="40"/>
      <c r="D1293" s="40"/>
      <c r="F1293" s="40"/>
      <c r="G1293" s="40"/>
      <c r="H1293" s="42"/>
      <c r="I1293" s="42" t="str">
        <f t="shared" si="16"/>
        <v/>
      </c>
    </row>
    <row r="1294" spans="2:9" x14ac:dyDescent="0.25">
      <c r="B1294" s="39"/>
      <c r="C1294" s="40"/>
      <c r="D1294" s="40"/>
      <c r="F1294" s="40"/>
      <c r="G1294" s="40"/>
      <c r="H1294" s="42"/>
      <c r="I1294" s="42" t="str">
        <f t="shared" si="16"/>
        <v/>
      </c>
    </row>
    <row r="1295" spans="2:9" x14ac:dyDescent="0.25">
      <c r="B1295" s="39"/>
      <c r="C1295" s="40"/>
      <c r="D1295" s="40"/>
      <c r="F1295" s="40"/>
      <c r="G1295" s="40"/>
      <c r="H1295" s="42"/>
      <c r="I1295" s="42" t="str">
        <f t="shared" si="16"/>
        <v/>
      </c>
    </row>
    <row r="1296" spans="2:9" x14ac:dyDescent="0.25">
      <c r="B1296" s="39"/>
      <c r="C1296" s="40"/>
      <c r="D1296" s="40"/>
      <c r="F1296" s="40"/>
      <c r="G1296" s="40"/>
      <c r="H1296" s="42"/>
      <c r="I1296" s="42" t="str">
        <f t="shared" si="16"/>
        <v/>
      </c>
    </row>
    <row r="1297" spans="2:9" x14ac:dyDescent="0.25">
      <c r="B1297" s="39"/>
      <c r="C1297" s="40"/>
      <c r="D1297" s="40"/>
      <c r="F1297" s="40"/>
      <c r="G1297" s="40"/>
      <c r="H1297" s="42"/>
      <c r="I1297" s="42" t="str">
        <f t="shared" si="16"/>
        <v/>
      </c>
    </row>
    <row r="1298" spans="2:9" x14ac:dyDescent="0.25">
      <c r="B1298" s="39"/>
      <c r="C1298" s="40"/>
      <c r="D1298" s="40"/>
      <c r="F1298" s="40"/>
      <c r="G1298" s="40"/>
      <c r="H1298" s="42"/>
      <c r="I1298" s="42" t="str">
        <f t="shared" si="16"/>
        <v/>
      </c>
    </row>
    <row r="1299" spans="2:9" x14ac:dyDescent="0.25">
      <c r="B1299" s="39"/>
      <c r="C1299" s="40"/>
      <c r="D1299" s="40"/>
      <c r="F1299" s="40"/>
      <c r="G1299" s="40"/>
      <c r="H1299" s="42"/>
      <c r="I1299" s="42" t="str">
        <f t="shared" si="16"/>
        <v/>
      </c>
    </row>
    <row r="1300" spans="2:9" x14ac:dyDescent="0.25">
      <c r="B1300" s="39"/>
      <c r="C1300" s="40"/>
      <c r="D1300" s="40"/>
      <c r="F1300" s="40"/>
      <c r="G1300" s="40"/>
      <c r="H1300" s="42"/>
      <c r="I1300" s="42" t="str">
        <f t="shared" si="16"/>
        <v/>
      </c>
    </row>
    <row r="1301" spans="2:9" x14ac:dyDescent="0.25">
      <c r="B1301" s="39"/>
      <c r="C1301" s="40"/>
      <c r="D1301" s="40"/>
      <c r="F1301" s="40"/>
      <c r="G1301" s="40"/>
      <c r="H1301" s="42"/>
      <c r="I1301" s="42" t="str">
        <f t="shared" si="16"/>
        <v/>
      </c>
    </row>
    <row r="1302" spans="2:9" x14ac:dyDescent="0.25">
      <c r="B1302" s="39"/>
      <c r="C1302" s="40"/>
      <c r="D1302" s="40"/>
      <c r="F1302" s="40"/>
      <c r="G1302" s="40"/>
      <c r="H1302" s="42"/>
      <c r="I1302" s="42" t="str">
        <f t="shared" si="16"/>
        <v/>
      </c>
    </row>
    <row r="1303" spans="2:9" x14ac:dyDescent="0.25">
      <c r="B1303" s="39"/>
      <c r="C1303" s="40"/>
      <c r="D1303" s="40"/>
      <c r="F1303" s="40"/>
      <c r="G1303" s="40"/>
      <c r="H1303" s="42"/>
      <c r="I1303" s="42" t="str">
        <f t="shared" si="16"/>
        <v/>
      </c>
    </row>
    <row r="1304" spans="2:9" x14ac:dyDescent="0.25">
      <c r="B1304" s="39"/>
      <c r="C1304" s="40"/>
      <c r="D1304" s="40"/>
      <c r="F1304" s="40"/>
      <c r="G1304" s="40"/>
      <c r="H1304" s="42"/>
      <c r="I1304" s="42" t="str">
        <f t="shared" si="16"/>
        <v/>
      </c>
    </row>
    <row r="1305" spans="2:9" x14ac:dyDescent="0.25">
      <c r="B1305" s="39"/>
      <c r="C1305" s="40"/>
      <c r="D1305" s="40"/>
      <c r="F1305" s="40"/>
      <c r="G1305" s="40"/>
      <c r="H1305" s="42"/>
      <c r="I1305" s="42" t="str">
        <f t="shared" si="16"/>
        <v/>
      </c>
    </row>
    <row r="1306" spans="2:9" x14ac:dyDescent="0.25">
      <c r="B1306" s="39"/>
      <c r="C1306" s="40"/>
      <c r="D1306" s="40"/>
      <c r="F1306" s="40"/>
      <c r="G1306" s="40"/>
      <c r="H1306" s="42"/>
      <c r="I1306" s="42" t="str">
        <f t="shared" si="16"/>
        <v/>
      </c>
    </row>
    <row r="1307" spans="2:9" x14ac:dyDescent="0.25">
      <c r="B1307" s="39"/>
      <c r="C1307" s="40"/>
      <c r="D1307" s="40"/>
      <c r="F1307" s="40"/>
      <c r="G1307" s="40"/>
      <c r="H1307" s="42"/>
      <c r="I1307" s="42" t="str">
        <f t="shared" si="16"/>
        <v/>
      </c>
    </row>
    <row r="1308" spans="2:9" x14ac:dyDescent="0.25">
      <c r="B1308" s="39"/>
      <c r="C1308" s="40"/>
      <c r="D1308" s="40"/>
      <c r="F1308" s="40"/>
      <c r="G1308" s="40"/>
      <c r="H1308" s="42"/>
      <c r="I1308" s="42" t="str">
        <f t="shared" si="16"/>
        <v/>
      </c>
    </row>
    <row r="1309" spans="2:9" x14ac:dyDescent="0.25">
      <c r="B1309" s="39"/>
      <c r="C1309" s="40"/>
      <c r="D1309" s="40"/>
      <c r="F1309" s="40"/>
      <c r="G1309" s="40"/>
      <c r="H1309" s="42"/>
      <c r="I1309" s="42" t="str">
        <f t="shared" si="16"/>
        <v/>
      </c>
    </row>
    <row r="1310" spans="2:9" x14ac:dyDescent="0.25">
      <c r="B1310" s="39"/>
      <c r="C1310" s="40"/>
      <c r="D1310" s="40"/>
      <c r="F1310" s="40"/>
      <c r="G1310" s="40"/>
      <c r="H1310" s="42"/>
      <c r="I1310" s="42" t="str">
        <f t="shared" si="16"/>
        <v/>
      </c>
    </row>
    <row r="1311" spans="2:9" x14ac:dyDescent="0.25">
      <c r="B1311" s="39"/>
      <c r="C1311" s="40"/>
      <c r="D1311" s="40"/>
      <c r="F1311" s="40"/>
      <c r="G1311" s="40"/>
      <c r="H1311" s="42"/>
      <c r="I1311" s="42" t="str">
        <f t="shared" si="16"/>
        <v/>
      </c>
    </row>
    <row r="1312" spans="2:9" x14ac:dyDescent="0.25">
      <c r="B1312" s="39"/>
      <c r="C1312" s="40"/>
      <c r="D1312" s="40"/>
      <c r="F1312" s="40"/>
      <c r="G1312" s="40"/>
      <c r="H1312" s="42"/>
      <c r="I1312" s="42" t="str">
        <f t="shared" si="16"/>
        <v/>
      </c>
    </row>
    <row r="1313" spans="2:9" x14ac:dyDescent="0.25">
      <c r="B1313" s="39"/>
      <c r="C1313" s="40"/>
      <c r="D1313" s="40"/>
      <c r="F1313" s="40"/>
      <c r="G1313" s="40"/>
      <c r="H1313" s="42"/>
      <c r="I1313" s="42" t="str">
        <f t="shared" si="16"/>
        <v/>
      </c>
    </row>
    <row r="1314" spans="2:9" x14ac:dyDescent="0.25">
      <c r="B1314" s="39"/>
      <c r="C1314" s="40"/>
      <c r="D1314" s="40"/>
      <c r="F1314" s="40"/>
      <c r="G1314" s="40"/>
      <c r="H1314" s="42"/>
      <c r="I1314" s="42" t="str">
        <f t="shared" si="16"/>
        <v/>
      </c>
    </row>
    <row r="1315" spans="2:9" x14ac:dyDescent="0.25">
      <c r="B1315" s="39"/>
      <c r="C1315" s="40"/>
      <c r="D1315" s="40"/>
      <c r="F1315" s="40"/>
      <c r="G1315" s="40"/>
      <c r="H1315" s="42"/>
      <c r="I1315" s="42" t="str">
        <f t="shared" si="16"/>
        <v/>
      </c>
    </row>
    <row r="1316" spans="2:9" x14ac:dyDescent="0.25">
      <c r="B1316" s="39"/>
      <c r="C1316" s="40"/>
      <c r="D1316" s="40"/>
      <c r="F1316" s="40"/>
      <c r="G1316" s="40"/>
      <c r="H1316" s="42"/>
      <c r="I1316" s="42" t="str">
        <f t="shared" si="16"/>
        <v/>
      </c>
    </row>
    <row r="1317" spans="2:9" x14ac:dyDescent="0.25">
      <c r="B1317" s="39"/>
      <c r="C1317" s="40"/>
      <c r="D1317" s="40"/>
      <c r="F1317" s="40"/>
      <c r="G1317" s="40"/>
      <c r="H1317" s="42"/>
      <c r="I1317" s="42" t="str">
        <f t="shared" si="16"/>
        <v/>
      </c>
    </row>
    <row r="1318" spans="2:9" x14ac:dyDescent="0.25">
      <c r="B1318" s="39"/>
      <c r="C1318" s="40"/>
      <c r="D1318" s="40"/>
      <c r="F1318" s="40"/>
      <c r="G1318" s="40"/>
      <c r="H1318" s="42"/>
      <c r="I1318" s="42" t="str">
        <f t="shared" si="16"/>
        <v/>
      </c>
    </row>
    <row r="1319" spans="2:9" x14ac:dyDescent="0.25">
      <c r="B1319" s="39"/>
      <c r="C1319" s="40"/>
      <c r="D1319" s="40"/>
      <c r="F1319" s="40"/>
      <c r="G1319" s="40"/>
      <c r="H1319" s="42"/>
      <c r="I1319" s="42" t="str">
        <f t="shared" si="16"/>
        <v/>
      </c>
    </row>
    <row r="1320" spans="2:9" x14ac:dyDescent="0.25">
      <c r="B1320" s="39"/>
      <c r="C1320" s="40"/>
      <c r="D1320" s="40"/>
      <c r="F1320" s="40"/>
      <c r="G1320" s="40"/>
      <c r="H1320" s="42"/>
      <c r="I1320" s="42" t="str">
        <f t="shared" si="16"/>
        <v/>
      </c>
    </row>
    <row r="1321" spans="2:9" x14ac:dyDescent="0.25">
      <c r="B1321" s="39"/>
      <c r="C1321" s="40"/>
      <c r="D1321" s="40"/>
      <c r="F1321" s="40"/>
      <c r="G1321" s="40"/>
      <c r="H1321" s="42"/>
      <c r="I1321" s="42" t="str">
        <f t="shared" si="16"/>
        <v/>
      </c>
    </row>
    <row r="1322" spans="2:9" x14ac:dyDescent="0.25">
      <c r="B1322" s="39"/>
      <c r="C1322" s="40"/>
      <c r="D1322" s="40"/>
      <c r="F1322" s="40"/>
      <c r="G1322" s="40"/>
      <c r="H1322" s="42"/>
      <c r="I1322" s="42" t="str">
        <f t="shared" si="16"/>
        <v/>
      </c>
    </row>
    <row r="1323" spans="2:9" x14ac:dyDescent="0.25">
      <c r="B1323" s="39"/>
      <c r="C1323" s="40"/>
      <c r="D1323" s="40"/>
      <c r="F1323" s="40"/>
      <c r="G1323" s="40"/>
      <c r="H1323" s="42"/>
      <c r="I1323" s="42" t="str">
        <f t="shared" si="16"/>
        <v/>
      </c>
    </row>
    <row r="1324" spans="2:9" x14ac:dyDescent="0.25">
      <c r="B1324" s="39"/>
      <c r="C1324" s="40"/>
      <c r="D1324" s="40"/>
      <c r="F1324" s="40"/>
      <c r="G1324" s="40"/>
      <c r="H1324" s="42"/>
      <c r="I1324" s="42" t="str">
        <f t="shared" si="16"/>
        <v/>
      </c>
    </row>
    <row r="1325" spans="2:9" x14ac:dyDescent="0.25">
      <c r="B1325" s="39"/>
      <c r="C1325" s="40"/>
      <c r="D1325" s="40"/>
      <c r="F1325" s="40"/>
      <c r="G1325" s="40"/>
      <c r="H1325" s="42"/>
      <c r="I1325" s="42" t="str">
        <f t="shared" si="16"/>
        <v/>
      </c>
    </row>
    <row r="1326" spans="2:9" x14ac:dyDescent="0.25">
      <c r="B1326" s="39"/>
      <c r="C1326" s="40"/>
      <c r="D1326" s="40"/>
      <c r="F1326" s="40"/>
      <c r="G1326" s="40"/>
      <c r="H1326" s="42"/>
      <c r="I1326" s="42" t="str">
        <f t="shared" si="16"/>
        <v/>
      </c>
    </row>
    <row r="1327" spans="2:9" x14ac:dyDescent="0.25">
      <c r="B1327" s="39"/>
      <c r="C1327" s="40"/>
      <c r="D1327" s="40"/>
      <c r="F1327" s="40"/>
      <c r="G1327" s="40"/>
      <c r="H1327" s="42"/>
      <c r="I1327" s="42" t="str">
        <f t="shared" si="16"/>
        <v/>
      </c>
    </row>
    <row r="1328" spans="2:9" x14ac:dyDescent="0.25">
      <c r="B1328" s="39"/>
      <c r="C1328" s="40"/>
      <c r="D1328" s="40"/>
      <c r="F1328" s="40"/>
      <c r="G1328" s="40"/>
      <c r="H1328" s="42"/>
      <c r="I1328" s="42" t="str">
        <f t="shared" si="16"/>
        <v/>
      </c>
    </row>
    <row r="1329" spans="2:9" x14ac:dyDescent="0.25">
      <c r="B1329" s="39"/>
      <c r="C1329" s="40"/>
      <c r="D1329" s="40"/>
      <c r="F1329" s="40"/>
      <c r="G1329" s="40"/>
      <c r="H1329" s="42"/>
      <c r="I1329" s="42" t="str">
        <f t="shared" si="16"/>
        <v/>
      </c>
    </row>
    <row r="1330" spans="2:9" x14ac:dyDescent="0.25">
      <c r="B1330" s="39"/>
      <c r="C1330" s="40"/>
      <c r="D1330" s="40"/>
      <c r="F1330" s="40"/>
      <c r="G1330" s="40"/>
      <c r="H1330" s="42"/>
      <c r="I1330" s="42" t="str">
        <f t="shared" si="16"/>
        <v/>
      </c>
    </row>
    <row r="1331" spans="2:9" x14ac:dyDescent="0.25">
      <c r="B1331" s="39"/>
      <c r="C1331" s="40"/>
      <c r="D1331" s="40"/>
      <c r="F1331" s="40"/>
      <c r="G1331" s="40"/>
      <c r="H1331" s="42"/>
      <c r="I1331" s="42" t="str">
        <f t="shared" si="16"/>
        <v/>
      </c>
    </row>
    <row r="1332" spans="2:9" x14ac:dyDescent="0.25">
      <c r="B1332" s="39"/>
      <c r="C1332" s="40"/>
      <c r="D1332" s="40"/>
      <c r="F1332" s="40"/>
      <c r="G1332" s="40"/>
      <c r="H1332" s="42"/>
      <c r="I1332" s="42" t="str">
        <f t="shared" si="16"/>
        <v/>
      </c>
    </row>
    <row r="1333" spans="2:9" x14ac:dyDescent="0.25">
      <c r="B1333" s="39"/>
      <c r="C1333" s="40"/>
      <c r="D1333" s="40"/>
      <c r="F1333" s="40"/>
      <c r="G1333" s="40"/>
      <c r="H1333" s="42"/>
      <c r="I1333" s="42" t="str">
        <f t="shared" si="16"/>
        <v/>
      </c>
    </row>
    <row r="1334" spans="2:9" x14ac:dyDescent="0.25">
      <c r="B1334" s="39"/>
      <c r="C1334" s="40"/>
      <c r="D1334" s="40"/>
      <c r="F1334" s="40"/>
      <c r="G1334" s="40"/>
      <c r="H1334" s="42"/>
      <c r="I1334" s="42" t="str">
        <f t="shared" si="16"/>
        <v/>
      </c>
    </row>
    <row r="1335" spans="2:9" x14ac:dyDescent="0.25">
      <c r="B1335" s="39"/>
      <c r="C1335" s="40"/>
      <c r="D1335" s="40"/>
      <c r="F1335" s="40"/>
      <c r="G1335" s="40"/>
      <c r="H1335" s="42"/>
      <c r="I1335" s="42" t="str">
        <f t="shared" si="16"/>
        <v/>
      </c>
    </row>
    <row r="1336" spans="2:9" x14ac:dyDescent="0.25">
      <c r="B1336" s="39"/>
      <c r="C1336" s="40"/>
      <c r="D1336" s="40"/>
      <c r="F1336" s="40"/>
      <c r="G1336" s="40"/>
      <c r="H1336" s="42"/>
      <c r="I1336" s="42" t="str">
        <f t="shared" si="16"/>
        <v/>
      </c>
    </row>
    <row r="1337" spans="2:9" x14ac:dyDescent="0.25">
      <c r="B1337" s="39"/>
      <c r="C1337" s="40"/>
      <c r="D1337" s="40"/>
      <c r="F1337" s="40"/>
      <c r="G1337" s="40"/>
      <c r="H1337" s="42"/>
      <c r="I1337" s="42" t="str">
        <f t="shared" si="16"/>
        <v/>
      </c>
    </row>
    <row r="1338" spans="2:9" x14ac:dyDescent="0.25">
      <c r="B1338" s="39"/>
      <c r="C1338" s="40"/>
      <c r="D1338" s="40"/>
      <c r="F1338" s="40"/>
      <c r="G1338" s="40"/>
      <c r="H1338" s="42"/>
      <c r="I1338" s="42" t="str">
        <f t="shared" si="16"/>
        <v/>
      </c>
    </row>
    <row r="1339" spans="2:9" x14ac:dyDescent="0.25">
      <c r="B1339" s="39"/>
      <c r="C1339" s="40"/>
      <c r="D1339" s="40"/>
      <c r="F1339" s="40"/>
      <c r="G1339" s="40"/>
      <c r="H1339" s="42"/>
      <c r="I1339" s="42" t="str">
        <f t="shared" si="16"/>
        <v/>
      </c>
    </row>
    <row r="1340" spans="2:9" x14ac:dyDescent="0.25">
      <c r="B1340" s="39"/>
      <c r="C1340" s="40"/>
      <c r="D1340" s="40"/>
      <c r="F1340" s="40"/>
      <c r="G1340" s="40"/>
      <c r="H1340" s="42"/>
      <c r="I1340" s="42" t="str">
        <f t="shared" si="16"/>
        <v/>
      </c>
    </row>
    <row r="1341" spans="2:9" x14ac:dyDescent="0.25">
      <c r="B1341" s="39"/>
      <c r="C1341" s="40"/>
      <c r="D1341" s="40"/>
      <c r="F1341" s="40"/>
      <c r="G1341" s="40"/>
      <c r="H1341" s="42"/>
      <c r="I1341" s="42" t="str">
        <f t="shared" si="16"/>
        <v/>
      </c>
    </row>
    <row r="1342" spans="2:9" x14ac:dyDescent="0.25">
      <c r="B1342" s="39"/>
      <c r="C1342" s="40"/>
      <c r="D1342" s="40"/>
      <c r="F1342" s="40"/>
      <c r="G1342" s="40"/>
      <c r="H1342" s="42"/>
      <c r="I1342" s="42" t="str">
        <f t="shared" si="16"/>
        <v/>
      </c>
    </row>
    <row r="1343" spans="2:9" x14ac:dyDescent="0.25">
      <c r="B1343" s="39"/>
      <c r="C1343" s="40"/>
      <c r="D1343" s="40"/>
      <c r="F1343" s="40"/>
      <c r="G1343" s="40"/>
      <c r="H1343" s="42"/>
      <c r="I1343" s="42" t="str">
        <f t="shared" si="16"/>
        <v/>
      </c>
    </row>
    <row r="1344" spans="2:9" x14ac:dyDescent="0.25">
      <c r="B1344" s="39"/>
      <c r="C1344" s="40"/>
      <c r="D1344" s="40"/>
      <c r="F1344" s="40"/>
      <c r="G1344" s="40"/>
      <c r="H1344" s="42"/>
      <c r="I1344" s="42" t="str">
        <f t="shared" ref="I1344:I1407" si="17">IF(H1344&lt;&gt;"",H1344-H1343,"")</f>
        <v/>
      </c>
    </row>
    <row r="1345" spans="2:9" x14ac:dyDescent="0.25">
      <c r="B1345" s="39"/>
      <c r="C1345" s="40"/>
      <c r="D1345" s="40"/>
      <c r="F1345" s="40"/>
      <c r="G1345" s="40"/>
      <c r="H1345" s="42"/>
      <c r="I1345" s="42" t="str">
        <f t="shared" si="17"/>
        <v/>
      </c>
    </row>
    <row r="1346" spans="2:9" x14ac:dyDescent="0.25">
      <c r="B1346" s="39"/>
      <c r="C1346" s="40"/>
      <c r="D1346" s="40"/>
      <c r="F1346" s="40"/>
      <c r="G1346" s="40"/>
      <c r="H1346" s="42"/>
      <c r="I1346" s="42" t="str">
        <f t="shared" si="17"/>
        <v/>
      </c>
    </row>
    <row r="1347" spans="2:9" x14ac:dyDescent="0.25">
      <c r="B1347" s="39"/>
      <c r="C1347" s="40"/>
      <c r="D1347" s="40"/>
      <c r="F1347" s="40"/>
      <c r="G1347" s="40"/>
      <c r="H1347" s="42"/>
      <c r="I1347" s="42" t="str">
        <f t="shared" si="17"/>
        <v/>
      </c>
    </row>
    <row r="1348" spans="2:9" x14ac:dyDescent="0.25">
      <c r="B1348" s="39"/>
      <c r="C1348" s="40"/>
      <c r="D1348" s="40"/>
      <c r="F1348" s="40"/>
      <c r="G1348" s="40"/>
      <c r="H1348" s="42"/>
      <c r="I1348" s="42" t="str">
        <f t="shared" si="17"/>
        <v/>
      </c>
    </row>
    <row r="1349" spans="2:9" x14ac:dyDescent="0.25">
      <c r="B1349" s="39"/>
      <c r="C1349" s="40"/>
      <c r="D1349" s="40"/>
      <c r="F1349" s="40"/>
      <c r="G1349" s="40"/>
      <c r="H1349" s="42"/>
      <c r="I1349" s="42" t="str">
        <f t="shared" si="17"/>
        <v/>
      </c>
    </row>
    <row r="1350" spans="2:9" x14ac:dyDescent="0.25">
      <c r="B1350" s="39"/>
      <c r="C1350" s="40"/>
      <c r="D1350" s="40"/>
      <c r="F1350" s="40"/>
      <c r="G1350" s="40"/>
      <c r="H1350" s="42"/>
      <c r="I1350" s="42" t="str">
        <f t="shared" si="17"/>
        <v/>
      </c>
    </row>
    <row r="1351" spans="2:9" x14ac:dyDescent="0.25">
      <c r="B1351" s="39"/>
      <c r="C1351" s="40"/>
      <c r="D1351" s="40"/>
      <c r="F1351" s="40"/>
      <c r="G1351" s="40"/>
      <c r="H1351" s="42"/>
      <c r="I1351" s="42" t="str">
        <f t="shared" si="17"/>
        <v/>
      </c>
    </row>
    <row r="1352" spans="2:9" x14ac:dyDescent="0.25">
      <c r="B1352" s="39"/>
      <c r="C1352" s="40"/>
      <c r="D1352" s="40"/>
      <c r="F1352" s="40"/>
      <c r="G1352" s="40"/>
      <c r="H1352" s="42"/>
      <c r="I1352" s="42" t="str">
        <f t="shared" si="17"/>
        <v/>
      </c>
    </row>
    <row r="1353" spans="2:9" x14ac:dyDescent="0.25">
      <c r="B1353" s="39"/>
      <c r="C1353" s="40"/>
      <c r="D1353" s="40"/>
      <c r="F1353" s="40"/>
      <c r="G1353" s="40"/>
      <c r="H1353" s="42"/>
      <c r="I1353" s="42" t="str">
        <f t="shared" si="17"/>
        <v/>
      </c>
    </row>
    <row r="1354" spans="2:9" x14ac:dyDescent="0.25">
      <c r="B1354" s="39"/>
      <c r="C1354" s="40"/>
      <c r="D1354" s="40"/>
      <c r="F1354" s="40"/>
      <c r="G1354" s="40"/>
      <c r="H1354" s="42"/>
      <c r="I1354" s="42" t="str">
        <f t="shared" si="17"/>
        <v/>
      </c>
    </row>
    <row r="1355" spans="2:9" x14ac:dyDescent="0.25">
      <c r="B1355" s="39"/>
      <c r="C1355" s="40"/>
      <c r="D1355" s="40"/>
      <c r="F1355" s="40"/>
      <c r="G1355" s="40"/>
      <c r="H1355" s="42"/>
      <c r="I1355" s="42" t="str">
        <f t="shared" si="17"/>
        <v/>
      </c>
    </row>
    <row r="1356" spans="2:9" x14ac:dyDescent="0.25">
      <c r="B1356" s="39"/>
      <c r="C1356" s="40"/>
      <c r="D1356" s="40"/>
      <c r="F1356" s="40"/>
      <c r="G1356" s="40"/>
      <c r="H1356" s="42"/>
      <c r="I1356" s="42" t="str">
        <f t="shared" si="17"/>
        <v/>
      </c>
    </row>
    <row r="1357" spans="2:9" x14ac:dyDescent="0.25">
      <c r="B1357" s="39"/>
      <c r="C1357" s="40"/>
      <c r="D1357" s="40"/>
      <c r="F1357" s="40"/>
      <c r="G1357" s="40"/>
      <c r="H1357" s="42"/>
      <c r="I1357" s="42" t="str">
        <f t="shared" si="17"/>
        <v/>
      </c>
    </row>
    <row r="1358" spans="2:9" x14ac:dyDescent="0.25">
      <c r="B1358" s="39"/>
      <c r="C1358" s="40"/>
      <c r="D1358" s="40"/>
      <c r="F1358" s="40"/>
      <c r="G1358" s="40"/>
      <c r="H1358" s="42"/>
      <c r="I1358" s="42" t="str">
        <f t="shared" si="17"/>
        <v/>
      </c>
    </row>
    <row r="1359" spans="2:9" x14ac:dyDescent="0.25">
      <c r="B1359" s="39"/>
      <c r="C1359" s="40"/>
      <c r="D1359" s="40"/>
      <c r="F1359" s="40"/>
      <c r="G1359" s="40"/>
      <c r="H1359" s="42"/>
      <c r="I1359" s="42" t="str">
        <f t="shared" si="17"/>
        <v/>
      </c>
    </row>
    <row r="1360" spans="2:9" x14ac:dyDescent="0.25">
      <c r="B1360" s="39"/>
      <c r="C1360" s="40"/>
      <c r="D1360" s="40"/>
      <c r="F1360" s="40"/>
      <c r="G1360" s="40"/>
      <c r="H1360" s="42"/>
      <c r="I1360" s="42" t="str">
        <f t="shared" si="17"/>
        <v/>
      </c>
    </row>
    <row r="1361" spans="2:9" x14ac:dyDescent="0.25">
      <c r="B1361" s="39"/>
      <c r="C1361" s="40"/>
      <c r="D1361" s="40"/>
      <c r="F1361" s="40"/>
      <c r="G1361" s="40"/>
      <c r="H1361" s="42"/>
      <c r="I1361" s="42" t="str">
        <f t="shared" si="17"/>
        <v/>
      </c>
    </row>
    <row r="1362" spans="2:9" x14ac:dyDescent="0.25">
      <c r="B1362" s="39"/>
      <c r="C1362" s="40"/>
      <c r="D1362" s="40"/>
      <c r="F1362" s="40"/>
      <c r="G1362" s="40"/>
      <c r="H1362" s="42"/>
      <c r="I1362" s="42" t="str">
        <f t="shared" si="17"/>
        <v/>
      </c>
    </row>
    <row r="1363" spans="2:9" x14ac:dyDescent="0.25">
      <c r="B1363" s="39"/>
      <c r="C1363" s="40"/>
      <c r="D1363" s="40"/>
      <c r="F1363" s="40"/>
      <c r="G1363" s="40"/>
      <c r="H1363" s="42"/>
      <c r="I1363" s="42" t="str">
        <f t="shared" si="17"/>
        <v/>
      </c>
    </row>
    <row r="1364" spans="2:9" x14ac:dyDescent="0.25">
      <c r="B1364" s="39"/>
      <c r="C1364" s="40"/>
      <c r="D1364" s="40"/>
      <c r="F1364" s="40"/>
      <c r="G1364" s="40"/>
      <c r="H1364" s="42"/>
      <c r="I1364" s="42" t="str">
        <f t="shared" si="17"/>
        <v/>
      </c>
    </row>
    <row r="1365" spans="2:9" x14ac:dyDescent="0.25">
      <c r="B1365" s="39"/>
      <c r="C1365" s="40"/>
      <c r="D1365" s="40"/>
      <c r="F1365" s="40"/>
      <c r="G1365" s="40"/>
      <c r="H1365" s="42"/>
      <c r="I1365" s="42" t="str">
        <f t="shared" si="17"/>
        <v/>
      </c>
    </row>
    <row r="1366" spans="2:9" x14ac:dyDescent="0.25">
      <c r="B1366" s="39"/>
      <c r="C1366" s="40"/>
      <c r="D1366" s="40"/>
      <c r="F1366" s="40"/>
      <c r="G1366" s="40"/>
      <c r="H1366" s="42"/>
      <c r="I1366" s="42" t="str">
        <f t="shared" si="17"/>
        <v/>
      </c>
    </row>
    <row r="1367" spans="2:9" x14ac:dyDescent="0.25">
      <c r="B1367" s="39"/>
      <c r="C1367" s="40"/>
      <c r="D1367" s="40"/>
      <c r="F1367" s="40"/>
      <c r="G1367" s="40"/>
      <c r="H1367" s="42"/>
      <c r="I1367" s="42" t="str">
        <f t="shared" si="17"/>
        <v/>
      </c>
    </row>
    <row r="1368" spans="2:9" x14ac:dyDescent="0.25">
      <c r="B1368" s="39"/>
      <c r="C1368" s="40"/>
      <c r="D1368" s="40"/>
      <c r="F1368" s="40"/>
      <c r="G1368" s="40"/>
      <c r="H1368" s="42"/>
      <c r="I1368" s="42" t="str">
        <f t="shared" si="17"/>
        <v/>
      </c>
    </row>
    <row r="1369" spans="2:9" x14ac:dyDescent="0.25">
      <c r="B1369" s="39"/>
      <c r="C1369" s="40"/>
      <c r="D1369" s="40"/>
      <c r="F1369" s="40"/>
      <c r="G1369" s="40"/>
      <c r="H1369" s="42"/>
      <c r="I1369" s="42" t="str">
        <f t="shared" si="17"/>
        <v/>
      </c>
    </row>
    <row r="1370" spans="2:9" x14ac:dyDescent="0.25">
      <c r="B1370" s="39"/>
      <c r="C1370" s="40"/>
      <c r="D1370" s="40"/>
      <c r="F1370" s="40"/>
      <c r="G1370" s="40"/>
      <c r="H1370" s="42"/>
      <c r="I1370" s="42" t="str">
        <f t="shared" si="17"/>
        <v/>
      </c>
    </row>
    <row r="1371" spans="2:9" x14ac:dyDescent="0.25">
      <c r="B1371" s="39"/>
      <c r="C1371" s="40"/>
      <c r="D1371" s="40"/>
      <c r="F1371" s="40"/>
      <c r="G1371" s="40"/>
      <c r="H1371" s="42"/>
      <c r="I1371" s="42" t="str">
        <f t="shared" si="17"/>
        <v/>
      </c>
    </row>
    <row r="1372" spans="2:9" x14ac:dyDescent="0.25">
      <c r="B1372" s="39"/>
      <c r="C1372" s="40"/>
      <c r="D1372" s="40"/>
      <c r="F1372" s="40"/>
      <c r="G1372" s="40"/>
      <c r="H1372" s="42"/>
      <c r="I1372" s="42" t="str">
        <f t="shared" si="17"/>
        <v/>
      </c>
    </row>
    <row r="1373" spans="2:9" x14ac:dyDescent="0.25">
      <c r="B1373" s="39"/>
      <c r="C1373" s="40"/>
      <c r="D1373" s="40"/>
      <c r="F1373" s="40"/>
      <c r="G1373" s="40"/>
      <c r="H1373" s="42"/>
      <c r="I1373" s="42" t="str">
        <f t="shared" si="17"/>
        <v/>
      </c>
    </row>
    <row r="1374" spans="2:9" x14ac:dyDescent="0.25">
      <c r="B1374" s="39"/>
      <c r="C1374" s="40"/>
      <c r="D1374" s="40"/>
      <c r="F1374" s="40"/>
      <c r="G1374" s="40"/>
      <c r="H1374" s="42"/>
      <c r="I1374" s="42" t="str">
        <f t="shared" si="17"/>
        <v/>
      </c>
    </row>
    <row r="1375" spans="2:9" x14ac:dyDescent="0.25">
      <c r="B1375" s="39"/>
      <c r="C1375" s="40"/>
      <c r="D1375" s="40"/>
      <c r="F1375" s="40"/>
      <c r="G1375" s="40"/>
      <c r="H1375" s="42"/>
      <c r="I1375" s="42" t="str">
        <f t="shared" si="17"/>
        <v/>
      </c>
    </row>
    <row r="1376" spans="2:9" x14ac:dyDescent="0.25">
      <c r="B1376" s="39"/>
      <c r="C1376" s="40"/>
      <c r="D1376" s="40"/>
      <c r="F1376" s="40"/>
      <c r="G1376" s="40"/>
      <c r="H1376" s="42"/>
      <c r="I1376" s="42" t="str">
        <f t="shared" si="17"/>
        <v/>
      </c>
    </row>
    <row r="1377" spans="2:9" x14ac:dyDescent="0.25">
      <c r="B1377" s="39"/>
      <c r="C1377" s="40"/>
      <c r="D1377" s="40"/>
      <c r="F1377" s="40"/>
      <c r="G1377" s="40"/>
      <c r="H1377" s="42"/>
      <c r="I1377" s="42" t="str">
        <f t="shared" si="17"/>
        <v/>
      </c>
    </row>
    <row r="1378" spans="2:9" x14ac:dyDescent="0.25">
      <c r="B1378" s="39"/>
      <c r="C1378" s="40"/>
      <c r="D1378" s="40"/>
      <c r="F1378" s="40"/>
      <c r="G1378" s="40"/>
      <c r="H1378" s="42"/>
      <c r="I1378" s="42" t="str">
        <f t="shared" si="17"/>
        <v/>
      </c>
    </row>
    <row r="1379" spans="2:9" x14ac:dyDescent="0.25">
      <c r="B1379" s="39"/>
      <c r="C1379" s="40"/>
      <c r="D1379" s="40"/>
      <c r="F1379" s="40"/>
      <c r="G1379" s="40"/>
      <c r="H1379" s="42"/>
      <c r="I1379" s="42" t="str">
        <f t="shared" si="17"/>
        <v/>
      </c>
    </row>
    <row r="1380" spans="2:9" x14ac:dyDescent="0.25">
      <c r="B1380" s="39"/>
      <c r="C1380" s="40"/>
      <c r="D1380" s="40"/>
      <c r="F1380" s="40"/>
      <c r="G1380" s="40"/>
      <c r="H1380" s="42"/>
      <c r="I1380" s="42" t="str">
        <f t="shared" si="17"/>
        <v/>
      </c>
    </row>
    <row r="1381" spans="2:9" x14ac:dyDescent="0.25">
      <c r="B1381" s="39"/>
      <c r="C1381" s="40"/>
      <c r="D1381" s="40"/>
      <c r="F1381" s="40"/>
      <c r="G1381" s="40"/>
      <c r="H1381" s="42"/>
      <c r="I1381" s="42" t="str">
        <f t="shared" si="17"/>
        <v/>
      </c>
    </row>
    <row r="1382" spans="2:9" x14ac:dyDescent="0.25">
      <c r="B1382" s="39"/>
      <c r="C1382" s="40"/>
      <c r="D1382" s="40"/>
      <c r="F1382" s="40"/>
      <c r="G1382" s="40"/>
      <c r="H1382" s="42"/>
      <c r="I1382" s="42" t="str">
        <f t="shared" si="17"/>
        <v/>
      </c>
    </row>
    <row r="1383" spans="2:9" x14ac:dyDescent="0.25">
      <c r="B1383" s="39"/>
      <c r="C1383" s="40"/>
      <c r="D1383" s="40"/>
      <c r="F1383" s="40"/>
      <c r="G1383" s="40"/>
      <c r="H1383" s="42"/>
      <c r="I1383" s="42" t="str">
        <f t="shared" si="17"/>
        <v/>
      </c>
    </row>
    <row r="1384" spans="2:9" x14ac:dyDescent="0.25">
      <c r="B1384" s="39"/>
      <c r="C1384" s="40"/>
      <c r="D1384" s="40"/>
      <c r="F1384" s="40"/>
      <c r="G1384" s="40"/>
      <c r="H1384" s="42"/>
      <c r="I1384" s="42" t="str">
        <f t="shared" si="17"/>
        <v/>
      </c>
    </row>
    <row r="1385" spans="2:9" x14ac:dyDescent="0.25">
      <c r="B1385" s="39"/>
      <c r="C1385" s="40"/>
      <c r="D1385" s="40"/>
      <c r="F1385" s="40"/>
      <c r="G1385" s="40"/>
      <c r="H1385" s="42"/>
      <c r="I1385" s="42" t="str">
        <f t="shared" si="17"/>
        <v/>
      </c>
    </row>
    <row r="1386" spans="2:9" x14ac:dyDescent="0.25">
      <c r="B1386" s="39"/>
      <c r="C1386" s="40"/>
      <c r="D1386" s="40"/>
      <c r="F1386" s="40"/>
      <c r="G1386" s="40"/>
      <c r="H1386" s="42"/>
      <c r="I1386" s="42" t="str">
        <f t="shared" si="17"/>
        <v/>
      </c>
    </row>
    <row r="1387" spans="2:9" x14ac:dyDescent="0.25">
      <c r="B1387" s="39"/>
      <c r="C1387" s="40"/>
      <c r="D1387" s="40"/>
      <c r="F1387" s="40"/>
      <c r="G1387" s="40"/>
      <c r="H1387" s="42"/>
      <c r="I1387" s="42" t="str">
        <f t="shared" si="17"/>
        <v/>
      </c>
    </row>
    <row r="1388" spans="2:9" x14ac:dyDescent="0.25">
      <c r="B1388" s="39"/>
      <c r="C1388" s="40"/>
      <c r="D1388" s="40"/>
      <c r="F1388" s="40"/>
      <c r="G1388" s="40"/>
      <c r="H1388" s="42"/>
      <c r="I1388" s="42" t="str">
        <f t="shared" si="17"/>
        <v/>
      </c>
    </row>
    <row r="1389" spans="2:9" x14ac:dyDescent="0.25">
      <c r="B1389" s="39"/>
      <c r="C1389" s="40"/>
      <c r="D1389" s="40"/>
      <c r="F1389" s="40"/>
      <c r="G1389" s="40"/>
      <c r="H1389" s="42"/>
      <c r="I1389" s="42" t="str">
        <f t="shared" si="17"/>
        <v/>
      </c>
    </row>
    <row r="1390" spans="2:9" x14ac:dyDescent="0.25">
      <c r="B1390" s="39"/>
      <c r="C1390" s="40"/>
      <c r="D1390" s="40"/>
      <c r="F1390" s="40"/>
      <c r="G1390" s="40"/>
      <c r="H1390" s="42"/>
      <c r="I1390" s="42" t="str">
        <f t="shared" si="17"/>
        <v/>
      </c>
    </row>
    <row r="1391" spans="2:9" x14ac:dyDescent="0.25">
      <c r="B1391" s="39"/>
      <c r="C1391" s="40"/>
      <c r="D1391" s="40"/>
      <c r="F1391" s="40"/>
      <c r="G1391" s="40"/>
      <c r="H1391" s="42"/>
      <c r="I1391" s="42" t="str">
        <f t="shared" si="17"/>
        <v/>
      </c>
    </row>
    <row r="1392" spans="2:9" x14ac:dyDescent="0.25">
      <c r="B1392" s="39"/>
      <c r="C1392" s="40"/>
      <c r="D1392" s="40"/>
      <c r="F1392" s="40"/>
      <c r="G1392" s="40"/>
      <c r="H1392" s="42"/>
      <c r="I1392" s="42" t="str">
        <f t="shared" si="17"/>
        <v/>
      </c>
    </row>
    <row r="1393" spans="2:9" x14ac:dyDescent="0.25">
      <c r="B1393" s="39"/>
      <c r="C1393" s="40"/>
      <c r="D1393" s="40"/>
      <c r="F1393" s="40"/>
      <c r="G1393" s="40"/>
      <c r="H1393" s="42"/>
      <c r="I1393" s="42" t="str">
        <f t="shared" si="17"/>
        <v/>
      </c>
    </row>
    <row r="1394" spans="2:9" x14ac:dyDescent="0.25">
      <c r="B1394" s="39"/>
      <c r="C1394" s="40"/>
      <c r="D1394" s="40"/>
      <c r="F1394" s="40"/>
      <c r="G1394" s="40"/>
      <c r="H1394" s="42"/>
      <c r="I1394" s="42" t="str">
        <f t="shared" si="17"/>
        <v/>
      </c>
    </row>
    <row r="1395" spans="2:9" x14ac:dyDescent="0.25">
      <c r="B1395" s="39"/>
      <c r="C1395" s="40"/>
      <c r="D1395" s="40"/>
      <c r="F1395" s="40"/>
      <c r="G1395" s="40"/>
      <c r="H1395" s="42"/>
      <c r="I1395" s="42" t="str">
        <f t="shared" si="17"/>
        <v/>
      </c>
    </row>
    <row r="1396" spans="2:9" x14ac:dyDescent="0.25">
      <c r="B1396" s="39"/>
      <c r="C1396" s="40"/>
      <c r="D1396" s="40"/>
      <c r="F1396" s="40"/>
      <c r="G1396" s="40"/>
      <c r="H1396" s="42"/>
      <c r="I1396" s="42" t="str">
        <f t="shared" si="17"/>
        <v/>
      </c>
    </row>
    <row r="1397" spans="2:9" x14ac:dyDescent="0.25">
      <c r="B1397" s="39"/>
      <c r="C1397" s="40"/>
      <c r="D1397" s="40"/>
      <c r="F1397" s="40"/>
      <c r="G1397" s="40"/>
      <c r="H1397" s="42"/>
      <c r="I1397" s="42" t="str">
        <f t="shared" si="17"/>
        <v/>
      </c>
    </row>
    <row r="1398" spans="2:9" x14ac:dyDescent="0.25">
      <c r="B1398" s="39"/>
      <c r="C1398" s="40"/>
      <c r="D1398" s="40"/>
      <c r="F1398" s="40"/>
      <c r="G1398" s="40"/>
      <c r="H1398" s="42"/>
      <c r="I1398" s="42" t="str">
        <f t="shared" si="17"/>
        <v/>
      </c>
    </row>
    <row r="1399" spans="2:9" x14ac:dyDescent="0.25">
      <c r="B1399" s="39"/>
      <c r="C1399" s="40"/>
      <c r="D1399" s="40"/>
      <c r="F1399" s="40"/>
      <c r="G1399" s="40"/>
      <c r="H1399" s="42"/>
      <c r="I1399" s="42" t="str">
        <f t="shared" si="17"/>
        <v/>
      </c>
    </row>
    <row r="1400" spans="2:9" x14ac:dyDescent="0.25">
      <c r="B1400" s="39"/>
      <c r="C1400" s="40"/>
      <c r="D1400" s="40"/>
      <c r="F1400" s="40"/>
      <c r="G1400" s="40"/>
      <c r="H1400" s="42"/>
      <c r="I1400" s="42" t="str">
        <f t="shared" si="17"/>
        <v/>
      </c>
    </row>
    <row r="1401" spans="2:9" x14ac:dyDescent="0.25">
      <c r="B1401" s="39"/>
      <c r="C1401" s="40"/>
      <c r="D1401" s="40"/>
      <c r="F1401" s="40"/>
      <c r="G1401" s="40"/>
      <c r="H1401" s="42"/>
      <c r="I1401" s="42" t="str">
        <f t="shared" si="17"/>
        <v/>
      </c>
    </row>
    <row r="1402" spans="2:9" x14ac:dyDescent="0.25">
      <c r="B1402" s="39"/>
      <c r="C1402" s="40"/>
      <c r="D1402" s="40"/>
      <c r="F1402" s="40"/>
      <c r="G1402" s="40"/>
      <c r="H1402" s="42"/>
      <c r="I1402" s="42" t="str">
        <f t="shared" si="17"/>
        <v/>
      </c>
    </row>
    <row r="1403" spans="2:9" x14ac:dyDescent="0.25">
      <c r="B1403" s="39"/>
      <c r="C1403" s="40"/>
      <c r="D1403" s="40"/>
      <c r="F1403" s="40"/>
      <c r="G1403" s="40"/>
      <c r="H1403" s="42"/>
      <c r="I1403" s="42" t="str">
        <f t="shared" si="17"/>
        <v/>
      </c>
    </row>
    <row r="1404" spans="2:9" x14ac:dyDescent="0.25">
      <c r="B1404" s="39"/>
      <c r="C1404" s="40"/>
      <c r="D1404" s="40"/>
      <c r="F1404" s="40"/>
      <c r="G1404" s="40"/>
      <c r="H1404" s="42"/>
      <c r="I1404" s="42" t="str">
        <f t="shared" si="17"/>
        <v/>
      </c>
    </row>
    <row r="1405" spans="2:9" x14ac:dyDescent="0.25">
      <c r="B1405" s="39"/>
      <c r="C1405" s="40"/>
      <c r="D1405" s="40"/>
      <c r="F1405" s="40"/>
      <c r="G1405" s="40"/>
      <c r="H1405" s="42"/>
      <c r="I1405" s="42" t="str">
        <f t="shared" si="17"/>
        <v/>
      </c>
    </row>
    <row r="1406" spans="2:9" x14ac:dyDescent="0.25">
      <c r="B1406" s="39"/>
      <c r="C1406" s="40"/>
      <c r="D1406" s="40"/>
      <c r="F1406" s="40"/>
      <c r="G1406" s="40"/>
      <c r="H1406" s="42"/>
      <c r="I1406" s="42" t="str">
        <f t="shared" si="17"/>
        <v/>
      </c>
    </row>
    <row r="1407" spans="2:9" x14ac:dyDescent="0.25">
      <c r="B1407" s="39"/>
      <c r="C1407" s="40"/>
      <c r="D1407" s="40"/>
      <c r="F1407" s="40"/>
      <c r="G1407" s="40"/>
      <c r="H1407" s="42"/>
      <c r="I1407" s="42" t="str">
        <f t="shared" si="17"/>
        <v/>
      </c>
    </row>
    <row r="1408" spans="2:9" x14ac:dyDescent="0.25">
      <c r="B1408" s="39"/>
      <c r="C1408" s="40"/>
      <c r="D1408" s="40"/>
      <c r="F1408" s="40"/>
      <c r="G1408" s="40"/>
      <c r="H1408" s="42"/>
      <c r="I1408" s="42" t="str">
        <f t="shared" ref="I1408:I1471" si="18">IF(H1408&lt;&gt;"",H1408-H1407,"")</f>
        <v/>
      </c>
    </row>
    <row r="1409" spans="2:9" x14ac:dyDescent="0.25">
      <c r="B1409" s="39"/>
      <c r="C1409" s="40"/>
      <c r="D1409" s="40"/>
      <c r="F1409" s="40"/>
      <c r="G1409" s="40"/>
      <c r="H1409" s="42"/>
      <c r="I1409" s="42" t="str">
        <f t="shared" si="18"/>
        <v/>
      </c>
    </row>
    <row r="1410" spans="2:9" x14ac:dyDescent="0.25">
      <c r="B1410" s="39"/>
      <c r="C1410" s="40"/>
      <c r="D1410" s="40"/>
      <c r="F1410" s="40"/>
      <c r="G1410" s="40"/>
      <c r="H1410" s="42"/>
      <c r="I1410" s="42" t="str">
        <f t="shared" si="18"/>
        <v/>
      </c>
    </row>
    <row r="1411" spans="2:9" x14ac:dyDescent="0.25">
      <c r="B1411" s="39"/>
      <c r="C1411" s="40"/>
      <c r="D1411" s="40"/>
      <c r="F1411" s="40"/>
      <c r="G1411" s="40"/>
      <c r="H1411" s="42"/>
      <c r="I1411" s="42" t="str">
        <f t="shared" si="18"/>
        <v/>
      </c>
    </row>
    <row r="1412" spans="2:9" x14ac:dyDescent="0.25">
      <c r="B1412" s="39"/>
      <c r="C1412" s="40"/>
      <c r="D1412" s="40"/>
      <c r="F1412" s="40"/>
      <c r="G1412" s="40"/>
      <c r="H1412" s="42"/>
      <c r="I1412" s="42" t="str">
        <f t="shared" si="18"/>
        <v/>
      </c>
    </row>
    <row r="1413" spans="2:9" x14ac:dyDescent="0.25">
      <c r="B1413" s="39"/>
      <c r="C1413" s="40"/>
      <c r="D1413" s="40"/>
      <c r="F1413" s="40"/>
      <c r="G1413" s="40"/>
      <c r="H1413" s="42"/>
      <c r="I1413" s="42" t="str">
        <f t="shared" si="18"/>
        <v/>
      </c>
    </row>
    <row r="1414" spans="2:9" x14ac:dyDescent="0.25">
      <c r="B1414" s="39"/>
      <c r="C1414" s="40"/>
      <c r="D1414" s="40"/>
      <c r="F1414" s="40"/>
      <c r="G1414" s="40"/>
      <c r="H1414" s="42"/>
      <c r="I1414" s="42" t="str">
        <f t="shared" si="18"/>
        <v/>
      </c>
    </row>
    <row r="1415" spans="2:9" x14ac:dyDescent="0.25">
      <c r="B1415" s="39"/>
      <c r="C1415" s="40"/>
      <c r="D1415" s="40"/>
      <c r="F1415" s="40"/>
      <c r="G1415" s="40"/>
      <c r="H1415" s="42"/>
      <c r="I1415" s="42" t="str">
        <f t="shared" si="18"/>
        <v/>
      </c>
    </row>
    <row r="1416" spans="2:9" x14ac:dyDescent="0.25">
      <c r="B1416" s="39"/>
      <c r="C1416" s="40"/>
      <c r="D1416" s="40"/>
      <c r="F1416" s="40"/>
      <c r="G1416" s="40"/>
      <c r="H1416" s="42"/>
      <c r="I1416" s="42" t="str">
        <f t="shared" si="18"/>
        <v/>
      </c>
    </row>
    <row r="1417" spans="2:9" x14ac:dyDescent="0.25">
      <c r="B1417" s="39"/>
      <c r="C1417" s="40"/>
      <c r="D1417" s="40"/>
      <c r="F1417" s="40"/>
      <c r="G1417" s="40"/>
      <c r="H1417" s="42"/>
      <c r="I1417" s="42" t="str">
        <f t="shared" si="18"/>
        <v/>
      </c>
    </row>
    <row r="1418" spans="2:9" x14ac:dyDescent="0.25">
      <c r="B1418" s="39"/>
      <c r="C1418" s="40"/>
      <c r="D1418" s="40"/>
      <c r="F1418" s="40"/>
      <c r="G1418" s="40"/>
      <c r="H1418" s="42"/>
      <c r="I1418" s="42" t="str">
        <f t="shared" si="18"/>
        <v/>
      </c>
    </row>
    <row r="1419" spans="2:9" x14ac:dyDescent="0.25">
      <c r="B1419" s="39"/>
      <c r="C1419" s="40"/>
      <c r="D1419" s="40"/>
      <c r="F1419" s="40"/>
      <c r="G1419" s="40"/>
      <c r="H1419" s="42"/>
      <c r="I1419" s="42" t="str">
        <f t="shared" si="18"/>
        <v/>
      </c>
    </row>
    <row r="1420" spans="2:9" x14ac:dyDescent="0.25">
      <c r="B1420" s="39"/>
      <c r="C1420" s="40"/>
      <c r="D1420" s="40"/>
      <c r="F1420" s="40"/>
      <c r="G1420" s="40"/>
      <c r="H1420" s="42"/>
      <c r="I1420" s="42" t="str">
        <f t="shared" si="18"/>
        <v/>
      </c>
    </row>
    <row r="1421" spans="2:9" x14ac:dyDescent="0.25">
      <c r="B1421" s="39"/>
      <c r="C1421" s="40"/>
      <c r="D1421" s="40"/>
      <c r="F1421" s="40"/>
      <c r="G1421" s="40"/>
      <c r="H1421" s="42"/>
      <c r="I1421" s="42" t="str">
        <f t="shared" si="18"/>
        <v/>
      </c>
    </row>
    <row r="1422" spans="2:9" x14ac:dyDescent="0.25">
      <c r="B1422" s="39"/>
      <c r="C1422" s="40"/>
      <c r="D1422" s="40"/>
      <c r="F1422" s="40"/>
      <c r="G1422" s="40"/>
      <c r="H1422" s="42"/>
      <c r="I1422" s="42" t="str">
        <f t="shared" si="18"/>
        <v/>
      </c>
    </row>
    <row r="1423" spans="2:9" x14ac:dyDescent="0.25">
      <c r="B1423" s="39"/>
      <c r="C1423" s="40"/>
      <c r="D1423" s="40"/>
      <c r="F1423" s="40"/>
      <c r="G1423" s="40"/>
      <c r="H1423" s="42"/>
      <c r="I1423" s="42" t="str">
        <f t="shared" si="18"/>
        <v/>
      </c>
    </row>
    <row r="1424" spans="2:9" x14ac:dyDescent="0.25">
      <c r="B1424" s="39"/>
      <c r="C1424" s="40"/>
      <c r="D1424" s="40"/>
      <c r="F1424" s="40"/>
      <c r="G1424" s="40"/>
      <c r="H1424" s="42"/>
      <c r="I1424" s="42" t="str">
        <f t="shared" si="18"/>
        <v/>
      </c>
    </row>
    <row r="1425" spans="2:9" x14ac:dyDescent="0.25">
      <c r="B1425" s="39"/>
      <c r="C1425" s="40"/>
      <c r="D1425" s="40"/>
      <c r="F1425" s="40"/>
      <c r="G1425" s="40"/>
      <c r="H1425" s="42"/>
      <c r="I1425" s="42" t="str">
        <f t="shared" si="18"/>
        <v/>
      </c>
    </row>
    <row r="1426" spans="2:9" x14ac:dyDescent="0.25">
      <c r="B1426" s="39"/>
      <c r="C1426" s="40"/>
      <c r="D1426" s="40"/>
      <c r="F1426" s="40"/>
      <c r="G1426" s="40"/>
      <c r="H1426" s="42"/>
      <c r="I1426" s="42" t="str">
        <f t="shared" si="18"/>
        <v/>
      </c>
    </row>
    <row r="1427" spans="2:9" x14ac:dyDescent="0.25">
      <c r="B1427" s="39"/>
      <c r="C1427" s="40"/>
      <c r="D1427" s="40"/>
      <c r="F1427" s="40"/>
      <c r="G1427" s="40"/>
      <c r="H1427" s="42"/>
      <c r="I1427" s="42" t="str">
        <f t="shared" si="18"/>
        <v/>
      </c>
    </row>
    <row r="1428" spans="2:9" x14ac:dyDescent="0.25">
      <c r="B1428" s="39"/>
      <c r="C1428" s="40"/>
      <c r="D1428" s="40"/>
      <c r="F1428" s="40"/>
      <c r="G1428" s="40"/>
      <c r="H1428" s="42"/>
      <c r="I1428" s="42" t="str">
        <f t="shared" si="18"/>
        <v/>
      </c>
    </row>
    <row r="1429" spans="2:9" x14ac:dyDescent="0.25">
      <c r="B1429" s="39"/>
      <c r="C1429" s="40"/>
      <c r="D1429" s="40"/>
      <c r="F1429" s="40"/>
      <c r="G1429" s="40"/>
      <c r="H1429" s="42"/>
      <c r="I1429" s="42" t="str">
        <f t="shared" si="18"/>
        <v/>
      </c>
    </row>
    <row r="1430" spans="2:9" x14ac:dyDescent="0.25">
      <c r="B1430" s="39"/>
      <c r="C1430" s="40"/>
      <c r="D1430" s="40"/>
      <c r="F1430" s="40"/>
      <c r="G1430" s="40"/>
      <c r="H1430" s="42"/>
      <c r="I1430" s="42" t="str">
        <f t="shared" si="18"/>
        <v/>
      </c>
    </row>
    <row r="1431" spans="2:9" x14ac:dyDescent="0.25">
      <c r="B1431" s="39"/>
      <c r="C1431" s="40"/>
      <c r="D1431" s="40"/>
      <c r="F1431" s="40"/>
      <c r="G1431" s="40"/>
      <c r="H1431" s="42"/>
      <c r="I1431" s="42" t="str">
        <f t="shared" si="18"/>
        <v/>
      </c>
    </row>
    <row r="1432" spans="2:9" x14ac:dyDescent="0.25">
      <c r="B1432" s="39"/>
      <c r="C1432" s="40"/>
      <c r="D1432" s="40"/>
      <c r="F1432" s="40"/>
      <c r="G1432" s="40"/>
      <c r="H1432" s="42"/>
      <c r="I1432" s="42" t="str">
        <f t="shared" si="18"/>
        <v/>
      </c>
    </row>
    <row r="1433" spans="2:9" x14ac:dyDescent="0.25">
      <c r="B1433" s="39"/>
      <c r="C1433" s="40"/>
      <c r="D1433" s="40"/>
      <c r="F1433" s="40"/>
      <c r="G1433" s="40"/>
      <c r="H1433" s="42"/>
      <c r="I1433" s="42" t="str">
        <f t="shared" si="18"/>
        <v/>
      </c>
    </row>
    <row r="1434" spans="2:9" x14ac:dyDescent="0.25">
      <c r="B1434" s="39"/>
      <c r="C1434" s="40"/>
      <c r="D1434" s="40"/>
      <c r="F1434" s="40"/>
      <c r="G1434" s="40"/>
      <c r="H1434" s="42"/>
      <c r="I1434" s="42" t="str">
        <f t="shared" si="18"/>
        <v/>
      </c>
    </row>
    <row r="1435" spans="2:9" x14ac:dyDescent="0.25">
      <c r="B1435" s="39"/>
      <c r="C1435" s="40"/>
      <c r="D1435" s="40"/>
      <c r="F1435" s="40"/>
      <c r="G1435" s="40"/>
      <c r="H1435" s="42"/>
      <c r="I1435" s="42" t="str">
        <f t="shared" si="18"/>
        <v/>
      </c>
    </row>
    <row r="1436" spans="2:9" x14ac:dyDescent="0.25">
      <c r="B1436" s="39"/>
      <c r="C1436" s="40"/>
      <c r="D1436" s="40"/>
      <c r="F1436" s="40"/>
      <c r="G1436" s="40"/>
      <c r="H1436" s="42"/>
      <c r="I1436" s="42" t="str">
        <f t="shared" si="18"/>
        <v/>
      </c>
    </row>
    <row r="1437" spans="2:9" x14ac:dyDescent="0.25">
      <c r="B1437" s="39"/>
      <c r="C1437" s="40"/>
      <c r="D1437" s="40"/>
      <c r="F1437" s="40"/>
      <c r="G1437" s="40"/>
      <c r="H1437" s="42"/>
      <c r="I1437" s="42" t="str">
        <f t="shared" si="18"/>
        <v/>
      </c>
    </row>
    <row r="1438" spans="2:9" x14ac:dyDescent="0.25">
      <c r="B1438" s="39"/>
      <c r="C1438" s="40"/>
      <c r="D1438" s="40"/>
      <c r="F1438" s="40"/>
      <c r="G1438" s="40"/>
      <c r="H1438" s="42"/>
      <c r="I1438" s="42" t="str">
        <f t="shared" si="18"/>
        <v/>
      </c>
    </row>
    <row r="1439" spans="2:9" x14ac:dyDescent="0.25">
      <c r="B1439" s="39"/>
      <c r="C1439" s="40"/>
      <c r="D1439" s="40"/>
      <c r="F1439" s="40"/>
      <c r="G1439" s="40"/>
      <c r="H1439" s="42"/>
      <c r="I1439" s="42" t="str">
        <f t="shared" si="18"/>
        <v/>
      </c>
    </row>
    <row r="1440" spans="2:9" x14ac:dyDescent="0.25">
      <c r="B1440" s="39"/>
      <c r="C1440" s="40"/>
      <c r="D1440" s="40"/>
      <c r="F1440" s="40"/>
      <c r="G1440" s="40"/>
      <c r="H1440" s="42"/>
      <c r="I1440" s="42" t="str">
        <f t="shared" si="18"/>
        <v/>
      </c>
    </row>
    <row r="1441" spans="2:9" x14ac:dyDescent="0.25">
      <c r="B1441" s="39"/>
      <c r="C1441" s="40"/>
      <c r="D1441" s="40"/>
      <c r="F1441" s="40"/>
      <c r="G1441" s="40"/>
      <c r="H1441" s="42"/>
      <c r="I1441" s="42" t="str">
        <f t="shared" si="18"/>
        <v/>
      </c>
    </row>
    <row r="1442" spans="2:9" x14ac:dyDescent="0.25">
      <c r="B1442" s="39"/>
      <c r="C1442" s="40"/>
      <c r="D1442" s="40"/>
      <c r="F1442" s="40"/>
      <c r="G1442" s="40"/>
      <c r="H1442" s="42"/>
      <c r="I1442" s="42" t="str">
        <f t="shared" si="18"/>
        <v/>
      </c>
    </row>
    <row r="1443" spans="2:9" x14ac:dyDescent="0.25">
      <c r="B1443" s="39"/>
      <c r="C1443" s="40"/>
      <c r="D1443" s="40"/>
      <c r="F1443" s="40"/>
      <c r="G1443" s="40"/>
      <c r="H1443" s="42"/>
      <c r="I1443" s="42" t="str">
        <f t="shared" si="18"/>
        <v/>
      </c>
    </row>
    <row r="1444" spans="2:9" x14ac:dyDescent="0.25">
      <c r="B1444" s="39"/>
      <c r="C1444" s="40"/>
      <c r="D1444" s="40"/>
      <c r="F1444" s="40"/>
      <c r="G1444" s="40"/>
      <c r="H1444" s="42"/>
      <c r="I1444" s="42" t="str">
        <f t="shared" si="18"/>
        <v/>
      </c>
    </row>
    <row r="1445" spans="2:9" x14ac:dyDescent="0.25">
      <c r="B1445" s="39"/>
      <c r="C1445" s="40"/>
      <c r="D1445" s="40"/>
      <c r="F1445" s="40"/>
      <c r="G1445" s="40"/>
      <c r="H1445" s="42"/>
      <c r="I1445" s="42" t="str">
        <f t="shared" si="18"/>
        <v/>
      </c>
    </row>
    <row r="1446" spans="2:9" x14ac:dyDescent="0.25">
      <c r="B1446" s="39"/>
      <c r="C1446" s="40"/>
      <c r="D1446" s="40"/>
      <c r="F1446" s="40"/>
      <c r="G1446" s="40"/>
      <c r="H1446" s="42"/>
      <c r="I1446" s="42" t="str">
        <f t="shared" si="18"/>
        <v/>
      </c>
    </row>
    <row r="1447" spans="2:9" x14ac:dyDescent="0.25">
      <c r="B1447" s="39"/>
      <c r="C1447" s="40"/>
      <c r="D1447" s="40"/>
      <c r="F1447" s="40"/>
      <c r="G1447" s="40"/>
      <c r="H1447" s="42"/>
      <c r="I1447" s="42" t="str">
        <f t="shared" si="18"/>
        <v/>
      </c>
    </row>
    <row r="1448" spans="2:9" x14ac:dyDescent="0.25">
      <c r="B1448" s="39"/>
      <c r="C1448" s="40"/>
      <c r="D1448" s="40"/>
      <c r="F1448" s="40"/>
      <c r="G1448" s="40"/>
      <c r="H1448" s="42"/>
      <c r="I1448" s="42" t="str">
        <f t="shared" si="18"/>
        <v/>
      </c>
    </row>
    <row r="1449" spans="2:9" x14ac:dyDescent="0.25">
      <c r="B1449" s="39"/>
      <c r="C1449" s="40"/>
      <c r="D1449" s="40"/>
      <c r="F1449" s="40"/>
      <c r="G1449" s="40"/>
      <c r="H1449" s="42"/>
      <c r="I1449" s="42" t="str">
        <f t="shared" si="18"/>
        <v/>
      </c>
    </row>
    <row r="1450" spans="2:9" x14ac:dyDescent="0.25">
      <c r="B1450" s="39"/>
      <c r="C1450" s="40"/>
      <c r="D1450" s="40"/>
      <c r="F1450" s="40"/>
      <c r="G1450" s="40"/>
      <c r="H1450" s="42"/>
      <c r="I1450" s="42" t="str">
        <f t="shared" si="18"/>
        <v/>
      </c>
    </row>
    <row r="1451" spans="2:9" x14ac:dyDescent="0.25">
      <c r="B1451" s="39"/>
      <c r="C1451" s="40"/>
      <c r="D1451" s="40"/>
      <c r="F1451" s="40"/>
      <c r="G1451" s="40"/>
      <c r="H1451" s="42"/>
      <c r="I1451" s="42" t="str">
        <f t="shared" si="18"/>
        <v/>
      </c>
    </row>
    <row r="1452" spans="2:9" x14ac:dyDescent="0.25">
      <c r="B1452" s="39"/>
      <c r="C1452" s="40"/>
      <c r="D1452" s="40"/>
      <c r="F1452" s="40"/>
      <c r="G1452" s="40"/>
      <c r="H1452" s="42"/>
      <c r="I1452" s="42" t="str">
        <f t="shared" si="18"/>
        <v/>
      </c>
    </row>
    <row r="1453" spans="2:9" x14ac:dyDescent="0.25">
      <c r="B1453" s="39"/>
      <c r="C1453" s="40"/>
      <c r="D1453" s="40"/>
      <c r="F1453" s="40"/>
      <c r="G1453" s="40"/>
      <c r="H1453" s="42"/>
      <c r="I1453" s="42" t="str">
        <f t="shared" si="18"/>
        <v/>
      </c>
    </row>
    <row r="1454" spans="2:9" x14ac:dyDescent="0.25">
      <c r="B1454" s="39"/>
      <c r="C1454" s="40"/>
      <c r="D1454" s="40"/>
      <c r="F1454" s="40"/>
      <c r="G1454" s="40"/>
      <c r="H1454" s="42"/>
      <c r="I1454" s="42" t="str">
        <f t="shared" si="18"/>
        <v/>
      </c>
    </row>
    <row r="1455" spans="2:9" x14ac:dyDescent="0.25">
      <c r="B1455" s="39"/>
      <c r="C1455" s="40"/>
      <c r="D1455" s="40"/>
      <c r="F1455" s="40"/>
      <c r="G1455" s="40"/>
      <c r="H1455" s="42"/>
      <c r="I1455" s="42" t="str">
        <f t="shared" si="18"/>
        <v/>
      </c>
    </row>
    <row r="1456" spans="2:9" x14ac:dyDescent="0.25">
      <c r="B1456" s="39"/>
      <c r="C1456" s="40"/>
      <c r="D1456" s="40"/>
      <c r="F1456" s="40"/>
      <c r="G1456" s="40"/>
      <c r="H1456" s="42"/>
      <c r="I1456" s="42" t="str">
        <f t="shared" si="18"/>
        <v/>
      </c>
    </row>
    <row r="1457" spans="2:9" x14ac:dyDescent="0.25">
      <c r="B1457" s="39"/>
      <c r="C1457" s="40"/>
      <c r="D1457" s="40"/>
      <c r="F1457" s="40"/>
      <c r="G1457" s="40"/>
      <c r="H1457" s="42"/>
      <c r="I1457" s="42" t="str">
        <f t="shared" si="18"/>
        <v/>
      </c>
    </row>
    <row r="1458" spans="2:9" x14ac:dyDescent="0.25">
      <c r="B1458" s="39"/>
      <c r="C1458" s="40"/>
      <c r="D1458" s="40"/>
      <c r="F1458" s="40"/>
      <c r="G1458" s="40"/>
      <c r="H1458" s="42"/>
      <c r="I1458" s="42" t="str">
        <f t="shared" si="18"/>
        <v/>
      </c>
    </row>
    <row r="1459" spans="2:9" x14ac:dyDescent="0.25">
      <c r="B1459" s="39"/>
      <c r="C1459" s="40"/>
      <c r="D1459" s="40"/>
      <c r="F1459" s="40"/>
      <c r="G1459" s="40"/>
      <c r="H1459" s="42"/>
      <c r="I1459" s="42" t="str">
        <f t="shared" si="18"/>
        <v/>
      </c>
    </row>
    <row r="1460" spans="2:9" x14ac:dyDescent="0.25">
      <c r="B1460" s="39"/>
      <c r="C1460" s="40"/>
      <c r="D1460" s="40"/>
      <c r="F1460" s="40"/>
      <c r="G1460" s="40"/>
      <c r="H1460" s="42"/>
      <c r="I1460" s="42" t="str">
        <f t="shared" si="18"/>
        <v/>
      </c>
    </row>
    <row r="1461" spans="2:9" x14ac:dyDescent="0.25">
      <c r="B1461" s="39"/>
      <c r="C1461" s="40"/>
      <c r="D1461" s="40"/>
      <c r="F1461" s="40"/>
      <c r="G1461" s="40"/>
      <c r="H1461" s="42"/>
      <c r="I1461" s="42" t="str">
        <f t="shared" si="18"/>
        <v/>
      </c>
    </row>
    <row r="1462" spans="2:9" x14ac:dyDescent="0.25">
      <c r="B1462" s="39"/>
      <c r="C1462" s="40"/>
      <c r="D1462" s="40"/>
      <c r="F1462" s="40"/>
      <c r="G1462" s="40"/>
      <c r="H1462" s="42"/>
      <c r="I1462" s="42" t="str">
        <f t="shared" si="18"/>
        <v/>
      </c>
    </row>
    <row r="1463" spans="2:9" x14ac:dyDescent="0.25">
      <c r="B1463" s="39"/>
      <c r="C1463" s="40"/>
      <c r="D1463" s="40"/>
      <c r="F1463" s="40"/>
      <c r="G1463" s="40"/>
      <c r="H1463" s="42"/>
      <c r="I1463" s="42" t="str">
        <f t="shared" si="18"/>
        <v/>
      </c>
    </row>
    <row r="1464" spans="2:9" x14ac:dyDescent="0.25">
      <c r="B1464" s="39"/>
      <c r="C1464" s="40"/>
      <c r="D1464" s="40"/>
      <c r="F1464" s="40"/>
      <c r="G1464" s="40"/>
      <c r="H1464" s="42"/>
      <c r="I1464" s="42" t="str">
        <f t="shared" si="18"/>
        <v/>
      </c>
    </row>
    <row r="1465" spans="2:9" x14ac:dyDescent="0.25">
      <c r="B1465" s="39"/>
      <c r="C1465" s="40"/>
      <c r="D1465" s="40"/>
      <c r="F1465" s="40"/>
      <c r="G1465" s="40"/>
      <c r="H1465" s="42"/>
      <c r="I1465" s="42" t="str">
        <f t="shared" si="18"/>
        <v/>
      </c>
    </row>
    <row r="1466" spans="2:9" x14ac:dyDescent="0.25">
      <c r="B1466" s="39"/>
      <c r="C1466" s="40"/>
      <c r="D1466" s="40"/>
      <c r="F1466" s="40"/>
      <c r="G1466" s="40"/>
      <c r="H1466" s="42"/>
      <c r="I1466" s="42" t="str">
        <f t="shared" si="18"/>
        <v/>
      </c>
    </row>
    <row r="1467" spans="2:9" x14ac:dyDescent="0.25">
      <c r="B1467" s="39"/>
      <c r="C1467" s="40"/>
      <c r="D1467" s="40"/>
      <c r="F1467" s="40"/>
      <c r="G1467" s="40"/>
      <c r="H1467" s="42"/>
      <c r="I1467" s="42" t="str">
        <f t="shared" si="18"/>
        <v/>
      </c>
    </row>
    <row r="1468" spans="2:9" x14ac:dyDescent="0.25">
      <c r="B1468" s="39"/>
      <c r="C1468" s="40"/>
      <c r="D1468" s="40"/>
      <c r="F1468" s="40"/>
      <c r="G1468" s="40"/>
      <c r="H1468" s="42"/>
      <c r="I1468" s="42" t="str">
        <f t="shared" si="18"/>
        <v/>
      </c>
    </row>
    <row r="1469" spans="2:9" x14ac:dyDescent="0.25">
      <c r="B1469" s="39"/>
      <c r="C1469" s="40"/>
      <c r="D1469" s="40"/>
      <c r="F1469" s="40"/>
      <c r="G1469" s="40"/>
      <c r="H1469" s="42"/>
      <c r="I1469" s="42" t="str">
        <f t="shared" si="18"/>
        <v/>
      </c>
    </row>
    <row r="1470" spans="2:9" x14ac:dyDescent="0.25">
      <c r="B1470" s="39"/>
      <c r="C1470" s="40"/>
      <c r="D1470" s="40"/>
      <c r="F1470" s="40"/>
      <c r="G1470" s="40"/>
      <c r="H1470" s="42"/>
      <c r="I1470" s="42" t="str">
        <f t="shared" si="18"/>
        <v/>
      </c>
    </row>
    <row r="1471" spans="2:9" x14ac:dyDescent="0.25">
      <c r="B1471" s="39"/>
      <c r="C1471" s="40"/>
      <c r="D1471" s="40"/>
      <c r="F1471" s="40"/>
      <c r="G1471" s="40"/>
      <c r="H1471" s="42"/>
      <c r="I1471" s="42" t="str">
        <f t="shared" si="18"/>
        <v/>
      </c>
    </row>
    <row r="1472" spans="2:9" x14ac:dyDescent="0.25">
      <c r="B1472" s="39"/>
      <c r="C1472" s="40"/>
      <c r="D1472" s="40"/>
      <c r="F1472" s="40"/>
      <c r="G1472" s="40"/>
      <c r="H1472" s="42"/>
      <c r="I1472" s="42" t="str">
        <f t="shared" ref="I1472:I1535" si="19">IF(H1472&lt;&gt;"",H1472-H1471,"")</f>
        <v/>
      </c>
    </row>
    <row r="1473" spans="2:9" x14ac:dyDescent="0.25">
      <c r="B1473" s="39"/>
      <c r="C1473" s="40"/>
      <c r="D1473" s="40"/>
      <c r="F1473" s="40"/>
      <c r="G1473" s="40"/>
      <c r="H1473" s="42"/>
      <c r="I1473" s="42" t="str">
        <f t="shared" si="19"/>
        <v/>
      </c>
    </row>
    <row r="1474" spans="2:9" x14ac:dyDescent="0.25">
      <c r="B1474" s="39"/>
      <c r="C1474" s="40"/>
      <c r="D1474" s="40"/>
      <c r="F1474" s="40"/>
      <c r="G1474" s="40"/>
      <c r="H1474" s="42"/>
      <c r="I1474" s="42" t="str">
        <f t="shared" si="19"/>
        <v/>
      </c>
    </row>
    <row r="1475" spans="2:9" x14ac:dyDescent="0.25">
      <c r="B1475" s="39"/>
      <c r="C1475" s="40"/>
      <c r="D1475" s="40"/>
      <c r="F1475" s="40"/>
      <c r="G1475" s="40"/>
      <c r="H1475" s="42"/>
      <c r="I1475" s="42" t="str">
        <f t="shared" si="19"/>
        <v/>
      </c>
    </row>
    <row r="1476" spans="2:9" x14ac:dyDescent="0.25">
      <c r="B1476" s="39"/>
      <c r="C1476" s="40"/>
      <c r="D1476" s="40"/>
      <c r="F1476" s="40"/>
      <c r="G1476" s="40"/>
      <c r="H1476" s="42"/>
      <c r="I1476" s="42" t="str">
        <f t="shared" si="19"/>
        <v/>
      </c>
    </row>
    <row r="1477" spans="2:9" x14ac:dyDescent="0.25">
      <c r="B1477" s="39"/>
      <c r="C1477" s="40"/>
      <c r="D1477" s="40"/>
      <c r="F1477" s="40"/>
      <c r="G1477" s="40"/>
      <c r="H1477" s="42"/>
      <c r="I1477" s="42" t="str">
        <f t="shared" si="19"/>
        <v/>
      </c>
    </row>
    <row r="1478" spans="2:9" x14ac:dyDescent="0.25">
      <c r="B1478" s="39"/>
      <c r="C1478" s="40"/>
      <c r="D1478" s="40"/>
      <c r="F1478" s="40"/>
      <c r="G1478" s="40"/>
      <c r="H1478" s="42"/>
      <c r="I1478" s="42" t="str">
        <f t="shared" si="19"/>
        <v/>
      </c>
    </row>
    <row r="1479" spans="2:9" x14ac:dyDescent="0.25">
      <c r="B1479" s="39"/>
      <c r="C1479" s="40"/>
      <c r="D1479" s="40"/>
      <c r="F1479" s="40"/>
      <c r="G1479" s="40"/>
      <c r="H1479" s="42"/>
      <c r="I1479" s="42" t="str">
        <f t="shared" si="19"/>
        <v/>
      </c>
    </row>
    <row r="1480" spans="2:9" x14ac:dyDescent="0.25">
      <c r="B1480" s="39"/>
      <c r="C1480" s="40"/>
      <c r="D1480" s="40"/>
      <c r="F1480" s="40"/>
      <c r="G1480" s="40"/>
      <c r="H1480" s="42"/>
      <c r="I1480" s="42" t="str">
        <f t="shared" si="19"/>
        <v/>
      </c>
    </row>
    <row r="1481" spans="2:9" x14ac:dyDescent="0.25">
      <c r="B1481" s="39"/>
      <c r="C1481" s="40"/>
      <c r="D1481" s="40"/>
      <c r="F1481" s="40"/>
      <c r="G1481" s="40"/>
      <c r="H1481" s="42"/>
      <c r="I1481" s="42" t="str">
        <f t="shared" si="19"/>
        <v/>
      </c>
    </row>
    <row r="1482" spans="2:9" x14ac:dyDescent="0.25">
      <c r="B1482" s="39"/>
      <c r="C1482" s="40"/>
      <c r="D1482" s="40"/>
      <c r="F1482" s="40"/>
      <c r="G1482" s="40"/>
      <c r="H1482" s="42"/>
      <c r="I1482" s="42" t="str">
        <f t="shared" si="19"/>
        <v/>
      </c>
    </row>
    <row r="1483" spans="2:9" x14ac:dyDescent="0.25">
      <c r="B1483" s="39"/>
      <c r="C1483" s="40"/>
      <c r="D1483" s="40"/>
      <c r="F1483" s="40"/>
      <c r="G1483" s="40"/>
      <c r="H1483" s="42"/>
      <c r="I1483" s="42" t="str">
        <f t="shared" si="19"/>
        <v/>
      </c>
    </row>
    <row r="1484" spans="2:9" x14ac:dyDescent="0.25">
      <c r="B1484" s="39"/>
      <c r="C1484" s="40"/>
      <c r="D1484" s="40"/>
      <c r="F1484" s="40"/>
      <c r="G1484" s="40"/>
      <c r="H1484" s="42"/>
      <c r="I1484" s="42" t="str">
        <f t="shared" si="19"/>
        <v/>
      </c>
    </row>
    <row r="1485" spans="2:9" x14ac:dyDescent="0.25">
      <c r="B1485" s="39"/>
      <c r="C1485" s="40"/>
      <c r="D1485" s="40"/>
      <c r="F1485" s="40"/>
      <c r="G1485" s="40"/>
      <c r="H1485" s="42"/>
      <c r="I1485" s="42" t="str">
        <f t="shared" si="19"/>
        <v/>
      </c>
    </row>
    <row r="1486" spans="2:9" x14ac:dyDescent="0.25">
      <c r="B1486" s="39"/>
      <c r="C1486" s="40"/>
      <c r="D1486" s="40"/>
      <c r="F1486" s="40"/>
      <c r="G1486" s="40"/>
      <c r="H1486" s="42"/>
      <c r="I1486" s="42" t="str">
        <f t="shared" si="19"/>
        <v/>
      </c>
    </row>
    <row r="1487" spans="2:9" x14ac:dyDescent="0.25">
      <c r="B1487" s="39"/>
      <c r="C1487" s="40"/>
      <c r="D1487" s="40"/>
      <c r="F1487" s="40"/>
      <c r="G1487" s="40"/>
      <c r="H1487" s="42"/>
      <c r="I1487" s="42" t="str">
        <f t="shared" si="19"/>
        <v/>
      </c>
    </row>
    <row r="1488" spans="2:9" x14ac:dyDescent="0.25">
      <c r="B1488" s="39"/>
      <c r="C1488" s="40"/>
      <c r="D1488" s="40"/>
      <c r="F1488" s="40"/>
      <c r="G1488" s="40"/>
      <c r="H1488" s="42"/>
      <c r="I1488" s="42" t="str">
        <f t="shared" si="19"/>
        <v/>
      </c>
    </row>
    <row r="1489" spans="2:9" x14ac:dyDescent="0.25">
      <c r="B1489" s="39"/>
      <c r="C1489" s="40"/>
      <c r="D1489" s="40"/>
      <c r="F1489" s="40"/>
      <c r="G1489" s="40"/>
      <c r="H1489" s="42"/>
      <c r="I1489" s="42" t="str">
        <f t="shared" si="19"/>
        <v/>
      </c>
    </row>
    <row r="1490" spans="2:9" x14ac:dyDescent="0.25">
      <c r="B1490" s="39"/>
      <c r="C1490" s="40"/>
      <c r="D1490" s="40"/>
      <c r="F1490" s="40"/>
      <c r="G1490" s="40"/>
      <c r="H1490" s="42"/>
      <c r="I1490" s="42" t="str">
        <f t="shared" si="19"/>
        <v/>
      </c>
    </row>
    <row r="1491" spans="2:9" x14ac:dyDescent="0.25">
      <c r="B1491" s="39"/>
      <c r="C1491" s="40"/>
      <c r="D1491" s="40"/>
      <c r="F1491" s="40"/>
      <c r="G1491" s="40"/>
      <c r="H1491" s="42"/>
      <c r="I1491" s="42" t="str">
        <f t="shared" si="19"/>
        <v/>
      </c>
    </row>
    <row r="1492" spans="2:9" x14ac:dyDescent="0.25">
      <c r="B1492" s="39"/>
      <c r="C1492" s="40"/>
      <c r="D1492" s="40"/>
      <c r="F1492" s="40"/>
      <c r="G1492" s="40"/>
      <c r="H1492" s="42"/>
      <c r="I1492" s="42" t="str">
        <f t="shared" si="19"/>
        <v/>
      </c>
    </row>
    <row r="1493" spans="2:9" x14ac:dyDescent="0.25">
      <c r="B1493" s="39"/>
      <c r="C1493" s="40"/>
      <c r="D1493" s="40"/>
      <c r="F1493" s="40"/>
      <c r="G1493" s="40"/>
      <c r="H1493" s="42"/>
      <c r="I1493" s="42" t="str">
        <f t="shared" si="19"/>
        <v/>
      </c>
    </row>
    <row r="1494" spans="2:9" x14ac:dyDescent="0.25">
      <c r="B1494" s="39"/>
      <c r="C1494" s="40"/>
      <c r="D1494" s="40"/>
      <c r="F1494" s="40"/>
      <c r="G1494" s="40"/>
      <c r="H1494" s="42"/>
      <c r="I1494" s="42" t="str">
        <f t="shared" si="19"/>
        <v/>
      </c>
    </row>
    <row r="1495" spans="2:9" x14ac:dyDescent="0.25">
      <c r="B1495" s="39"/>
      <c r="C1495" s="40"/>
      <c r="D1495" s="40"/>
      <c r="F1495" s="40"/>
      <c r="G1495" s="40"/>
      <c r="H1495" s="42"/>
      <c r="I1495" s="42" t="str">
        <f t="shared" si="19"/>
        <v/>
      </c>
    </row>
    <row r="1496" spans="2:9" x14ac:dyDescent="0.25">
      <c r="B1496" s="39"/>
      <c r="C1496" s="40"/>
      <c r="D1496" s="40"/>
      <c r="F1496" s="40"/>
      <c r="G1496" s="40"/>
      <c r="H1496" s="42"/>
      <c r="I1496" s="42" t="str">
        <f t="shared" si="19"/>
        <v/>
      </c>
    </row>
    <row r="1497" spans="2:9" x14ac:dyDescent="0.25">
      <c r="B1497" s="39"/>
      <c r="C1497" s="40"/>
      <c r="D1497" s="40"/>
      <c r="F1497" s="40"/>
      <c r="G1497" s="40"/>
      <c r="H1497" s="42"/>
      <c r="I1497" s="42" t="str">
        <f t="shared" si="19"/>
        <v/>
      </c>
    </row>
    <row r="1498" spans="2:9" x14ac:dyDescent="0.25">
      <c r="B1498" s="39"/>
      <c r="C1498" s="40"/>
      <c r="D1498" s="40"/>
      <c r="F1498" s="40"/>
      <c r="G1498" s="40"/>
      <c r="H1498" s="42"/>
      <c r="I1498" s="42" t="str">
        <f t="shared" si="19"/>
        <v/>
      </c>
    </row>
    <row r="1499" spans="2:9" x14ac:dyDescent="0.25">
      <c r="B1499" s="39"/>
      <c r="C1499" s="40"/>
      <c r="D1499" s="40"/>
      <c r="F1499" s="40"/>
      <c r="G1499" s="40"/>
      <c r="H1499" s="42"/>
      <c r="I1499" s="42" t="str">
        <f t="shared" si="19"/>
        <v/>
      </c>
    </row>
    <row r="1500" spans="2:9" x14ac:dyDescent="0.25">
      <c r="B1500" s="39"/>
      <c r="C1500" s="40"/>
      <c r="D1500" s="40"/>
      <c r="F1500" s="40"/>
      <c r="G1500" s="40"/>
      <c r="H1500" s="42"/>
      <c r="I1500" s="42" t="str">
        <f t="shared" si="19"/>
        <v/>
      </c>
    </row>
    <row r="1501" spans="2:9" x14ac:dyDescent="0.25">
      <c r="B1501" s="39"/>
      <c r="C1501" s="40"/>
      <c r="D1501" s="40"/>
      <c r="F1501" s="40"/>
      <c r="G1501" s="40"/>
      <c r="H1501" s="42"/>
      <c r="I1501" s="42" t="str">
        <f t="shared" si="19"/>
        <v/>
      </c>
    </row>
    <row r="1502" spans="2:9" x14ac:dyDescent="0.25">
      <c r="B1502" s="39"/>
      <c r="C1502" s="40"/>
      <c r="D1502" s="40"/>
      <c r="F1502" s="40"/>
      <c r="G1502" s="40"/>
      <c r="H1502" s="42"/>
      <c r="I1502" s="42" t="str">
        <f t="shared" si="19"/>
        <v/>
      </c>
    </row>
    <row r="1503" spans="2:9" x14ac:dyDescent="0.25">
      <c r="B1503" s="39"/>
      <c r="C1503" s="40"/>
      <c r="D1503" s="40"/>
      <c r="F1503" s="40"/>
      <c r="G1503" s="40"/>
      <c r="H1503" s="42"/>
      <c r="I1503" s="42" t="str">
        <f t="shared" si="19"/>
        <v/>
      </c>
    </row>
    <row r="1504" spans="2:9" x14ac:dyDescent="0.25">
      <c r="B1504" s="39"/>
      <c r="C1504" s="40"/>
      <c r="D1504" s="40"/>
      <c r="F1504" s="40"/>
      <c r="G1504" s="40"/>
      <c r="H1504" s="42"/>
      <c r="I1504" s="42" t="str">
        <f t="shared" si="19"/>
        <v/>
      </c>
    </row>
    <row r="1505" spans="2:9" x14ac:dyDescent="0.25">
      <c r="B1505" s="39"/>
      <c r="C1505" s="40"/>
      <c r="D1505" s="40"/>
      <c r="F1505" s="40"/>
      <c r="G1505" s="40"/>
      <c r="H1505" s="42"/>
      <c r="I1505" s="42" t="str">
        <f t="shared" si="19"/>
        <v/>
      </c>
    </row>
    <row r="1506" spans="2:9" x14ac:dyDescent="0.25">
      <c r="B1506" s="39"/>
      <c r="C1506" s="40"/>
      <c r="D1506" s="40"/>
      <c r="F1506" s="40"/>
      <c r="G1506" s="40"/>
      <c r="H1506" s="42"/>
      <c r="I1506" s="42" t="str">
        <f t="shared" si="19"/>
        <v/>
      </c>
    </row>
    <row r="1507" spans="2:9" x14ac:dyDescent="0.25">
      <c r="B1507" s="39"/>
      <c r="C1507" s="40"/>
      <c r="D1507" s="40"/>
      <c r="F1507" s="40"/>
      <c r="G1507" s="40"/>
      <c r="H1507" s="42"/>
      <c r="I1507" s="42" t="str">
        <f t="shared" si="19"/>
        <v/>
      </c>
    </row>
    <row r="1508" spans="2:9" x14ac:dyDescent="0.25">
      <c r="B1508" s="39"/>
      <c r="C1508" s="40"/>
      <c r="D1508" s="40"/>
      <c r="F1508" s="40"/>
      <c r="G1508" s="40"/>
      <c r="H1508" s="42"/>
      <c r="I1508" s="42" t="str">
        <f t="shared" si="19"/>
        <v/>
      </c>
    </row>
    <row r="1509" spans="2:9" x14ac:dyDescent="0.25">
      <c r="B1509" s="39"/>
      <c r="C1509" s="40"/>
      <c r="D1509" s="40"/>
      <c r="F1509" s="40"/>
      <c r="G1509" s="40"/>
      <c r="H1509" s="42"/>
      <c r="I1509" s="42" t="str">
        <f t="shared" si="19"/>
        <v/>
      </c>
    </row>
    <row r="1510" spans="2:9" x14ac:dyDescent="0.25">
      <c r="B1510" s="39"/>
      <c r="C1510" s="40"/>
      <c r="D1510" s="40"/>
      <c r="F1510" s="40"/>
      <c r="G1510" s="40"/>
      <c r="H1510" s="42"/>
      <c r="I1510" s="42" t="str">
        <f t="shared" si="19"/>
        <v/>
      </c>
    </row>
    <row r="1511" spans="2:9" x14ac:dyDescent="0.25">
      <c r="B1511" s="39"/>
      <c r="C1511" s="40"/>
      <c r="D1511" s="40"/>
      <c r="F1511" s="40"/>
      <c r="G1511" s="40"/>
      <c r="H1511" s="42"/>
      <c r="I1511" s="42" t="str">
        <f t="shared" si="19"/>
        <v/>
      </c>
    </row>
    <row r="1512" spans="2:9" x14ac:dyDescent="0.25">
      <c r="B1512" s="39"/>
      <c r="C1512" s="40"/>
      <c r="D1512" s="40"/>
      <c r="F1512" s="40"/>
      <c r="G1512" s="40"/>
      <c r="H1512" s="42"/>
      <c r="I1512" s="42" t="str">
        <f t="shared" si="19"/>
        <v/>
      </c>
    </row>
    <row r="1513" spans="2:9" x14ac:dyDescent="0.25">
      <c r="B1513" s="39"/>
      <c r="C1513" s="40"/>
      <c r="D1513" s="40"/>
      <c r="F1513" s="40"/>
      <c r="G1513" s="40"/>
      <c r="H1513" s="42"/>
      <c r="I1513" s="42" t="str">
        <f t="shared" si="19"/>
        <v/>
      </c>
    </row>
    <row r="1514" spans="2:9" x14ac:dyDescent="0.25">
      <c r="B1514" s="39"/>
      <c r="C1514" s="40"/>
      <c r="D1514" s="40"/>
      <c r="F1514" s="40"/>
      <c r="G1514" s="40"/>
      <c r="H1514" s="42"/>
      <c r="I1514" s="42" t="str">
        <f t="shared" si="19"/>
        <v/>
      </c>
    </row>
    <row r="1515" spans="2:9" x14ac:dyDescent="0.25">
      <c r="B1515" s="39"/>
      <c r="C1515" s="40"/>
      <c r="D1515" s="40"/>
      <c r="F1515" s="40"/>
      <c r="G1515" s="40"/>
      <c r="H1515" s="42"/>
      <c r="I1515" s="42" t="str">
        <f t="shared" si="19"/>
        <v/>
      </c>
    </row>
    <row r="1516" spans="2:9" x14ac:dyDescent="0.25">
      <c r="B1516" s="39"/>
      <c r="C1516" s="40"/>
      <c r="D1516" s="40"/>
      <c r="F1516" s="40"/>
      <c r="G1516" s="40"/>
      <c r="H1516" s="42"/>
      <c r="I1516" s="42" t="str">
        <f t="shared" si="19"/>
        <v/>
      </c>
    </row>
    <row r="1517" spans="2:9" x14ac:dyDescent="0.25">
      <c r="B1517" s="39"/>
      <c r="C1517" s="40"/>
      <c r="D1517" s="40"/>
      <c r="F1517" s="40"/>
      <c r="G1517" s="40"/>
      <c r="H1517" s="42"/>
      <c r="I1517" s="42" t="str">
        <f t="shared" si="19"/>
        <v/>
      </c>
    </row>
    <row r="1518" spans="2:9" x14ac:dyDescent="0.25">
      <c r="B1518" s="39"/>
      <c r="C1518" s="40"/>
      <c r="D1518" s="40"/>
      <c r="F1518" s="40"/>
      <c r="G1518" s="40"/>
      <c r="H1518" s="42"/>
      <c r="I1518" s="42" t="str">
        <f t="shared" si="19"/>
        <v/>
      </c>
    </row>
    <row r="1519" spans="2:9" x14ac:dyDescent="0.25">
      <c r="B1519" s="39"/>
      <c r="C1519" s="40"/>
      <c r="D1519" s="40"/>
      <c r="F1519" s="40"/>
      <c r="G1519" s="40"/>
      <c r="H1519" s="42"/>
      <c r="I1519" s="42" t="str">
        <f t="shared" si="19"/>
        <v/>
      </c>
    </row>
    <row r="1520" spans="2:9" x14ac:dyDescent="0.25">
      <c r="B1520" s="39"/>
      <c r="C1520" s="40"/>
      <c r="D1520" s="40"/>
      <c r="F1520" s="40"/>
      <c r="G1520" s="40"/>
      <c r="H1520" s="42"/>
      <c r="I1520" s="42" t="str">
        <f t="shared" si="19"/>
        <v/>
      </c>
    </row>
    <row r="1521" spans="2:9" x14ac:dyDescent="0.25">
      <c r="B1521" s="39"/>
      <c r="C1521" s="40"/>
      <c r="D1521" s="40"/>
      <c r="F1521" s="40"/>
      <c r="G1521" s="40"/>
      <c r="H1521" s="42"/>
      <c r="I1521" s="42" t="str">
        <f t="shared" si="19"/>
        <v/>
      </c>
    </row>
    <row r="1522" spans="2:9" x14ac:dyDescent="0.25">
      <c r="B1522" s="39"/>
      <c r="C1522" s="40"/>
      <c r="D1522" s="40"/>
      <c r="F1522" s="40"/>
      <c r="G1522" s="40"/>
      <c r="H1522" s="42"/>
      <c r="I1522" s="42" t="str">
        <f t="shared" si="19"/>
        <v/>
      </c>
    </row>
    <row r="1523" spans="2:9" x14ac:dyDescent="0.25">
      <c r="B1523" s="39"/>
      <c r="C1523" s="40"/>
      <c r="D1523" s="40"/>
      <c r="F1523" s="40"/>
      <c r="G1523" s="40"/>
      <c r="H1523" s="42"/>
      <c r="I1523" s="42" t="str">
        <f t="shared" si="19"/>
        <v/>
      </c>
    </row>
    <row r="1524" spans="2:9" x14ac:dyDescent="0.25">
      <c r="B1524" s="39"/>
      <c r="C1524" s="40"/>
      <c r="D1524" s="40"/>
      <c r="F1524" s="40"/>
      <c r="G1524" s="40"/>
      <c r="H1524" s="42"/>
      <c r="I1524" s="42" t="str">
        <f t="shared" si="19"/>
        <v/>
      </c>
    </row>
    <row r="1525" spans="2:9" x14ac:dyDescent="0.25">
      <c r="B1525" s="39"/>
      <c r="C1525" s="40"/>
      <c r="D1525" s="40"/>
      <c r="F1525" s="40"/>
      <c r="G1525" s="40"/>
      <c r="H1525" s="42"/>
      <c r="I1525" s="42" t="str">
        <f t="shared" si="19"/>
        <v/>
      </c>
    </row>
    <row r="1526" spans="2:9" x14ac:dyDescent="0.25">
      <c r="B1526" s="39"/>
      <c r="C1526" s="40"/>
      <c r="D1526" s="40"/>
      <c r="F1526" s="40"/>
      <c r="G1526" s="40"/>
      <c r="H1526" s="42"/>
      <c r="I1526" s="42" t="str">
        <f t="shared" si="19"/>
        <v/>
      </c>
    </row>
    <row r="1527" spans="2:9" x14ac:dyDescent="0.25">
      <c r="B1527" s="39"/>
      <c r="C1527" s="40"/>
      <c r="D1527" s="40"/>
      <c r="F1527" s="40"/>
      <c r="G1527" s="40"/>
      <c r="H1527" s="42"/>
      <c r="I1527" s="42" t="str">
        <f t="shared" si="19"/>
        <v/>
      </c>
    </row>
    <row r="1528" spans="2:9" x14ac:dyDescent="0.25">
      <c r="B1528" s="39"/>
      <c r="C1528" s="40"/>
      <c r="D1528" s="40"/>
      <c r="F1528" s="40"/>
      <c r="G1528" s="40"/>
      <c r="H1528" s="42"/>
      <c r="I1528" s="42" t="str">
        <f t="shared" si="19"/>
        <v/>
      </c>
    </row>
    <row r="1529" spans="2:9" x14ac:dyDescent="0.25">
      <c r="B1529" s="39"/>
      <c r="C1529" s="40"/>
      <c r="D1529" s="40"/>
      <c r="F1529" s="40"/>
      <c r="G1529" s="40"/>
      <c r="H1529" s="42"/>
      <c r="I1529" s="42" t="str">
        <f t="shared" si="19"/>
        <v/>
      </c>
    </row>
    <row r="1530" spans="2:9" x14ac:dyDescent="0.25">
      <c r="B1530" s="39"/>
      <c r="C1530" s="40"/>
      <c r="D1530" s="40"/>
      <c r="F1530" s="40"/>
      <c r="G1530" s="40"/>
      <c r="H1530" s="42"/>
      <c r="I1530" s="42" t="str">
        <f t="shared" si="19"/>
        <v/>
      </c>
    </row>
    <row r="1531" spans="2:9" x14ac:dyDescent="0.25">
      <c r="B1531" s="39"/>
      <c r="C1531" s="40"/>
      <c r="D1531" s="40"/>
      <c r="F1531" s="40"/>
      <c r="G1531" s="40"/>
      <c r="H1531" s="42"/>
      <c r="I1531" s="42" t="str">
        <f t="shared" si="19"/>
        <v/>
      </c>
    </row>
    <row r="1532" spans="2:9" x14ac:dyDescent="0.25">
      <c r="B1532" s="39"/>
      <c r="C1532" s="40"/>
      <c r="D1532" s="40"/>
      <c r="F1532" s="40"/>
      <c r="G1532" s="40"/>
      <c r="H1532" s="42"/>
      <c r="I1532" s="42" t="str">
        <f t="shared" si="19"/>
        <v/>
      </c>
    </row>
    <row r="1533" spans="2:9" x14ac:dyDescent="0.25">
      <c r="B1533" s="39"/>
      <c r="C1533" s="40"/>
      <c r="D1533" s="40"/>
      <c r="F1533" s="40"/>
      <c r="G1533" s="40"/>
      <c r="H1533" s="42"/>
      <c r="I1533" s="42" t="str">
        <f t="shared" si="19"/>
        <v/>
      </c>
    </row>
    <row r="1534" spans="2:9" x14ac:dyDescent="0.25">
      <c r="B1534" s="39"/>
      <c r="C1534" s="40"/>
      <c r="D1534" s="40"/>
      <c r="F1534" s="40"/>
      <c r="G1534" s="40"/>
      <c r="H1534" s="42"/>
      <c r="I1534" s="42" t="str">
        <f t="shared" si="19"/>
        <v/>
      </c>
    </row>
    <row r="1535" spans="2:9" x14ac:dyDescent="0.25">
      <c r="B1535" s="39"/>
      <c r="C1535" s="40"/>
      <c r="D1535" s="40"/>
      <c r="F1535" s="40"/>
      <c r="G1535" s="40"/>
      <c r="H1535" s="42"/>
      <c r="I1535" s="42" t="str">
        <f t="shared" si="19"/>
        <v/>
      </c>
    </row>
    <row r="1536" spans="2:9" x14ac:dyDescent="0.25">
      <c r="B1536" s="39"/>
      <c r="C1536" s="40"/>
      <c r="D1536" s="40"/>
      <c r="F1536" s="40"/>
      <c r="G1536" s="40"/>
      <c r="H1536" s="42"/>
      <c r="I1536" s="42" t="str">
        <f t="shared" ref="I1536:I1599" si="20">IF(H1536&lt;&gt;"",H1536-H1535,"")</f>
        <v/>
      </c>
    </row>
    <row r="1537" spans="2:9" x14ac:dyDescent="0.25">
      <c r="B1537" s="39"/>
      <c r="C1537" s="40"/>
      <c r="D1537" s="40"/>
      <c r="F1537" s="40"/>
      <c r="G1537" s="40"/>
      <c r="H1537" s="42"/>
      <c r="I1537" s="42" t="str">
        <f t="shared" si="20"/>
        <v/>
      </c>
    </row>
    <row r="1538" spans="2:9" x14ac:dyDescent="0.25">
      <c r="B1538" s="39"/>
      <c r="C1538" s="40"/>
      <c r="D1538" s="40"/>
      <c r="F1538" s="40"/>
      <c r="G1538" s="40"/>
      <c r="H1538" s="42"/>
      <c r="I1538" s="42" t="str">
        <f t="shared" si="20"/>
        <v/>
      </c>
    </row>
    <row r="1539" spans="2:9" x14ac:dyDescent="0.25">
      <c r="B1539" s="39"/>
      <c r="C1539" s="40"/>
      <c r="D1539" s="40"/>
      <c r="F1539" s="40"/>
      <c r="G1539" s="40"/>
      <c r="H1539" s="42"/>
      <c r="I1539" s="42" t="str">
        <f t="shared" si="20"/>
        <v/>
      </c>
    </row>
    <row r="1540" spans="2:9" x14ac:dyDescent="0.25">
      <c r="B1540" s="39"/>
      <c r="C1540" s="40"/>
      <c r="D1540" s="40"/>
      <c r="F1540" s="40"/>
      <c r="G1540" s="40"/>
      <c r="H1540" s="42"/>
      <c r="I1540" s="42" t="str">
        <f t="shared" si="20"/>
        <v/>
      </c>
    </row>
    <row r="1541" spans="2:9" x14ac:dyDescent="0.25">
      <c r="B1541" s="39"/>
      <c r="C1541" s="40"/>
      <c r="D1541" s="40"/>
      <c r="F1541" s="40"/>
      <c r="G1541" s="40"/>
      <c r="H1541" s="42"/>
      <c r="I1541" s="42" t="str">
        <f t="shared" si="20"/>
        <v/>
      </c>
    </row>
    <row r="1542" spans="2:9" x14ac:dyDescent="0.25">
      <c r="B1542" s="39"/>
      <c r="C1542" s="40"/>
      <c r="D1542" s="40"/>
      <c r="F1542" s="40"/>
      <c r="G1542" s="40"/>
      <c r="H1542" s="42"/>
      <c r="I1542" s="42" t="str">
        <f t="shared" si="20"/>
        <v/>
      </c>
    </row>
    <row r="1543" spans="2:9" x14ac:dyDescent="0.25">
      <c r="B1543" s="39"/>
      <c r="C1543" s="40"/>
      <c r="D1543" s="40"/>
      <c r="F1543" s="40"/>
      <c r="G1543" s="40"/>
      <c r="H1543" s="42"/>
      <c r="I1543" s="42" t="str">
        <f t="shared" si="20"/>
        <v/>
      </c>
    </row>
    <row r="1544" spans="2:9" x14ac:dyDescent="0.25">
      <c r="B1544" s="39"/>
      <c r="C1544" s="40"/>
      <c r="D1544" s="40"/>
      <c r="F1544" s="40"/>
      <c r="G1544" s="40"/>
      <c r="H1544" s="42"/>
      <c r="I1544" s="42" t="str">
        <f t="shared" si="20"/>
        <v/>
      </c>
    </row>
    <row r="1545" spans="2:9" x14ac:dyDescent="0.25">
      <c r="B1545" s="39"/>
      <c r="C1545" s="40"/>
      <c r="D1545" s="40"/>
      <c r="F1545" s="40"/>
      <c r="G1545" s="40"/>
      <c r="H1545" s="42"/>
      <c r="I1545" s="42" t="str">
        <f t="shared" si="20"/>
        <v/>
      </c>
    </row>
    <row r="1546" spans="2:9" x14ac:dyDescent="0.25">
      <c r="B1546" s="39"/>
      <c r="C1546" s="40"/>
      <c r="D1546" s="40"/>
      <c r="F1546" s="40"/>
      <c r="G1546" s="40"/>
      <c r="H1546" s="42"/>
      <c r="I1546" s="42" t="str">
        <f t="shared" si="20"/>
        <v/>
      </c>
    </row>
    <row r="1547" spans="2:9" x14ac:dyDescent="0.25">
      <c r="B1547" s="39"/>
      <c r="C1547" s="40"/>
      <c r="D1547" s="40"/>
      <c r="F1547" s="40"/>
      <c r="G1547" s="40"/>
      <c r="H1547" s="42"/>
      <c r="I1547" s="42" t="str">
        <f t="shared" si="20"/>
        <v/>
      </c>
    </row>
    <row r="1548" spans="2:9" x14ac:dyDescent="0.25">
      <c r="B1548" s="39"/>
      <c r="C1548" s="40"/>
      <c r="D1548" s="40"/>
      <c r="F1548" s="40"/>
      <c r="G1548" s="40"/>
      <c r="H1548" s="42"/>
      <c r="I1548" s="42" t="str">
        <f t="shared" si="20"/>
        <v/>
      </c>
    </row>
    <row r="1549" spans="2:9" x14ac:dyDescent="0.25">
      <c r="B1549" s="39"/>
      <c r="C1549" s="40"/>
      <c r="D1549" s="40"/>
      <c r="F1549" s="40"/>
      <c r="G1549" s="40"/>
      <c r="H1549" s="42"/>
      <c r="I1549" s="42" t="str">
        <f t="shared" si="20"/>
        <v/>
      </c>
    </row>
    <row r="1550" spans="2:9" x14ac:dyDescent="0.25">
      <c r="B1550" s="39"/>
      <c r="C1550" s="40"/>
      <c r="D1550" s="40"/>
      <c r="F1550" s="40"/>
      <c r="G1550" s="40"/>
      <c r="H1550" s="42"/>
      <c r="I1550" s="42" t="str">
        <f t="shared" si="20"/>
        <v/>
      </c>
    </row>
    <row r="1551" spans="2:9" x14ac:dyDescent="0.25">
      <c r="B1551" s="39"/>
      <c r="C1551" s="40"/>
      <c r="D1551" s="40"/>
      <c r="F1551" s="40"/>
      <c r="G1551" s="40"/>
      <c r="H1551" s="42"/>
      <c r="I1551" s="42" t="str">
        <f t="shared" si="20"/>
        <v/>
      </c>
    </row>
    <row r="1552" spans="2:9" x14ac:dyDescent="0.25">
      <c r="B1552" s="39"/>
      <c r="C1552" s="40"/>
      <c r="D1552" s="40"/>
      <c r="F1552" s="40"/>
      <c r="G1552" s="40"/>
      <c r="H1552" s="42"/>
      <c r="I1552" s="42" t="str">
        <f t="shared" si="20"/>
        <v/>
      </c>
    </row>
    <row r="1553" spans="2:9" x14ac:dyDescent="0.25">
      <c r="B1553" s="39"/>
      <c r="C1553" s="40"/>
      <c r="D1553" s="40"/>
      <c r="F1553" s="40"/>
      <c r="G1553" s="40"/>
      <c r="H1553" s="42"/>
      <c r="I1553" s="42" t="str">
        <f t="shared" si="20"/>
        <v/>
      </c>
    </row>
    <row r="1554" spans="2:9" x14ac:dyDescent="0.25">
      <c r="B1554" s="39"/>
      <c r="C1554" s="40"/>
      <c r="D1554" s="40"/>
      <c r="F1554" s="40"/>
      <c r="G1554" s="40"/>
      <c r="H1554" s="42"/>
      <c r="I1554" s="42" t="str">
        <f t="shared" si="20"/>
        <v/>
      </c>
    </row>
    <row r="1555" spans="2:9" x14ac:dyDescent="0.25">
      <c r="B1555" s="39"/>
      <c r="C1555" s="40"/>
      <c r="D1555" s="40"/>
      <c r="F1555" s="40"/>
      <c r="G1555" s="40"/>
      <c r="H1555" s="42"/>
      <c r="I1555" s="42" t="str">
        <f t="shared" si="20"/>
        <v/>
      </c>
    </row>
    <row r="1556" spans="2:9" x14ac:dyDescent="0.25">
      <c r="B1556" s="39"/>
      <c r="C1556" s="40"/>
      <c r="D1556" s="40"/>
      <c r="F1556" s="40"/>
      <c r="G1556" s="40"/>
      <c r="H1556" s="42"/>
      <c r="I1556" s="42" t="str">
        <f t="shared" si="20"/>
        <v/>
      </c>
    </row>
    <row r="1557" spans="2:9" x14ac:dyDescent="0.25">
      <c r="B1557" s="39"/>
      <c r="C1557" s="40"/>
      <c r="D1557" s="40"/>
      <c r="F1557" s="40"/>
      <c r="G1557" s="40"/>
      <c r="H1557" s="42"/>
      <c r="I1557" s="42" t="str">
        <f t="shared" si="20"/>
        <v/>
      </c>
    </row>
    <row r="1558" spans="2:9" x14ac:dyDescent="0.25">
      <c r="B1558" s="39"/>
      <c r="C1558" s="40"/>
      <c r="D1558" s="40"/>
      <c r="F1558" s="40"/>
      <c r="G1558" s="40"/>
      <c r="H1558" s="42"/>
      <c r="I1558" s="42" t="str">
        <f t="shared" si="20"/>
        <v/>
      </c>
    </row>
    <row r="1559" spans="2:9" x14ac:dyDescent="0.25">
      <c r="B1559" s="39"/>
      <c r="C1559" s="40"/>
      <c r="D1559" s="40"/>
      <c r="F1559" s="40"/>
      <c r="G1559" s="40"/>
      <c r="H1559" s="42"/>
      <c r="I1559" s="42" t="str">
        <f t="shared" si="20"/>
        <v/>
      </c>
    </row>
    <row r="1560" spans="2:9" x14ac:dyDescent="0.25">
      <c r="B1560" s="39"/>
      <c r="C1560" s="40"/>
      <c r="D1560" s="40"/>
      <c r="F1560" s="40"/>
      <c r="G1560" s="40"/>
      <c r="H1560" s="42"/>
      <c r="I1560" s="42" t="str">
        <f t="shared" si="20"/>
        <v/>
      </c>
    </row>
    <row r="1561" spans="2:9" x14ac:dyDescent="0.25">
      <c r="B1561" s="39"/>
      <c r="C1561" s="40"/>
      <c r="D1561" s="40"/>
      <c r="F1561" s="40"/>
      <c r="G1561" s="40"/>
      <c r="H1561" s="42"/>
      <c r="I1561" s="42" t="str">
        <f t="shared" si="20"/>
        <v/>
      </c>
    </row>
    <row r="1562" spans="2:9" x14ac:dyDescent="0.25">
      <c r="B1562" s="39"/>
      <c r="C1562" s="40"/>
      <c r="D1562" s="40"/>
      <c r="F1562" s="40"/>
      <c r="G1562" s="40"/>
      <c r="H1562" s="42"/>
      <c r="I1562" s="42" t="str">
        <f t="shared" si="20"/>
        <v/>
      </c>
    </row>
    <row r="1563" spans="2:9" x14ac:dyDescent="0.25">
      <c r="B1563" s="39"/>
      <c r="C1563" s="40"/>
      <c r="D1563" s="40"/>
      <c r="F1563" s="40"/>
      <c r="G1563" s="40"/>
      <c r="H1563" s="42"/>
      <c r="I1563" s="42" t="str">
        <f t="shared" si="20"/>
        <v/>
      </c>
    </row>
    <row r="1564" spans="2:9" x14ac:dyDescent="0.25">
      <c r="B1564" s="39"/>
      <c r="C1564" s="40"/>
      <c r="D1564" s="40"/>
      <c r="F1564" s="40"/>
      <c r="G1564" s="40"/>
      <c r="H1564" s="42"/>
      <c r="I1564" s="42" t="str">
        <f t="shared" si="20"/>
        <v/>
      </c>
    </row>
    <row r="1565" spans="2:9" x14ac:dyDescent="0.25">
      <c r="B1565" s="39"/>
      <c r="C1565" s="40"/>
      <c r="D1565" s="40"/>
      <c r="F1565" s="40"/>
      <c r="G1565" s="40"/>
      <c r="H1565" s="42"/>
      <c r="I1565" s="42" t="str">
        <f t="shared" si="20"/>
        <v/>
      </c>
    </row>
    <row r="1566" spans="2:9" x14ac:dyDescent="0.25">
      <c r="B1566" s="39"/>
      <c r="C1566" s="40"/>
      <c r="D1566" s="40"/>
      <c r="F1566" s="40"/>
      <c r="G1566" s="40"/>
      <c r="H1566" s="42"/>
      <c r="I1566" s="42" t="str">
        <f t="shared" si="20"/>
        <v/>
      </c>
    </row>
    <row r="1567" spans="2:9" x14ac:dyDescent="0.25">
      <c r="B1567" s="39"/>
      <c r="C1567" s="40"/>
      <c r="D1567" s="40"/>
      <c r="F1567" s="40"/>
      <c r="G1567" s="40"/>
      <c r="H1567" s="42"/>
      <c r="I1567" s="42" t="str">
        <f t="shared" si="20"/>
        <v/>
      </c>
    </row>
    <row r="1568" spans="2:9" x14ac:dyDescent="0.25">
      <c r="B1568" s="39"/>
      <c r="C1568" s="40"/>
      <c r="D1568" s="40"/>
      <c r="F1568" s="40"/>
      <c r="G1568" s="40"/>
      <c r="H1568" s="42"/>
      <c r="I1568" s="42" t="str">
        <f t="shared" si="20"/>
        <v/>
      </c>
    </row>
    <row r="1569" spans="2:9" x14ac:dyDescent="0.25">
      <c r="B1569" s="39"/>
      <c r="C1569" s="40"/>
      <c r="D1569" s="40"/>
      <c r="F1569" s="40"/>
      <c r="G1569" s="40"/>
      <c r="H1569" s="42"/>
      <c r="I1569" s="42" t="str">
        <f t="shared" si="20"/>
        <v/>
      </c>
    </row>
    <row r="1570" spans="2:9" x14ac:dyDescent="0.25">
      <c r="B1570" s="39"/>
      <c r="C1570" s="40"/>
      <c r="D1570" s="40"/>
      <c r="F1570" s="40"/>
      <c r="G1570" s="40"/>
      <c r="H1570" s="42"/>
      <c r="I1570" s="42" t="str">
        <f t="shared" si="20"/>
        <v/>
      </c>
    </row>
    <row r="1571" spans="2:9" x14ac:dyDescent="0.25">
      <c r="B1571" s="39"/>
      <c r="C1571" s="40"/>
      <c r="D1571" s="40"/>
      <c r="F1571" s="40"/>
      <c r="G1571" s="40"/>
      <c r="H1571" s="42"/>
      <c r="I1571" s="42" t="str">
        <f t="shared" si="20"/>
        <v/>
      </c>
    </row>
    <row r="1572" spans="2:9" x14ac:dyDescent="0.25">
      <c r="B1572" s="39"/>
      <c r="C1572" s="40"/>
      <c r="D1572" s="40"/>
      <c r="F1572" s="40"/>
      <c r="G1572" s="40"/>
      <c r="H1572" s="42"/>
      <c r="I1572" s="42" t="str">
        <f t="shared" si="20"/>
        <v/>
      </c>
    </row>
    <row r="1573" spans="2:9" x14ac:dyDescent="0.25">
      <c r="B1573" s="39"/>
      <c r="C1573" s="40"/>
      <c r="D1573" s="40"/>
      <c r="F1573" s="40"/>
      <c r="G1573" s="40"/>
      <c r="H1573" s="42"/>
      <c r="I1573" s="42" t="str">
        <f t="shared" si="20"/>
        <v/>
      </c>
    </row>
    <row r="1574" spans="2:9" x14ac:dyDescent="0.25">
      <c r="B1574" s="39"/>
      <c r="C1574" s="40"/>
      <c r="D1574" s="40"/>
      <c r="F1574" s="40"/>
      <c r="G1574" s="40"/>
      <c r="H1574" s="42"/>
      <c r="I1574" s="42" t="str">
        <f t="shared" si="20"/>
        <v/>
      </c>
    </row>
    <row r="1575" spans="2:9" x14ac:dyDescent="0.25">
      <c r="B1575" s="39"/>
      <c r="C1575" s="40"/>
      <c r="D1575" s="40"/>
      <c r="F1575" s="40"/>
      <c r="G1575" s="40"/>
      <c r="H1575" s="42"/>
      <c r="I1575" s="42" t="str">
        <f t="shared" si="20"/>
        <v/>
      </c>
    </row>
    <row r="1576" spans="2:9" x14ac:dyDescent="0.25">
      <c r="B1576" s="39"/>
      <c r="C1576" s="40"/>
      <c r="D1576" s="40"/>
      <c r="F1576" s="40"/>
      <c r="G1576" s="40"/>
      <c r="H1576" s="42"/>
      <c r="I1576" s="42" t="str">
        <f t="shared" si="20"/>
        <v/>
      </c>
    </row>
    <row r="1577" spans="2:9" x14ac:dyDescent="0.25">
      <c r="B1577" s="39"/>
      <c r="C1577" s="40"/>
      <c r="D1577" s="40"/>
      <c r="F1577" s="40"/>
      <c r="G1577" s="40"/>
      <c r="H1577" s="42"/>
      <c r="I1577" s="42" t="str">
        <f t="shared" si="20"/>
        <v/>
      </c>
    </row>
    <row r="1578" spans="2:9" x14ac:dyDescent="0.25">
      <c r="B1578" s="39"/>
      <c r="C1578" s="40"/>
      <c r="D1578" s="40"/>
      <c r="F1578" s="40"/>
      <c r="G1578" s="40"/>
      <c r="H1578" s="42"/>
      <c r="I1578" s="42" t="str">
        <f t="shared" si="20"/>
        <v/>
      </c>
    </row>
    <row r="1579" spans="2:9" x14ac:dyDescent="0.25">
      <c r="B1579" s="39"/>
      <c r="C1579" s="40"/>
      <c r="D1579" s="40"/>
      <c r="F1579" s="40"/>
      <c r="G1579" s="40"/>
      <c r="H1579" s="42"/>
      <c r="I1579" s="42" t="str">
        <f t="shared" si="20"/>
        <v/>
      </c>
    </row>
    <row r="1580" spans="2:9" x14ac:dyDescent="0.25">
      <c r="B1580" s="39"/>
      <c r="C1580" s="40"/>
      <c r="D1580" s="40"/>
      <c r="F1580" s="40"/>
      <c r="G1580" s="40"/>
      <c r="H1580" s="42"/>
      <c r="I1580" s="42" t="str">
        <f t="shared" si="20"/>
        <v/>
      </c>
    </row>
    <row r="1581" spans="2:9" x14ac:dyDescent="0.25">
      <c r="B1581" s="39"/>
      <c r="C1581" s="40"/>
      <c r="D1581" s="40"/>
      <c r="F1581" s="40"/>
      <c r="G1581" s="40"/>
      <c r="H1581" s="42"/>
      <c r="I1581" s="42" t="str">
        <f t="shared" si="20"/>
        <v/>
      </c>
    </row>
    <row r="1582" spans="2:9" x14ac:dyDescent="0.25">
      <c r="B1582" s="39"/>
      <c r="C1582" s="40"/>
      <c r="D1582" s="40"/>
      <c r="F1582" s="40"/>
      <c r="G1582" s="40"/>
      <c r="H1582" s="42"/>
      <c r="I1582" s="42" t="str">
        <f t="shared" si="20"/>
        <v/>
      </c>
    </row>
    <row r="1583" spans="2:9" x14ac:dyDescent="0.25">
      <c r="B1583" s="39"/>
      <c r="C1583" s="40"/>
      <c r="D1583" s="40"/>
      <c r="F1583" s="40"/>
      <c r="G1583" s="40"/>
      <c r="H1583" s="42"/>
      <c r="I1583" s="42" t="str">
        <f t="shared" si="20"/>
        <v/>
      </c>
    </row>
    <row r="1584" spans="2:9" x14ac:dyDescent="0.25">
      <c r="B1584" s="39"/>
      <c r="C1584" s="40"/>
      <c r="D1584" s="40"/>
      <c r="F1584" s="40"/>
      <c r="G1584" s="40"/>
      <c r="H1584" s="42"/>
      <c r="I1584" s="42" t="str">
        <f t="shared" si="20"/>
        <v/>
      </c>
    </row>
    <row r="1585" spans="2:9" x14ac:dyDescent="0.25">
      <c r="B1585" s="39"/>
      <c r="C1585" s="40"/>
      <c r="D1585" s="40"/>
      <c r="F1585" s="40"/>
      <c r="G1585" s="40"/>
      <c r="H1585" s="42"/>
      <c r="I1585" s="42" t="str">
        <f t="shared" si="20"/>
        <v/>
      </c>
    </row>
    <row r="1586" spans="2:9" x14ac:dyDescent="0.25">
      <c r="B1586" s="39"/>
      <c r="C1586" s="40"/>
      <c r="D1586" s="40"/>
      <c r="F1586" s="40"/>
      <c r="G1586" s="40"/>
      <c r="H1586" s="42"/>
      <c r="I1586" s="42" t="str">
        <f t="shared" si="20"/>
        <v/>
      </c>
    </row>
    <row r="1587" spans="2:9" x14ac:dyDescent="0.25">
      <c r="B1587" s="39"/>
      <c r="C1587" s="40"/>
      <c r="D1587" s="40"/>
      <c r="F1587" s="40"/>
      <c r="G1587" s="40"/>
      <c r="H1587" s="42"/>
      <c r="I1587" s="42" t="str">
        <f t="shared" si="20"/>
        <v/>
      </c>
    </row>
    <row r="1588" spans="2:9" x14ac:dyDescent="0.25">
      <c r="B1588" s="39"/>
      <c r="C1588" s="40"/>
      <c r="D1588" s="40"/>
      <c r="F1588" s="40"/>
      <c r="G1588" s="40"/>
      <c r="H1588" s="42"/>
      <c r="I1588" s="42" t="str">
        <f t="shared" si="20"/>
        <v/>
      </c>
    </row>
    <row r="1589" spans="2:9" x14ac:dyDescent="0.25">
      <c r="B1589" s="39"/>
      <c r="C1589" s="40"/>
      <c r="D1589" s="40"/>
      <c r="F1589" s="40"/>
      <c r="G1589" s="40"/>
      <c r="H1589" s="42"/>
      <c r="I1589" s="42" t="str">
        <f t="shared" si="20"/>
        <v/>
      </c>
    </row>
    <row r="1590" spans="2:9" x14ac:dyDescent="0.25">
      <c r="B1590" s="39"/>
      <c r="C1590" s="40"/>
      <c r="D1590" s="40"/>
      <c r="F1590" s="40"/>
      <c r="G1590" s="40"/>
      <c r="H1590" s="42"/>
      <c r="I1590" s="42" t="str">
        <f t="shared" si="20"/>
        <v/>
      </c>
    </row>
    <row r="1591" spans="2:9" x14ac:dyDescent="0.25">
      <c r="B1591" s="39"/>
      <c r="C1591" s="40"/>
      <c r="D1591" s="40"/>
      <c r="F1591" s="40"/>
      <c r="G1591" s="40"/>
      <c r="H1591" s="42"/>
      <c r="I1591" s="42" t="str">
        <f t="shared" si="20"/>
        <v/>
      </c>
    </row>
    <row r="1592" spans="2:9" x14ac:dyDescent="0.25">
      <c r="B1592" s="39"/>
      <c r="C1592" s="40"/>
      <c r="D1592" s="40"/>
      <c r="F1592" s="40"/>
      <c r="G1592" s="40"/>
      <c r="H1592" s="42"/>
      <c r="I1592" s="42" t="str">
        <f t="shared" si="20"/>
        <v/>
      </c>
    </row>
    <row r="1593" spans="2:9" x14ac:dyDescent="0.25">
      <c r="B1593" s="39"/>
      <c r="C1593" s="40"/>
      <c r="D1593" s="40"/>
      <c r="F1593" s="40"/>
      <c r="G1593" s="40"/>
      <c r="H1593" s="42"/>
      <c r="I1593" s="42" t="str">
        <f t="shared" si="20"/>
        <v/>
      </c>
    </row>
    <row r="1594" spans="2:9" x14ac:dyDescent="0.25">
      <c r="B1594" s="39"/>
      <c r="C1594" s="40"/>
      <c r="D1594" s="40"/>
      <c r="F1594" s="40"/>
      <c r="G1594" s="40"/>
      <c r="H1594" s="42"/>
      <c r="I1594" s="42" t="str">
        <f t="shared" si="20"/>
        <v/>
      </c>
    </row>
    <row r="1595" spans="2:9" x14ac:dyDescent="0.25">
      <c r="B1595" s="39"/>
      <c r="C1595" s="40"/>
      <c r="D1595" s="40"/>
      <c r="F1595" s="40"/>
      <c r="G1595" s="40"/>
      <c r="H1595" s="42"/>
      <c r="I1595" s="42" t="str">
        <f t="shared" si="20"/>
        <v/>
      </c>
    </row>
    <row r="1596" spans="2:9" x14ac:dyDescent="0.25">
      <c r="B1596" s="39"/>
      <c r="C1596" s="40"/>
      <c r="D1596" s="40"/>
      <c r="F1596" s="40"/>
      <c r="G1596" s="40"/>
      <c r="H1596" s="42"/>
      <c r="I1596" s="42" t="str">
        <f t="shared" si="20"/>
        <v/>
      </c>
    </row>
    <row r="1597" spans="2:9" x14ac:dyDescent="0.25">
      <c r="B1597" s="39"/>
      <c r="C1597" s="40"/>
      <c r="D1597" s="40"/>
      <c r="F1597" s="40"/>
      <c r="G1597" s="40"/>
      <c r="H1597" s="42"/>
      <c r="I1597" s="42" t="str">
        <f t="shared" si="20"/>
        <v/>
      </c>
    </row>
    <row r="1598" spans="2:9" x14ac:dyDescent="0.25">
      <c r="B1598" s="39"/>
      <c r="C1598" s="40"/>
      <c r="D1598" s="40"/>
      <c r="F1598" s="40"/>
      <c r="G1598" s="40"/>
      <c r="H1598" s="42"/>
      <c r="I1598" s="42" t="str">
        <f t="shared" si="20"/>
        <v/>
      </c>
    </row>
    <row r="1599" spans="2:9" x14ac:dyDescent="0.25">
      <c r="B1599" s="39"/>
      <c r="C1599" s="40"/>
      <c r="D1599" s="40"/>
      <c r="F1599" s="40"/>
      <c r="G1599" s="40"/>
      <c r="H1599" s="42"/>
      <c r="I1599" s="42" t="str">
        <f t="shared" si="20"/>
        <v/>
      </c>
    </row>
    <row r="1600" spans="2:9" x14ac:dyDescent="0.25">
      <c r="B1600" s="39"/>
      <c r="C1600" s="40"/>
      <c r="D1600" s="40"/>
      <c r="F1600" s="40"/>
      <c r="G1600" s="40"/>
      <c r="H1600" s="42"/>
      <c r="I1600" s="42" t="str">
        <f t="shared" ref="I1600:I1663" si="21">IF(H1600&lt;&gt;"",H1600-H1599,"")</f>
        <v/>
      </c>
    </row>
    <row r="1601" spans="2:9" x14ac:dyDescent="0.25">
      <c r="B1601" s="39"/>
      <c r="C1601" s="40"/>
      <c r="D1601" s="40"/>
      <c r="F1601" s="40"/>
      <c r="G1601" s="40"/>
      <c r="H1601" s="42"/>
      <c r="I1601" s="42" t="str">
        <f t="shared" si="21"/>
        <v/>
      </c>
    </row>
    <row r="1602" spans="2:9" x14ac:dyDescent="0.25">
      <c r="B1602" s="39"/>
      <c r="C1602" s="40"/>
      <c r="D1602" s="40"/>
      <c r="F1602" s="40"/>
      <c r="G1602" s="40"/>
      <c r="H1602" s="42"/>
      <c r="I1602" s="42" t="str">
        <f t="shared" si="21"/>
        <v/>
      </c>
    </row>
    <row r="1603" spans="2:9" x14ac:dyDescent="0.25">
      <c r="B1603" s="39"/>
      <c r="C1603" s="40"/>
      <c r="D1603" s="40"/>
      <c r="F1603" s="40"/>
      <c r="G1603" s="40"/>
      <c r="H1603" s="42"/>
      <c r="I1603" s="42" t="str">
        <f t="shared" si="21"/>
        <v/>
      </c>
    </row>
    <row r="1604" spans="2:9" x14ac:dyDescent="0.25">
      <c r="B1604" s="39"/>
      <c r="C1604" s="40"/>
      <c r="D1604" s="40"/>
      <c r="F1604" s="40"/>
      <c r="G1604" s="40"/>
      <c r="H1604" s="42"/>
      <c r="I1604" s="42" t="str">
        <f t="shared" si="21"/>
        <v/>
      </c>
    </row>
    <row r="1605" spans="2:9" x14ac:dyDescent="0.25">
      <c r="B1605" s="39"/>
      <c r="C1605" s="40"/>
      <c r="D1605" s="40"/>
      <c r="F1605" s="40"/>
      <c r="G1605" s="40"/>
      <c r="H1605" s="42"/>
      <c r="I1605" s="42" t="str">
        <f t="shared" si="21"/>
        <v/>
      </c>
    </row>
    <row r="1606" spans="2:9" x14ac:dyDescent="0.25">
      <c r="B1606" s="39"/>
      <c r="C1606" s="40"/>
      <c r="D1606" s="40"/>
      <c r="F1606" s="40"/>
      <c r="G1606" s="40"/>
      <c r="H1606" s="42"/>
      <c r="I1606" s="42" t="str">
        <f t="shared" si="21"/>
        <v/>
      </c>
    </row>
    <row r="1607" spans="2:9" x14ac:dyDescent="0.25">
      <c r="B1607" s="39"/>
      <c r="C1607" s="40"/>
      <c r="D1607" s="40"/>
      <c r="F1607" s="40"/>
      <c r="G1607" s="40"/>
      <c r="H1607" s="42"/>
      <c r="I1607" s="42" t="str">
        <f t="shared" si="21"/>
        <v/>
      </c>
    </row>
    <row r="1608" spans="2:9" x14ac:dyDescent="0.25">
      <c r="B1608" s="39"/>
      <c r="C1608" s="40"/>
      <c r="D1608" s="40"/>
      <c r="F1608" s="40"/>
      <c r="G1608" s="40"/>
      <c r="H1608" s="42"/>
      <c r="I1608" s="42" t="str">
        <f t="shared" si="21"/>
        <v/>
      </c>
    </row>
    <row r="1609" spans="2:9" x14ac:dyDescent="0.25">
      <c r="B1609" s="39"/>
      <c r="C1609" s="40"/>
      <c r="D1609" s="40"/>
      <c r="F1609" s="40"/>
      <c r="G1609" s="40"/>
      <c r="H1609" s="42"/>
      <c r="I1609" s="42" t="str">
        <f t="shared" si="21"/>
        <v/>
      </c>
    </row>
    <row r="1610" spans="2:9" x14ac:dyDescent="0.25">
      <c r="B1610" s="39"/>
      <c r="C1610" s="40"/>
      <c r="D1610" s="40"/>
      <c r="F1610" s="40"/>
      <c r="G1610" s="40"/>
      <c r="H1610" s="42"/>
      <c r="I1610" s="42" t="str">
        <f t="shared" si="21"/>
        <v/>
      </c>
    </row>
    <row r="1611" spans="2:9" x14ac:dyDescent="0.25">
      <c r="B1611" s="39"/>
      <c r="C1611" s="40"/>
      <c r="D1611" s="40"/>
      <c r="F1611" s="40"/>
      <c r="G1611" s="40"/>
      <c r="H1611" s="42"/>
      <c r="I1611" s="42" t="str">
        <f t="shared" si="21"/>
        <v/>
      </c>
    </row>
    <row r="1612" spans="2:9" x14ac:dyDescent="0.25">
      <c r="B1612" s="39"/>
      <c r="C1612" s="40"/>
      <c r="D1612" s="40"/>
      <c r="F1612" s="40"/>
      <c r="G1612" s="40"/>
      <c r="H1612" s="42"/>
      <c r="I1612" s="42" t="str">
        <f t="shared" si="21"/>
        <v/>
      </c>
    </row>
    <row r="1613" spans="2:9" x14ac:dyDescent="0.25">
      <c r="B1613" s="39"/>
      <c r="C1613" s="40"/>
      <c r="D1613" s="40"/>
      <c r="F1613" s="40"/>
      <c r="G1613" s="40"/>
      <c r="H1613" s="42"/>
      <c r="I1613" s="42" t="str">
        <f t="shared" si="21"/>
        <v/>
      </c>
    </row>
    <row r="1614" spans="2:9" x14ac:dyDescent="0.25">
      <c r="B1614" s="39"/>
      <c r="C1614" s="40"/>
      <c r="D1614" s="40"/>
      <c r="F1614" s="40"/>
      <c r="G1614" s="40"/>
      <c r="H1614" s="42"/>
      <c r="I1614" s="42" t="str">
        <f t="shared" si="21"/>
        <v/>
      </c>
    </row>
    <row r="1615" spans="2:9" x14ac:dyDescent="0.25">
      <c r="B1615" s="39"/>
      <c r="C1615" s="40"/>
      <c r="D1615" s="40"/>
      <c r="F1615" s="40"/>
      <c r="G1615" s="40"/>
      <c r="H1615" s="42"/>
      <c r="I1615" s="42" t="str">
        <f t="shared" si="21"/>
        <v/>
      </c>
    </row>
    <row r="1616" spans="2:9" x14ac:dyDescent="0.25">
      <c r="B1616" s="39"/>
      <c r="C1616" s="40"/>
      <c r="D1616" s="40"/>
      <c r="F1616" s="40"/>
      <c r="G1616" s="40"/>
      <c r="H1616" s="42"/>
      <c r="I1616" s="42" t="str">
        <f t="shared" si="21"/>
        <v/>
      </c>
    </row>
    <row r="1617" spans="2:9" x14ac:dyDescent="0.25">
      <c r="B1617" s="39"/>
      <c r="C1617" s="40"/>
      <c r="D1617" s="40"/>
      <c r="F1617" s="40"/>
      <c r="G1617" s="40"/>
      <c r="H1617" s="42"/>
      <c r="I1617" s="42" t="str">
        <f t="shared" si="21"/>
        <v/>
      </c>
    </row>
    <row r="1618" spans="2:9" x14ac:dyDescent="0.25">
      <c r="B1618" s="39"/>
      <c r="C1618" s="40"/>
      <c r="D1618" s="40"/>
      <c r="F1618" s="40"/>
      <c r="G1618" s="40"/>
      <c r="H1618" s="42"/>
      <c r="I1618" s="42" t="str">
        <f t="shared" si="21"/>
        <v/>
      </c>
    </row>
    <row r="1619" spans="2:9" x14ac:dyDescent="0.25">
      <c r="B1619" s="39"/>
      <c r="C1619" s="40"/>
      <c r="D1619" s="40"/>
      <c r="F1619" s="40"/>
      <c r="G1619" s="40"/>
      <c r="H1619" s="42"/>
      <c r="I1619" s="42" t="str">
        <f t="shared" si="21"/>
        <v/>
      </c>
    </row>
    <row r="1620" spans="2:9" x14ac:dyDescent="0.25">
      <c r="B1620" s="39"/>
      <c r="C1620" s="40"/>
      <c r="D1620" s="40"/>
      <c r="F1620" s="40"/>
      <c r="G1620" s="40"/>
      <c r="H1620" s="42"/>
      <c r="I1620" s="42" t="str">
        <f t="shared" si="21"/>
        <v/>
      </c>
    </row>
    <row r="1621" spans="2:9" x14ac:dyDescent="0.25">
      <c r="B1621" s="39"/>
      <c r="C1621" s="40"/>
      <c r="D1621" s="40"/>
      <c r="F1621" s="40"/>
      <c r="G1621" s="40"/>
      <c r="H1621" s="42"/>
      <c r="I1621" s="42" t="str">
        <f t="shared" si="21"/>
        <v/>
      </c>
    </row>
    <row r="1622" spans="2:9" x14ac:dyDescent="0.25">
      <c r="B1622" s="39"/>
      <c r="C1622" s="40"/>
      <c r="D1622" s="40"/>
      <c r="F1622" s="40"/>
      <c r="G1622" s="40"/>
      <c r="H1622" s="42"/>
      <c r="I1622" s="42" t="str">
        <f t="shared" si="21"/>
        <v/>
      </c>
    </row>
    <row r="1623" spans="2:9" x14ac:dyDescent="0.25">
      <c r="B1623" s="39"/>
      <c r="C1623" s="40"/>
      <c r="D1623" s="40"/>
      <c r="F1623" s="40"/>
      <c r="G1623" s="40"/>
      <c r="H1623" s="42"/>
      <c r="I1623" s="42" t="str">
        <f t="shared" si="21"/>
        <v/>
      </c>
    </row>
    <row r="1624" spans="2:9" x14ac:dyDescent="0.25">
      <c r="B1624" s="39"/>
      <c r="C1624" s="40"/>
      <c r="D1624" s="40"/>
      <c r="F1624" s="40"/>
      <c r="G1624" s="40"/>
      <c r="H1624" s="42"/>
      <c r="I1624" s="42" t="str">
        <f t="shared" si="21"/>
        <v/>
      </c>
    </row>
    <row r="1625" spans="2:9" x14ac:dyDescent="0.25">
      <c r="B1625" s="39"/>
      <c r="C1625" s="40"/>
      <c r="D1625" s="40"/>
      <c r="F1625" s="40"/>
      <c r="G1625" s="40"/>
      <c r="H1625" s="42"/>
      <c r="I1625" s="42" t="str">
        <f t="shared" si="21"/>
        <v/>
      </c>
    </row>
    <row r="1626" spans="2:9" x14ac:dyDescent="0.25">
      <c r="B1626" s="39"/>
      <c r="C1626" s="40"/>
      <c r="D1626" s="40"/>
      <c r="F1626" s="40"/>
      <c r="G1626" s="40"/>
      <c r="H1626" s="42"/>
      <c r="I1626" s="42" t="str">
        <f t="shared" si="21"/>
        <v/>
      </c>
    </row>
    <row r="1627" spans="2:9" x14ac:dyDescent="0.25">
      <c r="B1627" s="39"/>
      <c r="C1627" s="40"/>
      <c r="D1627" s="40"/>
      <c r="F1627" s="40"/>
      <c r="G1627" s="40"/>
      <c r="H1627" s="42"/>
      <c r="I1627" s="42" t="str">
        <f t="shared" si="21"/>
        <v/>
      </c>
    </row>
    <row r="1628" spans="2:9" x14ac:dyDescent="0.25">
      <c r="B1628" s="39"/>
      <c r="C1628" s="40"/>
      <c r="D1628" s="40"/>
      <c r="F1628" s="40"/>
      <c r="G1628" s="40"/>
      <c r="H1628" s="42"/>
      <c r="I1628" s="42" t="str">
        <f t="shared" si="21"/>
        <v/>
      </c>
    </row>
    <row r="1629" spans="2:9" x14ac:dyDescent="0.25">
      <c r="B1629" s="39"/>
      <c r="C1629" s="40"/>
      <c r="D1629" s="40"/>
      <c r="F1629" s="40"/>
      <c r="G1629" s="40"/>
      <c r="H1629" s="42"/>
      <c r="I1629" s="42" t="str">
        <f t="shared" si="21"/>
        <v/>
      </c>
    </row>
    <row r="1630" spans="2:9" x14ac:dyDescent="0.25">
      <c r="B1630" s="39"/>
      <c r="C1630" s="40"/>
      <c r="D1630" s="40"/>
      <c r="F1630" s="40"/>
      <c r="G1630" s="40"/>
      <c r="H1630" s="42"/>
      <c r="I1630" s="42" t="str">
        <f t="shared" si="21"/>
        <v/>
      </c>
    </row>
    <row r="1631" spans="2:9" x14ac:dyDescent="0.25">
      <c r="B1631" s="39"/>
      <c r="C1631" s="40"/>
      <c r="D1631" s="40"/>
      <c r="F1631" s="40"/>
      <c r="G1631" s="40"/>
      <c r="H1631" s="42"/>
      <c r="I1631" s="42" t="str">
        <f t="shared" si="21"/>
        <v/>
      </c>
    </row>
    <row r="1632" spans="2:9" x14ac:dyDescent="0.25">
      <c r="B1632" s="39"/>
      <c r="C1632" s="40"/>
      <c r="D1632" s="40"/>
      <c r="F1632" s="40"/>
      <c r="G1632" s="40"/>
      <c r="H1632" s="42"/>
      <c r="I1632" s="42" t="str">
        <f t="shared" si="21"/>
        <v/>
      </c>
    </row>
    <row r="1633" spans="2:9" x14ac:dyDescent="0.25">
      <c r="B1633" s="39"/>
      <c r="C1633" s="40"/>
      <c r="D1633" s="40"/>
      <c r="F1633" s="40"/>
      <c r="G1633" s="40"/>
      <c r="H1633" s="42"/>
      <c r="I1633" s="42" t="str">
        <f t="shared" si="21"/>
        <v/>
      </c>
    </row>
    <row r="1634" spans="2:9" x14ac:dyDescent="0.25">
      <c r="B1634" s="39"/>
      <c r="C1634" s="40"/>
      <c r="D1634" s="40"/>
      <c r="F1634" s="40"/>
      <c r="G1634" s="40"/>
      <c r="H1634" s="42"/>
      <c r="I1634" s="42" t="str">
        <f t="shared" si="21"/>
        <v/>
      </c>
    </row>
    <row r="1635" spans="2:9" x14ac:dyDescent="0.25">
      <c r="B1635" s="39"/>
      <c r="C1635" s="40"/>
      <c r="D1635" s="40"/>
      <c r="F1635" s="40"/>
      <c r="G1635" s="40"/>
      <c r="H1635" s="42"/>
      <c r="I1635" s="42" t="str">
        <f t="shared" si="21"/>
        <v/>
      </c>
    </row>
    <row r="1636" spans="2:9" x14ac:dyDescent="0.25">
      <c r="B1636" s="39"/>
      <c r="C1636" s="40"/>
      <c r="D1636" s="40"/>
      <c r="F1636" s="40"/>
      <c r="G1636" s="40"/>
      <c r="H1636" s="42"/>
      <c r="I1636" s="42" t="str">
        <f t="shared" si="21"/>
        <v/>
      </c>
    </row>
    <row r="1637" spans="2:9" x14ac:dyDescent="0.25">
      <c r="B1637" s="39"/>
      <c r="C1637" s="40"/>
      <c r="D1637" s="40"/>
      <c r="F1637" s="40"/>
      <c r="G1637" s="40"/>
      <c r="H1637" s="42"/>
      <c r="I1637" s="42" t="str">
        <f t="shared" si="21"/>
        <v/>
      </c>
    </row>
    <row r="1638" spans="2:9" x14ac:dyDescent="0.25">
      <c r="B1638" s="39"/>
      <c r="C1638" s="40"/>
      <c r="D1638" s="40"/>
      <c r="F1638" s="40"/>
      <c r="G1638" s="40"/>
      <c r="H1638" s="42"/>
      <c r="I1638" s="42" t="str">
        <f t="shared" si="21"/>
        <v/>
      </c>
    </row>
    <row r="1639" spans="2:9" x14ac:dyDescent="0.25">
      <c r="B1639" s="39"/>
      <c r="C1639" s="40"/>
      <c r="D1639" s="40"/>
      <c r="F1639" s="40"/>
      <c r="G1639" s="40"/>
      <c r="H1639" s="42"/>
      <c r="I1639" s="42" t="str">
        <f t="shared" si="21"/>
        <v/>
      </c>
    </row>
    <row r="1640" spans="2:9" x14ac:dyDescent="0.25">
      <c r="B1640" s="39"/>
      <c r="C1640" s="40"/>
      <c r="D1640" s="40"/>
      <c r="F1640" s="40"/>
      <c r="G1640" s="40"/>
      <c r="H1640" s="42"/>
      <c r="I1640" s="42" t="str">
        <f t="shared" si="21"/>
        <v/>
      </c>
    </row>
    <row r="1641" spans="2:9" x14ac:dyDescent="0.25">
      <c r="B1641" s="39"/>
      <c r="C1641" s="40"/>
      <c r="D1641" s="40"/>
      <c r="F1641" s="40"/>
      <c r="G1641" s="40"/>
      <c r="H1641" s="42"/>
      <c r="I1641" s="42" t="str">
        <f t="shared" si="21"/>
        <v/>
      </c>
    </row>
    <row r="1642" spans="2:9" x14ac:dyDescent="0.25">
      <c r="B1642" s="39"/>
      <c r="C1642" s="40"/>
      <c r="D1642" s="40"/>
      <c r="F1642" s="40"/>
      <c r="G1642" s="40"/>
      <c r="H1642" s="42"/>
      <c r="I1642" s="42" t="str">
        <f t="shared" si="21"/>
        <v/>
      </c>
    </row>
    <row r="1643" spans="2:9" x14ac:dyDescent="0.25">
      <c r="B1643" s="39"/>
      <c r="C1643" s="40"/>
      <c r="D1643" s="40"/>
      <c r="F1643" s="40"/>
      <c r="G1643" s="40"/>
      <c r="H1643" s="42"/>
      <c r="I1643" s="42" t="str">
        <f t="shared" si="21"/>
        <v/>
      </c>
    </row>
    <row r="1644" spans="2:9" x14ac:dyDescent="0.25">
      <c r="B1644" s="39"/>
      <c r="C1644" s="40"/>
      <c r="D1644" s="40"/>
      <c r="F1644" s="40"/>
      <c r="G1644" s="40"/>
      <c r="H1644" s="42"/>
      <c r="I1644" s="42" t="str">
        <f t="shared" si="21"/>
        <v/>
      </c>
    </row>
    <row r="1645" spans="2:9" x14ac:dyDescent="0.25">
      <c r="B1645" s="39"/>
      <c r="C1645" s="40"/>
      <c r="D1645" s="40"/>
      <c r="F1645" s="40"/>
      <c r="G1645" s="40"/>
      <c r="H1645" s="42"/>
      <c r="I1645" s="42" t="str">
        <f t="shared" si="21"/>
        <v/>
      </c>
    </row>
    <row r="1646" spans="2:9" x14ac:dyDescent="0.25">
      <c r="B1646" s="39"/>
      <c r="C1646" s="40"/>
      <c r="D1646" s="40"/>
      <c r="F1646" s="40"/>
      <c r="G1646" s="40"/>
      <c r="H1646" s="42"/>
      <c r="I1646" s="42" t="str">
        <f t="shared" si="21"/>
        <v/>
      </c>
    </row>
    <row r="1647" spans="2:9" x14ac:dyDescent="0.25">
      <c r="B1647" s="39"/>
      <c r="C1647" s="40"/>
      <c r="D1647" s="40"/>
      <c r="F1647" s="40"/>
      <c r="G1647" s="40"/>
      <c r="H1647" s="42"/>
      <c r="I1647" s="42" t="str">
        <f t="shared" si="21"/>
        <v/>
      </c>
    </row>
    <row r="1648" spans="2:9" x14ac:dyDescent="0.25">
      <c r="B1648" s="39"/>
      <c r="C1648" s="40"/>
      <c r="D1648" s="40"/>
      <c r="F1648" s="40"/>
      <c r="G1648" s="40"/>
      <c r="H1648" s="42"/>
      <c r="I1648" s="42" t="str">
        <f t="shared" si="21"/>
        <v/>
      </c>
    </row>
    <row r="1649" spans="2:9" x14ac:dyDescent="0.25">
      <c r="B1649" s="39"/>
      <c r="C1649" s="40"/>
      <c r="D1649" s="40"/>
      <c r="F1649" s="40"/>
      <c r="G1649" s="40"/>
      <c r="H1649" s="42"/>
      <c r="I1649" s="42" t="str">
        <f t="shared" si="21"/>
        <v/>
      </c>
    </row>
    <row r="1650" spans="2:9" x14ac:dyDescent="0.25">
      <c r="B1650" s="39"/>
      <c r="C1650" s="40"/>
      <c r="D1650" s="40"/>
      <c r="F1650" s="40"/>
      <c r="G1650" s="40"/>
      <c r="H1650" s="42"/>
      <c r="I1650" s="42" t="str">
        <f t="shared" si="21"/>
        <v/>
      </c>
    </row>
    <row r="1651" spans="2:9" x14ac:dyDescent="0.25">
      <c r="B1651" s="39"/>
      <c r="C1651" s="40"/>
      <c r="D1651" s="40"/>
      <c r="F1651" s="40"/>
      <c r="G1651" s="40"/>
      <c r="H1651" s="42"/>
      <c r="I1651" s="42" t="str">
        <f t="shared" si="21"/>
        <v/>
      </c>
    </row>
    <row r="1652" spans="2:9" x14ac:dyDescent="0.25">
      <c r="B1652" s="39"/>
      <c r="C1652" s="40"/>
      <c r="D1652" s="40"/>
      <c r="F1652" s="40"/>
      <c r="G1652" s="40"/>
      <c r="H1652" s="42"/>
      <c r="I1652" s="42" t="str">
        <f t="shared" si="21"/>
        <v/>
      </c>
    </row>
    <row r="1653" spans="2:9" x14ac:dyDescent="0.25">
      <c r="B1653" s="39"/>
      <c r="C1653" s="40"/>
      <c r="D1653" s="40"/>
      <c r="F1653" s="40"/>
      <c r="G1653" s="40"/>
      <c r="H1653" s="42"/>
      <c r="I1653" s="42" t="str">
        <f t="shared" si="21"/>
        <v/>
      </c>
    </row>
    <row r="1654" spans="2:9" x14ac:dyDescent="0.25">
      <c r="B1654" s="39"/>
      <c r="C1654" s="40"/>
      <c r="D1654" s="40"/>
      <c r="F1654" s="40"/>
      <c r="G1654" s="40"/>
      <c r="H1654" s="42"/>
      <c r="I1654" s="42" t="str">
        <f t="shared" si="21"/>
        <v/>
      </c>
    </row>
    <row r="1655" spans="2:9" x14ac:dyDescent="0.25">
      <c r="B1655" s="39"/>
      <c r="C1655" s="40"/>
      <c r="D1655" s="40"/>
      <c r="F1655" s="40"/>
      <c r="G1655" s="40"/>
      <c r="H1655" s="42"/>
      <c r="I1655" s="42" t="str">
        <f t="shared" si="21"/>
        <v/>
      </c>
    </row>
    <row r="1656" spans="2:9" x14ac:dyDescent="0.25">
      <c r="B1656" s="39"/>
      <c r="C1656" s="40"/>
      <c r="D1656" s="40"/>
      <c r="F1656" s="40"/>
      <c r="G1656" s="40"/>
      <c r="H1656" s="42"/>
      <c r="I1656" s="42" t="str">
        <f t="shared" si="21"/>
        <v/>
      </c>
    </row>
    <row r="1657" spans="2:9" x14ac:dyDescent="0.25">
      <c r="B1657" s="39"/>
      <c r="C1657" s="40"/>
      <c r="D1657" s="40"/>
      <c r="F1657" s="40"/>
      <c r="G1657" s="40"/>
      <c r="H1657" s="42"/>
      <c r="I1657" s="42" t="str">
        <f t="shared" si="21"/>
        <v/>
      </c>
    </row>
    <row r="1658" spans="2:9" x14ac:dyDescent="0.25">
      <c r="B1658" s="39"/>
      <c r="C1658" s="40"/>
      <c r="D1658" s="40"/>
      <c r="F1658" s="40"/>
      <c r="G1658" s="40"/>
      <c r="H1658" s="42"/>
      <c r="I1658" s="42" t="str">
        <f t="shared" si="21"/>
        <v/>
      </c>
    </row>
    <row r="1659" spans="2:9" x14ac:dyDescent="0.25">
      <c r="B1659" s="39"/>
      <c r="C1659" s="40"/>
      <c r="D1659" s="40"/>
      <c r="F1659" s="40"/>
      <c r="G1659" s="40"/>
      <c r="H1659" s="42"/>
      <c r="I1659" s="42" t="str">
        <f t="shared" si="21"/>
        <v/>
      </c>
    </row>
    <row r="1660" spans="2:9" x14ac:dyDescent="0.25">
      <c r="B1660" s="39"/>
      <c r="C1660" s="40"/>
      <c r="D1660" s="40"/>
      <c r="F1660" s="40"/>
      <c r="G1660" s="40"/>
      <c r="H1660" s="42"/>
      <c r="I1660" s="42" t="str">
        <f t="shared" si="21"/>
        <v/>
      </c>
    </row>
    <row r="1661" spans="2:9" x14ac:dyDescent="0.25">
      <c r="B1661" s="39"/>
      <c r="C1661" s="40"/>
      <c r="D1661" s="40"/>
      <c r="F1661" s="40"/>
      <c r="G1661" s="40"/>
      <c r="H1661" s="42"/>
      <c r="I1661" s="42" t="str">
        <f t="shared" si="21"/>
        <v/>
      </c>
    </row>
    <row r="1662" spans="2:9" x14ac:dyDescent="0.25">
      <c r="B1662" s="39"/>
      <c r="C1662" s="40"/>
      <c r="D1662" s="40"/>
      <c r="F1662" s="40"/>
      <c r="G1662" s="40"/>
      <c r="H1662" s="42"/>
      <c r="I1662" s="42" t="str">
        <f t="shared" si="21"/>
        <v/>
      </c>
    </row>
    <row r="1663" spans="2:9" x14ac:dyDescent="0.25">
      <c r="B1663" s="39"/>
      <c r="C1663" s="40"/>
      <c r="D1663" s="40"/>
      <c r="F1663" s="40"/>
      <c r="G1663" s="40"/>
      <c r="H1663" s="42"/>
      <c r="I1663" s="42" t="str">
        <f t="shared" si="21"/>
        <v/>
      </c>
    </row>
    <row r="1664" spans="2:9" x14ac:dyDescent="0.25">
      <c r="B1664" s="39"/>
      <c r="C1664" s="40"/>
      <c r="D1664" s="40"/>
      <c r="F1664" s="40"/>
      <c r="G1664" s="40"/>
      <c r="H1664" s="42"/>
      <c r="I1664" s="42" t="str">
        <f t="shared" ref="I1664:I1727" si="22">IF(H1664&lt;&gt;"",H1664-H1663,"")</f>
        <v/>
      </c>
    </row>
    <row r="1665" spans="2:9" x14ac:dyDescent="0.25">
      <c r="B1665" s="39"/>
      <c r="C1665" s="40"/>
      <c r="D1665" s="40"/>
      <c r="F1665" s="40"/>
      <c r="G1665" s="40"/>
      <c r="H1665" s="42"/>
      <c r="I1665" s="42" t="str">
        <f t="shared" si="22"/>
        <v/>
      </c>
    </row>
    <row r="1666" spans="2:9" x14ac:dyDescent="0.25">
      <c r="B1666" s="39"/>
      <c r="C1666" s="40"/>
      <c r="D1666" s="40"/>
      <c r="F1666" s="40"/>
      <c r="G1666" s="40"/>
      <c r="H1666" s="42"/>
      <c r="I1666" s="42" t="str">
        <f t="shared" si="22"/>
        <v/>
      </c>
    </row>
    <row r="1667" spans="2:9" x14ac:dyDescent="0.25">
      <c r="B1667" s="39"/>
      <c r="C1667" s="40"/>
      <c r="D1667" s="40"/>
      <c r="F1667" s="40"/>
      <c r="G1667" s="40"/>
      <c r="H1667" s="42"/>
      <c r="I1667" s="42" t="str">
        <f t="shared" si="22"/>
        <v/>
      </c>
    </row>
    <row r="1668" spans="2:9" x14ac:dyDescent="0.25">
      <c r="B1668" s="39"/>
      <c r="C1668" s="40"/>
      <c r="D1668" s="40"/>
      <c r="F1668" s="40"/>
      <c r="G1668" s="40"/>
      <c r="H1668" s="42"/>
      <c r="I1668" s="42" t="str">
        <f t="shared" si="22"/>
        <v/>
      </c>
    </row>
    <row r="1669" spans="2:9" x14ac:dyDescent="0.25">
      <c r="B1669" s="39"/>
      <c r="C1669" s="40"/>
      <c r="D1669" s="40"/>
      <c r="F1669" s="40"/>
      <c r="G1669" s="40"/>
      <c r="H1669" s="42"/>
      <c r="I1669" s="42" t="str">
        <f t="shared" si="22"/>
        <v/>
      </c>
    </row>
    <row r="1670" spans="2:9" x14ac:dyDescent="0.25">
      <c r="B1670" s="39"/>
      <c r="C1670" s="40"/>
      <c r="D1670" s="40"/>
      <c r="F1670" s="40"/>
      <c r="G1670" s="40"/>
      <c r="H1670" s="42"/>
      <c r="I1670" s="42" t="str">
        <f t="shared" si="22"/>
        <v/>
      </c>
    </row>
    <row r="1671" spans="2:9" x14ac:dyDescent="0.25">
      <c r="B1671" s="39"/>
      <c r="C1671" s="40"/>
      <c r="D1671" s="40"/>
      <c r="F1671" s="40"/>
      <c r="G1671" s="40"/>
      <c r="H1671" s="42"/>
      <c r="I1671" s="42" t="str">
        <f t="shared" si="22"/>
        <v/>
      </c>
    </row>
    <row r="1672" spans="2:9" x14ac:dyDescent="0.25">
      <c r="B1672" s="39"/>
      <c r="C1672" s="40"/>
      <c r="D1672" s="40"/>
      <c r="F1672" s="40"/>
      <c r="G1672" s="40"/>
      <c r="H1672" s="42"/>
      <c r="I1672" s="42" t="str">
        <f t="shared" si="22"/>
        <v/>
      </c>
    </row>
    <row r="1673" spans="2:9" x14ac:dyDescent="0.25">
      <c r="B1673" s="39"/>
      <c r="C1673" s="40"/>
      <c r="D1673" s="40"/>
      <c r="F1673" s="40"/>
      <c r="G1673" s="40"/>
      <c r="H1673" s="42"/>
      <c r="I1673" s="42" t="str">
        <f t="shared" si="22"/>
        <v/>
      </c>
    </row>
    <row r="1674" spans="2:9" x14ac:dyDescent="0.25">
      <c r="B1674" s="39"/>
      <c r="C1674" s="40"/>
      <c r="D1674" s="40"/>
      <c r="F1674" s="40"/>
      <c r="G1674" s="40"/>
      <c r="H1674" s="42"/>
      <c r="I1674" s="42" t="str">
        <f t="shared" si="22"/>
        <v/>
      </c>
    </row>
    <row r="1675" spans="2:9" x14ac:dyDescent="0.25">
      <c r="B1675" s="39"/>
      <c r="C1675" s="40"/>
      <c r="D1675" s="40"/>
      <c r="F1675" s="40"/>
      <c r="G1675" s="40"/>
      <c r="H1675" s="42"/>
      <c r="I1675" s="42" t="str">
        <f t="shared" si="22"/>
        <v/>
      </c>
    </row>
    <row r="1676" spans="2:9" x14ac:dyDescent="0.25">
      <c r="B1676" s="39"/>
      <c r="C1676" s="40"/>
      <c r="D1676" s="40"/>
      <c r="F1676" s="40"/>
      <c r="G1676" s="40"/>
      <c r="H1676" s="42"/>
      <c r="I1676" s="42" t="str">
        <f t="shared" si="22"/>
        <v/>
      </c>
    </row>
    <row r="1677" spans="2:9" x14ac:dyDescent="0.25">
      <c r="B1677" s="39"/>
      <c r="C1677" s="40"/>
      <c r="D1677" s="40"/>
      <c r="F1677" s="40"/>
      <c r="G1677" s="40"/>
      <c r="H1677" s="42"/>
      <c r="I1677" s="42" t="str">
        <f t="shared" si="22"/>
        <v/>
      </c>
    </row>
    <row r="1678" spans="2:9" x14ac:dyDescent="0.25">
      <c r="B1678" s="39"/>
      <c r="C1678" s="40"/>
      <c r="D1678" s="40"/>
      <c r="F1678" s="40"/>
      <c r="G1678" s="40"/>
      <c r="H1678" s="42"/>
      <c r="I1678" s="42" t="str">
        <f t="shared" si="22"/>
        <v/>
      </c>
    </row>
    <row r="1679" spans="2:9" x14ac:dyDescent="0.25">
      <c r="B1679" s="39"/>
      <c r="C1679" s="40"/>
      <c r="D1679" s="40"/>
      <c r="F1679" s="40"/>
      <c r="G1679" s="40"/>
      <c r="H1679" s="42"/>
      <c r="I1679" s="42" t="str">
        <f t="shared" si="22"/>
        <v/>
      </c>
    </row>
    <row r="1680" spans="2:9" x14ac:dyDescent="0.25">
      <c r="B1680" s="39"/>
      <c r="C1680" s="40"/>
      <c r="D1680" s="40"/>
      <c r="F1680" s="40"/>
      <c r="G1680" s="40"/>
      <c r="H1680" s="42"/>
      <c r="I1680" s="42" t="str">
        <f t="shared" si="22"/>
        <v/>
      </c>
    </row>
    <row r="1681" spans="2:9" x14ac:dyDescent="0.25">
      <c r="B1681" s="39"/>
      <c r="C1681" s="40"/>
      <c r="D1681" s="40"/>
      <c r="F1681" s="40"/>
      <c r="G1681" s="40"/>
      <c r="H1681" s="42"/>
      <c r="I1681" s="42" t="str">
        <f t="shared" si="22"/>
        <v/>
      </c>
    </row>
    <row r="1682" spans="2:9" x14ac:dyDescent="0.25">
      <c r="B1682" s="39"/>
      <c r="C1682" s="40"/>
      <c r="D1682" s="40"/>
      <c r="F1682" s="40"/>
      <c r="G1682" s="40"/>
      <c r="H1682" s="42"/>
      <c r="I1682" s="42" t="str">
        <f t="shared" si="22"/>
        <v/>
      </c>
    </row>
    <row r="1683" spans="2:9" x14ac:dyDescent="0.25">
      <c r="B1683" s="39"/>
      <c r="C1683" s="40"/>
      <c r="D1683" s="40"/>
      <c r="F1683" s="40"/>
      <c r="G1683" s="40"/>
      <c r="H1683" s="42"/>
      <c r="I1683" s="42" t="str">
        <f t="shared" si="22"/>
        <v/>
      </c>
    </row>
    <row r="1684" spans="2:9" x14ac:dyDescent="0.25">
      <c r="B1684" s="39"/>
      <c r="C1684" s="40"/>
      <c r="D1684" s="40"/>
      <c r="F1684" s="40"/>
      <c r="G1684" s="40"/>
      <c r="H1684" s="42"/>
      <c r="I1684" s="42" t="str">
        <f t="shared" si="22"/>
        <v/>
      </c>
    </row>
    <row r="1685" spans="2:9" x14ac:dyDescent="0.25">
      <c r="B1685" s="39"/>
      <c r="C1685" s="40"/>
      <c r="D1685" s="40"/>
      <c r="F1685" s="40"/>
      <c r="G1685" s="40"/>
      <c r="H1685" s="42"/>
      <c r="I1685" s="42" t="str">
        <f t="shared" si="22"/>
        <v/>
      </c>
    </row>
    <row r="1686" spans="2:9" x14ac:dyDescent="0.25">
      <c r="B1686" s="39"/>
      <c r="C1686" s="40"/>
      <c r="D1686" s="40"/>
      <c r="F1686" s="40"/>
      <c r="G1686" s="40"/>
      <c r="H1686" s="42"/>
      <c r="I1686" s="42" t="str">
        <f t="shared" si="22"/>
        <v/>
      </c>
    </row>
    <row r="1687" spans="2:9" x14ac:dyDescent="0.25">
      <c r="B1687" s="39"/>
      <c r="C1687" s="40"/>
      <c r="D1687" s="40"/>
      <c r="F1687" s="40"/>
      <c r="G1687" s="40"/>
      <c r="H1687" s="42"/>
      <c r="I1687" s="42" t="str">
        <f t="shared" si="22"/>
        <v/>
      </c>
    </row>
    <row r="1688" spans="2:9" x14ac:dyDescent="0.25">
      <c r="B1688" s="39"/>
      <c r="C1688" s="40"/>
      <c r="D1688" s="40"/>
      <c r="F1688" s="40"/>
      <c r="G1688" s="40"/>
      <c r="H1688" s="42"/>
      <c r="I1688" s="42" t="str">
        <f t="shared" si="22"/>
        <v/>
      </c>
    </row>
    <row r="1689" spans="2:9" x14ac:dyDescent="0.25">
      <c r="B1689" s="39"/>
      <c r="C1689" s="40"/>
      <c r="D1689" s="40"/>
      <c r="F1689" s="40"/>
      <c r="G1689" s="40"/>
      <c r="H1689" s="42"/>
      <c r="I1689" s="42" t="str">
        <f t="shared" si="22"/>
        <v/>
      </c>
    </row>
    <row r="1690" spans="2:9" x14ac:dyDescent="0.25">
      <c r="B1690" s="39"/>
      <c r="C1690" s="40"/>
      <c r="D1690" s="40"/>
      <c r="F1690" s="40"/>
      <c r="G1690" s="40"/>
      <c r="H1690" s="42"/>
      <c r="I1690" s="42" t="str">
        <f t="shared" si="22"/>
        <v/>
      </c>
    </row>
    <row r="1691" spans="2:9" x14ac:dyDescent="0.25">
      <c r="B1691" s="39"/>
      <c r="C1691" s="40"/>
      <c r="D1691" s="40"/>
      <c r="F1691" s="40"/>
      <c r="G1691" s="40"/>
      <c r="H1691" s="42"/>
      <c r="I1691" s="42" t="str">
        <f t="shared" si="22"/>
        <v/>
      </c>
    </row>
    <row r="1692" spans="2:9" x14ac:dyDescent="0.25">
      <c r="B1692" s="39"/>
      <c r="C1692" s="40"/>
      <c r="D1692" s="40"/>
      <c r="F1692" s="40"/>
      <c r="G1692" s="40"/>
      <c r="H1692" s="42"/>
      <c r="I1692" s="42" t="str">
        <f t="shared" si="22"/>
        <v/>
      </c>
    </row>
    <row r="1693" spans="2:9" x14ac:dyDescent="0.25">
      <c r="B1693" s="39"/>
      <c r="C1693" s="40"/>
      <c r="D1693" s="40"/>
      <c r="F1693" s="40"/>
      <c r="G1693" s="40"/>
      <c r="H1693" s="42"/>
      <c r="I1693" s="42" t="str">
        <f t="shared" si="22"/>
        <v/>
      </c>
    </row>
    <row r="1694" spans="2:9" x14ac:dyDescent="0.25">
      <c r="B1694" s="39"/>
      <c r="C1694" s="40"/>
      <c r="D1694" s="40"/>
      <c r="F1694" s="40"/>
      <c r="G1694" s="40"/>
      <c r="H1694" s="42"/>
      <c r="I1694" s="42" t="str">
        <f t="shared" si="22"/>
        <v/>
      </c>
    </row>
    <row r="1695" spans="2:9" x14ac:dyDescent="0.25">
      <c r="B1695" s="39"/>
      <c r="C1695" s="40"/>
      <c r="D1695" s="40"/>
      <c r="F1695" s="40"/>
      <c r="G1695" s="40"/>
      <c r="H1695" s="42"/>
      <c r="I1695" s="42" t="str">
        <f t="shared" si="22"/>
        <v/>
      </c>
    </row>
    <row r="1696" spans="2:9" x14ac:dyDescent="0.25">
      <c r="B1696" s="39"/>
      <c r="C1696" s="40"/>
      <c r="D1696" s="40"/>
      <c r="F1696" s="40"/>
      <c r="G1696" s="40"/>
      <c r="H1696" s="42"/>
      <c r="I1696" s="42" t="str">
        <f t="shared" si="22"/>
        <v/>
      </c>
    </row>
    <row r="1697" spans="2:9" x14ac:dyDescent="0.25">
      <c r="B1697" s="39"/>
      <c r="C1697" s="40"/>
      <c r="D1697" s="40"/>
      <c r="F1697" s="40"/>
      <c r="G1697" s="40"/>
      <c r="H1697" s="42"/>
      <c r="I1697" s="42" t="str">
        <f t="shared" si="22"/>
        <v/>
      </c>
    </row>
    <row r="1698" spans="2:9" x14ac:dyDescent="0.25">
      <c r="B1698" s="39"/>
      <c r="C1698" s="40"/>
      <c r="D1698" s="40"/>
      <c r="F1698" s="40"/>
      <c r="G1698" s="40"/>
      <c r="H1698" s="42"/>
      <c r="I1698" s="42" t="str">
        <f t="shared" si="22"/>
        <v/>
      </c>
    </row>
    <row r="1699" spans="2:9" x14ac:dyDescent="0.25">
      <c r="B1699" s="39"/>
      <c r="C1699" s="40"/>
      <c r="D1699" s="40"/>
      <c r="F1699" s="40"/>
      <c r="G1699" s="40"/>
      <c r="H1699" s="42"/>
      <c r="I1699" s="42" t="str">
        <f t="shared" si="22"/>
        <v/>
      </c>
    </row>
    <row r="1700" spans="2:9" x14ac:dyDescent="0.25">
      <c r="B1700" s="39"/>
      <c r="C1700" s="40"/>
      <c r="D1700" s="40"/>
      <c r="F1700" s="40"/>
      <c r="G1700" s="40"/>
      <c r="H1700" s="42"/>
      <c r="I1700" s="42" t="str">
        <f t="shared" si="22"/>
        <v/>
      </c>
    </row>
    <row r="1701" spans="2:9" x14ac:dyDescent="0.25">
      <c r="B1701" s="39"/>
      <c r="C1701" s="40"/>
      <c r="D1701" s="40"/>
      <c r="F1701" s="40"/>
      <c r="G1701" s="40"/>
      <c r="H1701" s="42"/>
      <c r="I1701" s="42" t="str">
        <f t="shared" si="22"/>
        <v/>
      </c>
    </row>
    <row r="1702" spans="2:9" x14ac:dyDescent="0.25">
      <c r="B1702" s="39"/>
      <c r="C1702" s="40"/>
      <c r="D1702" s="40"/>
      <c r="F1702" s="40"/>
      <c r="G1702" s="40"/>
      <c r="H1702" s="42"/>
      <c r="I1702" s="42" t="str">
        <f t="shared" si="22"/>
        <v/>
      </c>
    </row>
    <row r="1703" spans="2:9" x14ac:dyDescent="0.25">
      <c r="B1703" s="39"/>
      <c r="C1703" s="40"/>
      <c r="D1703" s="40"/>
      <c r="F1703" s="40"/>
      <c r="G1703" s="40"/>
      <c r="H1703" s="42"/>
      <c r="I1703" s="42" t="str">
        <f t="shared" si="22"/>
        <v/>
      </c>
    </row>
    <row r="1704" spans="2:9" x14ac:dyDescent="0.25">
      <c r="B1704" s="39"/>
      <c r="C1704" s="40"/>
      <c r="D1704" s="40"/>
      <c r="F1704" s="40"/>
      <c r="G1704" s="40"/>
      <c r="H1704" s="42"/>
      <c r="I1704" s="42" t="str">
        <f t="shared" si="22"/>
        <v/>
      </c>
    </row>
    <row r="1705" spans="2:9" x14ac:dyDescent="0.25">
      <c r="B1705" s="39"/>
      <c r="C1705" s="40"/>
      <c r="D1705" s="40"/>
      <c r="F1705" s="40"/>
      <c r="G1705" s="40"/>
      <c r="H1705" s="42"/>
      <c r="I1705" s="42" t="str">
        <f t="shared" si="22"/>
        <v/>
      </c>
    </row>
    <row r="1706" spans="2:9" x14ac:dyDescent="0.25">
      <c r="B1706" s="39"/>
      <c r="C1706" s="40"/>
      <c r="D1706" s="40"/>
      <c r="F1706" s="40"/>
      <c r="G1706" s="40"/>
      <c r="H1706" s="42"/>
      <c r="I1706" s="42" t="str">
        <f t="shared" si="22"/>
        <v/>
      </c>
    </row>
    <row r="1707" spans="2:9" x14ac:dyDescent="0.25">
      <c r="B1707" s="39"/>
      <c r="C1707" s="40"/>
      <c r="D1707" s="40"/>
      <c r="F1707" s="40"/>
      <c r="G1707" s="40"/>
      <c r="H1707" s="42"/>
      <c r="I1707" s="42" t="str">
        <f t="shared" si="22"/>
        <v/>
      </c>
    </row>
    <row r="1708" spans="2:9" x14ac:dyDescent="0.25">
      <c r="B1708" s="39"/>
      <c r="C1708" s="40"/>
      <c r="D1708" s="40"/>
      <c r="F1708" s="40"/>
      <c r="G1708" s="40"/>
      <c r="H1708" s="42"/>
      <c r="I1708" s="42" t="str">
        <f t="shared" si="22"/>
        <v/>
      </c>
    </row>
    <row r="1709" spans="2:9" x14ac:dyDescent="0.25">
      <c r="B1709" s="39"/>
      <c r="C1709" s="40"/>
      <c r="D1709" s="40"/>
      <c r="F1709" s="40"/>
      <c r="G1709" s="40"/>
      <c r="H1709" s="42"/>
      <c r="I1709" s="42" t="str">
        <f t="shared" si="22"/>
        <v/>
      </c>
    </row>
    <row r="1710" spans="2:9" x14ac:dyDescent="0.25">
      <c r="B1710" s="39"/>
      <c r="C1710" s="40"/>
      <c r="D1710" s="40"/>
      <c r="F1710" s="40"/>
      <c r="G1710" s="40"/>
      <c r="H1710" s="42"/>
      <c r="I1710" s="42" t="str">
        <f t="shared" si="22"/>
        <v/>
      </c>
    </row>
    <row r="1711" spans="2:9" x14ac:dyDescent="0.25">
      <c r="B1711" s="39"/>
      <c r="C1711" s="40"/>
      <c r="D1711" s="40"/>
      <c r="F1711" s="40"/>
      <c r="G1711" s="40"/>
      <c r="H1711" s="42"/>
      <c r="I1711" s="42" t="str">
        <f t="shared" si="22"/>
        <v/>
      </c>
    </row>
    <row r="1712" spans="2:9" x14ac:dyDescent="0.25">
      <c r="B1712" s="39"/>
      <c r="C1712" s="40"/>
      <c r="D1712" s="40"/>
      <c r="F1712" s="40"/>
      <c r="G1712" s="40"/>
      <c r="H1712" s="42"/>
      <c r="I1712" s="42" t="str">
        <f t="shared" si="22"/>
        <v/>
      </c>
    </row>
    <row r="1713" spans="2:9" x14ac:dyDescent="0.25">
      <c r="B1713" s="39"/>
      <c r="C1713" s="40"/>
      <c r="D1713" s="40"/>
      <c r="F1713" s="40"/>
      <c r="G1713" s="40"/>
      <c r="H1713" s="42"/>
      <c r="I1713" s="42" t="str">
        <f t="shared" si="22"/>
        <v/>
      </c>
    </row>
    <row r="1714" spans="2:9" x14ac:dyDescent="0.25">
      <c r="B1714" s="39"/>
      <c r="C1714" s="40"/>
      <c r="D1714" s="40"/>
      <c r="F1714" s="40"/>
      <c r="G1714" s="40"/>
      <c r="H1714" s="42"/>
      <c r="I1714" s="42" t="str">
        <f t="shared" si="22"/>
        <v/>
      </c>
    </row>
    <row r="1715" spans="2:9" x14ac:dyDescent="0.25">
      <c r="B1715" s="39"/>
      <c r="C1715" s="40"/>
      <c r="D1715" s="40"/>
      <c r="F1715" s="40"/>
      <c r="G1715" s="40"/>
      <c r="H1715" s="42"/>
      <c r="I1715" s="42" t="str">
        <f t="shared" si="22"/>
        <v/>
      </c>
    </row>
    <row r="1716" spans="2:9" x14ac:dyDescent="0.25">
      <c r="B1716" s="39"/>
      <c r="C1716" s="40"/>
      <c r="D1716" s="40"/>
      <c r="F1716" s="40"/>
      <c r="G1716" s="40"/>
      <c r="H1716" s="42"/>
      <c r="I1716" s="42" t="str">
        <f t="shared" si="22"/>
        <v/>
      </c>
    </row>
    <row r="1717" spans="2:9" x14ac:dyDescent="0.25">
      <c r="B1717" s="39"/>
      <c r="C1717" s="40"/>
      <c r="D1717" s="40"/>
      <c r="F1717" s="40"/>
      <c r="G1717" s="40"/>
      <c r="H1717" s="42"/>
      <c r="I1717" s="42" t="str">
        <f t="shared" si="22"/>
        <v/>
      </c>
    </row>
    <row r="1718" spans="2:9" x14ac:dyDescent="0.25">
      <c r="B1718" s="39"/>
      <c r="C1718" s="40"/>
      <c r="D1718" s="40"/>
      <c r="F1718" s="40"/>
      <c r="G1718" s="40"/>
      <c r="H1718" s="42"/>
      <c r="I1718" s="42" t="str">
        <f t="shared" si="22"/>
        <v/>
      </c>
    </row>
    <row r="1719" spans="2:9" x14ac:dyDescent="0.25">
      <c r="B1719" s="39"/>
      <c r="C1719" s="40"/>
      <c r="D1719" s="40"/>
      <c r="F1719" s="40"/>
      <c r="G1719" s="40"/>
      <c r="H1719" s="42"/>
      <c r="I1719" s="42" t="str">
        <f t="shared" si="22"/>
        <v/>
      </c>
    </row>
    <row r="1720" spans="2:9" x14ac:dyDescent="0.25">
      <c r="B1720" s="39"/>
      <c r="C1720" s="40"/>
      <c r="D1720" s="40"/>
      <c r="F1720" s="40"/>
      <c r="G1720" s="40"/>
      <c r="H1720" s="42"/>
      <c r="I1720" s="42" t="str">
        <f t="shared" si="22"/>
        <v/>
      </c>
    </row>
    <row r="1721" spans="2:9" x14ac:dyDescent="0.25">
      <c r="B1721" s="39"/>
      <c r="C1721" s="40"/>
      <c r="D1721" s="40"/>
      <c r="F1721" s="40"/>
      <c r="G1721" s="40"/>
      <c r="H1721" s="42"/>
      <c r="I1721" s="42" t="str">
        <f t="shared" si="22"/>
        <v/>
      </c>
    </row>
    <row r="1722" spans="2:9" x14ac:dyDescent="0.25">
      <c r="B1722" s="39"/>
      <c r="C1722" s="40"/>
      <c r="D1722" s="40"/>
      <c r="F1722" s="40"/>
      <c r="G1722" s="40"/>
      <c r="H1722" s="42"/>
      <c r="I1722" s="42" t="str">
        <f t="shared" si="22"/>
        <v/>
      </c>
    </row>
    <row r="1723" spans="2:9" x14ac:dyDescent="0.25">
      <c r="B1723" s="39"/>
      <c r="C1723" s="40"/>
      <c r="D1723" s="40"/>
      <c r="F1723" s="40"/>
      <c r="G1723" s="40"/>
      <c r="H1723" s="42"/>
      <c r="I1723" s="42" t="str">
        <f t="shared" si="22"/>
        <v/>
      </c>
    </row>
    <row r="1724" spans="2:9" x14ac:dyDescent="0.25">
      <c r="B1724" s="39"/>
      <c r="C1724" s="40"/>
      <c r="D1724" s="40"/>
      <c r="F1724" s="40"/>
      <c r="G1724" s="40"/>
      <c r="H1724" s="42"/>
      <c r="I1724" s="42" t="str">
        <f t="shared" si="22"/>
        <v/>
      </c>
    </row>
    <row r="1725" spans="2:9" x14ac:dyDescent="0.25">
      <c r="B1725" s="39"/>
      <c r="C1725" s="40"/>
      <c r="D1725" s="40"/>
      <c r="F1725" s="40"/>
      <c r="G1725" s="40"/>
      <c r="H1725" s="42"/>
      <c r="I1725" s="42" t="str">
        <f t="shared" si="22"/>
        <v/>
      </c>
    </row>
    <row r="1726" spans="2:9" x14ac:dyDescent="0.25">
      <c r="B1726" s="39"/>
      <c r="C1726" s="40"/>
      <c r="D1726" s="40"/>
      <c r="F1726" s="40"/>
      <c r="G1726" s="40"/>
      <c r="H1726" s="42"/>
      <c r="I1726" s="42" t="str">
        <f t="shared" si="22"/>
        <v/>
      </c>
    </row>
    <row r="1727" spans="2:9" x14ac:dyDescent="0.25">
      <c r="B1727" s="39"/>
      <c r="C1727" s="40"/>
      <c r="D1727" s="40"/>
      <c r="F1727" s="40"/>
      <c r="G1727" s="40"/>
      <c r="H1727" s="42"/>
      <c r="I1727" s="42" t="str">
        <f t="shared" si="22"/>
        <v/>
      </c>
    </row>
    <row r="1728" spans="2:9" x14ac:dyDescent="0.25">
      <c r="B1728" s="39"/>
      <c r="C1728" s="40"/>
      <c r="D1728" s="40"/>
      <c r="F1728" s="40"/>
      <c r="G1728" s="40"/>
      <c r="H1728" s="42"/>
      <c r="I1728" s="42" t="str">
        <f t="shared" ref="I1728:I1791" si="23">IF(H1728&lt;&gt;"",H1728-H1727,"")</f>
        <v/>
      </c>
    </row>
    <row r="1729" spans="2:9" x14ac:dyDescent="0.25">
      <c r="B1729" s="39"/>
      <c r="C1729" s="40"/>
      <c r="D1729" s="40"/>
      <c r="F1729" s="40"/>
      <c r="G1729" s="40"/>
      <c r="H1729" s="42"/>
      <c r="I1729" s="42" t="str">
        <f t="shared" si="23"/>
        <v/>
      </c>
    </row>
    <row r="1730" spans="2:9" x14ac:dyDescent="0.25">
      <c r="B1730" s="39"/>
      <c r="C1730" s="40"/>
      <c r="D1730" s="40"/>
      <c r="F1730" s="40"/>
      <c r="G1730" s="40"/>
      <c r="H1730" s="42"/>
      <c r="I1730" s="42" t="str">
        <f t="shared" si="23"/>
        <v/>
      </c>
    </row>
    <row r="1731" spans="2:9" x14ac:dyDescent="0.25">
      <c r="B1731" s="39"/>
      <c r="C1731" s="40"/>
      <c r="D1731" s="40"/>
      <c r="F1731" s="40"/>
      <c r="G1731" s="40"/>
      <c r="H1731" s="42"/>
      <c r="I1731" s="42" t="str">
        <f t="shared" si="23"/>
        <v/>
      </c>
    </row>
    <row r="1732" spans="2:9" x14ac:dyDescent="0.25">
      <c r="B1732" s="39"/>
      <c r="C1732" s="40"/>
      <c r="D1732" s="40"/>
      <c r="F1732" s="40"/>
      <c r="G1732" s="40"/>
      <c r="H1732" s="42"/>
      <c r="I1732" s="42" t="str">
        <f t="shared" si="23"/>
        <v/>
      </c>
    </row>
    <row r="1733" spans="2:9" x14ac:dyDescent="0.25">
      <c r="B1733" s="39"/>
      <c r="C1733" s="40"/>
      <c r="D1733" s="40"/>
      <c r="F1733" s="40"/>
      <c r="G1733" s="40"/>
      <c r="H1733" s="42"/>
      <c r="I1733" s="42" t="str">
        <f t="shared" si="23"/>
        <v/>
      </c>
    </row>
    <row r="1734" spans="2:9" x14ac:dyDescent="0.25">
      <c r="B1734" s="39"/>
      <c r="C1734" s="40"/>
      <c r="D1734" s="40"/>
      <c r="F1734" s="40"/>
      <c r="G1734" s="40"/>
      <c r="H1734" s="42"/>
      <c r="I1734" s="42" t="str">
        <f t="shared" si="23"/>
        <v/>
      </c>
    </row>
    <row r="1735" spans="2:9" x14ac:dyDescent="0.25">
      <c r="B1735" s="39"/>
      <c r="C1735" s="40"/>
      <c r="D1735" s="40"/>
      <c r="F1735" s="40"/>
      <c r="G1735" s="40"/>
      <c r="H1735" s="42"/>
      <c r="I1735" s="42" t="str">
        <f t="shared" si="23"/>
        <v/>
      </c>
    </row>
    <row r="1736" spans="2:9" x14ac:dyDescent="0.25">
      <c r="B1736" s="39"/>
      <c r="C1736" s="40"/>
      <c r="D1736" s="40"/>
      <c r="F1736" s="40"/>
      <c r="G1736" s="40"/>
      <c r="H1736" s="42"/>
      <c r="I1736" s="42" t="str">
        <f t="shared" si="23"/>
        <v/>
      </c>
    </row>
    <row r="1737" spans="2:9" x14ac:dyDescent="0.25">
      <c r="B1737" s="39"/>
      <c r="C1737" s="40"/>
      <c r="D1737" s="40"/>
      <c r="F1737" s="40"/>
      <c r="G1737" s="40"/>
      <c r="H1737" s="42"/>
      <c r="I1737" s="42" t="str">
        <f t="shared" si="23"/>
        <v/>
      </c>
    </row>
    <row r="1738" spans="2:9" x14ac:dyDescent="0.25">
      <c r="B1738" s="39"/>
      <c r="C1738" s="40"/>
      <c r="D1738" s="40"/>
      <c r="F1738" s="40"/>
      <c r="G1738" s="40"/>
      <c r="H1738" s="42"/>
      <c r="I1738" s="42" t="str">
        <f t="shared" si="23"/>
        <v/>
      </c>
    </row>
    <row r="1739" spans="2:9" x14ac:dyDescent="0.25">
      <c r="B1739" s="39"/>
      <c r="C1739" s="40"/>
      <c r="D1739" s="40"/>
      <c r="F1739" s="40"/>
      <c r="G1739" s="40"/>
      <c r="H1739" s="42"/>
      <c r="I1739" s="42" t="str">
        <f t="shared" si="23"/>
        <v/>
      </c>
    </row>
    <row r="1740" spans="2:9" x14ac:dyDescent="0.25">
      <c r="B1740" s="39"/>
      <c r="C1740" s="40"/>
      <c r="D1740" s="40"/>
      <c r="F1740" s="40"/>
      <c r="G1740" s="40"/>
      <c r="H1740" s="42"/>
      <c r="I1740" s="42" t="str">
        <f t="shared" si="23"/>
        <v/>
      </c>
    </row>
    <row r="1741" spans="2:9" x14ac:dyDescent="0.25">
      <c r="B1741" s="39"/>
      <c r="C1741" s="40"/>
      <c r="D1741" s="40"/>
      <c r="F1741" s="40"/>
      <c r="G1741" s="40"/>
      <c r="H1741" s="42"/>
      <c r="I1741" s="42" t="str">
        <f t="shared" si="23"/>
        <v/>
      </c>
    </row>
    <row r="1742" spans="2:9" x14ac:dyDescent="0.25">
      <c r="B1742" s="39"/>
      <c r="C1742" s="40"/>
      <c r="D1742" s="40"/>
      <c r="F1742" s="40"/>
      <c r="G1742" s="40"/>
      <c r="H1742" s="42"/>
      <c r="I1742" s="42" t="str">
        <f t="shared" si="23"/>
        <v/>
      </c>
    </row>
    <row r="1743" spans="2:9" x14ac:dyDescent="0.25">
      <c r="B1743" s="39"/>
      <c r="C1743" s="40"/>
      <c r="D1743" s="40"/>
      <c r="F1743" s="40"/>
      <c r="G1743" s="40"/>
      <c r="H1743" s="42"/>
      <c r="I1743" s="42" t="str">
        <f t="shared" si="23"/>
        <v/>
      </c>
    </row>
    <row r="1744" spans="2:9" x14ac:dyDescent="0.25">
      <c r="B1744" s="39"/>
      <c r="C1744" s="40"/>
      <c r="D1744" s="40"/>
      <c r="F1744" s="40"/>
      <c r="G1744" s="40"/>
      <c r="H1744" s="42"/>
      <c r="I1744" s="42" t="str">
        <f t="shared" si="23"/>
        <v/>
      </c>
    </row>
    <row r="1745" spans="2:9" x14ac:dyDescent="0.25">
      <c r="B1745" s="39"/>
      <c r="C1745" s="40"/>
      <c r="D1745" s="40"/>
      <c r="F1745" s="40"/>
      <c r="G1745" s="40"/>
      <c r="H1745" s="42"/>
      <c r="I1745" s="42" t="str">
        <f t="shared" si="23"/>
        <v/>
      </c>
    </row>
    <row r="1746" spans="2:9" x14ac:dyDescent="0.25">
      <c r="B1746" s="39"/>
      <c r="C1746" s="40"/>
      <c r="D1746" s="40"/>
      <c r="F1746" s="40"/>
      <c r="G1746" s="40"/>
      <c r="H1746" s="42"/>
      <c r="I1746" s="42" t="str">
        <f t="shared" si="23"/>
        <v/>
      </c>
    </row>
    <row r="1747" spans="2:9" x14ac:dyDescent="0.25">
      <c r="B1747" s="39"/>
      <c r="C1747" s="40"/>
      <c r="D1747" s="40"/>
      <c r="F1747" s="40"/>
      <c r="G1747" s="40"/>
      <c r="H1747" s="42"/>
      <c r="I1747" s="42" t="str">
        <f t="shared" si="23"/>
        <v/>
      </c>
    </row>
    <row r="1748" spans="2:9" x14ac:dyDescent="0.25">
      <c r="B1748" s="39"/>
      <c r="C1748" s="40"/>
      <c r="D1748" s="40"/>
      <c r="F1748" s="40"/>
      <c r="G1748" s="40"/>
      <c r="H1748" s="42"/>
      <c r="I1748" s="42" t="str">
        <f t="shared" si="23"/>
        <v/>
      </c>
    </row>
    <row r="1749" spans="2:9" x14ac:dyDescent="0.25">
      <c r="B1749" s="39"/>
      <c r="C1749" s="40"/>
      <c r="D1749" s="40"/>
      <c r="F1749" s="40"/>
      <c r="G1749" s="40"/>
      <c r="H1749" s="42"/>
      <c r="I1749" s="42" t="str">
        <f t="shared" si="23"/>
        <v/>
      </c>
    </row>
    <row r="1750" spans="2:9" x14ac:dyDescent="0.25">
      <c r="B1750" s="39"/>
      <c r="C1750" s="40"/>
      <c r="D1750" s="40"/>
      <c r="F1750" s="40"/>
      <c r="G1750" s="40"/>
      <c r="H1750" s="42"/>
      <c r="I1750" s="42" t="str">
        <f t="shared" si="23"/>
        <v/>
      </c>
    </row>
    <row r="1751" spans="2:9" x14ac:dyDescent="0.25">
      <c r="B1751" s="39"/>
      <c r="C1751" s="40"/>
      <c r="D1751" s="40"/>
      <c r="F1751" s="40"/>
      <c r="G1751" s="40"/>
      <c r="H1751" s="42"/>
      <c r="I1751" s="42" t="str">
        <f t="shared" si="23"/>
        <v/>
      </c>
    </row>
    <row r="1752" spans="2:9" x14ac:dyDescent="0.25">
      <c r="B1752" s="39"/>
      <c r="C1752" s="40"/>
      <c r="D1752" s="40"/>
      <c r="F1752" s="40"/>
      <c r="G1752" s="40"/>
      <c r="H1752" s="42"/>
      <c r="I1752" s="42" t="str">
        <f t="shared" si="23"/>
        <v/>
      </c>
    </row>
    <row r="1753" spans="2:9" x14ac:dyDescent="0.25">
      <c r="B1753" s="39"/>
      <c r="C1753" s="40"/>
      <c r="D1753" s="40"/>
      <c r="F1753" s="40"/>
      <c r="G1753" s="40"/>
      <c r="H1753" s="42"/>
      <c r="I1753" s="42" t="str">
        <f t="shared" si="23"/>
        <v/>
      </c>
    </row>
    <row r="1754" spans="2:9" x14ac:dyDescent="0.25">
      <c r="B1754" s="39"/>
      <c r="C1754" s="40"/>
      <c r="D1754" s="40"/>
      <c r="F1754" s="40"/>
      <c r="G1754" s="40"/>
      <c r="H1754" s="42"/>
      <c r="I1754" s="42" t="str">
        <f t="shared" si="23"/>
        <v/>
      </c>
    </row>
    <row r="1755" spans="2:9" x14ac:dyDescent="0.25">
      <c r="B1755" s="39"/>
      <c r="C1755" s="40"/>
      <c r="D1755" s="40"/>
      <c r="F1755" s="40"/>
      <c r="G1755" s="40"/>
      <c r="H1755" s="42"/>
      <c r="I1755" s="42" t="str">
        <f t="shared" si="23"/>
        <v/>
      </c>
    </row>
    <row r="1756" spans="2:9" x14ac:dyDescent="0.25">
      <c r="B1756" s="39"/>
      <c r="C1756" s="40"/>
      <c r="D1756" s="40"/>
      <c r="F1756" s="40"/>
      <c r="G1756" s="40"/>
      <c r="H1756" s="42"/>
      <c r="I1756" s="42" t="str">
        <f t="shared" si="23"/>
        <v/>
      </c>
    </row>
    <row r="1757" spans="2:9" x14ac:dyDescent="0.25">
      <c r="B1757" s="39"/>
      <c r="C1757" s="40"/>
      <c r="D1757" s="40"/>
      <c r="F1757" s="40"/>
      <c r="G1757" s="40"/>
      <c r="H1757" s="42"/>
      <c r="I1757" s="42" t="str">
        <f t="shared" si="23"/>
        <v/>
      </c>
    </row>
    <row r="1758" spans="2:9" x14ac:dyDescent="0.25">
      <c r="B1758" s="39"/>
      <c r="C1758" s="40"/>
      <c r="D1758" s="40"/>
      <c r="F1758" s="40"/>
      <c r="G1758" s="40"/>
      <c r="H1758" s="42"/>
      <c r="I1758" s="42" t="str">
        <f t="shared" si="23"/>
        <v/>
      </c>
    </row>
    <row r="1759" spans="2:9" x14ac:dyDescent="0.25">
      <c r="B1759" s="39"/>
      <c r="C1759" s="40"/>
      <c r="D1759" s="40"/>
      <c r="F1759" s="40"/>
      <c r="G1759" s="40"/>
      <c r="H1759" s="42"/>
      <c r="I1759" s="42" t="str">
        <f t="shared" si="23"/>
        <v/>
      </c>
    </row>
    <row r="1760" spans="2:9" x14ac:dyDescent="0.25">
      <c r="B1760" s="39"/>
      <c r="C1760" s="40"/>
      <c r="D1760" s="40"/>
      <c r="F1760" s="40"/>
      <c r="G1760" s="40"/>
      <c r="H1760" s="42"/>
      <c r="I1760" s="42" t="str">
        <f t="shared" si="23"/>
        <v/>
      </c>
    </row>
    <row r="1761" spans="2:9" x14ac:dyDescent="0.25">
      <c r="B1761" s="39"/>
      <c r="C1761" s="40"/>
      <c r="D1761" s="40"/>
      <c r="F1761" s="40"/>
      <c r="G1761" s="40"/>
      <c r="H1761" s="42"/>
      <c r="I1761" s="42" t="str">
        <f t="shared" si="23"/>
        <v/>
      </c>
    </row>
    <row r="1762" spans="2:9" x14ac:dyDescent="0.25">
      <c r="B1762" s="39"/>
      <c r="C1762" s="40"/>
      <c r="D1762" s="40"/>
      <c r="F1762" s="40"/>
      <c r="G1762" s="40"/>
      <c r="H1762" s="42"/>
      <c r="I1762" s="42" t="str">
        <f t="shared" si="23"/>
        <v/>
      </c>
    </row>
    <row r="1763" spans="2:9" x14ac:dyDescent="0.25">
      <c r="B1763" s="39"/>
      <c r="C1763" s="40"/>
      <c r="D1763" s="40"/>
      <c r="F1763" s="40"/>
      <c r="G1763" s="40"/>
      <c r="H1763" s="42"/>
      <c r="I1763" s="42" t="str">
        <f t="shared" si="23"/>
        <v/>
      </c>
    </row>
    <row r="1764" spans="2:9" x14ac:dyDescent="0.25">
      <c r="B1764" s="39"/>
      <c r="C1764" s="40"/>
      <c r="D1764" s="40"/>
      <c r="F1764" s="40"/>
      <c r="G1764" s="40"/>
      <c r="H1764" s="42"/>
      <c r="I1764" s="42" t="str">
        <f t="shared" si="23"/>
        <v/>
      </c>
    </row>
    <row r="1765" spans="2:9" x14ac:dyDescent="0.25">
      <c r="B1765" s="39"/>
      <c r="C1765" s="40"/>
      <c r="D1765" s="40"/>
      <c r="F1765" s="40"/>
      <c r="G1765" s="40"/>
      <c r="H1765" s="42"/>
      <c r="I1765" s="42" t="str">
        <f t="shared" si="23"/>
        <v/>
      </c>
    </row>
    <row r="1766" spans="2:9" x14ac:dyDescent="0.25">
      <c r="B1766" s="39"/>
      <c r="C1766" s="40"/>
      <c r="D1766" s="40"/>
      <c r="F1766" s="40"/>
      <c r="G1766" s="40"/>
      <c r="H1766" s="42"/>
      <c r="I1766" s="42" t="str">
        <f t="shared" si="23"/>
        <v/>
      </c>
    </row>
    <row r="1767" spans="2:9" x14ac:dyDescent="0.25">
      <c r="B1767" s="39"/>
      <c r="C1767" s="40"/>
      <c r="D1767" s="40"/>
      <c r="F1767" s="40"/>
      <c r="G1767" s="40"/>
      <c r="H1767" s="42"/>
      <c r="I1767" s="42" t="str">
        <f t="shared" si="23"/>
        <v/>
      </c>
    </row>
    <row r="1768" spans="2:9" x14ac:dyDescent="0.25">
      <c r="B1768" s="39"/>
      <c r="C1768" s="40"/>
      <c r="D1768" s="40"/>
      <c r="F1768" s="40"/>
      <c r="G1768" s="40"/>
      <c r="H1768" s="42"/>
      <c r="I1768" s="42" t="str">
        <f t="shared" si="23"/>
        <v/>
      </c>
    </row>
    <row r="1769" spans="2:9" x14ac:dyDescent="0.25">
      <c r="B1769" s="39"/>
      <c r="C1769" s="40"/>
      <c r="D1769" s="40"/>
      <c r="F1769" s="40"/>
      <c r="G1769" s="40"/>
      <c r="H1769" s="42"/>
      <c r="I1769" s="42" t="str">
        <f t="shared" si="23"/>
        <v/>
      </c>
    </row>
    <row r="1770" spans="2:9" x14ac:dyDescent="0.25">
      <c r="B1770" s="39"/>
      <c r="C1770" s="40"/>
      <c r="D1770" s="40"/>
      <c r="F1770" s="40"/>
      <c r="G1770" s="40"/>
      <c r="H1770" s="42"/>
      <c r="I1770" s="42" t="str">
        <f t="shared" si="23"/>
        <v/>
      </c>
    </row>
    <row r="1771" spans="2:9" x14ac:dyDescent="0.25">
      <c r="B1771" s="39"/>
      <c r="C1771" s="40"/>
      <c r="D1771" s="40"/>
      <c r="F1771" s="40"/>
      <c r="G1771" s="40"/>
      <c r="H1771" s="42"/>
      <c r="I1771" s="42" t="str">
        <f t="shared" si="23"/>
        <v/>
      </c>
    </row>
    <row r="1772" spans="2:9" x14ac:dyDescent="0.25">
      <c r="B1772" s="39"/>
      <c r="C1772" s="40"/>
      <c r="D1772" s="40"/>
      <c r="F1772" s="40"/>
      <c r="G1772" s="40"/>
      <c r="H1772" s="42"/>
      <c r="I1772" s="42" t="str">
        <f t="shared" si="23"/>
        <v/>
      </c>
    </row>
    <row r="1773" spans="2:9" x14ac:dyDescent="0.25">
      <c r="B1773" s="39"/>
      <c r="C1773" s="40"/>
      <c r="D1773" s="40"/>
      <c r="F1773" s="40"/>
      <c r="G1773" s="40"/>
      <c r="H1773" s="42"/>
      <c r="I1773" s="42" t="str">
        <f t="shared" si="23"/>
        <v/>
      </c>
    </row>
    <row r="1774" spans="2:9" x14ac:dyDescent="0.25">
      <c r="B1774" s="39"/>
      <c r="C1774" s="40"/>
      <c r="D1774" s="40"/>
      <c r="F1774" s="40"/>
      <c r="G1774" s="40"/>
      <c r="H1774" s="42"/>
      <c r="I1774" s="42" t="str">
        <f t="shared" si="23"/>
        <v/>
      </c>
    </row>
    <row r="1775" spans="2:9" x14ac:dyDescent="0.25">
      <c r="B1775" s="39"/>
      <c r="C1775" s="40"/>
      <c r="D1775" s="40"/>
      <c r="F1775" s="40"/>
      <c r="G1775" s="40"/>
      <c r="H1775" s="42"/>
      <c r="I1775" s="42" t="str">
        <f t="shared" si="23"/>
        <v/>
      </c>
    </row>
    <row r="1776" spans="2:9" x14ac:dyDescent="0.25">
      <c r="B1776" s="39"/>
      <c r="C1776" s="40"/>
      <c r="D1776" s="40"/>
      <c r="F1776" s="40"/>
      <c r="G1776" s="40"/>
      <c r="H1776" s="42"/>
      <c r="I1776" s="42" t="str">
        <f t="shared" si="23"/>
        <v/>
      </c>
    </row>
    <row r="1777" spans="2:9" x14ac:dyDescent="0.25">
      <c r="B1777" s="39"/>
      <c r="C1777" s="40"/>
      <c r="D1777" s="40"/>
      <c r="F1777" s="40"/>
      <c r="G1777" s="40"/>
      <c r="H1777" s="42"/>
      <c r="I1777" s="42" t="str">
        <f t="shared" si="23"/>
        <v/>
      </c>
    </row>
    <row r="1778" spans="2:9" x14ac:dyDescent="0.25">
      <c r="B1778" s="39"/>
      <c r="C1778" s="40"/>
      <c r="D1778" s="40"/>
      <c r="F1778" s="40"/>
      <c r="G1778" s="40"/>
      <c r="H1778" s="42"/>
      <c r="I1778" s="42" t="str">
        <f t="shared" si="23"/>
        <v/>
      </c>
    </row>
    <row r="1779" spans="2:9" x14ac:dyDescent="0.25">
      <c r="B1779" s="39"/>
      <c r="C1779" s="40"/>
      <c r="D1779" s="40"/>
      <c r="F1779" s="40"/>
      <c r="G1779" s="40"/>
      <c r="H1779" s="42"/>
      <c r="I1779" s="42" t="str">
        <f t="shared" si="23"/>
        <v/>
      </c>
    </row>
    <row r="1780" spans="2:9" x14ac:dyDescent="0.25">
      <c r="B1780" s="39"/>
      <c r="C1780" s="40"/>
      <c r="D1780" s="40"/>
      <c r="F1780" s="40"/>
      <c r="G1780" s="40"/>
      <c r="H1780" s="42"/>
      <c r="I1780" s="42" t="str">
        <f t="shared" si="23"/>
        <v/>
      </c>
    </row>
    <row r="1781" spans="2:9" x14ac:dyDescent="0.25">
      <c r="B1781" s="39"/>
      <c r="C1781" s="40"/>
      <c r="D1781" s="40"/>
      <c r="F1781" s="40"/>
      <c r="G1781" s="40"/>
      <c r="H1781" s="42"/>
      <c r="I1781" s="42" t="str">
        <f t="shared" si="23"/>
        <v/>
      </c>
    </row>
    <row r="1782" spans="2:9" x14ac:dyDescent="0.25">
      <c r="B1782" s="39"/>
      <c r="C1782" s="40"/>
      <c r="D1782" s="40"/>
      <c r="F1782" s="40"/>
      <c r="G1782" s="40"/>
      <c r="H1782" s="42"/>
      <c r="I1782" s="42" t="str">
        <f t="shared" si="23"/>
        <v/>
      </c>
    </row>
    <row r="1783" spans="2:9" x14ac:dyDescent="0.25">
      <c r="B1783" s="39"/>
      <c r="C1783" s="40"/>
      <c r="D1783" s="40"/>
      <c r="F1783" s="40"/>
      <c r="G1783" s="40"/>
      <c r="H1783" s="42"/>
      <c r="I1783" s="42" t="str">
        <f t="shared" si="23"/>
        <v/>
      </c>
    </row>
    <row r="1784" spans="2:9" x14ac:dyDescent="0.25">
      <c r="B1784" s="39"/>
      <c r="C1784" s="40"/>
      <c r="D1784" s="40"/>
      <c r="F1784" s="40"/>
      <c r="G1784" s="40"/>
      <c r="H1784" s="42"/>
      <c r="I1784" s="42" t="str">
        <f t="shared" si="23"/>
        <v/>
      </c>
    </row>
    <row r="1785" spans="2:9" x14ac:dyDescent="0.25">
      <c r="B1785" s="39"/>
      <c r="C1785" s="40"/>
      <c r="D1785" s="40"/>
      <c r="F1785" s="40"/>
      <c r="G1785" s="40"/>
      <c r="H1785" s="42"/>
      <c r="I1785" s="42" t="str">
        <f t="shared" si="23"/>
        <v/>
      </c>
    </row>
    <row r="1786" spans="2:9" x14ac:dyDescent="0.25">
      <c r="B1786" s="39"/>
      <c r="C1786" s="40"/>
      <c r="D1786" s="40"/>
      <c r="F1786" s="40"/>
      <c r="G1786" s="40"/>
      <c r="H1786" s="42"/>
      <c r="I1786" s="42" t="str">
        <f t="shared" si="23"/>
        <v/>
      </c>
    </row>
    <row r="1787" spans="2:9" x14ac:dyDescent="0.25">
      <c r="B1787" s="39"/>
      <c r="C1787" s="40"/>
      <c r="D1787" s="40"/>
      <c r="F1787" s="40"/>
      <c r="G1787" s="40"/>
      <c r="H1787" s="42"/>
      <c r="I1787" s="42" t="str">
        <f t="shared" si="23"/>
        <v/>
      </c>
    </row>
    <row r="1788" spans="2:9" x14ac:dyDescent="0.25">
      <c r="B1788" s="39"/>
      <c r="C1788" s="40"/>
      <c r="D1788" s="40"/>
      <c r="F1788" s="40"/>
      <c r="G1788" s="40"/>
      <c r="H1788" s="42"/>
      <c r="I1788" s="42" t="str">
        <f t="shared" si="23"/>
        <v/>
      </c>
    </row>
    <row r="1789" spans="2:9" x14ac:dyDescent="0.25">
      <c r="B1789" s="39"/>
      <c r="C1789" s="40"/>
      <c r="D1789" s="40"/>
      <c r="F1789" s="40"/>
      <c r="G1789" s="40"/>
      <c r="H1789" s="42"/>
      <c r="I1789" s="42" t="str">
        <f t="shared" si="23"/>
        <v/>
      </c>
    </row>
    <row r="1790" spans="2:9" x14ac:dyDescent="0.25">
      <c r="B1790" s="39"/>
      <c r="C1790" s="40"/>
      <c r="D1790" s="40"/>
      <c r="F1790" s="40"/>
      <c r="G1790" s="40"/>
      <c r="H1790" s="42"/>
      <c r="I1790" s="42" t="str">
        <f t="shared" si="23"/>
        <v/>
      </c>
    </row>
    <row r="1791" spans="2:9" x14ac:dyDescent="0.25">
      <c r="B1791" s="39"/>
      <c r="C1791" s="40"/>
      <c r="D1791" s="40"/>
      <c r="F1791" s="40"/>
      <c r="G1791" s="40"/>
      <c r="H1791" s="42"/>
      <c r="I1791" s="42" t="str">
        <f t="shared" si="23"/>
        <v/>
      </c>
    </row>
    <row r="1792" spans="2:9" x14ac:dyDescent="0.25">
      <c r="B1792" s="39"/>
      <c r="C1792" s="40"/>
      <c r="D1792" s="40"/>
      <c r="F1792" s="40"/>
      <c r="G1792" s="40"/>
      <c r="H1792" s="42"/>
      <c r="I1792" s="42" t="str">
        <f t="shared" ref="I1792:I1855" si="24">IF(H1792&lt;&gt;"",H1792-H1791,"")</f>
        <v/>
      </c>
    </row>
    <row r="1793" spans="2:9" x14ac:dyDescent="0.25">
      <c r="B1793" s="39"/>
      <c r="C1793" s="40"/>
      <c r="D1793" s="40"/>
      <c r="F1793" s="40"/>
      <c r="G1793" s="40"/>
      <c r="H1793" s="42"/>
      <c r="I1793" s="42" t="str">
        <f t="shared" si="24"/>
        <v/>
      </c>
    </row>
    <row r="1794" spans="2:9" x14ac:dyDescent="0.25">
      <c r="B1794" s="39"/>
      <c r="C1794" s="40"/>
      <c r="D1794" s="40"/>
      <c r="F1794" s="40"/>
      <c r="G1794" s="40"/>
      <c r="H1794" s="42"/>
      <c r="I1794" s="42" t="str">
        <f t="shared" si="24"/>
        <v/>
      </c>
    </row>
    <row r="1795" spans="2:9" x14ac:dyDescent="0.25">
      <c r="B1795" s="39"/>
      <c r="C1795" s="40"/>
      <c r="D1795" s="40"/>
      <c r="F1795" s="40"/>
      <c r="G1795" s="40"/>
      <c r="H1795" s="42"/>
      <c r="I1795" s="42" t="str">
        <f t="shared" si="24"/>
        <v/>
      </c>
    </row>
    <row r="1796" spans="2:9" x14ac:dyDescent="0.25">
      <c r="B1796" s="39"/>
      <c r="C1796" s="40"/>
      <c r="D1796" s="40"/>
      <c r="F1796" s="40"/>
      <c r="G1796" s="40"/>
      <c r="H1796" s="42"/>
      <c r="I1796" s="42" t="str">
        <f t="shared" si="24"/>
        <v/>
      </c>
    </row>
    <row r="1797" spans="2:9" x14ac:dyDescent="0.25">
      <c r="B1797" s="39"/>
      <c r="C1797" s="40"/>
      <c r="D1797" s="40"/>
      <c r="F1797" s="40"/>
      <c r="G1797" s="40"/>
      <c r="H1797" s="42"/>
      <c r="I1797" s="42" t="str">
        <f t="shared" si="24"/>
        <v/>
      </c>
    </row>
    <row r="1798" spans="2:9" x14ac:dyDescent="0.25">
      <c r="B1798" s="39"/>
      <c r="C1798" s="40"/>
      <c r="D1798" s="40"/>
      <c r="F1798" s="40"/>
      <c r="G1798" s="40"/>
      <c r="H1798" s="42"/>
      <c r="I1798" s="42" t="str">
        <f t="shared" si="24"/>
        <v/>
      </c>
    </row>
    <row r="1799" spans="2:9" x14ac:dyDescent="0.25">
      <c r="B1799" s="39"/>
      <c r="C1799" s="40"/>
      <c r="D1799" s="40"/>
      <c r="F1799" s="40"/>
      <c r="G1799" s="40"/>
      <c r="H1799" s="42"/>
      <c r="I1799" s="42" t="str">
        <f t="shared" si="24"/>
        <v/>
      </c>
    </row>
    <row r="1800" spans="2:9" x14ac:dyDescent="0.25">
      <c r="B1800" s="39"/>
      <c r="C1800" s="40"/>
      <c r="D1800" s="40"/>
      <c r="F1800" s="40"/>
      <c r="G1800" s="40"/>
      <c r="H1800" s="42"/>
      <c r="I1800" s="42" t="str">
        <f t="shared" si="24"/>
        <v/>
      </c>
    </row>
    <row r="1801" spans="2:9" x14ac:dyDescent="0.25">
      <c r="B1801" s="39"/>
      <c r="C1801" s="40"/>
      <c r="D1801" s="40"/>
      <c r="F1801" s="40"/>
      <c r="G1801" s="40"/>
      <c r="H1801" s="42"/>
      <c r="I1801" s="42" t="str">
        <f t="shared" si="24"/>
        <v/>
      </c>
    </row>
    <row r="1802" spans="2:9" x14ac:dyDescent="0.25">
      <c r="B1802" s="39"/>
      <c r="C1802" s="40"/>
      <c r="D1802" s="40"/>
      <c r="F1802" s="40"/>
      <c r="G1802" s="40"/>
      <c r="H1802" s="42"/>
      <c r="I1802" s="42" t="str">
        <f t="shared" si="24"/>
        <v/>
      </c>
    </row>
    <row r="1803" spans="2:9" x14ac:dyDescent="0.25">
      <c r="B1803" s="39"/>
      <c r="C1803" s="40"/>
      <c r="D1803" s="40"/>
      <c r="F1803" s="40"/>
      <c r="G1803" s="40"/>
      <c r="H1803" s="42"/>
      <c r="I1803" s="42" t="str">
        <f t="shared" si="24"/>
        <v/>
      </c>
    </row>
    <row r="1804" spans="2:9" x14ac:dyDescent="0.25">
      <c r="B1804" s="39"/>
      <c r="C1804" s="40"/>
      <c r="D1804" s="40"/>
      <c r="F1804" s="40"/>
      <c r="G1804" s="40"/>
      <c r="H1804" s="42"/>
      <c r="I1804" s="42" t="str">
        <f t="shared" si="24"/>
        <v/>
      </c>
    </row>
    <row r="1805" spans="2:9" x14ac:dyDescent="0.25">
      <c r="B1805" s="39"/>
      <c r="C1805" s="40"/>
      <c r="D1805" s="40"/>
      <c r="F1805" s="40"/>
      <c r="G1805" s="40"/>
      <c r="H1805" s="42"/>
      <c r="I1805" s="42" t="str">
        <f t="shared" si="24"/>
        <v/>
      </c>
    </row>
    <row r="1806" spans="2:9" x14ac:dyDescent="0.25">
      <c r="B1806" s="39"/>
      <c r="C1806" s="40"/>
      <c r="D1806" s="40"/>
      <c r="F1806" s="40"/>
      <c r="G1806" s="40"/>
      <c r="H1806" s="42"/>
      <c r="I1806" s="42" t="str">
        <f t="shared" si="24"/>
        <v/>
      </c>
    </row>
    <row r="1807" spans="2:9" x14ac:dyDescent="0.25">
      <c r="B1807" s="39"/>
      <c r="C1807" s="40"/>
      <c r="D1807" s="40"/>
      <c r="F1807" s="40"/>
      <c r="G1807" s="40"/>
      <c r="H1807" s="42"/>
      <c r="I1807" s="42" t="str">
        <f t="shared" si="24"/>
        <v/>
      </c>
    </row>
    <row r="1808" spans="2:9" x14ac:dyDescent="0.25">
      <c r="B1808" s="39"/>
      <c r="C1808" s="40"/>
      <c r="D1808" s="40"/>
      <c r="F1808" s="40"/>
      <c r="G1808" s="40"/>
      <c r="H1808" s="42"/>
      <c r="I1808" s="42" t="str">
        <f t="shared" si="24"/>
        <v/>
      </c>
    </row>
    <row r="1809" spans="2:9" x14ac:dyDescent="0.25">
      <c r="B1809" s="39"/>
      <c r="C1809" s="40"/>
      <c r="D1809" s="40"/>
      <c r="F1809" s="40"/>
      <c r="G1809" s="40"/>
      <c r="H1809" s="42"/>
      <c r="I1809" s="42" t="str">
        <f t="shared" si="24"/>
        <v/>
      </c>
    </row>
    <row r="1810" spans="2:9" x14ac:dyDescent="0.25">
      <c r="B1810" s="39"/>
      <c r="C1810" s="40"/>
      <c r="D1810" s="40"/>
      <c r="F1810" s="40"/>
      <c r="G1810" s="40"/>
      <c r="H1810" s="42"/>
      <c r="I1810" s="42" t="str">
        <f t="shared" si="24"/>
        <v/>
      </c>
    </row>
    <row r="1811" spans="2:9" x14ac:dyDescent="0.25">
      <c r="B1811" s="39"/>
      <c r="C1811" s="40"/>
      <c r="D1811" s="40"/>
      <c r="F1811" s="40"/>
      <c r="G1811" s="40"/>
      <c r="H1811" s="42"/>
      <c r="I1811" s="42" t="str">
        <f t="shared" si="24"/>
        <v/>
      </c>
    </row>
    <row r="1812" spans="2:9" x14ac:dyDescent="0.25">
      <c r="B1812" s="39"/>
      <c r="C1812" s="40"/>
      <c r="D1812" s="40"/>
      <c r="F1812" s="40"/>
      <c r="G1812" s="40"/>
      <c r="H1812" s="42"/>
      <c r="I1812" s="42" t="str">
        <f t="shared" si="24"/>
        <v/>
      </c>
    </row>
    <row r="1813" spans="2:9" x14ac:dyDescent="0.25">
      <c r="B1813" s="39"/>
      <c r="C1813" s="40"/>
      <c r="D1813" s="40"/>
      <c r="F1813" s="40"/>
      <c r="G1813" s="40"/>
      <c r="H1813" s="42"/>
      <c r="I1813" s="42" t="str">
        <f t="shared" si="24"/>
        <v/>
      </c>
    </row>
    <row r="1814" spans="2:9" x14ac:dyDescent="0.25">
      <c r="B1814" s="39"/>
      <c r="C1814" s="40"/>
      <c r="D1814" s="40"/>
      <c r="F1814" s="40"/>
      <c r="G1814" s="40"/>
      <c r="H1814" s="42"/>
      <c r="I1814" s="42" t="str">
        <f t="shared" si="24"/>
        <v/>
      </c>
    </row>
    <row r="1815" spans="2:9" x14ac:dyDescent="0.25">
      <c r="B1815" s="39"/>
      <c r="C1815" s="40"/>
      <c r="D1815" s="40"/>
      <c r="F1815" s="40"/>
      <c r="G1815" s="40"/>
      <c r="H1815" s="42"/>
      <c r="I1815" s="42" t="str">
        <f t="shared" si="24"/>
        <v/>
      </c>
    </row>
    <row r="1816" spans="2:9" x14ac:dyDescent="0.25">
      <c r="B1816" s="39"/>
      <c r="C1816" s="40"/>
      <c r="D1816" s="40"/>
      <c r="F1816" s="40"/>
      <c r="G1816" s="40"/>
      <c r="H1816" s="42"/>
      <c r="I1816" s="42" t="str">
        <f t="shared" si="24"/>
        <v/>
      </c>
    </row>
    <row r="1817" spans="2:9" x14ac:dyDescent="0.25">
      <c r="B1817" s="39"/>
      <c r="C1817" s="40"/>
      <c r="D1817" s="40"/>
      <c r="F1817" s="40"/>
      <c r="G1817" s="40"/>
      <c r="H1817" s="42"/>
      <c r="I1817" s="42" t="str">
        <f t="shared" si="24"/>
        <v/>
      </c>
    </row>
    <row r="1818" spans="2:9" x14ac:dyDescent="0.25">
      <c r="B1818" s="39"/>
      <c r="C1818" s="40"/>
      <c r="D1818" s="40"/>
      <c r="F1818" s="40"/>
      <c r="G1818" s="40"/>
      <c r="H1818" s="42"/>
      <c r="I1818" s="42" t="str">
        <f t="shared" si="24"/>
        <v/>
      </c>
    </row>
    <row r="1819" spans="2:9" x14ac:dyDescent="0.25">
      <c r="B1819" s="39"/>
      <c r="C1819" s="40"/>
      <c r="D1819" s="40"/>
      <c r="F1819" s="40"/>
      <c r="G1819" s="40"/>
      <c r="H1819" s="42"/>
      <c r="I1819" s="42" t="str">
        <f t="shared" si="24"/>
        <v/>
      </c>
    </row>
    <row r="1820" spans="2:9" x14ac:dyDescent="0.25">
      <c r="B1820" s="39"/>
      <c r="C1820" s="40"/>
      <c r="D1820" s="40"/>
      <c r="F1820" s="40"/>
      <c r="G1820" s="40"/>
      <c r="H1820" s="42"/>
      <c r="I1820" s="42" t="str">
        <f t="shared" si="24"/>
        <v/>
      </c>
    </row>
    <row r="1821" spans="2:9" x14ac:dyDescent="0.25">
      <c r="B1821" s="39"/>
      <c r="C1821" s="40"/>
      <c r="D1821" s="40"/>
      <c r="F1821" s="40"/>
      <c r="G1821" s="40"/>
      <c r="H1821" s="42"/>
      <c r="I1821" s="42" t="str">
        <f t="shared" si="24"/>
        <v/>
      </c>
    </row>
    <row r="1822" spans="2:9" x14ac:dyDescent="0.25">
      <c r="B1822" s="39"/>
      <c r="C1822" s="40"/>
      <c r="D1822" s="40"/>
      <c r="F1822" s="40"/>
      <c r="G1822" s="40"/>
      <c r="H1822" s="42"/>
      <c r="I1822" s="42" t="str">
        <f t="shared" si="24"/>
        <v/>
      </c>
    </row>
    <row r="1823" spans="2:9" x14ac:dyDescent="0.25">
      <c r="B1823" s="39"/>
      <c r="C1823" s="40"/>
      <c r="D1823" s="40"/>
      <c r="F1823" s="40"/>
      <c r="G1823" s="40"/>
      <c r="H1823" s="42"/>
      <c r="I1823" s="42" t="str">
        <f t="shared" si="24"/>
        <v/>
      </c>
    </row>
    <row r="1824" spans="2:9" x14ac:dyDescent="0.25">
      <c r="B1824" s="39"/>
      <c r="C1824" s="40"/>
      <c r="D1824" s="40"/>
      <c r="F1824" s="40"/>
      <c r="G1824" s="40"/>
      <c r="H1824" s="42"/>
      <c r="I1824" s="42" t="str">
        <f t="shared" si="24"/>
        <v/>
      </c>
    </row>
    <row r="1825" spans="2:9" x14ac:dyDescent="0.25">
      <c r="B1825" s="39"/>
      <c r="C1825" s="40"/>
      <c r="D1825" s="40"/>
      <c r="F1825" s="40"/>
      <c r="G1825" s="40"/>
      <c r="H1825" s="42"/>
      <c r="I1825" s="42" t="str">
        <f t="shared" si="24"/>
        <v/>
      </c>
    </row>
    <row r="1826" spans="2:9" x14ac:dyDescent="0.25">
      <c r="B1826" s="39"/>
      <c r="C1826" s="40"/>
      <c r="D1826" s="40"/>
      <c r="F1826" s="40"/>
      <c r="G1826" s="40"/>
      <c r="H1826" s="42"/>
      <c r="I1826" s="42" t="str">
        <f t="shared" si="24"/>
        <v/>
      </c>
    </row>
    <row r="1827" spans="2:9" x14ac:dyDescent="0.25">
      <c r="B1827" s="39"/>
      <c r="C1827" s="40"/>
      <c r="D1827" s="40"/>
      <c r="F1827" s="40"/>
      <c r="G1827" s="40"/>
      <c r="H1827" s="42"/>
      <c r="I1827" s="42" t="str">
        <f t="shared" si="24"/>
        <v/>
      </c>
    </row>
    <row r="1828" spans="2:9" x14ac:dyDescent="0.25">
      <c r="B1828" s="39"/>
      <c r="C1828" s="40"/>
      <c r="D1828" s="40"/>
      <c r="F1828" s="40"/>
      <c r="G1828" s="40"/>
      <c r="H1828" s="42"/>
      <c r="I1828" s="42" t="str">
        <f t="shared" si="24"/>
        <v/>
      </c>
    </row>
    <row r="1829" spans="2:9" x14ac:dyDescent="0.25">
      <c r="B1829" s="39"/>
      <c r="C1829" s="40"/>
      <c r="D1829" s="40"/>
      <c r="F1829" s="40"/>
      <c r="G1829" s="40"/>
      <c r="H1829" s="42"/>
      <c r="I1829" s="42" t="str">
        <f t="shared" si="24"/>
        <v/>
      </c>
    </row>
    <row r="1830" spans="2:9" x14ac:dyDescent="0.25">
      <c r="B1830" s="39"/>
      <c r="C1830" s="40"/>
      <c r="D1830" s="40"/>
      <c r="F1830" s="40"/>
      <c r="G1830" s="40"/>
      <c r="H1830" s="42"/>
      <c r="I1830" s="42" t="str">
        <f t="shared" si="24"/>
        <v/>
      </c>
    </row>
    <row r="1831" spans="2:9" x14ac:dyDescent="0.25">
      <c r="B1831" s="39"/>
      <c r="C1831" s="40"/>
      <c r="D1831" s="40"/>
      <c r="F1831" s="40"/>
      <c r="G1831" s="40"/>
      <c r="H1831" s="42"/>
      <c r="I1831" s="42" t="str">
        <f t="shared" si="24"/>
        <v/>
      </c>
    </row>
    <row r="1832" spans="2:9" x14ac:dyDescent="0.25">
      <c r="B1832" s="39"/>
      <c r="C1832" s="40"/>
      <c r="D1832" s="40"/>
      <c r="F1832" s="40"/>
      <c r="G1832" s="40"/>
      <c r="H1832" s="42"/>
      <c r="I1832" s="42" t="str">
        <f t="shared" si="24"/>
        <v/>
      </c>
    </row>
    <row r="1833" spans="2:9" x14ac:dyDescent="0.25">
      <c r="B1833" s="39"/>
      <c r="C1833" s="40"/>
      <c r="D1833" s="40"/>
      <c r="F1833" s="40"/>
      <c r="G1833" s="40"/>
      <c r="H1833" s="42"/>
      <c r="I1833" s="42" t="str">
        <f t="shared" si="24"/>
        <v/>
      </c>
    </row>
    <row r="1834" spans="2:9" x14ac:dyDescent="0.25">
      <c r="B1834" s="39"/>
      <c r="C1834" s="40"/>
      <c r="D1834" s="40"/>
      <c r="F1834" s="40"/>
      <c r="G1834" s="40"/>
      <c r="H1834" s="42"/>
      <c r="I1834" s="42" t="str">
        <f t="shared" si="24"/>
        <v/>
      </c>
    </row>
    <row r="1835" spans="2:9" x14ac:dyDescent="0.25">
      <c r="B1835" s="39"/>
      <c r="C1835" s="40"/>
      <c r="D1835" s="40"/>
      <c r="F1835" s="40"/>
      <c r="G1835" s="40"/>
      <c r="H1835" s="42"/>
      <c r="I1835" s="42" t="str">
        <f t="shared" si="24"/>
        <v/>
      </c>
    </row>
    <row r="1836" spans="2:9" x14ac:dyDescent="0.25">
      <c r="B1836" s="39"/>
      <c r="C1836" s="40"/>
      <c r="D1836" s="40"/>
      <c r="F1836" s="40"/>
      <c r="G1836" s="40"/>
      <c r="H1836" s="42"/>
      <c r="I1836" s="42" t="str">
        <f t="shared" si="24"/>
        <v/>
      </c>
    </row>
    <row r="1837" spans="2:9" x14ac:dyDescent="0.25">
      <c r="B1837" s="39"/>
      <c r="C1837" s="40"/>
      <c r="D1837" s="40"/>
      <c r="F1837" s="40"/>
      <c r="G1837" s="40"/>
      <c r="H1837" s="42"/>
      <c r="I1837" s="42" t="str">
        <f t="shared" si="24"/>
        <v/>
      </c>
    </row>
    <row r="1838" spans="2:9" x14ac:dyDescent="0.25">
      <c r="B1838" s="39"/>
      <c r="C1838" s="40"/>
      <c r="D1838" s="40"/>
      <c r="F1838" s="40"/>
      <c r="G1838" s="40"/>
      <c r="H1838" s="42"/>
      <c r="I1838" s="42" t="str">
        <f t="shared" si="24"/>
        <v/>
      </c>
    </row>
    <row r="1839" spans="2:9" x14ac:dyDescent="0.25">
      <c r="B1839" s="39"/>
      <c r="C1839" s="40"/>
      <c r="D1839" s="40"/>
      <c r="F1839" s="40"/>
      <c r="G1839" s="40"/>
      <c r="H1839" s="42"/>
      <c r="I1839" s="42" t="str">
        <f t="shared" si="24"/>
        <v/>
      </c>
    </row>
    <row r="1840" spans="2:9" x14ac:dyDescent="0.25">
      <c r="B1840" s="39"/>
      <c r="C1840" s="40"/>
      <c r="D1840" s="40"/>
      <c r="F1840" s="40"/>
      <c r="G1840" s="40"/>
      <c r="H1840" s="42"/>
      <c r="I1840" s="42" t="str">
        <f t="shared" si="24"/>
        <v/>
      </c>
    </row>
    <row r="1841" spans="2:9" x14ac:dyDescent="0.25">
      <c r="B1841" s="39"/>
      <c r="C1841" s="40"/>
      <c r="D1841" s="40"/>
      <c r="F1841" s="40"/>
      <c r="G1841" s="40"/>
      <c r="H1841" s="42"/>
      <c r="I1841" s="42" t="str">
        <f t="shared" si="24"/>
        <v/>
      </c>
    </row>
    <row r="1842" spans="2:9" x14ac:dyDescent="0.25">
      <c r="B1842" s="39"/>
      <c r="C1842" s="40"/>
      <c r="D1842" s="40"/>
      <c r="F1842" s="40"/>
      <c r="G1842" s="40"/>
      <c r="H1842" s="42"/>
      <c r="I1842" s="42" t="str">
        <f t="shared" si="24"/>
        <v/>
      </c>
    </row>
    <row r="1843" spans="2:9" x14ac:dyDescent="0.25">
      <c r="B1843" s="39"/>
      <c r="C1843" s="40"/>
      <c r="D1843" s="40"/>
      <c r="F1843" s="40"/>
      <c r="G1843" s="40"/>
      <c r="H1843" s="42"/>
      <c r="I1843" s="42" t="str">
        <f t="shared" si="24"/>
        <v/>
      </c>
    </row>
    <row r="1844" spans="2:9" x14ac:dyDescent="0.25">
      <c r="B1844" s="39"/>
      <c r="C1844" s="40"/>
      <c r="D1844" s="40"/>
      <c r="F1844" s="40"/>
      <c r="G1844" s="40"/>
      <c r="H1844" s="42"/>
      <c r="I1844" s="42" t="str">
        <f t="shared" si="24"/>
        <v/>
      </c>
    </row>
    <row r="1845" spans="2:9" x14ac:dyDescent="0.25">
      <c r="B1845" s="39"/>
      <c r="C1845" s="40"/>
      <c r="D1845" s="40"/>
      <c r="F1845" s="40"/>
      <c r="G1845" s="40"/>
      <c r="H1845" s="42"/>
      <c r="I1845" s="42" t="str">
        <f t="shared" si="24"/>
        <v/>
      </c>
    </row>
    <row r="1846" spans="2:9" x14ac:dyDescent="0.25">
      <c r="B1846" s="39"/>
      <c r="C1846" s="40"/>
      <c r="D1846" s="40"/>
      <c r="F1846" s="40"/>
      <c r="G1846" s="40"/>
      <c r="H1846" s="42"/>
      <c r="I1846" s="42" t="str">
        <f t="shared" si="24"/>
        <v/>
      </c>
    </row>
    <row r="1847" spans="2:9" x14ac:dyDescent="0.25">
      <c r="B1847" s="39"/>
      <c r="C1847" s="40"/>
      <c r="D1847" s="40"/>
      <c r="F1847" s="40"/>
      <c r="G1847" s="40"/>
      <c r="H1847" s="42"/>
      <c r="I1847" s="42" t="str">
        <f t="shared" si="24"/>
        <v/>
      </c>
    </row>
    <row r="1848" spans="2:9" x14ac:dyDescent="0.25">
      <c r="B1848" s="39"/>
      <c r="C1848" s="40"/>
      <c r="D1848" s="40"/>
      <c r="F1848" s="40"/>
      <c r="G1848" s="40"/>
      <c r="H1848" s="42"/>
      <c r="I1848" s="42" t="str">
        <f t="shared" si="24"/>
        <v/>
      </c>
    </row>
    <row r="1849" spans="2:9" x14ac:dyDescent="0.25">
      <c r="B1849" s="39"/>
      <c r="C1849" s="40"/>
      <c r="D1849" s="40"/>
      <c r="F1849" s="40"/>
      <c r="G1849" s="40"/>
      <c r="H1849" s="42"/>
      <c r="I1849" s="42" t="str">
        <f t="shared" si="24"/>
        <v/>
      </c>
    </row>
    <row r="1850" spans="2:9" x14ac:dyDescent="0.25">
      <c r="B1850" s="39"/>
      <c r="C1850" s="40"/>
      <c r="D1850" s="40"/>
      <c r="F1850" s="40"/>
      <c r="G1850" s="40"/>
      <c r="H1850" s="42"/>
      <c r="I1850" s="42" t="str">
        <f t="shared" si="24"/>
        <v/>
      </c>
    </row>
    <row r="1851" spans="2:9" x14ac:dyDescent="0.25">
      <c r="B1851" s="39"/>
      <c r="C1851" s="40"/>
      <c r="D1851" s="40"/>
      <c r="F1851" s="40"/>
      <c r="G1851" s="40"/>
      <c r="H1851" s="42"/>
      <c r="I1851" s="42" t="str">
        <f t="shared" si="24"/>
        <v/>
      </c>
    </row>
    <row r="1852" spans="2:9" x14ac:dyDescent="0.25">
      <c r="B1852" s="39"/>
      <c r="C1852" s="40"/>
      <c r="D1852" s="40"/>
      <c r="F1852" s="40"/>
      <c r="G1852" s="40"/>
      <c r="H1852" s="42"/>
      <c r="I1852" s="42" t="str">
        <f t="shared" si="24"/>
        <v/>
      </c>
    </row>
    <row r="1853" spans="2:9" x14ac:dyDescent="0.25">
      <c r="B1853" s="39"/>
      <c r="C1853" s="40"/>
      <c r="D1853" s="40"/>
      <c r="F1853" s="40"/>
      <c r="G1853" s="40"/>
      <c r="H1853" s="42"/>
      <c r="I1853" s="42" t="str">
        <f t="shared" si="24"/>
        <v/>
      </c>
    </row>
    <row r="1854" spans="2:9" x14ac:dyDescent="0.25">
      <c r="B1854" s="39"/>
      <c r="C1854" s="40"/>
      <c r="D1854" s="40"/>
      <c r="F1854" s="40"/>
      <c r="G1854" s="40"/>
      <c r="H1854" s="42"/>
      <c r="I1854" s="42" t="str">
        <f t="shared" si="24"/>
        <v/>
      </c>
    </row>
    <row r="1855" spans="2:9" x14ac:dyDescent="0.25">
      <c r="B1855" s="39"/>
      <c r="C1855" s="40"/>
      <c r="D1855" s="40"/>
      <c r="F1855" s="40"/>
      <c r="G1855" s="40"/>
      <c r="H1855" s="42"/>
      <c r="I1855" s="42" t="str">
        <f t="shared" si="24"/>
        <v/>
      </c>
    </row>
    <row r="1856" spans="2:9" x14ac:dyDescent="0.25">
      <c r="B1856" s="39"/>
      <c r="C1856" s="40"/>
      <c r="D1856" s="40"/>
      <c r="F1856" s="40"/>
      <c r="G1856" s="40"/>
      <c r="H1856" s="42"/>
      <c r="I1856" s="42" t="str">
        <f t="shared" ref="I1856:I1919" si="25">IF(H1856&lt;&gt;"",H1856-H1855,"")</f>
        <v/>
      </c>
    </row>
    <row r="1857" spans="2:9" x14ac:dyDescent="0.25">
      <c r="B1857" s="39"/>
      <c r="C1857" s="40"/>
      <c r="D1857" s="40"/>
      <c r="F1857" s="40"/>
      <c r="G1857" s="40"/>
      <c r="H1857" s="42"/>
      <c r="I1857" s="42" t="str">
        <f t="shared" si="25"/>
        <v/>
      </c>
    </row>
    <row r="1858" spans="2:9" x14ac:dyDescent="0.25">
      <c r="B1858" s="39"/>
      <c r="C1858" s="40"/>
      <c r="D1858" s="40"/>
      <c r="F1858" s="40"/>
      <c r="G1858" s="40"/>
      <c r="H1858" s="42"/>
      <c r="I1858" s="42" t="str">
        <f t="shared" si="25"/>
        <v/>
      </c>
    </row>
    <row r="1859" spans="2:9" x14ac:dyDescent="0.25">
      <c r="B1859" s="39"/>
      <c r="C1859" s="40"/>
      <c r="D1859" s="40"/>
      <c r="F1859" s="40"/>
      <c r="G1859" s="40"/>
      <c r="H1859" s="42"/>
      <c r="I1859" s="42" t="str">
        <f t="shared" si="25"/>
        <v/>
      </c>
    </row>
    <row r="1860" spans="2:9" x14ac:dyDescent="0.25">
      <c r="B1860" s="39"/>
      <c r="C1860" s="40"/>
      <c r="D1860" s="40"/>
      <c r="F1860" s="40"/>
      <c r="G1860" s="40"/>
      <c r="H1860" s="42"/>
      <c r="I1860" s="42" t="str">
        <f t="shared" si="25"/>
        <v/>
      </c>
    </row>
    <row r="1861" spans="2:9" x14ac:dyDescent="0.25">
      <c r="B1861" s="39"/>
      <c r="C1861" s="40"/>
      <c r="D1861" s="40"/>
      <c r="F1861" s="40"/>
      <c r="G1861" s="40"/>
      <c r="H1861" s="42"/>
      <c r="I1861" s="42" t="str">
        <f t="shared" si="25"/>
        <v/>
      </c>
    </row>
    <row r="1862" spans="2:9" x14ac:dyDescent="0.25">
      <c r="B1862" s="39"/>
      <c r="C1862" s="40"/>
      <c r="D1862" s="40"/>
      <c r="F1862" s="40"/>
      <c r="G1862" s="40"/>
      <c r="H1862" s="42"/>
      <c r="I1862" s="42" t="str">
        <f t="shared" si="25"/>
        <v/>
      </c>
    </row>
    <row r="1863" spans="2:9" x14ac:dyDescent="0.25">
      <c r="B1863" s="39"/>
      <c r="C1863" s="40"/>
      <c r="D1863" s="40"/>
      <c r="F1863" s="40"/>
      <c r="G1863" s="40"/>
      <c r="H1863" s="42"/>
      <c r="I1863" s="42" t="str">
        <f t="shared" si="25"/>
        <v/>
      </c>
    </row>
    <row r="1864" spans="2:9" x14ac:dyDescent="0.25">
      <c r="B1864" s="39"/>
      <c r="C1864" s="40"/>
      <c r="D1864" s="40"/>
      <c r="F1864" s="40"/>
      <c r="G1864" s="40"/>
      <c r="H1864" s="42"/>
      <c r="I1864" s="42" t="str">
        <f t="shared" si="25"/>
        <v/>
      </c>
    </row>
    <row r="1865" spans="2:9" x14ac:dyDescent="0.25">
      <c r="B1865" s="39"/>
      <c r="C1865" s="40"/>
      <c r="D1865" s="40"/>
      <c r="F1865" s="40"/>
      <c r="G1865" s="40"/>
      <c r="H1865" s="42"/>
      <c r="I1865" s="42" t="str">
        <f t="shared" si="25"/>
        <v/>
      </c>
    </row>
    <row r="1866" spans="2:9" x14ac:dyDescent="0.25">
      <c r="B1866" s="39"/>
      <c r="C1866" s="40"/>
      <c r="D1866" s="40"/>
      <c r="F1866" s="40"/>
      <c r="G1866" s="40"/>
      <c r="H1866" s="42"/>
      <c r="I1866" s="42" t="str">
        <f t="shared" si="25"/>
        <v/>
      </c>
    </row>
    <row r="1867" spans="2:9" x14ac:dyDescent="0.25">
      <c r="B1867" s="39"/>
      <c r="C1867" s="40"/>
      <c r="D1867" s="40"/>
      <c r="F1867" s="40"/>
      <c r="G1867" s="40"/>
      <c r="H1867" s="42"/>
      <c r="I1867" s="42" t="str">
        <f t="shared" si="25"/>
        <v/>
      </c>
    </row>
    <row r="1868" spans="2:9" x14ac:dyDescent="0.25">
      <c r="B1868" s="39"/>
      <c r="C1868" s="40"/>
      <c r="D1868" s="40"/>
      <c r="F1868" s="40"/>
      <c r="G1868" s="40"/>
      <c r="H1868" s="42"/>
      <c r="I1868" s="42" t="str">
        <f t="shared" si="25"/>
        <v/>
      </c>
    </row>
    <row r="1869" spans="2:9" x14ac:dyDescent="0.25">
      <c r="B1869" s="39"/>
      <c r="C1869" s="40"/>
      <c r="D1869" s="40"/>
      <c r="F1869" s="40"/>
      <c r="G1869" s="40"/>
      <c r="H1869" s="42"/>
      <c r="I1869" s="42" t="str">
        <f t="shared" si="25"/>
        <v/>
      </c>
    </row>
    <row r="1870" spans="2:9" x14ac:dyDescent="0.25">
      <c r="B1870" s="39"/>
      <c r="C1870" s="40"/>
      <c r="D1870" s="40"/>
      <c r="F1870" s="40"/>
      <c r="G1870" s="40"/>
      <c r="H1870" s="42"/>
      <c r="I1870" s="42" t="str">
        <f t="shared" si="25"/>
        <v/>
      </c>
    </row>
    <row r="1871" spans="2:9" x14ac:dyDescent="0.25">
      <c r="B1871" s="39"/>
      <c r="C1871" s="40"/>
      <c r="D1871" s="40"/>
      <c r="F1871" s="40"/>
      <c r="G1871" s="40"/>
      <c r="H1871" s="42"/>
      <c r="I1871" s="42" t="str">
        <f t="shared" si="25"/>
        <v/>
      </c>
    </row>
    <row r="1872" spans="2:9" x14ac:dyDescent="0.25">
      <c r="B1872" s="39"/>
      <c r="C1872" s="40"/>
      <c r="D1872" s="40"/>
      <c r="F1872" s="40"/>
      <c r="G1872" s="40"/>
      <c r="H1872" s="42"/>
      <c r="I1872" s="42" t="str">
        <f t="shared" si="25"/>
        <v/>
      </c>
    </row>
    <row r="1873" spans="2:9" x14ac:dyDescent="0.25">
      <c r="B1873" s="39"/>
      <c r="C1873" s="40"/>
      <c r="D1873" s="40"/>
      <c r="F1873" s="40"/>
      <c r="G1873" s="40"/>
      <c r="H1873" s="42"/>
      <c r="I1873" s="42" t="str">
        <f t="shared" si="25"/>
        <v/>
      </c>
    </row>
    <row r="1874" spans="2:9" x14ac:dyDescent="0.25">
      <c r="B1874" s="39"/>
      <c r="C1874" s="40"/>
      <c r="D1874" s="40"/>
      <c r="F1874" s="40"/>
      <c r="G1874" s="40"/>
      <c r="H1874" s="42"/>
      <c r="I1874" s="42" t="str">
        <f t="shared" si="25"/>
        <v/>
      </c>
    </row>
    <row r="1875" spans="2:9" x14ac:dyDescent="0.25">
      <c r="B1875" s="39"/>
      <c r="C1875" s="40"/>
      <c r="D1875" s="40"/>
      <c r="F1875" s="40"/>
      <c r="G1875" s="40"/>
      <c r="H1875" s="42"/>
      <c r="I1875" s="42" t="str">
        <f t="shared" si="25"/>
        <v/>
      </c>
    </row>
    <row r="1876" spans="2:9" x14ac:dyDescent="0.25">
      <c r="B1876" s="39"/>
      <c r="C1876" s="40"/>
      <c r="D1876" s="40"/>
      <c r="F1876" s="40"/>
      <c r="G1876" s="40"/>
      <c r="H1876" s="42"/>
      <c r="I1876" s="42" t="str">
        <f t="shared" si="25"/>
        <v/>
      </c>
    </row>
    <row r="1877" spans="2:9" x14ac:dyDescent="0.25">
      <c r="B1877" s="39"/>
      <c r="C1877" s="40"/>
      <c r="D1877" s="40"/>
      <c r="F1877" s="40"/>
      <c r="G1877" s="40"/>
      <c r="H1877" s="42"/>
      <c r="I1877" s="42" t="str">
        <f t="shared" si="25"/>
        <v/>
      </c>
    </row>
    <row r="1878" spans="2:9" x14ac:dyDescent="0.25">
      <c r="B1878" s="39"/>
      <c r="C1878" s="40"/>
      <c r="D1878" s="40"/>
      <c r="F1878" s="40"/>
      <c r="G1878" s="40"/>
      <c r="H1878" s="42"/>
      <c r="I1878" s="42" t="str">
        <f t="shared" si="25"/>
        <v/>
      </c>
    </row>
    <row r="1879" spans="2:9" x14ac:dyDescent="0.25">
      <c r="B1879" s="39"/>
      <c r="C1879" s="40"/>
      <c r="D1879" s="40"/>
      <c r="F1879" s="40"/>
      <c r="G1879" s="40"/>
      <c r="H1879" s="42"/>
      <c r="I1879" s="42" t="str">
        <f t="shared" si="25"/>
        <v/>
      </c>
    </row>
    <row r="1880" spans="2:9" x14ac:dyDescent="0.25">
      <c r="B1880" s="39"/>
      <c r="C1880" s="40"/>
      <c r="D1880" s="40"/>
      <c r="F1880" s="40"/>
      <c r="G1880" s="40"/>
      <c r="H1880" s="42"/>
      <c r="I1880" s="42" t="str">
        <f t="shared" si="25"/>
        <v/>
      </c>
    </row>
    <row r="1881" spans="2:9" x14ac:dyDescent="0.25">
      <c r="B1881" s="39"/>
      <c r="C1881" s="40"/>
      <c r="D1881" s="40"/>
      <c r="F1881" s="40"/>
      <c r="G1881" s="40"/>
      <c r="H1881" s="42"/>
      <c r="I1881" s="42" t="str">
        <f t="shared" si="25"/>
        <v/>
      </c>
    </row>
    <row r="1882" spans="2:9" x14ac:dyDescent="0.25">
      <c r="B1882" s="39"/>
      <c r="C1882" s="40"/>
      <c r="D1882" s="40"/>
      <c r="F1882" s="40"/>
      <c r="G1882" s="40"/>
      <c r="H1882" s="42"/>
      <c r="I1882" s="42" t="str">
        <f t="shared" si="25"/>
        <v/>
      </c>
    </row>
    <row r="1883" spans="2:9" x14ac:dyDescent="0.25">
      <c r="B1883" s="39"/>
      <c r="C1883" s="40"/>
      <c r="D1883" s="40"/>
      <c r="F1883" s="40"/>
      <c r="G1883" s="40"/>
      <c r="H1883" s="42"/>
      <c r="I1883" s="42" t="str">
        <f t="shared" si="25"/>
        <v/>
      </c>
    </row>
    <row r="1884" spans="2:9" x14ac:dyDescent="0.25">
      <c r="B1884" s="39"/>
      <c r="C1884" s="40"/>
      <c r="D1884" s="40"/>
      <c r="F1884" s="40"/>
      <c r="G1884" s="40"/>
      <c r="H1884" s="42"/>
      <c r="I1884" s="42" t="str">
        <f t="shared" si="25"/>
        <v/>
      </c>
    </row>
    <row r="1885" spans="2:9" x14ac:dyDescent="0.25">
      <c r="B1885" s="39"/>
      <c r="C1885" s="40"/>
      <c r="D1885" s="40"/>
      <c r="F1885" s="40"/>
      <c r="G1885" s="40"/>
      <c r="H1885" s="42"/>
      <c r="I1885" s="42" t="str">
        <f t="shared" si="25"/>
        <v/>
      </c>
    </row>
    <row r="1886" spans="2:9" x14ac:dyDescent="0.25">
      <c r="B1886" s="39"/>
      <c r="C1886" s="40"/>
      <c r="D1886" s="40"/>
      <c r="F1886" s="40"/>
      <c r="G1886" s="40"/>
      <c r="H1886" s="42"/>
      <c r="I1886" s="42" t="str">
        <f t="shared" si="25"/>
        <v/>
      </c>
    </row>
    <row r="1887" spans="2:9" x14ac:dyDescent="0.25">
      <c r="B1887" s="39"/>
      <c r="C1887" s="40"/>
      <c r="D1887" s="40"/>
      <c r="F1887" s="40"/>
      <c r="G1887" s="40"/>
      <c r="H1887" s="42"/>
      <c r="I1887" s="42" t="str">
        <f t="shared" si="25"/>
        <v/>
      </c>
    </row>
    <row r="1888" spans="2:9" x14ac:dyDescent="0.25">
      <c r="B1888" s="39"/>
      <c r="C1888" s="40"/>
      <c r="D1888" s="40"/>
      <c r="F1888" s="40"/>
      <c r="G1888" s="40"/>
      <c r="H1888" s="42"/>
      <c r="I1888" s="42" t="str">
        <f t="shared" si="25"/>
        <v/>
      </c>
    </row>
    <row r="1889" spans="2:9" x14ac:dyDescent="0.25">
      <c r="B1889" s="39"/>
      <c r="C1889" s="40"/>
      <c r="D1889" s="40"/>
      <c r="F1889" s="40"/>
      <c r="G1889" s="40"/>
      <c r="H1889" s="42"/>
      <c r="I1889" s="42" t="str">
        <f t="shared" si="25"/>
        <v/>
      </c>
    </row>
    <row r="1890" spans="2:9" x14ac:dyDescent="0.25">
      <c r="B1890" s="39"/>
      <c r="C1890" s="40"/>
      <c r="D1890" s="40"/>
      <c r="F1890" s="40"/>
      <c r="G1890" s="40"/>
      <c r="H1890" s="42"/>
      <c r="I1890" s="42" t="str">
        <f t="shared" si="25"/>
        <v/>
      </c>
    </row>
    <row r="1891" spans="2:9" x14ac:dyDescent="0.25">
      <c r="B1891" s="39"/>
      <c r="C1891" s="40"/>
      <c r="D1891" s="40"/>
      <c r="F1891" s="40"/>
      <c r="G1891" s="40"/>
      <c r="H1891" s="42"/>
      <c r="I1891" s="42" t="str">
        <f t="shared" si="25"/>
        <v/>
      </c>
    </row>
    <row r="1892" spans="2:9" x14ac:dyDescent="0.25">
      <c r="B1892" s="39"/>
      <c r="C1892" s="40"/>
      <c r="D1892" s="40"/>
      <c r="F1892" s="40"/>
      <c r="G1892" s="40"/>
      <c r="H1892" s="42"/>
      <c r="I1892" s="42" t="str">
        <f t="shared" si="25"/>
        <v/>
      </c>
    </row>
    <row r="1893" spans="2:9" x14ac:dyDescent="0.25">
      <c r="B1893" s="39"/>
      <c r="C1893" s="40"/>
      <c r="D1893" s="40"/>
      <c r="F1893" s="40"/>
      <c r="G1893" s="40"/>
      <c r="H1893" s="42"/>
      <c r="I1893" s="42" t="str">
        <f t="shared" si="25"/>
        <v/>
      </c>
    </row>
    <row r="1894" spans="2:9" x14ac:dyDescent="0.25">
      <c r="B1894" s="39"/>
      <c r="C1894" s="40"/>
      <c r="D1894" s="40"/>
      <c r="F1894" s="40"/>
      <c r="G1894" s="40"/>
      <c r="H1894" s="42"/>
      <c r="I1894" s="42" t="str">
        <f t="shared" si="25"/>
        <v/>
      </c>
    </row>
    <row r="1895" spans="2:9" x14ac:dyDescent="0.25">
      <c r="B1895" s="39"/>
      <c r="C1895" s="40"/>
      <c r="D1895" s="40"/>
      <c r="F1895" s="40"/>
      <c r="G1895" s="40"/>
      <c r="H1895" s="42"/>
      <c r="I1895" s="42" t="str">
        <f t="shared" si="25"/>
        <v/>
      </c>
    </row>
    <row r="1896" spans="2:9" x14ac:dyDescent="0.25">
      <c r="B1896" s="39"/>
      <c r="C1896" s="40"/>
      <c r="D1896" s="40"/>
      <c r="F1896" s="40"/>
      <c r="G1896" s="40"/>
      <c r="H1896" s="42"/>
      <c r="I1896" s="42" t="str">
        <f t="shared" si="25"/>
        <v/>
      </c>
    </row>
    <row r="1897" spans="2:9" x14ac:dyDescent="0.25">
      <c r="B1897" s="39"/>
      <c r="C1897" s="40"/>
      <c r="D1897" s="40"/>
      <c r="F1897" s="40"/>
      <c r="G1897" s="40"/>
      <c r="H1897" s="42"/>
      <c r="I1897" s="42" t="str">
        <f t="shared" si="25"/>
        <v/>
      </c>
    </row>
    <row r="1898" spans="2:9" x14ac:dyDescent="0.25">
      <c r="B1898" s="39"/>
      <c r="C1898" s="40"/>
      <c r="D1898" s="40"/>
      <c r="F1898" s="40"/>
      <c r="G1898" s="40"/>
      <c r="H1898" s="42"/>
      <c r="I1898" s="42" t="str">
        <f t="shared" si="25"/>
        <v/>
      </c>
    </row>
    <row r="1899" spans="2:9" x14ac:dyDescent="0.25">
      <c r="B1899" s="39"/>
      <c r="C1899" s="40"/>
      <c r="D1899" s="40"/>
      <c r="F1899" s="40"/>
      <c r="G1899" s="40"/>
      <c r="H1899" s="42"/>
      <c r="I1899" s="42" t="str">
        <f t="shared" si="25"/>
        <v/>
      </c>
    </row>
    <row r="1900" spans="2:9" x14ac:dyDescent="0.25">
      <c r="B1900" s="39"/>
      <c r="C1900" s="40"/>
      <c r="D1900" s="40"/>
      <c r="F1900" s="40"/>
      <c r="G1900" s="40"/>
      <c r="H1900" s="42"/>
      <c r="I1900" s="42" t="str">
        <f t="shared" si="25"/>
        <v/>
      </c>
    </row>
    <row r="1901" spans="2:9" x14ac:dyDescent="0.25">
      <c r="B1901" s="39"/>
      <c r="C1901" s="40"/>
      <c r="D1901" s="40"/>
      <c r="F1901" s="40"/>
      <c r="G1901" s="40"/>
      <c r="H1901" s="42"/>
      <c r="I1901" s="42" t="str">
        <f t="shared" si="25"/>
        <v/>
      </c>
    </row>
    <row r="1902" spans="2:9" x14ac:dyDescent="0.25">
      <c r="B1902" s="39"/>
      <c r="C1902" s="40"/>
      <c r="D1902" s="40"/>
      <c r="F1902" s="40"/>
      <c r="G1902" s="40"/>
      <c r="H1902" s="42"/>
      <c r="I1902" s="42" t="str">
        <f t="shared" si="25"/>
        <v/>
      </c>
    </row>
    <row r="1903" spans="2:9" x14ac:dyDescent="0.25">
      <c r="B1903" s="39"/>
      <c r="C1903" s="40"/>
      <c r="D1903" s="40"/>
      <c r="F1903" s="40"/>
      <c r="G1903" s="40"/>
      <c r="H1903" s="42"/>
      <c r="I1903" s="42" t="str">
        <f t="shared" si="25"/>
        <v/>
      </c>
    </row>
    <row r="1904" spans="2:9" x14ac:dyDescent="0.25">
      <c r="B1904" s="39"/>
      <c r="C1904" s="40"/>
      <c r="D1904" s="40"/>
      <c r="F1904" s="40"/>
      <c r="G1904" s="40"/>
      <c r="H1904" s="42"/>
      <c r="I1904" s="42" t="str">
        <f t="shared" si="25"/>
        <v/>
      </c>
    </row>
    <row r="1905" spans="2:9" x14ac:dyDescent="0.25">
      <c r="B1905" s="39"/>
      <c r="C1905" s="40"/>
      <c r="D1905" s="40"/>
      <c r="F1905" s="40"/>
      <c r="G1905" s="40"/>
      <c r="H1905" s="42"/>
      <c r="I1905" s="42" t="str">
        <f t="shared" si="25"/>
        <v/>
      </c>
    </row>
    <row r="1906" spans="2:9" x14ac:dyDescent="0.25">
      <c r="B1906" s="39"/>
      <c r="C1906" s="40"/>
      <c r="D1906" s="40"/>
      <c r="F1906" s="40"/>
      <c r="G1906" s="40"/>
      <c r="H1906" s="42"/>
      <c r="I1906" s="42" t="str">
        <f t="shared" si="25"/>
        <v/>
      </c>
    </row>
    <row r="1907" spans="2:9" x14ac:dyDescent="0.25">
      <c r="B1907" s="39"/>
      <c r="C1907" s="40"/>
      <c r="D1907" s="40"/>
      <c r="F1907" s="40"/>
      <c r="G1907" s="40"/>
      <c r="H1907" s="42"/>
      <c r="I1907" s="42" t="str">
        <f t="shared" si="25"/>
        <v/>
      </c>
    </row>
    <row r="1908" spans="2:9" x14ac:dyDescent="0.25">
      <c r="B1908" s="39"/>
      <c r="C1908" s="40"/>
      <c r="D1908" s="40"/>
      <c r="F1908" s="40"/>
      <c r="G1908" s="40"/>
      <c r="H1908" s="42"/>
      <c r="I1908" s="42" t="str">
        <f t="shared" si="25"/>
        <v/>
      </c>
    </row>
    <row r="1909" spans="2:9" x14ac:dyDescent="0.25">
      <c r="B1909" s="39"/>
      <c r="C1909" s="40"/>
      <c r="D1909" s="40"/>
      <c r="F1909" s="40"/>
      <c r="G1909" s="40"/>
      <c r="H1909" s="42"/>
      <c r="I1909" s="42" t="str">
        <f t="shared" si="25"/>
        <v/>
      </c>
    </row>
    <row r="1910" spans="2:9" x14ac:dyDescent="0.25">
      <c r="B1910" s="39"/>
      <c r="C1910" s="40"/>
      <c r="D1910" s="40"/>
      <c r="F1910" s="40"/>
      <c r="G1910" s="40"/>
      <c r="H1910" s="42"/>
      <c r="I1910" s="42" t="str">
        <f t="shared" si="25"/>
        <v/>
      </c>
    </row>
    <row r="1911" spans="2:9" x14ac:dyDescent="0.25">
      <c r="B1911" s="39"/>
      <c r="C1911" s="40"/>
      <c r="D1911" s="40"/>
      <c r="F1911" s="40"/>
      <c r="G1911" s="40"/>
      <c r="H1911" s="42"/>
      <c r="I1911" s="42" t="str">
        <f t="shared" si="25"/>
        <v/>
      </c>
    </row>
    <row r="1912" spans="2:9" x14ac:dyDescent="0.25">
      <c r="B1912" s="39"/>
      <c r="C1912" s="40"/>
      <c r="D1912" s="40"/>
      <c r="F1912" s="40"/>
      <c r="G1912" s="40"/>
      <c r="H1912" s="42"/>
      <c r="I1912" s="42" t="str">
        <f t="shared" si="25"/>
        <v/>
      </c>
    </row>
    <row r="1913" spans="2:9" x14ac:dyDescent="0.25">
      <c r="B1913" s="39"/>
      <c r="C1913" s="40"/>
      <c r="D1913" s="40"/>
      <c r="F1913" s="40"/>
      <c r="G1913" s="40"/>
      <c r="H1913" s="42"/>
      <c r="I1913" s="42" t="str">
        <f t="shared" si="25"/>
        <v/>
      </c>
    </row>
    <row r="1914" spans="2:9" x14ac:dyDescent="0.25">
      <c r="B1914" s="39"/>
      <c r="C1914" s="40"/>
      <c r="D1914" s="40"/>
      <c r="F1914" s="40"/>
      <c r="G1914" s="40"/>
      <c r="H1914" s="42"/>
      <c r="I1914" s="42" t="str">
        <f t="shared" si="25"/>
        <v/>
      </c>
    </row>
    <row r="1915" spans="2:9" x14ac:dyDescent="0.25">
      <c r="B1915" s="39"/>
      <c r="C1915" s="40"/>
      <c r="D1915" s="40"/>
      <c r="F1915" s="40"/>
      <c r="G1915" s="40"/>
      <c r="H1915" s="42"/>
      <c r="I1915" s="42" t="str">
        <f t="shared" si="25"/>
        <v/>
      </c>
    </row>
    <row r="1916" spans="2:9" x14ac:dyDescent="0.25">
      <c r="B1916" s="39"/>
      <c r="C1916" s="40"/>
      <c r="D1916" s="40"/>
      <c r="F1916" s="40"/>
      <c r="G1916" s="40"/>
      <c r="H1916" s="42"/>
      <c r="I1916" s="42" t="str">
        <f t="shared" si="25"/>
        <v/>
      </c>
    </row>
    <row r="1917" spans="2:9" x14ac:dyDescent="0.25">
      <c r="B1917" s="39"/>
      <c r="C1917" s="40"/>
      <c r="D1917" s="40"/>
      <c r="F1917" s="40"/>
      <c r="G1917" s="40"/>
      <c r="H1917" s="42"/>
      <c r="I1917" s="42" t="str">
        <f t="shared" si="25"/>
        <v/>
      </c>
    </row>
    <row r="1918" spans="2:9" x14ac:dyDescent="0.25">
      <c r="B1918" s="39"/>
      <c r="C1918" s="40"/>
      <c r="D1918" s="40"/>
      <c r="F1918" s="40"/>
      <c r="G1918" s="40"/>
      <c r="H1918" s="42"/>
      <c r="I1918" s="42" t="str">
        <f t="shared" si="25"/>
        <v/>
      </c>
    </row>
    <row r="1919" spans="2:9" x14ac:dyDescent="0.25">
      <c r="B1919" s="39"/>
      <c r="C1919" s="40"/>
      <c r="D1919" s="40"/>
      <c r="F1919" s="40"/>
      <c r="G1919" s="40"/>
      <c r="H1919" s="42"/>
      <c r="I1919" s="42" t="str">
        <f t="shared" si="25"/>
        <v/>
      </c>
    </row>
    <row r="1920" spans="2:9" x14ac:dyDescent="0.25">
      <c r="B1920" s="39"/>
      <c r="C1920" s="40"/>
      <c r="D1920" s="40"/>
      <c r="F1920" s="40"/>
      <c r="G1920" s="40"/>
      <c r="H1920" s="42"/>
      <c r="I1920" s="42" t="str">
        <f t="shared" ref="I1920:I1983" si="26">IF(H1920&lt;&gt;"",H1920-H1919,"")</f>
        <v/>
      </c>
    </row>
    <row r="1921" spans="2:9" x14ac:dyDescent="0.25">
      <c r="B1921" s="39"/>
      <c r="C1921" s="40"/>
      <c r="D1921" s="40"/>
      <c r="F1921" s="40"/>
      <c r="G1921" s="40"/>
      <c r="H1921" s="42"/>
      <c r="I1921" s="42" t="str">
        <f t="shared" si="26"/>
        <v/>
      </c>
    </row>
    <row r="1922" spans="2:9" x14ac:dyDescent="0.25">
      <c r="B1922" s="39"/>
      <c r="C1922" s="40"/>
      <c r="D1922" s="40"/>
      <c r="F1922" s="40"/>
      <c r="G1922" s="40"/>
      <c r="H1922" s="42"/>
      <c r="I1922" s="42" t="str">
        <f t="shared" si="26"/>
        <v/>
      </c>
    </row>
    <row r="1923" spans="2:9" x14ac:dyDescent="0.25">
      <c r="B1923" s="39"/>
      <c r="C1923" s="40"/>
      <c r="D1923" s="40"/>
      <c r="F1923" s="40"/>
      <c r="G1923" s="40"/>
      <c r="H1923" s="42"/>
      <c r="I1923" s="42" t="str">
        <f t="shared" si="26"/>
        <v/>
      </c>
    </row>
    <row r="1924" spans="2:9" x14ac:dyDescent="0.25">
      <c r="B1924" s="39"/>
      <c r="C1924" s="40"/>
      <c r="D1924" s="40"/>
      <c r="F1924" s="40"/>
      <c r="G1924" s="40"/>
      <c r="H1924" s="42"/>
      <c r="I1924" s="42" t="str">
        <f t="shared" si="26"/>
        <v/>
      </c>
    </row>
    <row r="1925" spans="2:9" x14ac:dyDescent="0.25">
      <c r="B1925" s="39"/>
      <c r="C1925" s="40"/>
      <c r="D1925" s="40"/>
      <c r="F1925" s="40"/>
      <c r="G1925" s="40"/>
      <c r="H1925" s="42"/>
      <c r="I1925" s="42" t="str">
        <f t="shared" si="26"/>
        <v/>
      </c>
    </row>
    <row r="1926" spans="2:9" x14ac:dyDescent="0.25">
      <c r="B1926" s="39"/>
      <c r="C1926" s="40"/>
      <c r="D1926" s="40"/>
      <c r="F1926" s="40"/>
      <c r="G1926" s="40"/>
      <c r="H1926" s="42"/>
      <c r="I1926" s="42" t="str">
        <f t="shared" si="26"/>
        <v/>
      </c>
    </row>
    <row r="1927" spans="2:9" x14ac:dyDescent="0.25">
      <c r="B1927" s="39"/>
      <c r="C1927" s="40"/>
      <c r="D1927" s="40"/>
      <c r="F1927" s="40"/>
      <c r="G1927" s="40"/>
      <c r="H1927" s="42"/>
      <c r="I1927" s="42" t="str">
        <f t="shared" si="26"/>
        <v/>
      </c>
    </row>
    <row r="1928" spans="2:9" x14ac:dyDescent="0.25">
      <c r="B1928" s="39"/>
      <c r="C1928" s="40"/>
      <c r="D1928" s="40"/>
      <c r="F1928" s="40"/>
      <c r="G1928" s="40"/>
      <c r="H1928" s="42"/>
      <c r="I1928" s="42" t="str">
        <f t="shared" si="26"/>
        <v/>
      </c>
    </row>
    <row r="1929" spans="2:9" x14ac:dyDescent="0.25">
      <c r="B1929" s="39"/>
      <c r="C1929" s="40"/>
      <c r="D1929" s="40"/>
      <c r="F1929" s="40"/>
      <c r="G1929" s="40"/>
      <c r="H1929" s="42"/>
      <c r="I1929" s="42" t="str">
        <f t="shared" si="26"/>
        <v/>
      </c>
    </row>
    <row r="1930" spans="2:9" x14ac:dyDescent="0.25">
      <c r="B1930" s="39"/>
      <c r="C1930" s="40"/>
      <c r="D1930" s="40"/>
      <c r="F1930" s="40"/>
      <c r="G1930" s="40"/>
      <c r="H1930" s="42"/>
      <c r="I1930" s="42" t="str">
        <f t="shared" si="26"/>
        <v/>
      </c>
    </row>
    <row r="1931" spans="2:9" x14ac:dyDescent="0.25">
      <c r="B1931" s="39"/>
      <c r="C1931" s="40"/>
      <c r="D1931" s="40"/>
      <c r="F1931" s="40"/>
      <c r="G1931" s="40"/>
      <c r="H1931" s="42"/>
      <c r="I1931" s="42" t="str">
        <f t="shared" si="26"/>
        <v/>
      </c>
    </row>
    <row r="1932" spans="2:9" x14ac:dyDescent="0.25">
      <c r="B1932" s="39"/>
      <c r="C1932" s="40"/>
      <c r="D1932" s="40"/>
      <c r="F1932" s="40"/>
      <c r="G1932" s="40"/>
      <c r="H1932" s="42"/>
      <c r="I1932" s="42" t="str">
        <f t="shared" si="26"/>
        <v/>
      </c>
    </row>
    <row r="1933" spans="2:9" x14ac:dyDescent="0.25">
      <c r="B1933" s="39"/>
      <c r="C1933" s="40"/>
      <c r="D1933" s="40"/>
      <c r="F1933" s="40"/>
      <c r="G1933" s="40"/>
      <c r="H1933" s="42"/>
      <c r="I1933" s="42" t="str">
        <f t="shared" si="26"/>
        <v/>
      </c>
    </row>
    <row r="1934" spans="2:9" x14ac:dyDescent="0.25">
      <c r="B1934" s="39"/>
      <c r="C1934" s="40"/>
      <c r="D1934" s="40"/>
      <c r="F1934" s="40"/>
      <c r="G1934" s="40"/>
      <c r="H1934" s="42"/>
      <c r="I1934" s="42" t="str">
        <f t="shared" si="26"/>
        <v/>
      </c>
    </row>
    <row r="1935" spans="2:9" x14ac:dyDescent="0.25">
      <c r="B1935" s="39"/>
      <c r="C1935" s="40"/>
      <c r="D1935" s="40"/>
      <c r="F1935" s="40"/>
      <c r="G1935" s="40"/>
      <c r="H1935" s="42"/>
      <c r="I1935" s="42" t="str">
        <f t="shared" si="26"/>
        <v/>
      </c>
    </row>
    <row r="1936" spans="2:9" x14ac:dyDescent="0.25">
      <c r="B1936" s="39"/>
      <c r="C1936" s="40"/>
      <c r="D1936" s="40"/>
      <c r="F1936" s="40"/>
      <c r="G1936" s="40"/>
      <c r="H1936" s="42"/>
      <c r="I1936" s="42" t="str">
        <f t="shared" si="26"/>
        <v/>
      </c>
    </row>
    <row r="1937" spans="2:9" x14ac:dyDescent="0.25">
      <c r="B1937" s="39"/>
      <c r="C1937" s="40"/>
      <c r="D1937" s="40"/>
      <c r="F1937" s="40"/>
      <c r="G1937" s="40"/>
      <c r="H1937" s="42"/>
      <c r="I1937" s="42" t="str">
        <f t="shared" si="26"/>
        <v/>
      </c>
    </row>
    <row r="1938" spans="2:9" x14ac:dyDescent="0.25">
      <c r="B1938" s="39"/>
      <c r="C1938" s="40"/>
      <c r="D1938" s="40"/>
      <c r="F1938" s="40"/>
      <c r="G1938" s="40"/>
      <c r="H1938" s="42"/>
      <c r="I1938" s="42" t="str">
        <f t="shared" si="26"/>
        <v/>
      </c>
    </row>
    <row r="1939" spans="2:9" x14ac:dyDescent="0.25">
      <c r="B1939" s="39"/>
      <c r="C1939" s="40"/>
      <c r="D1939" s="40"/>
      <c r="F1939" s="40"/>
      <c r="G1939" s="40"/>
      <c r="H1939" s="42"/>
      <c r="I1939" s="42" t="str">
        <f t="shared" si="26"/>
        <v/>
      </c>
    </row>
    <row r="1940" spans="2:9" x14ac:dyDescent="0.25">
      <c r="B1940" s="39"/>
      <c r="C1940" s="40"/>
      <c r="D1940" s="40"/>
      <c r="F1940" s="40"/>
      <c r="G1940" s="40"/>
      <c r="H1940" s="42"/>
      <c r="I1940" s="42" t="str">
        <f t="shared" si="26"/>
        <v/>
      </c>
    </row>
    <row r="1941" spans="2:9" x14ac:dyDescent="0.25">
      <c r="B1941" s="39"/>
      <c r="C1941" s="40"/>
      <c r="D1941" s="40"/>
      <c r="F1941" s="40"/>
      <c r="G1941" s="40"/>
      <c r="H1941" s="42"/>
      <c r="I1941" s="42" t="str">
        <f t="shared" si="26"/>
        <v/>
      </c>
    </row>
    <row r="1942" spans="2:9" x14ac:dyDescent="0.25">
      <c r="B1942" s="39"/>
      <c r="C1942" s="40"/>
      <c r="D1942" s="40"/>
      <c r="F1942" s="40"/>
      <c r="G1942" s="40"/>
      <c r="H1942" s="42"/>
      <c r="I1942" s="42" t="str">
        <f t="shared" si="26"/>
        <v/>
      </c>
    </row>
    <row r="1943" spans="2:9" x14ac:dyDescent="0.25">
      <c r="B1943" s="39"/>
      <c r="C1943" s="40"/>
      <c r="D1943" s="40"/>
      <c r="F1943" s="40"/>
      <c r="G1943" s="40"/>
      <c r="H1943" s="42"/>
      <c r="I1943" s="42" t="str">
        <f t="shared" si="26"/>
        <v/>
      </c>
    </row>
    <row r="1944" spans="2:9" x14ac:dyDescent="0.25">
      <c r="B1944" s="39"/>
      <c r="C1944" s="40"/>
      <c r="D1944" s="40"/>
      <c r="F1944" s="40"/>
      <c r="G1944" s="40"/>
      <c r="H1944" s="42"/>
      <c r="I1944" s="42" t="str">
        <f t="shared" si="26"/>
        <v/>
      </c>
    </row>
    <row r="1945" spans="2:9" x14ac:dyDescent="0.25">
      <c r="B1945" s="39"/>
      <c r="C1945" s="40"/>
      <c r="D1945" s="40"/>
      <c r="F1945" s="40"/>
      <c r="G1945" s="40"/>
      <c r="H1945" s="42"/>
      <c r="I1945" s="42" t="str">
        <f t="shared" si="26"/>
        <v/>
      </c>
    </row>
    <row r="1946" spans="2:9" x14ac:dyDescent="0.25">
      <c r="B1946" s="39"/>
      <c r="C1946" s="40"/>
      <c r="D1946" s="40"/>
      <c r="F1946" s="40"/>
      <c r="G1946" s="40"/>
      <c r="H1946" s="42"/>
      <c r="I1946" s="42" t="str">
        <f t="shared" si="26"/>
        <v/>
      </c>
    </row>
    <row r="1947" spans="2:9" x14ac:dyDescent="0.25">
      <c r="B1947" s="39"/>
      <c r="C1947" s="40"/>
      <c r="D1947" s="40"/>
      <c r="F1947" s="40"/>
      <c r="G1947" s="40"/>
      <c r="H1947" s="42"/>
      <c r="I1947" s="42" t="str">
        <f t="shared" si="26"/>
        <v/>
      </c>
    </row>
    <row r="1948" spans="2:9" x14ac:dyDescent="0.25">
      <c r="B1948" s="39"/>
      <c r="C1948" s="40"/>
      <c r="D1948" s="40"/>
      <c r="F1948" s="40"/>
      <c r="G1948" s="40"/>
      <c r="H1948" s="42"/>
      <c r="I1948" s="42" t="str">
        <f t="shared" si="26"/>
        <v/>
      </c>
    </row>
    <row r="1949" spans="2:9" x14ac:dyDescent="0.25">
      <c r="B1949" s="39"/>
      <c r="C1949" s="40"/>
      <c r="D1949" s="40"/>
      <c r="F1949" s="40"/>
      <c r="G1949" s="40"/>
      <c r="H1949" s="42"/>
      <c r="I1949" s="42" t="str">
        <f t="shared" si="26"/>
        <v/>
      </c>
    </row>
    <row r="1950" spans="2:9" x14ac:dyDescent="0.25">
      <c r="B1950" s="39"/>
      <c r="C1950" s="40"/>
      <c r="D1950" s="40"/>
      <c r="F1950" s="40"/>
      <c r="G1950" s="40"/>
      <c r="H1950" s="42"/>
      <c r="I1950" s="42" t="str">
        <f t="shared" si="26"/>
        <v/>
      </c>
    </row>
    <row r="1951" spans="2:9" x14ac:dyDescent="0.25">
      <c r="B1951" s="39"/>
      <c r="C1951" s="40"/>
      <c r="D1951" s="40"/>
      <c r="F1951" s="40"/>
      <c r="G1951" s="40"/>
      <c r="H1951" s="42"/>
      <c r="I1951" s="42" t="str">
        <f t="shared" si="26"/>
        <v/>
      </c>
    </row>
    <row r="1952" spans="2:9" x14ac:dyDescent="0.25">
      <c r="B1952" s="39"/>
      <c r="C1952" s="40"/>
      <c r="D1952" s="40"/>
      <c r="F1952" s="40"/>
      <c r="G1952" s="40"/>
      <c r="H1952" s="42"/>
      <c r="I1952" s="42" t="str">
        <f t="shared" si="26"/>
        <v/>
      </c>
    </row>
    <row r="1953" spans="2:9" x14ac:dyDescent="0.25">
      <c r="B1953" s="39"/>
      <c r="C1953" s="40"/>
      <c r="D1953" s="40"/>
      <c r="F1953" s="40"/>
      <c r="G1953" s="40"/>
      <c r="H1953" s="42"/>
      <c r="I1953" s="42" t="str">
        <f t="shared" si="26"/>
        <v/>
      </c>
    </row>
    <row r="1954" spans="2:9" x14ac:dyDescent="0.25">
      <c r="B1954" s="39"/>
      <c r="C1954" s="40"/>
      <c r="D1954" s="40"/>
      <c r="F1954" s="40"/>
      <c r="G1954" s="40"/>
      <c r="H1954" s="42"/>
      <c r="I1954" s="42" t="str">
        <f t="shared" si="26"/>
        <v/>
      </c>
    </row>
    <row r="1955" spans="2:9" x14ac:dyDescent="0.25">
      <c r="B1955" s="39"/>
      <c r="C1955" s="40"/>
      <c r="D1955" s="40"/>
      <c r="F1955" s="40"/>
      <c r="G1955" s="40"/>
      <c r="H1955" s="42"/>
      <c r="I1955" s="42" t="str">
        <f t="shared" si="26"/>
        <v/>
      </c>
    </row>
    <row r="1956" spans="2:9" x14ac:dyDescent="0.25">
      <c r="B1956" s="39"/>
      <c r="C1956" s="40"/>
      <c r="D1956" s="40"/>
      <c r="F1956" s="40"/>
      <c r="G1956" s="40"/>
      <c r="H1956" s="42"/>
      <c r="I1956" s="42" t="str">
        <f t="shared" si="26"/>
        <v/>
      </c>
    </row>
    <row r="1957" spans="2:9" x14ac:dyDescent="0.25">
      <c r="B1957" s="39"/>
      <c r="C1957" s="40"/>
      <c r="D1957" s="40"/>
      <c r="F1957" s="40"/>
      <c r="G1957" s="40"/>
      <c r="H1957" s="42"/>
      <c r="I1957" s="42" t="str">
        <f t="shared" si="26"/>
        <v/>
      </c>
    </row>
    <row r="1958" spans="2:9" x14ac:dyDescent="0.25">
      <c r="B1958" s="39"/>
      <c r="C1958" s="40"/>
      <c r="D1958" s="40"/>
      <c r="F1958" s="40"/>
      <c r="G1958" s="40"/>
      <c r="H1958" s="42"/>
      <c r="I1958" s="42" t="str">
        <f t="shared" si="26"/>
        <v/>
      </c>
    </row>
    <row r="1959" spans="2:9" x14ac:dyDescent="0.25">
      <c r="B1959" s="39"/>
      <c r="C1959" s="40"/>
      <c r="D1959" s="40"/>
      <c r="F1959" s="40"/>
      <c r="G1959" s="40"/>
      <c r="H1959" s="42"/>
      <c r="I1959" s="42" t="str">
        <f t="shared" si="26"/>
        <v/>
      </c>
    </row>
    <row r="1960" spans="2:9" x14ac:dyDescent="0.25">
      <c r="B1960" s="39"/>
      <c r="C1960" s="40"/>
      <c r="D1960" s="40"/>
      <c r="F1960" s="40"/>
      <c r="G1960" s="40"/>
      <c r="H1960" s="42"/>
      <c r="I1960" s="42" t="str">
        <f t="shared" si="26"/>
        <v/>
      </c>
    </row>
    <row r="1961" spans="2:9" x14ac:dyDescent="0.25">
      <c r="B1961" s="39"/>
      <c r="C1961" s="40"/>
      <c r="D1961" s="40"/>
      <c r="F1961" s="40"/>
      <c r="G1961" s="40"/>
      <c r="H1961" s="42"/>
      <c r="I1961" s="42" t="str">
        <f t="shared" si="26"/>
        <v/>
      </c>
    </row>
    <row r="1962" spans="2:9" x14ac:dyDescent="0.25">
      <c r="B1962" s="39"/>
      <c r="C1962" s="40"/>
      <c r="D1962" s="40"/>
      <c r="F1962" s="40"/>
      <c r="G1962" s="40"/>
      <c r="H1962" s="42"/>
      <c r="I1962" s="42" t="str">
        <f t="shared" si="26"/>
        <v/>
      </c>
    </row>
    <row r="1963" spans="2:9" x14ac:dyDescent="0.25">
      <c r="B1963" s="39"/>
      <c r="C1963" s="40"/>
      <c r="D1963" s="40"/>
      <c r="F1963" s="40"/>
      <c r="G1963" s="40"/>
      <c r="H1963" s="42"/>
      <c r="I1963" s="42" t="str">
        <f t="shared" si="26"/>
        <v/>
      </c>
    </row>
    <row r="1964" spans="2:9" x14ac:dyDescent="0.25">
      <c r="B1964" s="39"/>
      <c r="C1964" s="40"/>
      <c r="D1964" s="40"/>
      <c r="F1964" s="40"/>
      <c r="G1964" s="40"/>
      <c r="H1964" s="42"/>
      <c r="I1964" s="42" t="str">
        <f t="shared" si="26"/>
        <v/>
      </c>
    </row>
    <row r="1965" spans="2:9" x14ac:dyDescent="0.25">
      <c r="B1965" s="39"/>
      <c r="C1965" s="40"/>
      <c r="D1965" s="40"/>
      <c r="F1965" s="40"/>
      <c r="G1965" s="40"/>
      <c r="H1965" s="42"/>
      <c r="I1965" s="42" t="str">
        <f t="shared" si="26"/>
        <v/>
      </c>
    </row>
    <row r="1966" spans="2:9" x14ac:dyDescent="0.25">
      <c r="B1966" s="39"/>
      <c r="C1966" s="40"/>
      <c r="D1966" s="40"/>
      <c r="F1966" s="40"/>
      <c r="G1966" s="40"/>
      <c r="H1966" s="42"/>
      <c r="I1966" s="42" t="str">
        <f t="shared" si="26"/>
        <v/>
      </c>
    </row>
    <row r="1967" spans="2:9" x14ac:dyDescent="0.25">
      <c r="B1967" s="39"/>
      <c r="C1967" s="40"/>
      <c r="D1967" s="40"/>
      <c r="F1967" s="40"/>
      <c r="G1967" s="40"/>
      <c r="H1967" s="42"/>
      <c r="I1967" s="42" t="str">
        <f t="shared" si="26"/>
        <v/>
      </c>
    </row>
    <row r="1968" spans="2:9" x14ac:dyDescent="0.25">
      <c r="B1968" s="39"/>
      <c r="C1968" s="40"/>
      <c r="D1968" s="40"/>
      <c r="F1968" s="40"/>
      <c r="G1968" s="40"/>
      <c r="H1968" s="42"/>
      <c r="I1968" s="42" t="str">
        <f t="shared" si="26"/>
        <v/>
      </c>
    </row>
    <row r="1969" spans="2:9" x14ac:dyDescent="0.25">
      <c r="B1969" s="39"/>
      <c r="C1969" s="40"/>
      <c r="D1969" s="40"/>
      <c r="F1969" s="40"/>
      <c r="G1969" s="40"/>
      <c r="H1969" s="42"/>
      <c r="I1969" s="42" t="str">
        <f t="shared" si="26"/>
        <v/>
      </c>
    </row>
    <row r="1970" spans="2:9" x14ac:dyDescent="0.25">
      <c r="B1970" s="39"/>
      <c r="C1970" s="40"/>
      <c r="D1970" s="40"/>
      <c r="F1970" s="40"/>
      <c r="G1970" s="40"/>
      <c r="H1970" s="42"/>
      <c r="I1970" s="42" t="str">
        <f t="shared" si="26"/>
        <v/>
      </c>
    </row>
    <row r="1971" spans="2:9" x14ac:dyDescent="0.25">
      <c r="B1971" s="39"/>
      <c r="C1971" s="40"/>
      <c r="D1971" s="40"/>
      <c r="F1971" s="40"/>
      <c r="G1971" s="40"/>
      <c r="H1971" s="42"/>
      <c r="I1971" s="42" t="str">
        <f t="shared" si="26"/>
        <v/>
      </c>
    </row>
    <row r="1972" spans="2:9" x14ac:dyDescent="0.25">
      <c r="B1972" s="39"/>
      <c r="C1972" s="40"/>
      <c r="D1972" s="40"/>
      <c r="F1972" s="40"/>
      <c r="G1972" s="40"/>
      <c r="H1972" s="42"/>
      <c r="I1972" s="42" t="str">
        <f t="shared" si="26"/>
        <v/>
      </c>
    </row>
    <row r="1973" spans="2:9" x14ac:dyDescent="0.25">
      <c r="B1973" s="39"/>
      <c r="C1973" s="40"/>
      <c r="D1973" s="40"/>
      <c r="F1973" s="40"/>
      <c r="G1973" s="40"/>
      <c r="H1973" s="42"/>
      <c r="I1973" s="42" t="str">
        <f t="shared" si="26"/>
        <v/>
      </c>
    </row>
    <row r="1974" spans="2:9" x14ac:dyDescent="0.25">
      <c r="B1974" s="39"/>
      <c r="C1974" s="40"/>
      <c r="D1974" s="40"/>
      <c r="F1974" s="40"/>
      <c r="G1974" s="40"/>
      <c r="H1974" s="42"/>
      <c r="I1974" s="42" t="str">
        <f t="shared" si="26"/>
        <v/>
      </c>
    </row>
    <row r="1975" spans="2:9" x14ac:dyDescent="0.25">
      <c r="B1975" s="39"/>
      <c r="C1975" s="40"/>
      <c r="D1975" s="40"/>
      <c r="F1975" s="40"/>
      <c r="G1975" s="40"/>
      <c r="H1975" s="42"/>
      <c r="I1975" s="42" t="str">
        <f t="shared" si="26"/>
        <v/>
      </c>
    </row>
    <row r="1976" spans="2:9" x14ac:dyDescent="0.25">
      <c r="B1976" s="39"/>
      <c r="C1976" s="40"/>
      <c r="D1976" s="40"/>
      <c r="F1976" s="40"/>
      <c r="G1976" s="40"/>
      <c r="H1976" s="42"/>
      <c r="I1976" s="42" t="str">
        <f t="shared" si="26"/>
        <v/>
      </c>
    </row>
    <row r="1977" spans="2:9" x14ac:dyDescent="0.25">
      <c r="B1977" s="39"/>
      <c r="C1977" s="40"/>
      <c r="D1977" s="40"/>
      <c r="F1977" s="40"/>
      <c r="G1977" s="40"/>
      <c r="H1977" s="42"/>
      <c r="I1977" s="42" t="str">
        <f t="shared" si="26"/>
        <v/>
      </c>
    </row>
    <row r="1978" spans="2:9" x14ac:dyDescent="0.25">
      <c r="B1978" s="39"/>
      <c r="C1978" s="40"/>
      <c r="D1978" s="40"/>
      <c r="F1978" s="40"/>
      <c r="G1978" s="40"/>
      <c r="H1978" s="42"/>
      <c r="I1978" s="42" t="str">
        <f t="shared" si="26"/>
        <v/>
      </c>
    </row>
    <row r="1979" spans="2:9" x14ac:dyDescent="0.25">
      <c r="B1979" s="39"/>
      <c r="C1979" s="40"/>
      <c r="D1979" s="40"/>
      <c r="F1979" s="40"/>
      <c r="G1979" s="40"/>
      <c r="H1979" s="42"/>
      <c r="I1979" s="42" t="str">
        <f t="shared" si="26"/>
        <v/>
      </c>
    </row>
    <row r="1980" spans="2:9" x14ac:dyDescent="0.25">
      <c r="B1980" s="39"/>
      <c r="C1980" s="40"/>
      <c r="D1980" s="40"/>
      <c r="F1980" s="40"/>
      <c r="G1980" s="40"/>
      <c r="H1980" s="42"/>
      <c r="I1980" s="42" t="str">
        <f t="shared" si="26"/>
        <v/>
      </c>
    </row>
    <row r="1981" spans="2:9" x14ac:dyDescent="0.25">
      <c r="B1981" s="39"/>
      <c r="C1981" s="40"/>
      <c r="D1981" s="40"/>
      <c r="F1981" s="40"/>
      <c r="G1981" s="40"/>
      <c r="H1981" s="42"/>
      <c r="I1981" s="42" t="str">
        <f t="shared" si="26"/>
        <v/>
      </c>
    </row>
    <row r="1982" spans="2:9" x14ac:dyDescent="0.25">
      <c r="B1982" s="39"/>
      <c r="C1982" s="40"/>
      <c r="D1982" s="40"/>
      <c r="F1982" s="40"/>
      <c r="G1982" s="40"/>
      <c r="H1982" s="42"/>
      <c r="I1982" s="42" t="str">
        <f t="shared" si="26"/>
        <v/>
      </c>
    </row>
    <row r="1983" spans="2:9" x14ac:dyDescent="0.25">
      <c r="B1983" s="39"/>
      <c r="C1983" s="40"/>
      <c r="D1983" s="40"/>
      <c r="F1983" s="40"/>
      <c r="G1983" s="40"/>
      <c r="H1983" s="42"/>
      <c r="I1983" s="42" t="str">
        <f t="shared" si="26"/>
        <v/>
      </c>
    </row>
    <row r="1984" spans="2:9" x14ac:dyDescent="0.25">
      <c r="B1984" s="39"/>
      <c r="C1984" s="40"/>
      <c r="D1984" s="40"/>
      <c r="F1984" s="40"/>
      <c r="G1984" s="40"/>
      <c r="H1984" s="42"/>
      <c r="I1984" s="42" t="str">
        <f t="shared" ref="I1984:I2047" si="27">IF(H1984&lt;&gt;"",H1984-H1983,"")</f>
        <v/>
      </c>
    </row>
    <row r="1985" spans="2:9" x14ac:dyDescent="0.25">
      <c r="B1985" s="39"/>
      <c r="C1985" s="40"/>
      <c r="D1985" s="40"/>
      <c r="F1985" s="40"/>
      <c r="G1985" s="40"/>
      <c r="H1985" s="42"/>
      <c r="I1985" s="42" t="str">
        <f t="shared" si="27"/>
        <v/>
      </c>
    </row>
    <row r="1986" spans="2:9" x14ac:dyDescent="0.25">
      <c r="B1986" s="39"/>
      <c r="C1986" s="40"/>
      <c r="D1986" s="40"/>
      <c r="F1986" s="40"/>
      <c r="G1986" s="40"/>
      <c r="H1986" s="42"/>
      <c r="I1986" s="42" t="str">
        <f t="shared" si="27"/>
        <v/>
      </c>
    </row>
    <row r="1987" spans="2:9" x14ac:dyDescent="0.25">
      <c r="B1987" s="39"/>
      <c r="C1987" s="40"/>
      <c r="D1987" s="40"/>
      <c r="F1987" s="40"/>
      <c r="G1987" s="40"/>
      <c r="H1987" s="42"/>
      <c r="I1987" s="42" t="str">
        <f t="shared" si="27"/>
        <v/>
      </c>
    </row>
    <row r="1988" spans="2:9" x14ac:dyDescent="0.25">
      <c r="B1988" s="39"/>
      <c r="C1988" s="40"/>
      <c r="D1988" s="40"/>
      <c r="F1988" s="40"/>
      <c r="G1988" s="40"/>
      <c r="H1988" s="42"/>
      <c r="I1988" s="42" t="str">
        <f t="shared" si="27"/>
        <v/>
      </c>
    </row>
    <row r="1989" spans="2:9" x14ac:dyDescent="0.25">
      <c r="B1989" s="39"/>
      <c r="C1989" s="40"/>
      <c r="D1989" s="40"/>
      <c r="F1989" s="40"/>
      <c r="G1989" s="40"/>
      <c r="H1989" s="42"/>
      <c r="I1989" s="42" t="str">
        <f t="shared" si="27"/>
        <v/>
      </c>
    </row>
    <row r="1990" spans="2:9" x14ac:dyDescent="0.25">
      <c r="B1990" s="39"/>
      <c r="C1990" s="40"/>
      <c r="D1990" s="40"/>
      <c r="F1990" s="40"/>
      <c r="G1990" s="40"/>
      <c r="H1990" s="42"/>
      <c r="I1990" s="42" t="str">
        <f t="shared" si="27"/>
        <v/>
      </c>
    </row>
    <row r="1991" spans="2:9" x14ac:dyDescent="0.25">
      <c r="B1991" s="39"/>
      <c r="C1991" s="40"/>
      <c r="D1991" s="40"/>
      <c r="F1991" s="40"/>
      <c r="G1991" s="40"/>
      <c r="H1991" s="42"/>
      <c r="I1991" s="42" t="str">
        <f t="shared" si="27"/>
        <v/>
      </c>
    </row>
    <row r="1992" spans="2:9" x14ac:dyDescent="0.25">
      <c r="B1992" s="39"/>
      <c r="C1992" s="40"/>
      <c r="D1992" s="40"/>
      <c r="F1992" s="40"/>
      <c r="G1992" s="40"/>
      <c r="H1992" s="42"/>
      <c r="I1992" s="42" t="str">
        <f t="shared" si="27"/>
        <v/>
      </c>
    </row>
    <row r="1993" spans="2:9" x14ac:dyDescent="0.25">
      <c r="B1993" s="39"/>
      <c r="C1993" s="40"/>
      <c r="D1993" s="40"/>
      <c r="F1993" s="40"/>
      <c r="G1993" s="40"/>
      <c r="H1993" s="42"/>
      <c r="I1993" s="42" t="str">
        <f t="shared" si="27"/>
        <v/>
      </c>
    </row>
    <row r="1994" spans="2:9" x14ac:dyDescent="0.25">
      <c r="B1994" s="39"/>
      <c r="C1994" s="40"/>
      <c r="D1994" s="40"/>
      <c r="F1994" s="40"/>
      <c r="G1994" s="40"/>
      <c r="H1994" s="42"/>
      <c r="I1994" s="42" t="str">
        <f t="shared" si="27"/>
        <v/>
      </c>
    </row>
    <row r="1995" spans="2:9" x14ac:dyDescent="0.25">
      <c r="B1995" s="39"/>
      <c r="C1995" s="40"/>
      <c r="D1995" s="40"/>
      <c r="F1995" s="40"/>
      <c r="G1995" s="40"/>
      <c r="H1995" s="42"/>
      <c r="I1995" s="42" t="str">
        <f t="shared" si="27"/>
        <v/>
      </c>
    </row>
    <row r="1996" spans="2:9" x14ac:dyDescent="0.25">
      <c r="B1996" s="39"/>
      <c r="C1996" s="40"/>
      <c r="D1996" s="40"/>
      <c r="F1996" s="40"/>
      <c r="G1996" s="40"/>
      <c r="H1996" s="42"/>
      <c r="I1996" s="42" t="str">
        <f t="shared" si="27"/>
        <v/>
      </c>
    </row>
    <row r="1997" spans="2:9" x14ac:dyDescent="0.25">
      <c r="B1997" s="39"/>
      <c r="C1997" s="40"/>
      <c r="D1997" s="40"/>
      <c r="F1997" s="40"/>
      <c r="G1997" s="40"/>
      <c r="H1997" s="42"/>
      <c r="I1997" s="42" t="str">
        <f t="shared" si="27"/>
        <v/>
      </c>
    </row>
    <row r="1998" spans="2:9" x14ac:dyDescent="0.25">
      <c r="B1998" s="39"/>
      <c r="C1998" s="40"/>
      <c r="D1998" s="40"/>
      <c r="F1998" s="40"/>
      <c r="G1998" s="40"/>
      <c r="H1998" s="42"/>
      <c r="I1998" s="42" t="str">
        <f t="shared" si="27"/>
        <v/>
      </c>
    </row>
    <row r="1999" spans="2:9" x14ac:dyDescent="0.25">
      <c r="B1999" s="39"/>
      <c r="C1999" s="40"/>
      <c r="D1999" s="40"/>
      <c r="F1999" s="40"/>
      <c r="G1999" s="40"/>
      <c r="H1999" s="42"/>
      <c r="I1999" s="42" t="str">
        <f t="shared" si="27"/>
        <v/>
      </c>
    </row>
    <row r="2000" spans="2:9" x14ac:dyDescent="0.25">
      <c r="B2000" s="39"/>
      <c r="C2000" s="40"/>
      <c r="D2000" s="40"/>
      <c r="F2000" s="40"/>
      <c r="G2000" s="40"/>
      <c r="H2000" s="42"/>
      <c r="I2000" s="42" t="str">
        <f t="shared" si="27"/>
        <v/>
      </c>
    </row>
    <row r="2001" spans="2:9" x14ac:dyDescent="0.25">
      <c r="B2001" s="39"/>
      <c r="C2001" s="40"/>
      <c r="D2001" s="40"/>
      <c r="F2001" s="40"/>
      <c r="G2001" s="40"/>
      <c r="H2001" s="42"/>
      <c r="I2001" s="42" t="str">
        <f t="shared" si="27"/>
        <v/>
      </c>
    </row>
    <row r="2002" spans="2:9" x14ac:dyDescent="0.25">
      <c r="B2002" s="39"/>
      <c r="C2002" s="40"/>
      <c r="D2002" s="40"/>
      <c r="F2002" s="40"/>
      <c r="G2002" s="40"/>
      <c r="H2002" s="42"/>
      <c r="I2002" s="42" t="str">
        <f t="shared" si="27"/>
        <v/>
      </c>
    </row>
    <row r="2003" spans="2:9" x14ac:dyDescent="0.25">
      <c r="B2003" s="39"/>
      <c r="C2003" s="40"/>
      <c r="D2003" s="40"/>
      <c r="F2003" s="40"/>
      <c r="G2003" s="40"/>
      <c r="H2003" s="42"/>
      <c r="I2003" s="42" t="str">
        <f t="shared" si="27"/>
        <v/>
      </c>
    </row>
    <row r="2004" spans="2:9" x14ac:dyDescent="0.25">
      <c r="B2004" s="39"/>
      <c r="C2004" s="40"/>
      <c r="D2004" s="40"/>
      <c r="F2004" s="40"/>
      <c r="G2004" s="40"/>
      <c r="H2004" s="42"/>
      <c r="I2004" s="42" t="str">
        <f t="shared" si="27"/>
        <v/>
      </c>
    </row>
    <row r="2005" spans="2:9" x14ac:dyDescent="0.25">
      <c r="B2005" s="39"/>
      <c r="C2005" s="40"/>
      <c r="D2005" s="40"/>
      <c r="F2005" s="40"/>
      <c r="G2005" s="40"/>
      <c r="H2005" s="42"/>
      <c r="I2005" s="42" t="str">
        <f t="shared" si="27"/>
        <v/>
      </c>
    </row>
    <row r="2006" spans="2:9" x14ac:dyDescent="0.25">
      <c r="B2006" s="39"/>
      <c r="C2006" s="40"/>
      <c r="D2006" s="40"/>
      <c r="F2006" s="40"/>
      <c r="G2006" s="40"/>
      <c r="H2006" s="42"/>
      <c r="I2006" s="42" t="str">
        <f t="shared" si="27"/>
        <v/>
      </c>
    </row>
    <row r="2007" spans="2:9" x14ac:dyDescent="0.25">
      <c r="B2007" s="39"/>
      <c r="C2007" s="40"/>
      <c r="D2007" s="40"/>
      <c r="F2007" s="40"/>
      <c r="G2007" s="40"/>
      <c r="H2007" s="42"/>
      <c r="I2007" s="42" t="str">
        <f t="shared" si="27"/>
        <v/>
      </c>
    </row>
    <row r="2008" spans="2:9" x14ac:dyDescent="0.25">
      <c r="B2008" s="39"/>
      <c r="C2008" s="40"/>
      <c r="D2008" s="40"/>
      <c r="F2008" s="40"/>
      <c r="G2008" s="40"/>
      <c r="H2008" s="42"/>
      <c r="I2008" s="42" t="str">
        <f t="shared" si="27"/>
        <v/>
      </c>
    </row>
    <row r="2009" spans="2:9" x14ac:dyDescent="0.25">
      <c r="B2009" s="39"/>
      <c r="C2009" s="40"/>
      <c r="D2009" s="40"/>
      <c r="F2009" s="40"/>
      <c r="G2009" s="40"/>
      <c r="H2009" s="42"/>
      <c r="I2009" s="42" t="str">
        <f t="shared" si="27"/>
        <v/>
      </c>
    </row>
    <row r="2010" spans="2:9" x14ac:dyDescent="0.25">
      <c r="B2010" s="39"/>
      <c r="C2010" s="40"/>
      <c r="D2010" s="40"/>
      <c r="F2010" s="40"/>
      <c r="G2010" s="40"/>
      <c r="H2010" s="42"/>
      <c r="I2010" s="42" t="str">
        <f t="shared" si="27"/>
        <v/>
      </c>
    </row>
    <row r="2011" spans="2:9" x14ac:dyDescent="0.25">
      <c r="B2011" s="39"/>
      <c r="C2011" s="40"/>
      <c r="D2011" s="40"/>
      <c r="F2011" s="40"/>
      <c r="G2011" s="40"/>
      <c r="H2011" s="42"/>
      <c r="I2011" s="42" t="str">
        <f t="shared" si="27"/>
        <v/>
      </c>
    </row>
    <row r="2012" spans="2:9" x14ac:dyDescent="0.25">
      <c r="B2012" s="39"/>
      <c r="C2012" s="40"/>
      <c r="D2012" s="40"/>
      <c r="F2012" s="40"/>
      <c r="G2012" s="40"/>
      <c r="H2012" s="42"/>
      <c r="I2012" s="42" t="str">
        <f t="shared" si="27"/>
        <v/>
      </c>
    </row>
    <row r="2013" spans="2:9" x14ac:dyDescent="0.25">
      <c r="B2013" s="39"/>
      <c r="C2013" s="40"/>
      <c r="D2013" s="40"/>
      <c r="F2013" s="40"/>
      <c r="G2013" s="40"/>
      <c r="H2013" s="42"/>
      <c r="I2013" s="42" t="str">
        <f t="shared" si="27"/>
        <v/>
      </c>
    </row>
    <row r="2014" spans="2:9" x14ac:dyDescent="0.25">
      <c r="B2014" s="39"/>
      <c r="C2014" s="40"/>
      <c r="D2014" s="40"/>
      <c r="F2014" s="40"/>
      <c r="G2014" s="40"/>
      <c r="H2014" s="42"/>
      <c r="I2014" s="42" t="str">
        <f t="shared" si="27"/>
        <v/>
      </c>
    </row>
    <row r="2015" spans="2:9" x14ac:dyDescent="0.25">
      <c r="B2015" s="39"/>
      <c r="C2015" s="40"/>
      <c r="D2015" s="40"/>
      <c r="F2015" s="40"/>
      <c r="G2015" s="40"/>
      <c r="H2015" s="42"/>
      <c r="I2015" s="42" t="str">
        <f t="shared" si="27"/>
        <v/>
      </c>
    </row>
    <row r="2016" spans="2:9" x14ac:dyDescent="0.25">
      <c r="B2016" s="39"/>
      <c r="C2016" s="40"/>
      <c r="D2016" s="40"/>
      <c r="F2016" s="40"/>
      <c r="G2016" s="40"/>
      <c r="H2016" s="42"/>
      <c r="I2016" s="42" t="str">
        <f t="shared" si="27"/>
        <v/>
      </c>
    </row>
    <row r="2017" spans="2:9" x14ac:dyDescent="0.25">
      <c r="B2017" s="39"/>
      <c r="C2017" s="40"/>
      <c r="D2017" s="40"/>
      <c r="F2017" s="40"/>
      <c r="G2017" s="40"/>
      <c r="H2017" s="42"/>
      <c r="I2017" s="42" t="str">
        <f t="shared" si="27"/>
        <v/>
      </c>
    </row>
    <row r="2018" spans="2:9" x14ac:dyDescent="0.25">
      <c r="B2018" s="39"/>
      <c r="C2018" s="40"/>
      <c r="D2018" s="40"/>
      <c r="F2018" s="40"/>
      <c r="G2018" s="40"/>
      <c r="H2018" s="42"/>
      <c r="I2018" s="42" t="str">
        <f t="shared" si="27"/>
        <v/>
      </c>
    </row>
    <row r="2019" spans="2:9" x14ac:dyDescent="0.25">
      <c r="B2019" s="39"/>
      <c r="C2019" s="40"/>
      <c r="D2019" s="40"/>
      <c r="F2019" s="40"/>
      <c r="G2019" s="40"/>
      <c r="H2019" s="42"/>
      <c r="I2019" s="42" t="str">
        <f t="shared" si="27"/>
        <v/>
      </c>
    </row>
    <row r="2020" spans="2:9" x14ac:dyDescent="0.25">
      <c r="B2020" s="39"/>
      <c r="C2020" s="40"/>
      <c r="D2020" s="40"/>
      <c r="F2020" s="40"/>
      <c r="G2020" s="40"/>
      <c r="H2020" s="42"/>
      <c r="I2020" s="42" t="str">
        <f t="shared" si="27"/>
        <v/>
      </c>
    </row>
    <row r="2021" spans="2:9" x14ac:dyDescent="0.25">
      <c r="B2021" s="39"/>
      <c r="C2021" s="40"/>
      <c r="D2021" s="40"/>
      <c r="F2021" s="40"/>
      <c r="G2021" s="40"/>
      <c r="H2021" s="42"/>
      <c r="I2021" s="42" t="str">
        <f t="shared" si="27"/>
        <v/>
      </c>
    </row>
    <row r="2022" spans="2:9" x14ac:dyDescent="0.25">
      <c r="B2022" s="39"/>
      <c r="C2022" s="40"/>
      <c r="D2022" s="40"/>
      <c r="F2022" s="40"/>
      <c r="G2022" s="40"/>
      <c r="H2022" s="42"/>
      <c r="I2022" s="42" t="str">
        <f t="shared" si="27"/>
        <v/>
      </c>
    </row>
    <row r="2023" spans="2:9" x14ac:dyDescent="0.25">
      <c r="B2023" s="39"/>
      <c r="C2023" s="40"/>
      <c r="D2023" s="40"/>
      <c r="F2023" s="40"/>
      <c r="G2023" s="40"/>
      <c r="H2023" s="42"/>
      <c r="I2023" s="42" t="str">
        <f t="shared" si="27"/>
        <v/>
      </c>
    </row>
    <row r="2024" spans="2:9" x14ac:dyDescent="0.25">
      <c r="B2024" s="39"/>
      <c r="C2024" s="40"/>
      <c r="D2024" s="40"/>
      <c r="F2024" s="40"/>
      <c r="G2024" s="40"/>
      <c r="H2024" s="42"/>
      <c r="I2024" s="42" t="str">
        <f t="shared" si="27"/>
        <v/>
      </c>
    </row>
    <row r="2025" spans="2:9" x14ac:dyDescent="0.25">
      <c r="B2025" s="39"/>
      <c r="C2025" s="40"/>
      <c r="D2025" s="40"/>
      <c r="F2025" s="40"/>
      <c r="G2025" s="40"/>
      <c r="H2025" s="42"/>
      <c r="I2025" s="42" t="str">
        <f t="shared" si="27"/>
        <v/>
      </c>
    </row>
    <row r="2026" spans="2:9" x14ac:dyDescent="0.25">
      <c r="B2026" s="39"/>
      <c r="C2026" s="40"/>
      <c r="D2026" s="40"/>
      <c r="F2026" s="40"/>
      <c r="G2026" s="40"/>
      <c r="H2026" s="42"/>
      <c r="I2026" s="42" t="str">
        <f t="shared" si="27"/>
        <v/>
      </c>
    </row>
    <row r="2027" spans="2:9" x14ac:dyDescent="0.25">
      <c r="B2027" s="39"/>
      <c r="C2027" s="40"/>
      <c r="D2027" s="40"/>
      <c r="F2027" s="40"/>
      <c r="G2027" s="40"/>
      <c r="H2027" s="42"/>
      <c r="I2027" s="42" t="str">
        <f t="shared" si="27"/>
        <v/>
      </c>
    </row>
    <row r="2028" spans="2:9" x14ac:dyDescent="0.25">
      <c r="B2028" s="39"/>
      <c r="C2028" s="40"/>
      <c r="D2028" s="40"/>
      <c r="F2028" s="40"/>
      <c r="G2028" s="40"/>
      <c r="H2028" s="42"/>
      <c r="I2028" s="42" t="str">
        <f t="shared" si="27"/>
        <v/>
      </c>
    </row>
    <row r="2029" spans="2:9" x14ac:dyDescent="0.25">
      <c r="B2029" s="39"/>
      <c r="C2029" s="40"/>
      <c r="D2029" s="40"/>
      <c r="F2029" s="40"/>
      <c r="G2029" s="40"/>
      <c r="H2029" s="42"/>
      <c r="I2029" s="42" t="str">
        <f t="shared" si="27"/>
        <v/>
      </c>
    </row>
    <row r="2030" spans="2:9" x14ac:dyDescent="0.25">
      <c r="B2030" s="39"/>
      <c r="C2030" s="40"/>
      <c r="D2030" s="40"/>
      <c r="F2030" s="40"/>
      <c r="G2030" s="40"/>
      <c r="H2030" s="42"/>
      <c r="I2030" s="42" t="str">
        <f t="shared" si="27"/>
        <v/>
      </c>
    </row>
    <row r="2031" spans="2:9" x14ac:dyDescent="0.25">
      <c r="B2031" s="39"/>
      <c r="C2031" s="40"/>
      <c r="D2031" s="40"/>
      <c r="F2031" s="40"/>
      <c r="G2031" s="40"/>
      <c r="H2031" s="42"/>
      <c r="I2031" s="42" t="str">
        <f t="shared" si="27"/>
        <v/>
      </c>
    </row>
    <row r="2032" spans="2:9" x14ac:dyDescent="0.25">
      <c r="B2032" s="39"/>
      <c r="C2032" s="40"/>
      <c r="D2032" s="40"/>
      <c r="F2032" s="40"/>
      <c r="G2032" s="40"/>
      <c r="H2032" s="42"/>
      <c r="I2032" s="42" t="str">
        <f t="shared" si="27"/>
        <v/>
      </c>
    </row>
    <row r="2033" spans="2:9" x14ac:dyDescent="0.25">
      <c r="B2033" s="39"/>
      <c r="C2033" s="40"/>
      <c r="D2033" s="40"/>
      <c r="F2033" s="40"/>
      <c r="G2033" s="40"/>
      <c r="H2033" s="42"/>
      <c r="I2033" s="42" t="str">
        <f t="shared" si="27"/>
        <v/>
      </c>
    </row>
    <row r="2034" spans="2:9" x14ac:dyDescent="0.25">
      <c r="B2034" s="39"/>
      <c r="C2034" s="40"/>
      <c r="D2034" s="40"/>
      <c r="F2034" s="40"/>
      <c r="G2034" s="40"/>
      <c r="H2034" s="42"/>
      <c r="I2034" s="42" t="str">
        <f t="shared" si="27"/>
        <v/>
      </c>
    </row>
    <row r="2035" spans="2:9" x14ac:dyDescent="0.25">
      <c r="B2035" s="39"/>
      <c r="C2035" s="40"/>
      <c r="D2035" s="40"/>
      <c r="F2035" s="40"/>
      <c r="G2035" s="40"/>
      <c r="H2035" s="42"/>
      <c r="I2035" s="42" t="str">
        <f t="shared" si="27"/>
        <v/>
      </c>
    </row>
    <row r="2036" spans="2:9" x14ac:dyDescent="0.25">
      <c r="B2036" s="39"/>
      <c r="C2036" s="40"/>
      <c r="D2036" s="40"/>
      <c r="F2036" s="40"/>
      <c r="G2036" s="40"/>
      <c r="H2036" s="42"/>
      <c r="I2036" s="42" t="str">
        <f t="shared" si="27"/>
        <v/>
      </c>
    </row>
    <row r="2037" spans="2:9" x14ac:dyDescent="0.25">
      <c r="B2037" s="39"/>
      <c r="C2037" s="40"/>
      <c r="D2037" s="40"/>
      <c r="F2037" s="40"/>
      <c r="G2037" s="40"/>
      <c r="H2037" s="42"/>
      <c r="I2037" s="42" t="str">
        <f t="shared" si="27"/>
        <v/>
      </c>
    </row>
    <row r="2038" spans="2:9" x14ac:dyDescent="0.25">
      <c r="B2038" s="39"/>
      <c r="C2038" s="40"/>
      <c r="D2038" s="40"/>
      <c r="F2038" s="40"/>
      <c r="G2038" s="40"/>
      <c r="H2038" s="42"/>
      <c r="I2038" s="42" t="str">
        <f t="shared" si="27"/>
        <v/>
      </c>
    </row>
    <row r="2039" spans="2:9" x14ac:dyDescent="0.25">
      <c r="B2039" s="39"/>
      <c r="C2039" s="40"/>
      <c r="D2039" s="40"/>
      <c r="F2039" s="40"/>
      <c r="G2039" s="40"/>
      <c r="H2039" s="42"/>
      <c r="I2039" s="42" t="str">
        <f t="shared" si="27"/>
        <v/>
      </c>
    </row>
    <row r="2040" spans="2:9" x14ac:dyDescent="0.25">
      <c r="B2040" s="39"/>
      <c r="C2040" s="40"/>
      <c r="D2040" s="40"/>
      <c r="F2040" s="40"/>
      <c r="G2040" s="40"/>
      <c r="H2040" s="42"/>
      <c r="I2040" s="42" t="str">
        <f t="shared" si="27"/>
        <v/>
      </c>
    </row>
    <row r="2041" spans="2:9" x14ac:dyDescent="0.25">
      <c r="B2041" s="39"/>
      <c r="C2041" s="40"/>
      <c r="D2041" s="40"/>
      <c r="F2041" s="40"/>
      <c r="G2041" s="40"/>
      <c r="H2041" s="42"/>
      <c r="I2041" s="42" t="str">
        <f t="shared" si="27"/>
        <v/>
      </c>
    </row>
    <row r="2042" spans="2:9" x14ac:dyDescent="0.25">
      <c r="B2042" s="39"/>
      <c r="C2042" s="40"/>
      <c r="D2042" s="40"/>
      <c r="F2042" s="40"/>
      <c r="G2042" s="40"/>
      <c r="H2042" s="42"/>
      <c r="I2042" s="42" t="str">
        <f t="shared" si="27"/>
        <v/>
      </c>
    </row>
    <row r="2043" spans="2:9" x14ac:dyDescent="0.25">
      <c r="B2043" s="39"/>
      <c r="C2043" s="40"/>
      <c r="D2043" s="40"/>
      <c r="F2043" s="40"/>
      <c r="G2043" s="40"/>
      <c r="H2043" s="42"/>
      <c r="I2043" s="42" t="str">
        <f t="shared" si="27"/>
        <v/>
      </c>
    </row>
    <row r="2044" spans="2:9" x14ac:dyDescent="0.25">
      <c r="B2044" s="39"/>
      <c r="C2044" s="40"/>
      <c r="D2044" s="40"/>
      <c r="F2044" s="40"/>
      <c r="G2044" s="40"/>
      <c r="H2044" s="42"/>
      <c r="I2044" s="42" t="str">
        <f t="shared" si="27"/>
        <v/>
      </c>
    </row>
    <row r="2045" spans="2:9" x14ac:dyDescent="0.25">
      <c r="B2045" s="39"/>
      <c r="C2045" s="40"/>
      <c r="D2045" s="40"/>
      <c r="F2045" s="40"/>
      <c r="G2045" s="40"/>
      <c r="H2045" s="42"/>
      <c r="I2045" s="42" t="str">
        <f t="shared" si="27"/>
        <v/>
      </c>
    </row>
    <row r="2046" spans="2:9" x14ac:dyDescent="0.25">
      <c r="B2046" s="39"/>
      <c r="C2046" s="40"/>
      <c r="D2046" s="40"/>
      <c r="F2046" s="40"/>
      <c r="G2046" s="40"/>
      <c r="H2046" s="42"/>
      <c r="I2046" s="42" t="str">
        <f t="shared" si="27"/>
        <v/>
      </c>
    </row>
    <row r="2047" spans="2:9" x14ac:dyDescent="0.25">
      <c r="B2047" s="39"/>
      <c r="C2047" s="40"/>
      <c r="D2047" s="40"/>
      <c r="F2047" s="40"/>
      <c r="G2047" s="40"/>
      <c r="H2047" s="42"/>
      <c r="I2047" s="42" t="str">
        <f t="shared" si="27"/>
        <v/>
      </c>
    </row>
    <row r="2048" spans="2:9" x14ac:dyDescent="0.25">
      <c r="B2048" s="39"/>
      <c r="C2048" s="40"/>
      <c r="D2048" s="40"/>
      <c r="F2048" s="40"/>
      <c r="G2048" s="40"/>
      <c r="H2048" s="42"/>
      <c r="I2048" s="42" t="str">
        <f t="shared" ref="I2048:I2111" si="28">IF(H2048&lt;&gt;"",H2048-H2047,"")</f>
        <v/>
      </c>
    </row>
    <row r="2049" spans="2:9" x14ac:dyDescent="0.25">
      <c r="B2049" s="39"/>
      <c r="C2049" s="40"/>
      <c r="D2049" s="40"/>
      <c r="F2049" s="40"/>
      <c r="G2049" s="40"/>
      <c r="H2049" s="42"/>
      <c r="I2049" s="42" t="str">
        <f t="shared" si="28"/>
        <v/>
      </c>
    </row>
    <row r="2050" spans="2:9" x14ac:dyDescent="0.25">
      <c r="B2050" s="39"/>
      <c r="C2050" s="40"/>
      <c r="D2050" s="40"/>
      <c r="F2050" s="40"/>
      <c r="G2050" s="40"/>
      <c r="H2050" s="42"/>
      <c r="I2050" s="42" t="str">
        <f t="shared" si="28"/>
        <v/>
      </c>
    </row>
    <row r="2051" spans="2:9" x14ac:dyDescent="0.25">
      <c r="B2051" s="39"/>
      <c r="C2051" s="40"/>
      <c r="D2051" s="40"/>
      <c r="F2051" s="40"/>
      <c r="G2051" s="40"/>
      <c r="H2051" s="42"/>
      <c r="I2051" s="42" t="str">
        <f t="shared" si="28"/>
        <v/>
      </c>
    </row>
    <row r="2052" spans="2:9" x14ac:dyDescent="0.25">
      <c r="B2052" s="39"/>
      <c r="C2052" s="40"/>
      <c r="D2052" s="40"/>
      <c r="F2052" s="40"/>
      <c r="G2052" s="40"/>
      <c r="H2052" s="42"/>
      <c r="I2052" s="42" t="str">
        <f t="shared" si="28"/>
        <v/>
      </c>
    </row>
    <row r="2053" spans="2:9" x14ac:dyDescent="0.25">
      <c r="B2053" s="39"/>
      <c r="C2053" s="40"/>
      <c r="D2053" s="40"/>
      <c r="F2053" s="40"/>
      <c r="G2053" s="40"/>
      <c r="H2053" s="42"/>
      <c r="I2053" s="42" t="str">
        <f t="shared" si="28"/>
        <v/>
      </c>
    </row>
    <row r="2054" spans="2:9" x14ac:dyDescent="0.25">
      <c r="B2054" s="39"/>
      <c r="C2054" s="40"/>
      <c r="D2054" s="40"/>
      <c r="F2054" s="40"/>
      <c r="G2054" s="40"/>
      <c r="H2054" s="42"/>
      <c r="I2054" s="42" t="str">
        <f t="shared" si="28"/>
        <v/>
      </c>
    </row>
    <row r="2055" spans="2:9" x14ac:dyDescent="0.25">
      <c r="B2055" s="39"/>
      <c r="C2055" s="40"/>
      <c r="D2055" s="40"/>
      <c r="F2055" s="40"/>
      <c r="G2055" s="40"/>
      <c r="H2055" s="42"/>
      <c r="I2055" s="42" t="str">
        <f t="shared" si="28"/>
        <v/>
      </c>
    </row>
    <row r="2056" spans="2:9" x14ac:dyDescent="0.25">
      <c r="B2056" s="39"/>
      <c r="C2056" s="40"/>
      <c r="D2056" s="40"/>
      <c r="F2056" s="40"/>
      <c r="G2056" s="40"/>
      <c r="H2056" s="42"/>
      <c r="I2056" s="42" t="str">
        <f t="shared" si="28"/>
        <v/>
      </c>
    </row>
    <row r="2057" spans="2:9" x14ac:dyDescent="0.25">
      <c r="B2057" s="39"/>
      <c r="C2057" s="40"/>
      <c r="D2057" s="40"/>
      <c r="F2057" s="40"/>
      <c r="G2057" s="40"/>
      <c r="H2057" s="42"/>
      <c r="I2057" s="42" t="str">
        <f t="shared" si="28"/>
        <v/>
      </c>
    </row>
    <row r="2058" spans="2:9" x14ac:dyDescent="0.25">
      <c r="B2058" s="39"/>
      <c r="C2058" s="40"/>
      <c r="D2058" s="40"/>
      <c r="F2058" s="40"/>
      <c r="G2058" s="40"/>
      <c r="H2058" s="42"/>
      <c r="I2058" s="42" t="str">
        <f t="shared" si="28"/>
        <v/>
      </c>
    </row>
    <row r="2059" spans="2:9" x14ac:dyDescent="0.25">
      <c r="B2059" s="39"/>
      <c r="C2059" s="40"/>
      <c r="D2059" s="40"/>
      <c r="F2059" s="40"/>
      <c r="G2059" s="40"/>
      <c r="H2059" s="42"/>
      <c r="I2059" s="42" t="str">
        <f t="shared" si="28"/>
        <v/>
      </c>
    </row>
    <row r="2060" spans="2:9" x14ac:dyDescent="0.25">
      <c r="B2060" s="39"/>
      <c r="C2060" s="40"/>
      <c r="D2060" s="40"/>
      <c r="F2060" s="40"/>
      <c r="G2060" s="40"/>
      <c r="H2060" s="42"/>
      <c r="I2060" s="42" t="str">
        <f t="shared" si="28"/>
        <v/>
      </c>
    </row>
    <row r="2061" spans="2:9" x14ac:dyDescent="0.25">
      <c r="B2061" s="39"/>
      <c r="C2061" s="40"/>
      <c r="D2061" s="40"/>
      <c r="F2061" s="40"/>
      <c r="G2061" s="40"/>
      <c r="H2061" s="42"/>
      <c r="I2061" s="42" t="str">
        <f t="shared" si="28"/>
        <v/>
      </c>
    </row>
    <row r="2062" spans="2:9" x14ac:dyDescent="0.25">
      <c r="B2062" s="39"/>
      <c r="C2062" s="40"/>
      <c r="D2062" s="40"/>
      <c r="F2062" s="40"/>
      <c r="G2062" s="40"/>
      <c r="H2062" s="42"/>
      <c r="I2062" s="42" t="str">
        <f t="shared" si="28"/>
        <v/>
      </c>
    </row>
    <row r="2063" spans="2:9" x14ac:dyDescent="0.25">
      <c r="B2063" s="39"/>
      <c r="C2063" s="40"/>
      <c r="D2063" s="40"/>
      <c r="F2063" s="40"/>
      <c r="G2063" s="40"/>
      <c r="H2063" s="42"/>
      <c r="I2063" s="42" t="str">
        <f t="shared" si="28"/>
        <v/>
      </c>
    </row>
    <row r="2064" spans="2:9" x14ac:dyDescent="0.25">
      <c r="B2064" s="39"/>
      <c r="C2064" s="40"/>
      <c r="D2064" s="40"/>
      <c r="F2064" s="40"/>
      <c r="G2064" s="40"/>
      <c r="H2064" s="42"/>
      <c r="I2064" s="42" t="str">
        <f t="shared" si="28"/>
        <v/>
      </c>
    </row>
    <row r="2065" spans="2:9" x14ac:dyDescent="0.25">
      <c r="B2065" s="39"/>
      <c r="C2065" s="40"/>
      <c r="D2065" s="40"/>
      <c r="F2065" s="40"/>
      <c r="G2065" s="40"/>
      <c r="H2065" s="42"/>
      <c r="I2065" s="42" t="str">
        <f t="shared" si="28"/>
        <v/>
      </c>
    </row>
    <row r="2066" spans="2:9" x14ac:dyDescent="0.25">
      <c r="B2066" s="39"/>
      <c r="C2066" s="40"/>
      <c r="D2066" s="40"/>
      <c r="F2066" s="40"/>
      <c r="G2066" s="40"/>
      <c r="H2066" s="42"/>
      <c r="I2066" s="42" t="str">
        <f t="shared" si="28"/>
        <v/>
      </c>
    </row>
    <row r="2067" spans="2:9" x14ac:dyDescent="0.25">
      <c r="B2067" s="39"/>
      <c r="C2067" s="40"/>
      <c r="D2067" s="40"/>
      <c r="F2067" s="40"/>
      <c r="G2067" s="40"/>
      <c r="H2067" s="42"/>
      <c r="I2067" s="42" t="str">
        <f t="shared" si="28"/>
        <v/>
      </c>
    </row>
    <row r="2068" spans="2:9" x14ac:dyDescent="0.25">
      <c r="B2068" s="39"/>
      <c r="C2068" s="40"/>
      <c r="D2068" s="40"/>
      <c r="F2068" s="40"/>
      <c r="G2068" s="40"/>
      <c r="H2068" s="42"/>
      <c r="I2068" s="42" t="str">
        <f t="shared" si="28"/>
        <v/>
      </c>
    </row>
    <row r="2069" spans="2:9" x14ac:dyDescent="0.25">
      <c r="B2069" s="39"/>
      <c r="C2069" s="40"/>
      <c r="D2069" s="40"/>
      <c r="F2069" s="40"/>
      <c r="G2069" s="40"/>
      <c r="H2069" s="42"/>
      <c r="I2069" s="42" t="str">
        <f t="shared" si="28"/>
        <v/>
      </c>
    </row>
    <row r="2070" spans="2:9" x14ac:dyDescent="0.25">
      <c r="B2070" s="39"/>
      <c r="C2070" s="40"/>
      <c r="D2070" s="40"/>
      <c r="F2070" s="40"/>
      <c r="G2070" s="40"/>
      <c r="H2070" s="42"/>
      <c r="I2070" s="42" t="str">
        <f t="shared" si="28"/>
        <v/>
      </c>
    </row>
    <row r="2071" spans="2:9" x14ac:dyDescent="0.25">
      <c r="B2071" s="39"/>
      <c r="C2071" s="40"/>
      <c r="D2071" s="40"/>
      <c r="F2071" s="40"/>
      <c r="G2071" s="40"/>
      <c r="H2071" s="42"/>
      <c r="I2071" s="42" t="str">
        <f t="shared" si="28"/>
        <v/>
      </c>
    </row>
    <row r="2072" spans="2:9" x14ac:dyDescent="0.25">
      <c r="B2072" s="39"/>
      <c r="C2072" s="40"/>
      <c r="D2072" s="40"/>
      <c r="F2072" s="40"/>
      <c r="G2072" s="40"/>
      <c r="H2072" s="42"/>
      <c r="I2072" s="42" t="str">
        <f t="shared" si="28"/>
        <v/>
      </c>
    </row>
    <row r="2073" spans="2:9" x14ac:dyDescent="0.25">
      <c r="B2073" s="39"/>
      <c r="C2073" s="40"/>
      <c r="D2073" s="40"/>
      <c r="F2073" s="40"/>
      <c r="G2073" s="40"/>
      <c r="H2073" s="42"/>
      <c r="I2073" s="42" t="str">
        <f t="shared" si="28"/>
        <v/>
      </c>
    </row>
    <row r="2074" spans="2:9" x14ac:dyDescent="0.25">
      <c r="B2074" s="39"/>
      <c r="C2074" s="40"/>
      <c r="D2074" s="40"/>
      <c r="F2074" s="40"/>
      <c r="G2074" s="40"/>
      <c r="H2074" s="42"/>
      <c r="I2074" s="42" t="str">
        <f t="shared" si="28"/>
        <v/>
      </c>
    </row>
    <row r="2075" spans="2:9" x14ac:dyDescent="0.25">
      <c r="B2075" s="39"/>
      <c r="C2075" s="40"/>
      <c r="D2075" s="40"/>
      <c r="F2075" s="40"/>
      <c r="G2075" s="40"/>
      <c r="H2075" s="42"/>
      <c r="I2075" s="42" t="str">
        <f t="shared" si="28"/>
        <v/>
      </c>
    </row>
    <row r="2076" spans="2:9" x14ac:dyDescent="0.25">
      <c r="B2076" s="39"/>
      <c r="C2076" s="40"/>
      <c r="D2076" s="40"/>
      <c r="F2076" s="40"/>
      <c r="G2076" s="40"/>
      <c r="H2076" s="42"/>
      <c r="I2076" s="42" t="str">
        <f t="shared" si="28"/>
        <v/>
      </c>
    </row>
    <row r="2077" spans="2:9" x14ac:dyDescent="0.25">
      <c r="B2077" s="39"/>
      <c r="C2077" s="40"/>
      <c r="D2077" s="40"/>
      <c r="F2077" s="40"/>
      <c r="G2077" s="40"/>
      <c r="H2077" s="42"/>
      <c r="I2077" s="42" t="str">
        <f t="shared" si="28"/>
        <v/>
      </c>
    </row>
    <row r="2078" spans="2:9" x14ac:dyDescent="0.25">
      <c r="B2078" s="39"/>
      <c r="C2078" s="40"/>
      <c r="D2078" s="40"/>
      <c r="F2078" s="40"/>
      <c r="G2078" s="40"/>
      <c r="H2078" s="42"/>
      <c r="I2078" s="42" t="str">
        <f t="shared" si="28"/>
        <v/>
      </c>
    </row>
    <row r="2079" spans="2:9" x14ac:dyDescent="0.25">
      <c r="B2079" s="39"/>
      <c r="C2079" s="40"/>
      <c r="D2079" s="40"/>
      <c r="F2079" s="40"/>
      <c r="G2079" s="40"/>
      <c r="H2079" s="42"/>
      <c r="I2079" s="42" t="str">
        <f t="shared" si="28"/>
        <v/>
      </c>
    </row>
    <row r="2080" spans="2:9" x14ac:dyDescent="0.25">
      <c r="B2080" s="39"/>
      <c r="C2080" s="40"/>
      <c r="D2080" s="40"/>
      <c r="F2080" s="40"/>
      <c r="G2080" s="40"/>
      <c r="H2080" s="42"/>
      <c r="I2080" s="42" t="str">
        <f t="shared" si="28"/>
        <v/>
      </c>
    </row>
    <row r="2081" spans="2:9" x14ac:dyDescent="0.25">
      <c r="B2081" s="39"/>
      <c r="C2081" s="40"/>
      <c r="D2081" s="40"/>
      <c r="F2081" s="40"/>
      <c r="G2081" s="40"/>
      <c r="H2081" s="42"/>
      <c r="I2081" s="42" t="str">
        <f t="shared" si="28"/>
        <v/>
      </c>
    </row>
    <row r="2082" spans="2:9" x14ac:dyDescent="0.25">
      <c r="B2082" s="39"/>
      <c r="C2082" s="40"/>
      <c r="D2082" s="40"/>
      <c r="F2082" s="40"/>
      <c r="G2082" s="40"/>
      <c r="H2082" s="42"/>
      <c r="I2082" s="42" t="str">
        <f t="shared" si="28"/>
        <v/>
      </c>
    </row>
    <row r="2083" spans="2:9" x14ac:dyDescent="0.25">
      <c r="B2083" s="39"/>
      <c r="C2083" s="40"/>
      <c r="D2083" s="40"/>
      <c r="F2083" s="40"/>
      <c r="G2083" s="40"/>
      <c r="H2083" s="42"/>
      <c r="I2083" s="42" t="str">
        <f t="shared" si="28"/>
        <v/>
      </c>
    </row>
    <row r="2084" spans="2:9" x14ac:dyDescent="0.25">
      <c r="B2084" s="39"/>
      <c r="C2084" s="40"/>
      <c r="D2084" s="40"/>
      <c r="F2084" s="40"/>
      <c r="G2084" s="40"/>
      <c r="H2084" s="42"/>
      <c r="I2084" s="42" t="str">
        <f t="shared" si="28"/>
        <v/>
      </c>
    </row>
    <row r="2085" spans="2:9" x14ac:dyDescent="0.25">
      <c r="B2085" s="39"/>
      <c r="C2085" s="40"/>
      <c r="D2085" s="40"/>
      <c r="F2085" s="40"/>
      <c r="G2085" s="40"/>
      <c r="H2085" s="42"/>
      <c r="I2085" s="42" t="str">
        <f t="shared" si="28"/>
        <v/>
      </c>
    </row>
    <row r="2086" spans="2:9" x14ac:dyDescent="0.25">
      <c r="B2086" s="39"/>
      <c r="C2086" s="40"/>
      <c r="D2086" s="40"/>
      <c r="F2086" s="40"/>
      <c r="G2086" s="40"/>
      <c r="H2086" s="42"/>
      <c r="I2086" s="42" t="str">
        <f t="shared" si="28"/>
        <v/>
      </c>
    </row>
    <row r="2087" spans="2:9" x14ac:dyDescent="0.25">
      <c r="B2087" s="39"/>
      <c r="C2087" s="40"/>
      <c r="D2087" s="40"/>
      <c r="F2087" s="40"/>
      <c r="G2087" s="40"/>
      <c r="H2087" s="42"/>
      <c r="I2087" s="42" t="str">
        <f t="shared" si="28"/>
        <v/>
      </c>
    </row>
    <row r="2088" spans="2:9" x14ac:dyDescent="0.25">
      <c r="B2088" s="39"/>
      <c r="C2088" s="40"/>
      <c r="D2088" s="40"/>
      <c r="F2088" s="40"/>
      <c r="G2088" s="40"/>
      <c r="H2088" s="42"/>
      <c r="I2088" s="42" t="str">
        <f t="shared" si="28"/>
        <v/>
      </c>
    </row>
    <row r="2089" spans="2:9" x14ac:dyDescent="0.25">
      <c r="B2089" s="39"/>
      <c r="C2089" s="40"/>
      <c r="D2089" s="40"/>
      <c r="F2089" s="40"/>
      <c r="G2089" s="40"/>
      <c r="H2089" s="42"/>
      <c r="I2089" s="42" t="str">
        <f t="shared" si="28"/>
        <v/>
      </c>
    </row>
    <row r="2090" spans="2:9" x14ac:dyDescent="0.25">
      <c r="B2090" s="39"/>
      <c r="C2090" s="40"/>
      <c r="D2090" s="40"/>
      <c r="F2090" s="40"/>
      <c r="G2090" s="40"/>
      <c r="H2090" s="42"/>
      <c r="I2090" s="42" t="str">
        <f t="shared" si="28"/>
        <v/>
      </c>
    </row>
    <row r="2091" spans="2:9" x14ac:dyDescent="0.25">
      <c r="B2091" s="39"/>
      <c r="C2091" s="40"/>
      <c r="D2091" s="40"/>
      <c r="F2091" s="40"/>
      <c r="G2091" s="40"/>
      <c r="H2091" s="42"/>
      <c r="I2091" s="42" t="str">
        <f t="shared" si="28"/>
        <v/>
      </c>
    </row>
    <row r="2092" spans="2:9" x14ac:dyDescent="0.25">
      <c r="B2092" s="39"/>
      <c r="C2092" s="40"/>
      <c r="D2092" s="40"/>
      <c r="F2092" s="40"/>
      <c r="G2092" s="40"/>
      <c r="H2092" s="42"/>
      <c r="I2092" s="42" t="str">
        <f t="shared" si="28"/>
        <v/>
      </c>
    </row>
    <row r="2093" spans="2:9" x14ac:dyDescent="0.25">
      <c r="B2093" s="39"/>
      <c r="C2093" s="40"/>
      <c r="D2093" s="40"/>
      <c r="F2093" s="40"/>
      <c r="G2093" s="40"/>
      <c r="H2093" s="42"/>
      <c r="I2093" s="42" t="str">
        <f t="shared" si="28"/>
        <v/>
      </c>
    </row>
    <row r="2094" spans="2:9" x14ac:dyDescent="0.25">
      <c r="B2094" s="39"/>
      <c r="C2094" s="40"/>
      <c r="D2094" s="40"/>
      <c r="F2094" s="40"/>
      <c r="G2094" s="40"/>
      <c r="H2094" s="42"/>
      <c r="I2094" s="42" t="str">
        <f t="shared" si="28"/>
        <v/>
      </c>
    </row>
    <row r="2095" spans="2:9" x14ac:dyDescent="0.25">
      <c r="B2095" s="39"/>
      <c r="C2095" s="40"/>
      <c r="D2095" s="40"/>
      <c r="F2095" s="40"/>
      <c r="G2095" s="40"/>
      <c r="H2095" s="42"/>
      <c r="I2095" s="42" t="str">
        <f t="shared" si="28"/>
        <v/>
      </c>
    </row>
    <row r="2096" spans="2:9" x14ac:dyDescent="0.25">
      <c r="B2096" s="39"/>
      <c r="C2096" s="40"/>
      <c r="D2096" s="40"/>
      <c r="F2096" s="40"/>
      <c r="G2096" s="40"/>
      <c r="H2096" s="42"/>
      <c r="I2096" s="42" t="str">
        <f t="shared" si="28"/>
        <v/>
      </c>
    </row>
    <row r="2097" spans="2:9" x14ac:dyDescent="0.25">
      <c r="B2097" s="39"/>
      <c r="C2097" s="40"/>
      <c r="D2097" s="40"/>
      <c r="F2097" s="40"/>
      <c r="G2097" s="40"/>
      <c r="H2097" s="42"/>
      <c r="I2097" s="42" t="str">
        <f t="shared" si="28"/>
        <v/>
      </c>
    </row>
    <row r="2098" spans="2:9" x14ac:dyDescent="0.25">
      <c r="B2098" s="39"/>
      <c r="C2098" s="40"/>
      <c r="D2098" s="40"/>
      <c r="F2098" s="40"/>
      <c r="G2098" s="40"/>
      <c r="H2098" s="42"/>
      <c r="I2098" s="42" t="str">
        <f t="shared" si="28"/>
        <v/>
      </c>
    </row>
    <row r="2099" spans="2:9" x14ac:dyDescent="0.25">
      <c r="B2099" s="39"/>
      <c r="C2099" s="40"/>
      <c r="D2099" s="40"/>
      <c r="F2099" s="40"/>
      <c r="G2099" s="40"/>
      <c r="H2099" s="42"/>
      <c r="I2099" s="42" t="str">
        <f t="shared" si="28"/>
        <v/>
      </c>
    </row>
    <row r="2100" spans="2:9" x14ac:dyDescent="0.25">
      <c r="B2100" s="39"/>
      <c r="C2100" s="40"/>
      <c r="D2100" s="40"/>
      <c r="F2100" s="40"/>
      <c r="G2100" s="40"/>
      <c r="H2100" s="42"/>
      <c r="I2100" s="42" t="str">
        <f t="shared" si="28"/>
        <v/>
      </c>
    </row>
    <row r="2101" spans="2:9" x14ac:dyDescent="0.25">
      <c r="B2101" s="39"/>
      <c r="C2101" s="40"/>
      <c r="D2101" s="40"/>
      <c r="F2101" s="40"/>
      <c r="G2101" s="40"/>
      <c r="H2101" s="42"/>
      <c r="I2101" s="42" t="str">
        <f t="shared" si="28"/>
        <v/>
      </c>
    </row>
    <row r="2102" spans="2:9" x14ac:dyDescent="0.25">
      <c r="B2102" s="39"/>
      <c r="C2102" s="40"/>
      <c r="D2102" s="40"/>
      <c r="F2102" s="40"/>
      <c r="G2102" s="40"/>
      <c r="H2102" s="42"/>
      <c r="I2102" s="42" t="str">
        <f t="shared" si="28"/>
        <v/>
      </c>
    </row>
    <row r="2103" spans="2:9" x14ac:dyDescent="0.25">
      <c r="B2103" s="39"/>
      <c r="C2103" s="40"/>
      <c r="D2103" s="40"/>
      <c r="F2103" s="40"/>
      <c r="G2103" s="40"/>
      <c r="H2103" s="42"/>
      <c r="I2103" s="42" t="str">
        <f t="shared" si="28"/>
        <v/>
      </c>
    </row>
    <row r="2104" spans="2:9" x14ac:dyDescent="0.25">
      <c r="B2104" s="39"/>
      <c r="C2104" s="40"/>
      <c r="D2104" s="40"/>
      <c r="F2104" s="40"/>
      <c r="G2104" s="40"/>
      <c r="H2104" s="42"/>
      <c r="I2104" s="42" t="str">
        <f t="shared" si="28"/>
        <v/>
      </c>
    </row>
    <row r="2105" spans="2:9" x14ac:dyDescent="0.25">
      <c r="B2105" s="39"/>
      <c r="C2105" s="40"/>
      <c r="D2105" s="40"/>
      <c r="F2105" s="40"/>
      <c r="G2105" s="40"/>
      <c r="H2105" s="42"/>
      <c r="I2105" s="42" t="str">
        <f t="shared" si="28"/>
        <v/>
      </c>
    </row>
    <row r="2106" spans="2:9" x14ac:dyDescent="0.25">
      <c r="B2106" s="39"/>
      <c r="C2106" s="40"/>
      <c r="D2106" s="40"/>
      <c r="F2106" s="40"/>
      <c r="G2106" s="40"/>
      <c r="H2106" s="42"/>
      <c r="I2106" s="42" t="str">
        <f t="shared" si="28"/>
        <v/>
      </c>
    </row>
    <row r="2107" spans="2:9" x14ac:dyDescent="0.25">
      <c r="B2107" s="39"/>
      <c r="C2107" s="40"/>
      <c r="D2107" s="40"/>
      <c r="F2107" s="40"/>
      <c r="G2107" s="40"/>
      <c r="H2107" s="42"/>
      <c r="I2107" s="42" t="str">
        <f t="shared" si="28"/>
        <v/>
      </c>
    </row>
    <row r="2108" spans="2:9" x14ac:dyDescent="0.25">
      <c r="B2108" s="39"/>
      <c r="C2108" s="40"/>
      <c r="D2108" s="40"/>
      <c r="F2108" s="40"/>
      <c r="G2108" s="40"/>
      <c r="H2108" s="42"/>
      <c r="I2108" s="42" t="str">
        <f t="shared" si="28"/>
        <v/>
      </c>
    </row>
    <row r="2109" spans="2:9" x14ac:dyDescent="0.25">
      <c r="B2109" s="39"/>
      <c r="C2109" s="40"/>
      <c r="D2109" s="40"/>
      <c r="F2109" s="40"/>
      <c r="G2109" s="40"/>
      <c r="H2109" s="42"/>
      <c r="I2109" s="42" t="str">
        <f t="shared" si="28"/>
        <v/>
      </c>
    </row>
    <row r="2110" spans="2:9" x14ac:dyDescent="0.25">
      <c r="B2110" s="39"/>
      <c r="C2110" s="40"/>
      <c r="D2110" s="40"/>
      <c r="F2110" s="40"/>
      <c r="G2110" s="40"/>
      <c r="H2110" s="42"/>
      <c r="I2110" s="42" t="str">
        <f t="shared" si="28"/>
        <v/>
      </c>
    </row>
    <row r="2111" spans="2:9" x14ac:dyDescent="0.25">
      <c r="B2111" s="39"/>
      <c r="C2111" s="40"/>
      <c r="D2111" s="40"/>
      <c r="F2111" s="40"/>
      <c r="G2111" s="40"/>
      <c r="H2111" s="42"/>
      <c r="I2111" s="42" t="str">
        <f t="shared" si="28"/>
        <v/>
      </c>
    </row>
    <row r="2112" spans="2:9" x14ac:dyDescent="0.25">
      <c r="B2112" s="39"/>
      <c r="C2112" s="40"/>
      <c r="D2112" s="40"/>
      <c r="F2112" s="40"/>
      <c r="G2112" s="40"/>
      <c r="H2112" s="42"/>
      <c r="I2112" s="42" t="str">
        <f t="shared" ref="I2112:I2175" si="29">IF(H2112&lt;&gt;"",H2112-H2111,"")</f>
        <v/>
      </c>
    </row>
    <row r="2113" spans="2:9" x14ac:dyDescent="0.25">
      <c r="B2113" s="39"/>
      <c r="C2113" s="40"/>
      <c r="D2113" s="40"/>
      <c r="F2113" s="40"/>
      <c r="G2113" s="40"/>
      <c r="H2113" s="42"/>
      <c r="I2113" s="42" t="str">
        <f t="shared" si="29"/>
        <v/>
      </c>
    </row>
    <row r="2114" spans="2:9" x14ac:dyDescent="0.25">
      <c r="B2114" s="39"/>
      <c r="C2114" s="40"/>
      <c r="D2114" s="40"/>
      <c r="F2114" s="40"/>
      <c r="G2114" s="40"/>
      <c r="H2114" s="42"/>
      <c r="I2114" s="42" t="str">
        <f t="shared" si="29"/>
        <v/>
      </c>
    </row>
    <row r="2115" spans="2:9" x14ac:dyDescent="0.25">
      <c r="B2115" s="39"/>
      <c r="C2115" s="40"/>
      <c r="D2115" s="40"/>
      <c r="F2115" s="40"/>
      <c r="G2115" s="40"/>
      <c r="H2115" s="42"/>
      <c r="I2115" s="42" t="str">
        <f t="shared" si="29"/>
        <v/>
      </c>
    </row>
    <row r="2116" spans="2:9" x14ac:dyDescent="0.25">
      <c r="B2116" s="39"/>
      <c r="C2116" s="40"/>
      <c r="D2116" s="40"/>
      <c r="F2116" s="40"/>
      <c r="G2116" s="40"/>
      <c r="H2116" s="42"/>
      <c r="I2116" s="42" t="str">
        <f t="shared" si="29"/>
        <v/>
      </c>
    </row>
    <row r="2117" spans="2:9" x14ac:dyDescent="0.25">
      <c r="B2117" s="39"/>
      <c r="C2117" s="40"/>
      <c r="D2117" s="40"/>
      <c r="F2117" s="40"/>
      <c r="G2117" s="40"/>
      <c r="H2117" s="42"/>
      <c r="I2117" s="42" t="str">
        <f t="shared" si="29"/>
        <v/>
      </c>
    </row>
    <row r="2118" spans="2:9" x14ac:dyDescent="0.25">
      <c r="B2118" s="39"/>
      <c r="C2118" s="40"/>
      <c r="D2118" s="40"/>
      <c r="F2118" s="40"/>
      <c r="G2118" s="40"/>
      <c r="H2118" s="42"/>
      <c r="I2118" s="42" t="str">
        <f t="shared" si="29"/>
        <v/>
      </c>
    </row>
    <row r="2119" spans="2:9" x14ac:dyDescent="0.25">
      <c r="B2119" s="39"/>
      <c r="C2119" s="40"/>
      <c r="D2119" s="40"/>
      <c r="F2119" s="40"/>
      <c r="G2119" s="40"/>
      <c r="H2119" s="42"/>
      <c r="I2119" s="42" t="str">
        <f t="shared" si="29"/>
        <v/>
      </c>
    </row>
    <row r="2120" spans="2:9" x14ac:dyDescent="0.25">
      <c r="B2120" s="39"/>
      <c r="C2120" s="40"/>
      <c r="D2120" s="40"/>
      <c r="F2120" s="40"/>
      <c r="G2120" s="40"/>
      <c r="H2120" s="42"/>
      <c r="I2120" s="42" t="str">
        <f t="shared" si="29"/>
        <v/>
      </c>
    </row>
    <row r="2121" spans="2:9" x14ac:dyDescent="0.25">
      <c r="B2121" s="39"/>
      <c r="C2121" s="40"/>
      <c r="D2121" s="40"/>
      <c r="F2121" s="40"/>
      <c r="G2121" s="40"/>
      <c r="H2121" s="42"/>
      <c r="I2121" s="42" t="str">
        <f t="shared" si="29"/>
        <v/>
      </c>
    </row>
    <row r="2122" spans="2:9" x14ac:dyDescent="0.25">
      <c r="B2122" s="39"/>
      <c r="C2122" s="40"/>
      <c r="D2122" s="40"/>
      <c r="F2122" s="40"/>
      <c r="G2122" s="40"/>
      <c r="H2122" s="42"/>
      <c r="I2122" s="42" t="str">
        <f t="shared" si="29"/>
        <v/>
      </c>
    </row>
    <row r="2123" spans="2:9" x14ac:dyDescent="0.25">
      <c r="B2123" s="39"/>
      <c r="C2123" s="40"/>
      <c r="D2123" s="40"/>
      <c r="F2123" s="40"/>
      <c r="G2123" s="40"/>
      <c r="H2123" s="42"/>
      <c r="I2123" s="42" t="str">
        <f t="shared" si="29"/>
        <v/>
      </c>
    </row>
    <row r="2124" spans="2:9" x14ac:dyDescent="0.25">
      <c r="B2124" s="39"/>
      <c r="C2124" s="40"/>
      <c r="D2124" s="40"/>
      <c r="F2124" s="40"/>
      <c r="G2124" s="40"/>
      <c r="H2124" s="42"/>
      <c r="I2124" s="42" t="str">
        <f t="shared" si="29"/>
        <v/>
      </c>
    </row>
    <row r="2125" spans="2:9" x14ac:dyDescent="0.25">
      <c r="B2125" s="39"/>
      <c r="C2125" s="40"/>
      <c r="D2125" s="40"/>
      <c r="F2125" s="40"/>
      <c r="G2125" s="40"/>
      <c r="H2125" s="42"/>
      <c r="I2125" s="42" t="str">
        <f t="shared" si="29"/>
        <v/>
      </c>
    </row>
    <row r="2126" spans="2:9" x14ac:dyDescent="0.25">
      <c r="B2126" s="39"/>
      <c r="C2126" s="40"/>
      <c r="D2126" s="40"/>
      <c r="F2126" s="40"/>
      <c r="G2126" s="40"/>
      <c r="H2126" s="42"/>
      <c r="I2126" s="42" t="str">
        <f t="shared" si="29"/>
        <v/>
      </c>
    </row>
    <row r="2127" spans="2:9" x14ac:dyDescent="0.25">
      <c r="B2127" s="39"/>
      <c r="C2127" s="40"/>
      <c r="D2127" s="40"/>
      <c r="F2127" s="40"/>
      <c r="G2127" s="40"/>
      <c r="H2127" s="42"/>
      <c r="I2127" s="42" t="str">
        <f t="shared" si="29"/>
        <v/>
      </c>
    </row>
    <row r="2128" spans="2:9" x14ac:dyDescent="0.25">
      <c r="B2128" s="39"/>
      <c r="C2128" s="40"/>
      <c r="D2128" s="40"/>
      <c r="F2128" s="40"/>
      <c r="G2128" s="40"/>
      <c r="H2128" s="42"/>
      <c r="I2128" s="42" t="str">
        <f t="shared" si="29"/>
        <v/>
      </c>
    </row>
    <row r="2129" spans="2:9" x14ac:dyDescent="0.25">
      <c r="B2129" s="39"/>
      <c r="C2129" s="40"/>
      <c r="D2129" s="40"/>
      <c r="F2129" s="40"/>
      <c r="G2129" s="40"/>
      <c r="H2129" s="42"/>
      <c r="I2129" s="42" t="str">
        <f t="shared" si="29"/>
        <v/>
      </c>
    </row>
    <row r="2130" spans="2:9" x14ac:dyDescent="0.25">
      <c r="B2130" s="39"/>
      <c r="C2130" s="40"/>
      <c r="D2130" s="40"/>
      <c r="F2130" s="40"/>
      <c r="G2130" s="40"/>
      <c r="H2130" s="42"/>
      <c r="I2130" s="42" t="str">
        <f t="shared" si="29"/>
        <v/>
      </c>
    </row>
    <row r="2131" spans="2:9" x14ac:dyDescent="0.25">
      <c r="B2131" s="39"/>
      <c r="C2131" s="40"/>
      <c r="D2131" s="40"/>
      <c r="F2131" s="40"/>
      <c r="G2131" s="40"/>
      <c r="H2131" s="42"/>
      <c r="I2131" s="42" t="str">
        <f t="shared" si="29"/>
        <v/>
      </c>
    </row>
    <row r="2132" spans="2:9" x14ac:dyDescent="0.25">
      <c r="B2132" s="39"/>
      <c r="C2132" s="40"/>
      <c r="D2132" s="40"/>
      <c r="F2132" s="40"/>
      <c r="G2132" s="40"/>
      <c r="H2132" s="42"/>
      <c r="I2132" s="42" t="str">
        <f t="shared" si="29"/>
        <v/>
      </c>
    </row>
    <row r="2133" spans="2:9" x14ac:dyDescent="0.25">
      <c r="B2133" s="39"/>
      <c r="C2133" s="40"/>
      <c r="D2133" s="40"/>
      <c r="F2133" s="40"/>
      <c r="G2133" s="40"/>
      <c r="H2133" s="42"/>
      <c r="I2133" s="42" t="str">
        <f t="shared" si="29"/>
        <v/>
      </c>
    </row>
    <row r="2134" spans="2:9" x14ac:dyDescent="0.25">
      <c r="B2134" s="39"/>
      <c r="C2134" s="40"/>
      <c r="D2134" s="40"/>
      <c r="F2134" s="40"/>
      <c r="G2134" s="40"/>
      <c r="H2134" s="42"/>
      <c r="I2134" s="42" t="str">
        <f t="shared" si="29"/>
        <v/>
      </c>
    </row>
    <row r="2135" spans="2:9" x14ac:dyDescent="0.25">
      <c r="B2135" s="39"/>
      <c r="C2135" s="40"/>
      <c r="D2135" s="40"/>
      <c r="F2135" s="40"/>
      <c r="G2135" s="40"/>
      <c r="H2135" s="42"/>
      <c r="I2135" s="42" t="str">
        <f t="shared" si="29"/>
        <v/>
      </c>
    </row>
    <row r="2136" spans="2:9" x14ac:dyDescent="0.25">
      <c r="B2136" s="39"/>
      <c r="C2136" s="40"/>
      <c r="D2136" s="40"/>
      <c r="F2136" s="40"/>
      <c r="G2136" s="40"/>
      <c r="H2136" s="42"/>
      <c r="I2136" s="42" t="str">
        <f t="shared" si="29"/>
        <v/>
      </c>
    </row>
    <row r="2137" spans="2:9" x14ac:dyDescent="0.25">
      <c r="B2137" s="39"/>
      <c r="C2137" s="40"/>
      <c r="D2137" s="40"/>
      <c r="F2137" s="40"/>
      <c r="G2137" s="40"/>
      <c r="H2137" s="42"/>
      <c r="I2137" s="42" t="str">
        <f t="shared" si="29"/>
        <v/>
      </c>
    </row>
    <row r="2138" spans="2:9" x14ac:dyDescent="0.25">
      <c r="B2138" s="39"/>
      <c r="C2138" s="40"/>
      <c r="D2138" s="40"/>
      <c r="F2138" s="40"/>
      <c r="G2138" s="40"/>
      <c r="H2138" s="42"/>
      <c r="I2138" s="42" t="str">
        <f t="shared" si="29"/>
        <v/>
      </c>
    </row>
    <row r="2139" spans="2:9" x14ac:dyDescent="0.25">
      <c r="B2139" s="39"/>
      <c r="C2139" s="40"/>
      <c r="D2139" s="40"/>
      <c r="F2139" s="40"/>
      <c r="G2139" s="40"/>
      <c r="H2139" s="42"/>
      <c r="I2139" s="42" t="str">
        <f t="shared" si="29"/>
        <v/>
      </c>
    </row>
    <row r="2140" spans="2:9" x14ac:dyDescent="0.25">
      <c r="B2140" s="39"/>
      <c r="C2140" s="40"/>
      <c r="D2140" s="40"/>
      <c r="F2140" s="40"/>
      <c r="G2140" s="40"/>
      <c r="H2140" s="42"/>
      <c r="I2140" s="42" t="str">
        <f t="shared" si="29"/>
        <v/>
      </c>
    </row>
    <row r="2141" spans="2:9" x14ac:dyDescent="0.25">
      <c r="B2141" s="39"/>
      <c r="C2141" s="40"/>
      <c r="D2141" s="40"/>
      <c r="F2141" s="40"/>
      <c r="G2141" s="40"/>
      <c r="H2141" s="42"/>
      <c r="I2141" s="42" t="str">
        <f t="shared" si="29"/>
        <v/>
      </c>
    </row>
    <row r="2142" spans="2:9" x14ac:dyDescent="0.25">
      <c r="B2142" s="39"/>
      <c r="C2142" s="40"/>
      <c r="D2142" s="40"/>
      <c r="F2142" s="40"/>
      <c r="G2142" s="40"/>
      <c r="H2142" s="42"/>
      <c r="I2142" s="42" t="str">
        <f t="shared" si="29"/>
        <v/>
      </c>
    </row>
    <row r="2143" spans="2:9" x14ac:dyDescent="0.25">
      <c r="B2143" s="39"/>
      <c r="C2143" s="40"/>
      <c r="D2143" s="40"/>
      <c r="F2143" s="40"/>
      <c r="G2143" s="40"/>
      <c r="H2143" s="42"/>
      <c r="I2143" s="42" t="str">
        <f t="shared" si="29"/>
        <v/>
      </c>
    </row>
    <row r="2144" spans="2:9" x14ac:dyDescent="0.25">
      <c r="B2144" s="39"/>
      <c r="C2144" s="40"/>
      <c r="D2144" s="40"/>
      <c r="F2144" s="40"/>
      <c r="G2144" s="40"/>
      <c r="H2144" s="42"/>
      <c r="I2144" s="42" t="str">
        <f t="shared" si="29"/>
        <v/>
      </c>
    </row>
    <row r="2145" spans="2:9" x14ac:dyDescent="0.25">
      <c r="B2145" s="39"/>
      <c r="C2145" s="40"/>
      <c r="D2145" s="40"/>
      <c r="F2145" s="40"/>
      <c r="G2145" s="40"/>
      <c r="H2145" s="42"/>
      <c r="I2145" s="42" t="str">
        <f t="shared" si="29"/>
        <v/>
      </c>
    </row>
    <row r="2146" spans="2:9" x14ac:dyDescent="0.25">
      <c r="B2146" s="39"/>
      <c r="C2146" s="40"/>
      <c r="D2146" s="40"/>
      <c r="F2146" s="40"/>
      <c r="G2146" s="40"/>
      <c r="H2146" s="42"/>
      <c r="I2146" s="42" t="str">
        <f t="shared" si="29"/>
        <v/>
      </c>
    </row>
    <row r="2147" spans="2:9" x14ac:dyDescent="0.25">
      <c r="B2147" s="39"/>
      <c r="C2147" s="40"/>
      <c r="D2147" s="40"/>
      <c r="F2147" s="40"/>
      <c r="G2147" s="40"/>
      <c r="H2147" s="42"/>
      <c r="I2147" s="42" t="str">
        <f t="shared" si="29"/>
        <v/>
      </c>
    </row>
    <row r="2148" spans="2:9" x14ac:dyDescent="0.25">
      <c r="B2148" s="39"/>
      <c r="C2148" s="40"/>
      <c r="D2148" s="40"/>
      <c r="F2148" s="40"/>
      <c r="G2148" s="40"/>
      <c r="H2148" s="42"/>
      <c r="I2148" s="42" t="str">
        <f t="shared" si="29"/>
        <v/>
      </c>
    </row>
    <row r="2149" spans="2:9" x14ac:dyDescent="0.25">
      <c r="B2149" s="39"/>
      <c r="C2149" s="40"/>
      <c r="D2149" s="40"/>
      <c r="F2149" s="40"/>
      <c r="G2149" s="40"/>
      <c r="H2149" s="42"/>
      <c r="I2149" s="42" t="str">
        <f t="shared" si="29"/>
        <v/>
      </c>
    </row>
    <row r="2150" spans="2:9" x14ac:dyDescent="0.25">
      <c r="B2150" s="39"/>
      <c r="C2150" s="40"/>
      <c r="D2150" s="40"/>
      <c r="F2150" s="40"/>
      <c r="G2150" s="40"/>
      <c r="H2150" s="42"/>
      <c r="I2150" s="42" t="str">
        <f t="shared" si="29"/>
        <v/>
      </c>
    </row>
    <row r="2151" spans="2:9" x14ac:dyDescent="0.25">
      <c r="B2151" s="39"/>
      <c r="C2151" s="40"/>
      <c r="D2151" s="40"/>
      <c r="F2151" s="40"/>
      <c r="G2151" s="40"/>
      <c r="H2151" s="42"/>
      <c r="I2151" s="42" t="str">
        <f t="shared" si="29"/>
        <v/>
      </c>
    </row>
    <row r="2152" spans="2:9" x14ac:dyDescent="0.25">
      <c r="B2152" s="39"/>
      <c r="C2152" s="40"/>
      <c r="D2152" s="40"/>
      <c r="F2152" s="40"/>
      <c r="G2152" s="40"/>
      <c r="H2152" s="42"/>
      <c r="I2152" s="42" t="str">
        <f t="shared" si="29"/>
        <v/>
      </c>
    </row>
    <row r="2153" spans="2:9" x14ac:dyDescent="0.25">
      <c r="B2153" s="39"/>
      <c r="C2153" s="40"/>
      <c r="D2153" s="40"/>
      <c r="F2153" s="40"/>
      <c r="G2153" s="40"/>
      <c r="H2153" s="42"/>
      <c r="I2153" s="42" t="str">
        <f t="shared" si="29"/>
        <v/>
      </c>
    </row>
    <row r="2154" spans="2:9" x14ac:dyDescent="0.25">
      <c r="B2154" s="39"/>
      <c r="C2154" s="40"/>
      <c r="D2154" s="40"/>
      <c r="F2154" s="40"/>
      <c r="G2154" s="40"/>
      <c r="H2154" s="42"/>
      <c r="I2154" s="42" t="str">
        <f t="shared" si="29"/>
        <v/>
      </c>
    </row>
    <row r="2155" spans="2:9" x14ac:dyDescent="0.25">
      <c r="B2155" s="39"/>
      <c r="C2155" s="40"/>
      <c r="D2155" s="40"/>
      <c r="F2155" s="40"/>
      <c r="G2155" s="40"/>
      <c r="H2155" s="42"/>
      <c r="I2155" s="42" t="str">
        <f t="shared" si="29"/>
        <v/>
      </c>
    </row>
    <row r="2156" spans="2:9" x14ac:dyDescent="0.25">
      <c r="B2156" s="39"/>
      <c r="C2156" s="40"/>
      <c r="D2156" s="40"/>
      <c r="F2156" s="40"/>
      <c r="G2156" s="40"/>
      <c r="H2156" s="42"/>
      <c r="I2156" s="42" t="str">
        <f t="shared" si="29"/>
        <v/>
      </c>
    </row>
    <row r="2157" spans="2:9" x14ac:dyDescent="0.25">
      <c r="B2157" s="39"/>
      <c r="C2157" s="40"/>
      <c r="D2157" s="40"/>
      <c r="F2157" s="40"/>
      <c r="G2157" s="40"/>
      <c r="H2157" s="42"/>
      <c r="I2157" s="42" t="str">
        <f t="shared" si="29"/>
        <v/>
      </c>
    </row>
    <row r="2158" spans="2:9" x14ac:dyDescent="0.25">
      <c r="B2158" s="39"/>
      <c r="C2158" s="40"/>
      <c r="D2158" s="40"/>
      <c r="F2158" s="40"/>
      <c r="G2158" s="40"/>
      <c r="H2158" s="42"/>
      <c r="I2158" s="42" t="str">
        <f t="shared" si="29"/>
        <v/>
      </c>
    </row>
    <row r="2159" spans="2:9" x14ac:dyDescent="0.25">
      <c r="B2159" s="39"/>
      <c r="C2159" s="40"/>
      <c r="D2159" s="40"/>
      <c r="F2159" s="40"/>
      <c r="G2159" s="40"/>
      <c r="H2159" s="42"/>
      <c r="I2159" s="42" t="str">
        <f t="shared" si="29"/>
        <v/>
      </c>
    </row>
    <row r="2160" spans="2:9" x14ac:dyDescent="0.25">
      <c r="B2160" s="39"/>
      <c r="C2160" s="40"/>
      <c r="D2160" s="40"/>
      <c r="F2160" s="40"/>
      <c r="G2160" s="40"/>
      <c r="H2160" s="42"/>
      <c r="I2160" s="42" t="str">
        <f t="shared" si="29"/>
        <v/>
      </c>
    </row>
    <row r="2161" spans="2:9" x14ac:dyDescent="0.25">
      <c r="B2161" s="39"/>
      <c r="C2161" s="40"/>
      <c r="D2161" s="40"/>
      <c r="F2161" s="40"/>
      <c r="G2161" s="40"/>
      <c r="H2161" s="42"/>
      <c r="I2161" s="42" t="str">
        <f t="shared" si="29"/>
        <v/>
      </c>
    </row>
    <row r="2162" spans="2:9" x14ac:dyDescent="0.25">
      <c r="B2162" s="39"/>
      <c r="C2162" s="40"/>
      <c r="D2162" s="40"/>
      <c r="F2162" s="40"/>
      <c r="G2162" s="40"/>
      <c r="H2162" s="42"/>
      <c r="I2162" s="42" t="str">
        <f t="shared" si="29"/>
        <v/>
      </c>
    </row>
    <row r="2163" spans="2:9" x14ac:dyDescent="0.25">
      <c r="B2163" s="39"/>
      <c r="C2163" s="40"/>
      <c r="D2163" s="40"/>
      <c r="F2163" s="40"/>
      <c r="G2163" s="40"/>
      <c r="H2163" s="42"/>
      <c r="I2163" s="42" t="str">
        <f t="shared" si="29"/>
        <v/>
      </c>
    </row>
    <row r="2164" spans="2:9" x14ac:dyDescent="0.25">
      <c r="B2164" s="39"/>
      <c r="C2164" s="40"/>
      <c r="D2164" s="40"/>
      <c r="F2164" s="40"/>
      <c r="G2164" s="40"/>
      <c r="H2164" s="42"/>
      <c r="I2164" s="42" t="str">
        <f t="shared" si="29"/>
        <v/>
      </c>
    </row>
    <row r="2165" spans="2:9" x14ac:dyDescent="0.25">
      <c r="B2165" s="39"/>
      <c r="C2165" s="40"/>
      <c r="D2165" s="40"/>
      <c r="F2165" s="40"/>
      <c r="G2165" s="40"/>
      <c r="H2165" s="42"/>
      <c r="I2165" s="42" t="str">
        <f t="shared" si="29"/>
        <v/>
      </c>
    </row>
    <row r="2166" spans="2:9" x14ac:dyDescent="0.25">
      <c r="B2166" s="39"/>
      <c r="C2166" s="40"/>
      <c r="D2166" s="40"/>
      <c r="F2166" s="40"/>
      <c r="G2166" s="40"/>
      <c r="H2166" s="42"/>
      <c r="I2166" s="42" t="str">
        <f t="shared" si="29"/>
        <v/>
      </c>
    </row>
    <row r="2167" spans="2:9" x14ac:dyDescent="0.25">
      <c r="B2167" s="39"/>
      <c r="C2167" s="40"/>
      <c r="D2167" s="40"/>
      <c r="F2167" s="40"/>
      <c r="G2167" s="40"/>
      <c r="H2167" s="42"/>
      <c r="I2167" s="42" t="str">
        <f t="shared" si="29"/>
        <v/>
      </c>
    </row>
    <row r="2168" spans="2:9" x14ac:dyDescent="0.25">
      <c r="B2168" s="39"/>
      <c r="C2168" s="40"/>
      <c r="D2168" s="40"/>
      <c r="F2168" s="40"/>
      <c r="G2168" s="40"/>
      <c r="H2168" s="42"/>
      <c r="I2168" s="42" t="str">
        <f t="shared" si="29"/>
        <v/>
      </c>
    </row>
    <row r="2169" spans="2:9" x14ac:dyDescent="0.25">
      <c r="B2169" s="39"/>
      <c r="C2169" s="40"/>
      <c r="D2169" s="40"/>
      <c r="F2169" s="40"/>
      <c r="G2169" s="40"/>
      <c r="H2169" s="42"/>
      <c r="I2169" s="42" t="str">
        <f t="shared" si="29"/>
        <v/>
      </c>
    </row>
    <row r="2170" spans="2:9" x14ac:dyDescent="0.25">
      <c r="B2170" s="39"/>
      <c r="C2170" s="40"/>
      <c r="D2170" s="40"/>
      <c r="F2170" s="40"/>
      <c r="G2170" s="40"/>
      <c r="H2170" s="42"/>
      <c r="I2170" s="42" t="str">
        <f t="shared" si="29"/>
        <v/>
      </c>
    </row>
    <row r="2171" spans="2:9" x14ac:dyDescent="0.25">
      <c r="B2171" s="39"/>
      <c r="C2171" s="40"/>
      <c r="D2171" s="40"/>
      <c r="F2171" s="40"/>
      <c r="G2171" s="40"/>
      <c r="H2171" s="42"/>
      <c r="I2171" s="42" t="str">
        <f t="shared" si="29"/>
        <v/>
      </c>
    </row>
    <row r="2172" spans="2:9" x14ac:dyDescent="0.25">
      <c r="B2172" s="39"/>
      <c r="C2172" s="40"/>
      <c r="D2172" s="40"/>
      <c r="F2172" s="40"/>
      <c r="G2172" s="40"/>
      <c r="H2172" s="42"/>
      <c r="I2172" s="42" t="str">
        <f t="shared" si="29"/>
        <v/>
      </c>
    </row>
    <row r="2173" spans="2:9" x14ac:dyDescent="0.25">
      <c r="B2173" s="39"/>
      <c r="C2173" s="40"/>
      <c r="D2173" s="40"/>
      <c r="F2173" s="40"/>
      <c r="G2173" s="40"/>
      <c r="H2173" s="42"/>
      <c r="I2173" s="42" t="str">
        <f t="shared" si="29"/>
        <v/>
      </c>
    </row>
    <row r="2174" spans="2:9" x14ac:dyDescent="0.25">
      <c r="B2174" s="39"/>
      <c r="C2174" s="40"/>
      <c r="D2174" s="40"/>
      <c r="F2174" s="40"/>
      <c r="G2174" s="40"/>
      <c r="H2174" s="42"/>
      <c r="I2174" s="42" t="str">
        <f t="shared" si="29"/>
        <v/>
      </c>
    </row>
    <row r="2175" spans="2:9" x14ac:dyDescent="0.25">
      <c r="B2175" s="39"/>
      <c r="C2175" s="40"/>
      <c r="D2175" s="40"/>
      <c r="F2175" s="40"/>
      <c r="G2175" s="40"/>
      <c r="H2175" s="42"/>
      <c r="I2175" s="42" t="str">
        <f t="shared" si="29"/>
        <v/>
      </c>
    </row>
    <row r="2176" spans="2:9" x14ac:dyDescent="0.25">
      <c r="B2176" s="39"/>
      <c r="C2176" s="40"/>
      <c r="D2176" s="40"/>
      <c r="F2176" s="40"/>
      <c r="G2176" s="40"/>
      <c r="H2176" s="42"/>
      <c r="I2176" s="42" t="str">
        <f t="shared" ref="I2176:I2239" si="30">IF(H2176&lt;&gt;"",H2176-H2175,"")</f>
        <v/>
      </c>
    </row>
    <row r="2177" spans="2:9" x14ac:dyDescent="0.25">
      <c r="B2177" s="39"/>
      <c r="C2177" s="40"/>
      <c r="D2177" s="40"/>
      <c r="F2177" s="40"/>
      <c r="G2177" s="40"/>
      <c r="H2177" s="42"/>
      <c r="I2177" s="42" t="str">
        <f t="shared" si="30"/>
        <v/>
      </c>
    </row>
    <row r="2178" spans="2:9" x14ac:dyDescent="0.25">
      <c r="B2178" s="39"/>
      <c r="C2178" s="40"/>
      <c r="D2178" s="40"/>
      <c r="F2178" s="40"/>
      <c r="G2178" s="40"/>
      <c r="H2178" s="42"/>
      <c r="I2178" s="42" t="str">
        <f t="shared" si="30"/>
        <v/>
      </c>
    </row>
    <row r="2179" spans="2:9" x14ac:dyDescent="0.25">
      <c r="B2179" s="39"/>
      <c r="C2179" s="40"/>
      <c r="D2179" s="40"/>
      <c r="F2179" s="40"/>
      <c r="G2179" s="40"/>
      <c r="H2179" s="42"/>
      <c r="I2179" s="42" t="str">
        <f t="shared" si="30"/>
        <v/>
      </c>
    </row>
    <row r="2180" spans="2:9" x14ac:dyDescent="0.25">
      <c r="B2180" s="39"/>
      <c r="C2180" s="40"/>
      <c r="D2180" s="40"/>
      <c r="F2180" s="40"/>
      <c r="G2180" s="40"/>
      <c r="H2180" s="42"/>
      <c r="I2180" s="42" t="str">
        <f t="shared" si="30"/>
        <v/>
      </c>
    </row>
    <row r="2181" spans="2:9" x14ac:dyDescent="0.25">
      <c r="B2181" s="39"/>
      <c r="C2181" s="40"/>
      <c r="D2181" s="40"/>
      <c r="F2181" s="40"/>
      <c r="G2181" s="40"/>
      <c r="H2181" s="42"/>
      <c r="I2181" s="42" t="str">
        <f t="shared" si="30"/>
        <v/>
      </c>
    </row>
    <row r="2182" spans="2:9" x14ac:dyDescent="0.25">
      <c r="B2182" s="39"/>
      <c r="C2182" s="40"/>
      <c r="D2182" s="40"/>
      <c r="F2182" s="40"/>
      <c r="G2182" s="40"/>
      <c r="H2182" s="42"/>
      <c r="I2182" s="42" t="str">
        <f t="shared" si="30"/>
        <v/>
      </c>
    </row>
    <row r="2183" spans="2:9" x14ac:dyDescent="0.25">
      <c r="B2183" s="39"/>
      <c r="C2183" s="40"/>
      <c r="D2183" s="40"/>
      <c r="F2183" s="40"/>
      <c r="G2183" s="40"/>
      <c r="H2183" s="42"/>
      <c r="I2183" s="42" t="str">
        <f t="shared" si="30"/>
        <v/>
      </c>
    </row>
    <row r="2184" spans="2:9" x14ac:dyDescent="0.25">
      <c r="B2184" s="39"/>
      <c r="C2184" s="40"/>
      <c r="D2184" s="40"/>
      <c r="F2184" s="40"/>
      <c r="G2184" s="40"/>
      <c r="H2184" s="42"/>
      <c r="I2184" s="42" t="str">
        <f t="shared" si="30"/>
        <v/>
      </c>
    </row>
    <row r="2185" spans="2:9" x14ac:dyDescent="0.25">
      <c r="B2185" s="39"/>
      <c r="C2185" s="40"/>
      <c r="D2185" s="40"/>
      <c r="F2185" s="40"/>
      <c r="G2185" s="40"/>
      <c r="H2185" s="42"/>
      <c r="I2185" s="42" t="str">
        <f t="shared" si="30"/>
        <v/>
      </c>
    </row>
    <row r="2186" spans="2:9" x14ac:dyDescent="0.25">
      <c r="B2186" s="39"/>
      <c r="C2186" s="40"/>
      <c r="D2186" s="40"/>
      <c r="F2186" s="40"/>
      <c r="G2186" s="40"/>
      <c r="H2186" s="42"/>
      <c r="I2186" s="42" t="str">
        <f t="shared" si="30"/>
        <v/>
      </c>
    </row>
    <row r="2187" spans="2:9" x14ac:dyDescent="0.25">
      <c r="B2187" s="39"/>
      <c r="C2187" s="40"/>
      <c r="D2187" s="40"/>
      <c r="F2187" s="40"/>
      <c r="G2187" s="40"/>
      <c r="H2187" s="42"/>
      <c r="I2187" s="42" t="str">
        <f t="shared" si="30"/>
        <v/>
      </c>
    </row>
    <row r="2188" spans="2:9" x14ac:dyDescent="0.25">
      <c r="B2188" s="39"/>
      <c r="C2188" s="40"/>
      <c r="D2188" s="40"/>
      <c r="F2188" s="40"/>
      <c r="G2188" s="40"/>
      <c r="H2188" s="42"/>
      <c r="I2188" s="42" t="str">
        <f t="shared" si="30"/>
        <v/>
      </c>
    </row>
    <row r="2189" spans="2:9" x14ac:dyDescent="0.25">
      <c r="B2189" s="39"/>
      <c r="C2189" s="40"/>
      <c r="D2189" s="40"/>
      <c r="F2189" s="40"/>
      <c r="G2189" s="40"/>
      <c r="H2189" s="42"/>
      <c r="I2189" s="42" t="str">
        <f t="shared" si="30"/>
        <v/>
      </c>
    </row>
    <row r="2190" spans="2:9" x14ac:dyDescent="0.25">
      <c r="B2190" s="39"/>
      <c r="C2190" s="40"/>
      <c r="D2190" s="40"/>
      <c r="F2190" s="40"/>
      <c r="G2190" s="40"/>
      <c r="H2190" s="42"/>
      <c r="I2190" s="42" t="str">
        <f t="shared" si="30"/>
        <v/>
      </c>
    </row>
    <row r="2191" spans="2:9" x14ac:dyDescent="0.25">
      <c r="B2191" s="39"/>
      <c r="C2191" s="40"/>
      <c r="D2191" s="40"/>
      <c r="F2191" s="40"/>
      <c r="G2191" s="40"/>
      <c r="H2191" s="42"/>
      <c r="I2191" s="42" t="str">
        <f t="shared" si="30"/>
        <v/>
      </c>
    </row>
    <row r="2192" spans="2:9" x14ac:dyDescent="0.25">
      <c r="B2192" s="39"/>
      <c r="C2192" s="40"/>
      <c r="D2192" s="40"/>
      <c r="F2192" s="40"/>
      <c r="G2192" s="40"/>
      <c r="H2192" s="42"/>
      <c r="I2192" s="42" t="str">
        <f t="shared" si="30"/>
        <v/>
      </c>
    </row>
    <row r="2193" spans="2:9" x14ac:dyDescent="0.25">
      <c r="B2193" s="39"/>
      <c r="C2193" s="40"/>
      <c r="D2193" s="40"/>
      <c r="F2193" s="40"/>
      <c r="G2193" s="40"/>
      <c r="H2193" s="42"/>
      <c r="I2193" s="42" t="str">
        <f t="shared" si="30"/>
        <v/>
      </c>
    </row>
    <row r="2194" spans="2:9" x14ac:dyDescent="0.25">
      <c r="B2194" s="39"/>
      <c r="C2194" s="40"/>
      <c r="D2194" s="40"/>
      <c r="F2194" s="40"/>
      <c r="G2194" s="40"/>
      <c r="H2194" s="42"/>
      <c r="I2194" s="42" t="str">
        <f t="shared" si="30"/>
        <v/>
      </c>
    </row>
    <row r="2195" spans="2:9" x14ac:dyDescent="0.25">
      <c r="B2195" s="39"/>
      <c r="C2195" s="40"/>
      <c r="D2195" s="40"/>
      <c r="F2195" s="40"/>
      <c r="G2195" s="40"/>
      <c r="H2195" s="42"/>
      <c r="I2195" s="42" t="str">
        <f t="shared" si="30"/>
        <v/>
      </c>
    </row>
    <row r="2196" spans="2:9" x14ac:dyDescent="0.25">
      <c r="B2196" s="39"/>
      <c r="C2196" s="40"/>
      <c r="D2196" s="40"/>
      <c r="F2196" s="40"/>
      <c r="G2196" s="40"/>
      <c r="H2196" s="42"/>
      <c r="I2196" s="42" t="str">
        <f t="shared" si="30"/>
        <v/>
      </c>
    </row>
    <row r="2197" spans="2:9" x14ac:dyDescent="0.25">
      <c r="B2197" s="39"/>
      <c r="C2197" s="40"/>
      <c r="D2197" s="40"/>
      <c r="F2197" s="40"/>
      <c r="G2197" s="40"/>
      <c r="H2197" s="42"/>
      <c r="I2197" s="42" t="str">
        <f t="shared" si="30"/>
        <v/>
      </c>
    </row>
    <row r="2198" spans="2:9" x14ac:dyDescent="0.25">
      <c r="B2198" s="39"/>
      <c r="C2198" s="40"/>
      <c r="D2198" s="40"/>
      <c r="F2198" s="40"/>
      <c r="G2198" s="40"/>
      <c r="H2198" s="42"/>
      <c r="I2198" s="42" t="str">
        <f t="shared" si="30"/>
        <v/>
      </c>
    </row>
    <row r="2199" spans="2:9" x14ac:dyDescent="0.25">
      <c r="B2199" s="39"/>
      <c r="C2199" s="40"/>
      <c r="D2199" s="40"/>
      <c r="F2199" s="40"/>
      <c r="G2199" s="40"/>
      <c r="H2199" s="42"/>
      <c r="I2199" s="42" t="str">
        <f t="shared" si="30"/>
        <v/>
      </c>
    </row>
    <row r="2200" spans="2:9" x14ac:dyDescent="0.25">
      <c r="B2200" s="39"/>
      <c r="C2200" s="40"/>
      <c r="D2200" s="40"/>
      <c r="F2200" s="40"/>
      <c r="G2200" s="40"/>
      <c r="H2200" s="42"/>
      <c r="I2200" s="42" t="str">
        <f t="shared" si="30"/>
        <v/>
      </c>
    </row>
    <row r="2201" spans="2:9" x14ac:dyDescent="0.25">
      <c r="B2201" s="39"/>
      <c r="C2201" s="40"/>
      <c r="D2201" s="40"/>
      <c r="F2201" s="40"/>
      <c r="G2201" s="40"/>
      <c r="H2201" s="42"/>
      <c r="I2201" s="42" t="str">
        <f t="shared" si="30"/>
        <v/>
      </c>
    </row>
    <row r="2202" spans="2:9" x14ac:dyDescent="0.25">
      <c r="B2202" s="39"/>
      <c r="C2202" s="40"/>
      <c r="D2202" s="40"/>
      <c r="F2202" s="40"/>
      <c r="G2202" s="40"/>
      <c r="H2202" s="42"/>
      <c r="I2202" s="42" t="str">
        <f t="shared" si="30"/>
        <v/>
      </c>
    </row>
    <row r="2203" spans="2:9" x14ac:dyDescent="0.25">
      <c r="B2203" s="39"/>
      <c r="C2203" s="40"/>
      <c r="D2203" s="40"/>
      <c r="F2203" s="40"/>
      <c r="G2203" s="40"/>
      <c r="H2203" s="42"/>
      <c r="I2203" s="42" t="str">
        <f t="shared" si="30"/>
        <v/>
      </c>
    </row>
    <row r="2204" spans="2:9" x14ac:dyDescent="0.25">
      <c r="B2204" s="39"/>
      <c r="C2204" s="40"/>
      <c r="D2204" s="40"/>
      <c r="F2204" s="40"/>
      <c r="G2204" s="40"/>
      <c r="H2204" s="42"/>
      <c r="I2204" s="42" t="str">
        <f t="shared" si="30"/>
        <v/>
      </c>
    </row>
    <row r="2205" spans="2:9" x14ac:dyDescent="0.25">
      <c r="B2205" s="39"/>
      <c r="C2205" s="40"/>
      <c r="D2205" s="40"/>
      <c r="F2205" s="40"/>
      <c r="G2205" s="40"/>
      <c r="H2205" s="42"/>
      <c r="I2205" s="42" t="str">
        <f t="shared" si="30"/>
        <v/>
      </c>
    </row>
    <row r="2206" spans="2:9" x14ac:dyDescent="0.25">
      <c r="B2206" s="39"/>
      <c r="C2206" s="40"/>
      <c r="D2206" s="40"/>
      <c r="F2206" s="40"/>
      <c r="G2206" s="40"/>
      <c r="H2206" s="42"/>
      <c r="I2206" s="42" t="str">
        <f t="shared" si="30"/>
        <v/>
      </c>
    </row>
    <row r="2207" spans="2:9" x14ac:dyDescent="0.25">
      <c r="B2207" s="39"/>
      <c r="C2207" s="40"/>
      <c r="D2207" s="40"/>
      <c r="F2207" s="40"/>
      <c r="G2207" s="40"/>
      <c r="H2207" s="42"/>
      <c r="I2207" s="42" t="str">
        <f t="shared" si="30"/>
        <v/>
      </c>
    </row>
    <row r="2208" spans="2:9" x14ac:dyDescent="0.25">
      <c r="B2208" s="39"/>
      <c r="C2208" s="40"/>
      <c r="D2208" s="40"/>
      <c r="F2208" s="40"/>
      <c r="G2208" s="40"/>
      <c r="H2208" s="42"/>
      <c r="I2208" s="42" t="str">
        <f t="shared" si="30"/>
        <v/>
      </c>
    </row>
    <row r="2209" spans="2:9" x14ac:dyDescent="0.25">
      <c r="B2209" s="39"/>
      <c r="C2209" s="40"/>
      <c r="D2209" s="40"/>
      <c r="F2209" s="40"/>
      <c r="G2209" s="40"/>
      <c r="H2209" s="42"/>
      <c r="I2209" s="42" t="str">
        <f t="shared" si="30"/>
        <v/>
      </c>
    </row>
    <row r="2210" spans="2:9" x14ac:dyDescent="0.25">
      <c r="B2210" s="39"/>
      <c r="C2210" s="40"/>
      <c r="D2210" s="40"/>
      <c r="F2210" s="40"/>
      <c r="G2210" s="40"/>
      <c r="H2210" s="42"/>
      <c r="I2210" s="42" t="str">
        <f t="shared" si="30"/>
        <v/>
      </c>
    </row>
    <row r="2211" spans="2:9" x14ac:dyDescent="0.25">
      <c r="B2211" s="39"/>
      <c r="C2211" s="40"/>
      <c r="D2211" s="40"/>
      <c r="F2211" s="40"/>
      <c r="G2211" s="40"/>
      <c r="H2211" s="42"/>
      <c r="I2211" s="42" t="str">
        <f t="shared" si="30"/>
        <v/>
      </c>
    </row>
    <row r="2212" spans="2:9" x14ac:dyDescent="0.25">
      <c r="B2212" s="39"/>
      <c r="C2212" s="40"/>
      <c r="D2212" s="40"/>
      <c r="F2212" s="40"/>
      <c r="G2212" s="40"/>
      <c r="H2212" s="42"/>
      <c r="I2212" s="42" t="str">
        <f t="shared" si="30"/>
        <v/>
      </c>
    </row>
    <row r="2213" spans="2:9" x14ac:dyDescent="0.25">
      <c r="B2213" s="39"/>
      <c r="C2213" s="40"/>
      <c r="D2213" s="40"/>
      <c r="F2213" s="40"/>
      <c r="G2213" s="40"/>
      <c r="H2213" s="42"/>
      <c r="I2213" s="42" t="str">
        <f t="shared" si="30"/>
        <v/>
      </c>
    </row>
    <row r="2214" spans="2:9" x14ac:dyDescent="0.25">
      <c r="B2214" s="39"/>
      <c r="C2214" s="40"/>
      <c r="D2214" s="40"/>
      <c r="F2214" s="40"/>
      <c r="G2214" s="40"/>
      <c r="H2214" s="42"/>
      <c r="I2214" s="42" t="str">
        <f t="shared" si="30"/>
        <v/>
      </c>
    </row>
    <row r="2215" spans="2:9" x14ac:dyDescent="0.25">
      <c r="B2215" s="39"/>
      <c r="C2215" s="40"/>
      <c r="D2215" s="40"/>
      <c r="F2215" s="40"/>
      <c r="G2215" s="40"/>
      <c r="H2215" s="42"/>
      <c r="I2215" s="42" t="str">
        <f t="shared" si="30"/>
        <v/>
      </c>
    </row>
    <row r="2216" spans="2:9" x14ac:dyDescent="0.25">
      <c r="B2216" s="39"/>
      <c r="C2216" s="40"/>
      <c r="D2216" s="40"/>
      <c r="F2216" s="40"/>
      <c r="G2216" s="40"/>
      <c r="H2216" s="42"/>
      <c r="I2216" s="42" t="str">
        <f t="shared" si="30"/>
        <v/>
      </c>
    </row>
    <row r="2217" spans="2:9" x14ac:dyDescent="0.25">
      <c r="B2217" s="39"/>
      <c r="C2217" s="40"/>
      <c r="D2217" s="40"/>
      <c r="F2217" s="40"/>
      <c r="G2217" s="40"/>
      <c r="H2217" s="42"/>
      <c r="I2217" s="42" t="str">
        <f t="shared" si="30"/>
        <v/>
      </c>
    </row>
    <row r="2218" spans="2:9" x14ac:dyDescent="0.25">
      <c r="B2218" s="39"/>
      <c r="C2218" s="40"/>
      <c r="D2218" s="40"/>
      <c r="F2218" s="40"/>
      <c r="G2218" s="40"/>
      <c r="H2218" s="42"/>
      <c r="I2218" s="42" t="str">
        <f t="shared" si="30"/>
        <v/>
      </c>
    </row>
    <row r="2219" spans="2:9" x14ac:dyDescent="0.25">
      <c r="B2219" s="39"/>
      <c r="C2219" s="40"/>
      <c r="D2219" s="40"/>
      <c r="F2219" s="40"/>
      <c r="G2219" s="40"/>
      <c r="H2219" s="42"/>
      <c r="I2219" s="42" t="str">
        <f t="shared" si="30"/>
        <v/>
      </c>
    </row>
    <row r="2220" spans="2:9" x14ac:dyDescent="0.25">
      <c r="B2220" s="39"/>
      <c r="C2220" s="40"/>
      <c r="D2220" s="40"/>
      <c r="F2220" s="40"/>
      <c r="G2220" s="40"/>
      <c r="H2220" s="42"/>
      <c r="I2220" s="42" t="str">
        <f t="shared" si="30"/>
        <v/>
      </c>
    </row>
    <row r="2221" spans="2:9" x14ac:dyDescent="0.25">
      <c r="B2221" s="39"/>
      <c r="C2221" s="40"/>
      <c r="D2221" s="40"/>
      <c r="F2221" s="40"/>
      <c r="G2221" s="40"/>
      <c r="H2221" s="42"/>
      <c r="I2221" s="42" t="str">
        <f t="shared" si="30"/>
        <v/>
      </c>
    </row>
    <row r="2222" spans="2:9" x14ac:dyDescent="0.25">
      <c r="B2222" s="39"/>
      <c r="C2222" s="40"/>
      <c r="D2222" s="40"/>
      <c r="F2222" s="40"/>
      <c r="G2222" s="40"/>
      <c r="H2222" s="42"/>
      <c r="I2222" s="42" t="str">
        <f t="shared" si="30"/>
        <v/>
      </c>
    </row>
    <row r="2223" spans="2:9" x14ac:dyDescent="0.25">
      <c r="B2223" s="39"/>
      <c r="C2223" s="40"/>
      <c r="D2223" s="40"/>
      <c r="F2223" s="40"/>
      <c r="G2223" s="40"/>
      <c r="H2223" s="42"/>
      <c r="I2223" s="42" t="str">
        <f t="shared" si="30"/>
        <v/>
      </c>
    </row>
    <row r="2224" spans="2:9" x14ac:dyDescent="0.25">
      <c r="B2224" s="39"/>
      <c r="C2224" s="40"/>
      <c r="D2224" s="40"/>
      <c r="F2224" s="40"/>
      <c r="G2224" s="40"/>
      <c r="H2224" s="42"/>
      <c r="I2224" s="42" t="str">
        <f t="shared" si="30"/>
        <v/>
      </c>
    </row>
    <row r="2225" spans="2:9" x14ac:dyDescent="0.25">
      <c r="B2225" s="39"/>
      <c r="C2225" s="40"/>
      <c r="D2225" s="40"/>
      <c r="F2225" s="40"/>
      <c r="G2225" s="40"/>
      <c r="H2225" s="42"/>
      <c r="I2225" s="42" t="str">
        <f t="shared" si="30"/>
        <v/>
      </c>
    </row>
    <row r="2226" spans="2:9" x14ac:dyDescent="0.25">
      <c r="B2226" s="39"/>
      <c r="C2226" s="40"/>
      <c r="D2226" s="40"/>
      <c r="F2226" s="40"/>
      <c r="G2226" s="40"/>
      <c r="H2226" s="42"/>
      <c r="I2226" s="42" t="str">
        <f t="shared" si="30"/>
        <v/>
      </c>
    </row>
    <row r="2227" spans="2:9" x14ac:dyDescent="0.25">
      <c r="B2227" s="39"/>
      <c r="C2227" s="40"/>
      <c r="D2227" s="40"/>
      <c r="F2227" s="40"/>
      <c r="G2227" s="40"/>
      <c r="H2227" s="42"/>
      <c r="I2227" s="42" t="str">
        <f t="shared" si="30"/>
        <v/>
      </c>
    </row>
    <row r="2228" spans="2:9" x14ac:dyDescent="0.25">
      <c r="B2228" s="39"/>
      <c r="C2228" s="40"/>
      <c r="D2228" s="40"/>
      <c r="F2228" s="40"/>
      <c r="G2228" s="40"/>
      <c r="H2228" s="42"/>
      <c r="I2228" s="42" t="str">
        <f t="shared" si="30"/>
        <v/>
      </c>
    </row>
    <row r="2229" spans="2:9" x14ac:dyDescent="0.25">
      <c r="B2229" s="39"/>
      <c r="C2229" s="40"/>
      <c r="D2229" s="40"/>
      <c r="F2229" s="40"/>
      <c r="G2229" s="40"/>
      <c r="H2229" s="42"/>
      <c r="I2229" s="42" t="str">
        <f t="shared" si="30"/>
        <v/>
      </c>
    </row>
    <row r="2230" spans="2:9" x14ac:dyDescent="0.25">
      <c r="B2230" s="39"/>
      <c r="C2230" s="40"/>
      <c r="D2230" s="40"/>
      <c r="F2230" s="40"/>
      <c r="G2230" s="40"/>
      <c r="H2230" s="42"/>
      <c r="I2230" s="42" t="str">
        <f t="shared" si="30"/>
        <v/>
      </c>
    </row>
    <row r="2231" spans="2:9" x14ac:dyDescent="0.25">
      <c r="B2231" s="39"/>
      <c r="C2231" s="40"/>
      <c r="D2231" s="40"/>
      <c r="F2231" s="40"/>
      <c r="G2231" s="40"/>
      <c r="H2231" s="42"/>
      <c r="I2231" s="42" t="str">
        <f t="shared" si="30"/>
        <v/>
      </c>
    </row>
    <row r="2232" spans="2:9" x14ac:dyDescent="0.25">
      <c r="B2232" s="39"/>
      <c r="C2232" s="40"/>
      <c r="D2232" s="40"/>
      <c r="F2232" s="40"/>
      <c r="G2232" s="40"/>
      <c r="H2232" s="42"/>
      <c r="I2232" s="42" t="str">
        <f t="shared" si="30"/>
        <v/>
      </c>
    </row>
    <row r="2233" spans="2:9" x14ac:dyDescent="0.25">
      <c r="B2233" s="39"/>
      <c r="C2233" s="40"/>
      <c r="D2233" s="40"/>
      <c r="F2233" s="40"/>
      <c r="G2233" s="40"/>
      <c r="H2233" s="42"/>
      <c r="I2233" s="42" t="str">
        <f t="shared" si="30"/>
        <v/>
      </c>
    </row>
    <row r="2234" spans="2:9" x14ac:dyDescent="0.25">
      <c r="B2234" s="39"/>
      <c r="C2234" s="40"/>
      <c r="D2234" s="40"/>
      <c r="F2234" s="40"/>
      <c r="G2234" s="40"/>
      <c r="H2234" s="42"/>
      <c r="I2234" s="42" t="str">
        <f t="shared" si="30"/>
        <v/>
      </c>
    </row>
    <row r="2235" spans="2:9" x14ac:dyDescent="0.25">
      <c r="B2235" s="39"/>
      <c r="C2235" s="40"/>
      <c r="D2235" s="40"/>
      <c r="F2235" s="40"/>
      <c r="G2235" s="40"/>
      <c r="H2235" s="42"/>
      <c r="I2235" s="42" t="str">
        <f t="shared" si="30"/>
        <v/>
      </c>
    </row>
    <row r="2236" spans="2:9" x14ac:dyDescent="0.25">
      <c r="B2236" s="39"/>
      <c r="C2236" s="40"/>
      <c r="D2236" s="40"/>
      <c r="F2236" s="40"/>
      <c r="G2236" s="40"/>
      <c r="H2236" s="42"/>
      <c r="I2236" s="42" t="str">
        <f t="shared" si="30"/>
        <v/>
      </c>
    </row>
    <row r="2237" spans="2:9" x14ac:dyDescent="0.25">
      <c r="B2237" s="39"/>
      <c r="C2237" s="40"/>
      <c r="D2237" s="40"/>
      <c r="F2237" s="40"/>
      <c r="G2237" s="40"/>
      <c r="H2237" s="42"/>
      <c r="I2237" s="42" t="str">
        <f t="shared" si="30"/>
        <v/>
      </c>
    </row>
    <row r="2238" spans="2:9" x14ac:dyDescent="0.25">
      <c r="B2238" s="39"/>
      <c r="C2238" s="40"/>
      <c r="D2238" s="40"/>
      <c r="F2238" s="40"/>
      <c r="G2238" s="40"/>
      <c r="H2238" s="42"/>
      <c r="I2238" s="42" t="str">
        <f t="shared" si="30"/>
        <v/>
      </c>
    </row>
    <row r="2239" spans="2:9" x14ac:dyDescent="0.25">
      <c r="B2239" s="39"/>
      <c r="C2239" s="40"/>
      <c r="D2239" s="40"/>
      <c r="F2239" s="40"/>
      <c r="G2239" s="40"/>
      <c r="H2239" s="42"/>
      <c r="I2239" s="42" t="str">
        <f t="shared" si="30"/>
        <v/>
      </c>
    </row>
    <row r="2240" spans="2:9" x14ac:dyDescent="0.25">
      <c r="B2240" s="39"/>
      <c r="C2240" s="40"/>
      <c r="D2240" s="40"/>
      <c r="F2240" s="40"/>
      <c r="G2240" s="40"/>
      <c r="H2240" s="42"/>
      <c r="I2240" s="42" t="str">
        <f t="shared" ref="I2240:I2303" si="31">IF(H2240&lt;&gt;"",H2240-H2239,"")</f>
        <v/>
      </c>
    </row>
    <row r="2241" spans="2:9" x14ac:dyDescent="0.25">
      <c r="B2241" s="39"/>
      <c r="C2241" s="40"/>
      <c r="D2241" s="40"/>
      <c r="F2241" s="40"/>
      <c r="G2241" s="40"/>
      <c r="H2241" s="42"/>
      <c r="I2241" s="42" t="str">
        <f t="shared" si="31"/>
        <v/>
      </c>
    </row>
    <row r="2242" spans="2:9" x14ac:dyDescent="0.25">
      <c r="B2242" s="39"/>
      <c r="C2242" s="40"/>
      <c r="D2242" s="40"/>
      <c r="F2242" s="40"/>
      <c r="G2242" s="40"/>
      <c r="H2242" s="42"/>
      <c r="I2242" s="42" t="str">
        <f t="shared" si="31"/>
        <v/>
      </c>
    </row>
    <row r="2243" spans="2:9" x14ac:dyDescent="0.25">
      <c r="B2243" s="39"/>
      <c r="C2243" s="40"/>
      <c r="D2243" s="40"/>
      <c r="F2243" s="40"/>
      <c r="G2243" s="40"/>
      <c r="H2243" s="42"/>
      <c r="I2243" s="42" t="str">
        <f t="shared" si="31"/>
        <v/>
      </c>
    </row>
    <row r="2244" spans="2:9" x14ac:dyDescent="0.25">
      <c r="B2244" s="39"/>
      <c r="C2244" s="40"/>
      <c r="D2244" s="40"/>
      <c r="F2244" s="40"/>
      <c r="G2244" s="40"/>
      <c r="H2244" s="42"/>
      <c r="I2244" s="42" t="str">
        <f t="shared" si="31"/>
        <v/>
      </c>
    </row>
    <row r="2245" spans="2:9" x14ac:dyDescent="0.25">
      <c r="B2245" s="39"/>
      <c r="C2245" s="40"/>
      <c r="D2245" s="40"/>
      <c r="F2245" s="40"/>
      <c r="G2245" s="40"/>
      <c r="H2245" s="42"/>
      <c r="I2245" s="42" t="str">
        <f t="shared" si="31"/>
        <v/>
      </c>
    </row>
    <row r="2246" spans="2:9" x14ac:dyDescent="0.25">
      <c r="B2246" s="39"/>
      <c r="C2246" s="40"/>
      <c r="D2246" s="40"/>
      <c r="F2246" s="40"/>
      <c r="G2246" s="40"/>
      <c r="H2246" s="42"/>
      <c r="I2246" s="42" t="str">
        <f t="shared" si="31"/>
        <v/>
      </c>
    </row>
    <row r="2247" spans="2:9" x14ac:dyDescent="0.25">
      <c r="B2247" s="39"/>
      <c r="C2247" s="40"/>
      <c r="D2247" s="40"/>
      <c r="F2247" s="40"/>
      <c r="G2247" s="40"/>
      <c r="H2247" s="42"/>
      <c r="I2247" s="42" t="str">
        <f t="shared" si="31"/>
        <v/>
      </c>
    </row>
    <row r="2248" spans="2:9" x14ac:dyDescent="0.25">
      <c r="B2248" s="39"/>
      <c r="C2248" s="40"/>
      <c r="D2248" s="40"/>
      <c r="F2248" s="40"/>
      <c r="G2248" s="40"/>
      <c r="H2248" s="42"/>
      <c r="I2248" s="42" t="str">
        <f t="shared" si="31"/>
        <v/>
      </c>
    </row>
    <row r="2249" spans="2:9" x14ac:dyDescent="0.25">
      <c r="B2249" s="39"/>
      <c r="C2249" s="40"/>
      <c r="D2249" s="40"/>
      <c r="F2249" s="40"/>
      <c r="G2249" s="40"/>
      <c r="H2249" s="42"/>
      <c r="I2249" s="42" t="str">
        <f t="shared" si="31"/>
        <v/>
      </c>
    </row>
    <row r="2250" spans="2:9" x14ac:dyDescent="0.25">
      <c r="B2250" s="39"/>
      <c r="C2250" s="40"/>
      <c r="D2250" s="40"/>
      <c r="F2250" s="40"/>
      <c r="G2250" s="40"/>
      <c r="H2250" s="42"/>
      <c r="I2250" s="42" t="str">
        <f t="shared" si="31"/>
        <v/>
      </c>
    </row>
    <row r="2251" spans="2:9" x14ac:dyDescent="0.25">
      <c r="B2251" s="39"/>
      <c r="C2251" s="40"/>
      <c r="D2251" s="40"/>
      <c r="F2251" s="40"/>
      <c r="G2251" s="40"/>
      <c r="H2251" s="42"/>
      <c r="I2251" s="42" t="str">
        <f t="shared" si="31"/>
        <v/>
      </c>
    </row>
    <row r="2252" spans="2:9" x14ac:dyDescent="0.25">
      <c r="B2252" s="39"/>
      <c r="C2252" s="40"/>
      <c r="D2252" s="40"/>
      <c r="F2252" s="40"/>
      <c r="G2252" s="40"/>
      <c r="H2252" s="42"/>
      <c r="I2252" s="42" t="str">
        <f t="shared" si="31"/>
        <v/>
      </c>
    </row>
    <row r="2253" spans="2:9" x14ac:dyDescent="0.25">
      <c r="B2253" s="39"/>
      <c r="C2253" s="40"/>
      <c r="D2253" s="40"/>
      <c r="F2253" s="40"/>
      <c r="G2253" s="40"/>
      <c r="H2253" s="42"/>
      <c r="I2253" s="42" t="str">
        <f t="shared" si="31"/>
        <v/>
      </c>
    </row>
    <row r="2254" spans="2:9" x14ac:dyDescent="0.25">
      <c r="B2254" s="39"/>
      <c r="C2254" s="40"/>
      <c r="D2254" s="40"/>
      <c r="F2254" s="40"/>
      <c r="G2254" s="40"/>
      <c r="H2254" s="42"/>
      <c r="I2254" s="42" t="str">
        <f t="shared" si="31"/>
        <v/>
      </c>
    </row>
    <row r="2255" spans="2:9" x14ac:dyDescent="0.25">
      <c r="B2255" s="39"/>
      <c r="C2255" s="40"/>
      <c r="D2255" s="40"/>
      <c r="F2255" s="40"/>
      <c r="G2255" s="40"/>
      <c r="H2255" s="42"/>
      <c r="I2255" s="42" t="str">
        <f t="shared" si="31"/>
        <v/>
      </c>
    </row>
    <row r="2256" spans="2:9" x14ac:dyDescent="0.25">
      <c r="B2256" s="39"/>
      <c r="C2256" s="40"/>
      <c r="D2256" s="40"/>
      <c r="F2256" s="40"/>
      <c r="G2256" s="40"/>
      <c r="H2256" s="42"/>
      <c r="I2256" s="42" t="str">
        <f t="shared" si="31"/>
        <v/>
      </c>
    </row>
    <row r="2257" spans="2:9" x14ac:dyDescent="0.25">
      <c r="B2257" s="39"/>
      <c r="C2257" s="40"/>
      <c r="D2257" s="40"/>
      <c r="F2257" s="40"/>
      <c r="G2257" s="40"/>
      <c r="H2257" s="42"/>
      <c r="I2257" s="42" t="str">
        <f t="shared" si="31"/>
        <v/>
      </c>
    </row>
    <row r="2258" spans="2:9" x14ac:dyDescent="0.25">
      <c r="B2258" s="39"/>
      <c r="C2258" s="40"/>
      <c r="D2258" s="40"/>
      <c r="F2258" s="40"/>
      <c r="G2258" s="40"/>
      <c r="H2258" s="42"/>
      <c r="I2258" s="42" t="str">
        <f t="shared" si="31"/>
        <v/>
      </c>
    </row>
    <row r="2259" spans="2:9" x14ac:dyDescent="0.25">
      <c r="B2259" s="39"/>
      <c r="C2259" s="40"/>
      <c r="D2259" s="40"/>
      <c r="F2259" s="40"/>
      <c r="G2259" s="40"/>
      <c r="H2259" s="42"/>
      <c r="I2259" s="42" t="str">
        <f t="shared" si="31"/>
        <v/>
      </c>
    </row>
    <row r="2260" spans="2:9" x14ac:dyDescent="0.25">
      <c r="B2260" s="39"/>
      <c r="C2260" s="40"/>
      <c r="D2260" s="40"/>
      <c r="F2260" s="40"/>
      <c r="G2260" s="40"/>
      <c r="H2260" s="42"/>
      <c r="I2260" s="42" t="str">
        <f t="shared" si="31"/>
        <v/>
      </c>
    </row>
    <row r="2261" spans="2:9" x14ac:dyDescent="0.25">
      <c r="B2261" s="39"/>
      <c r="C2261" s="40"/>
      <c r="D2261" s="40"/>
      <c r="F2261" s="40"/>
      <c r="G2261" s="40"/>
      <c r="H2261" s="42"/>
      <c r="I2261" s="42" t="str">
        <f t="shared" si="31"/>
        <v/>
      </c>
    </row>
    <row r="2262" spans="2:9" x14ac:dyDescent="0.25">
      <c r="B2262" s="39"/>
      <c r="C2262" s="40"/>
      <c r="D2262" s="40"/>
      <c r="F2262" s="40"/>
      <c r="G2262" s="40"/>
      <c r="H2262" s="42"/>
      <c r="I2262" s="42" t="str">
        <f t="shared" si="31"/>
        <v/>
      </c>
    </row>
    <row r="2263" spans="2:9" x14ac:dyDescent="0.25">
      <c r="B2263" s="39"/>
      <c r="C2263" s="40"/>
      <c r="D2263" s="40"/>
      <c r="F2263" s="40"/>
      <c r="G2263" s="40"/>
      <c r="H2263" s="42"/>
      <c r="I2263" s="42" t="str">
        <f t="shared" si="31"/>
        <v/>
      </c>
    </row>
    <row r="2264" spans="2:9" x14ac:dyDescent="0.25">
      <c r="B2264" s="39"/>
      <c r="C2264" s="40"/>
      <c r="D2264" s="40"/>
      <c r="F2264" s="40"/>
      <c r="G2264" s="40"/>
      <c r="H2264" s="42"/>
      <c r="I2264" s="42" t="str">
        <f t="shared" si="31"/>
        <v/>
      </c>
    </row>
    <row r="2265" spans="2:9" x14ac:dyDescent="0.25">
      <c r="B2265" s="39"/>
      <c r="C2265" s="40"/>
      <c r="D2265" s="40"/>
      <c r="F2265" s="40"/>
      <c r="G2265" s="40"/>
      <c r="H2265" s="42"/>
      <c r="I2265" s="42" t="str">
        <f t="shared" si="31"/>
        <v/>
      </c>
    </row>
    <row r="2266" spans="2:9" x14ac:dyDescent="0.25">
      <c r="B2266" s="39"/>
      <c r="C2266" s="40"/>
      <c r="D2266" s="40"/>
      <c r="F2266" s="40"/>
      <c r="G2266" s="40"/>
      <c r="H2266" s="42"/>
      <c r="I2266" s="42" t="str">
        <f t="shared" si="31"/>
        <v/>
      </c>
    </row>
    <row r="2267" spans="2:9" x14ac:dyDescent="0.25">
      <c r="B2267" s="39"/>
      <c r="C2267" s="40"/>
      <c r="D2267" s="40"/>
      <c r="F2267" s="40"/>
      <c r="G2267" s="40"/>
      <c r="H2267" s="42"/>
      <c r="I2267" s="42" t="str">
        <f t="shared" si="31"/>
        <v/>
      </c>
    </row>
    <row r="2268" spans="2:9" x14ac:dyDescent="0.25">
      <c r="B2268" s="39"/>
      <c r="C2268" s="40"/>
      <c r="D2268" s="40"/>
      <c r="F2268" s="40"/>
      <c r="G2268" s="40"/>
      <c r="H2268" s="42"/>
      <c r="I2268" s="42" t="str">
        <f t="shared" si="31"/>
        <v/>
      </c>
    </row>
    <row r="2269" spans="2:9" x14ac:dyDescent="0.25">
      <c r="B2269" s="39"/>
      <c r="C2269" s="40"/>
      <c r="D2269" s="40"/>
      <c r="F2269" s="40"/>
      <c r="G2269" s="40"/>
      <c r="H2269" s="42"/>
      <c r="I2269" s="42" t="str">
        <f t="shared" si="31"/>
        <v/>
      </c>
    </row>
    <row r="2270" spans="2:9" x14ac:dyDescent="0.25">
      <c r="B2270" s="39"/>
      <c r="C2270" s="40"/>
      <c r="D2270" s="40"/>
      <c r="F2270" s="40"/>
      <c r="G2270" s="40"/>
      <c r="H2270" s="42"/>
      <c r="I2270" s="42" t="str">
        <f t="shared" si="31"/>
        <v/>
      </c>
    </row>
    <row r="2271" spans="2:9" x14ac:dyDescent="0.25">
      <c r="B2271" s="39"/>
      <c r="C2271" s="40"/>
      <c r="D2271" s="40"/>
      <c r="F2271" s="40"/>
      <c r="G2271" s="40"/>
      <c r="H2271" s="42"/>
      <c r="I2271" s="42" t="str">
        <f t="shared" si="31"/>
        <v/>
      </c>
    </row>
    <row r="2272" spans="2:9" x14ac:dyDescent="0.25">
      <c r="B2272" s="39"/>
      <c r="C2272" s="40"/>
      <c r="D2272" s="40"/>
      <c r="F2272" s="40"/>
      <c r="G2272" s="40"/>
      <c r="H2272" s="42"/>
      <c r="I2272" s="42" t="str">
        <f t="shared" si="31"/>
        <v/>
      </c>
    </row>
    <row r="2273" spans="2:9" x14ac:dyDescent="0.25">
      <c r="B2273" s="39"/>
      <c r="C2273" s="40"/>
      <c r="D2273" s="40"/>
      <c r="F2273" s="40"/>
      <c r="G2273" s="40"/>
      <c r="H2273" s="42"/>
      <c r="I2273" s="42" t="str">
        <f t="shared" si="31"/>
        <v/>
      </c>
    </row>
    <row r="2274" spans="2:9" x14ac:dyDescent="0.25">
      <c r="B2274" s="39"/>
      <c r="C2274" s="40"/>
      <c r="D2274" s="40"/>
      <c r="F2274" s="40"/>
      <c r="G2274" s="40"/>
      <c r="H2274" s="42"/>
      <c r="I2274" s="42" t="str">
        <f t="shared" si="31"/>
        <v/>
      </c>
    </row>
    <row r="2275" spans="2:9" x14ac:dyDescent="0.25">
      <c r="B2275" s="39"/>
      <c r="C2275" s="40"/>
      <c r="D2275" s="40"/>
      <c r="F2275" s="40"/>
      <c r="G2275" s="40"/>
      <c r="H2275" s="42"/>
      <c r="I2275" s="42" t="str">
        <f t="shared" si="31"/>
        <v/>
      </c>
    </row>
    <row r="2276" spans="2:9" x14ac:dyDescent="0.25">
      <c r="B2276" s="39"/>
      <c r="C2276" s="40"/>
      <c r="D2276" s="40"/>
      <c r="F2276" s="40"/>
      <c r="G2276" s="40"/>
      <c r="H2276" s="42"/>
      <c r="I2276" s="42" t="str">
        <f t="shared" si="31"/>
        <v/>
      </c>
    </row>
    <row r="2277" spans="2:9" x14ac:dyDescent="0.25">
      <c r="B2277" s="39"/>
      <c r="C2277" s="40"/>
      <c r="D2277" s="40"/>
      <c r="F2277" s="40"/>
      <c r="G2277" s="40"/>
      <c r="H2277" s="42"/>
      <c r="I2277" s="42" t="str">
        <f t="shared" si="31"/>
        <v/>
      </c>
    </row>
    <row r="2278" spans="2:9" x14ac:dyDescent="0.25">
      <c r="B2278" s="39"/>
      <c r="C2278" s="40"/>
      <c r="D2278" s="40"/>
      <c r="F2278" s="40"/>
      <c r="G2278" s="40"/>
      <c r="H2278" s="42"/>
      <c r="I2278" s="42" t="str">
        <f t="shared" si="31"/>
        <v/>
      </c>
    </row>
    <row r="2279" spans="2:9" x14ac:dyDescent="0.25">
      <c r="B2279" s="39"/>
      <c r="C2279" s="40"/>
      <c r="D2279" s="40"/>
      <c r="F2279" s="40"/>
      <c r="G2279" s="40"/>
      <c r="H2279" s="42"/>
      <c r="I2279" s="42" t="str">
        <f t="shared" si="31"/>
        <v/>
      </c>
    </row>
    <row r="2280" spans="2:9" x14ac:dyDescent="0.25">
      <c r="B2280" s="39"/>
      <c r="C2280" s="40"/>
      <c r="D2280" s="40"/>
      <c r="F2280" s="40"/>
      <c r="G2280" s="40"/>
      <c r="H2280" s="42"/>
      <c r="I2280" s="42" t="str">
        <f t="shared" si="31"/>
        <v/>
      </c>
    </row>
    <row r="2281" spans="2:9" x14ac:dyDescent="0.25">
      <c r="B2281" s="39"/>
      <c r="C2281" s="40"/>
      <c r="D2281" s="40"/>
      <c r="F2281" s="40"/>
      <c r="G2281" s="40"/>
      <c r="H2281" s="42"/>
      <c r="I2281" s="42" t="str">
        <f t="shared" si="31"/>
        <v/>
      </c>
    </row>
    <row r="2282" spans="2:9" x14ac:dyDescent="0.25">
      <c r="B2282" s="39"/>
      <c r="C2282" s="40"/>
      <c r="D2282" s="40"/>
      <c r="F2282" s="40"/>
      <c r="G2282" s="40"/>
      <c r="H2282" s="42"/>
      <c r="I2282" s="42" t="str">
        <f t="shared" si="31"/>
        <v/>
      </c>
    </row>
    <row r="2283" spans="2:9" x14ac:dyDescent="0.25">
      <c r="B2283" s="39"/>
      <c r="C2283" s="40"/>
      <c r="D2283" s="40"/>
      <c r="F2283" s="40"/>
      <c r="G2283" s="40"/>
      <c r="H2283" s="42"/>
      <c r="I2283" s="42" t="str">
        <f t="shared" si="31"/>
        <v/>
      </c>
    </row>
    <row r="2284" spans="2:9" x14ac:dyDescent="0.25">
      <c r="B2284" s="39"/>
      <c r="C2284" s="40"/>
      <c r="D2284" s="40"/>
      <c r="F2284" s="40"/>
      <c r="G2284" s="40"/>
      <c r="H2284" s="42"/>
      <c r="I2284" s="42" t="str">
        <f t="shared" si="31"/>
        <v/>
      </c>
    </row>
    <row r="2285" spans="2:9" x14ac:dyDescent="0.25">
      <c r="B2285" s="39"/>
      <c r="C2285" s="40"/>
      <c r="D2285" s="40"/>
      <c r="F2285" s="40"/>
      <c r="G2285" s="40"/>
      <c r="H2285" s="42"/>
      <c r="I2285" s="42" t="str">
        <f t="shared" si="31"/>
        <v/>
      </c>
    </row>
    <row r="2286" spans="2:9" x14ac:dyDescent="0.25">
      <c r="B2286" s="39"/>
      <c r="C2286" s="40"/>
      <c r="D2286" s="40"/>
      <c r="F2286" s="40"/>
      <c r="G2286" s="40"/>
      <c r="H2286" s="42"/>
      <c r="I2286" s="42" t="str">
        <f t="shared" si="31"/>
        <v/>
      </c>
    </row>
    <row r="2287" spans="2:9" x14ac:dyDescent="0.25">
      <c r="B2287" s="39"/>
      <c r="C2287" s="40"/>
      <c r="D2287" s="40"/>
      <c r="F2287" s="40"/>
      <c r="G2287" s="40"/>
      <c r="H2287" s="42"/>
      <c r="I2287" s="42" t="str">
        <f t="shared" si="31"/>
        <v/>
      </c>
    </row>
    <row r="2288" spans="2:9" x14ac:dyDescent="0.25">
      <c r="B2288" s="39"/>
      <c r="C2288" s="40"/>
      <c r="D2288" s="40"/>
      <c r="F2288" s="40"/>
      <c r="G2288" s="40"/>
      <c r="H2288" s="42"/>
      <c r="I2288" s="42" t="str">
        <f t="shared" si="31"/>
        <v/>
      </c>
    </row>
    <row r="2289" spans="2:9" x14ac:dyDescent="0.25">
      <c r="B2289" s="39"/>
      <c r="C2289" s="40"/>
      <c r="D2289" s="40"/>
      <c r="F2289" s="40"/>
      <c r="G2289" s="40"/>
      <c r="H2289" s="42"/>
      <c r="I2289" s="42" t="str">
        <f t="shared" si="31"/>
        <v/>
      </c>
    </row>
    <row r="2290" spans="2:9" x14ac:dyDescent="0.25">
      <c r="B2290" s="39"/>
      <c r="C2290" s="40"/>
      <c r="D2290" s="40"/>
      <c r="F2290" s="40"/>
      <c r="G2290" s="40"/>
      <c r="H2290" s="42"/>
      <c r="I2290" s="42" t="str">
        <f t="shared" si="31"/>
        <v/>
      </c>
    </row>
    <row r="2291" spans="2:9" x14ac:dyDescent="0.25">
      <c r="B2291" s="39"/>
      <c r="C2291" s="40"/>
      <c r="D2291" s="40"/>
      <c r="F2291" s="40"/>
      <c r="G2291" s="40"/>
      <c r="H2291" s="42"/>
      <c r="I2291" s="42" t="str">
        <f t="shared" si="31"/>
        <v/>
      </c>
    </row>
    <row r="2292" spans="2:9" x14ac:dyDescent="0.25">
      <c r="B2292" s="39"/>
      <c r="C2292" s="40"/>
      <c r="D2292" s="40"/>
      <c r="F2292" s="40"/>
      <c r="G2292" s="40"/>
      <c r="H2292" s="42"/>
      <c r="I2292" s="42" t="str">
        <f t="shared" si="31"/>
        <v/>
      </c>
    </row>
    <row r="2293" spans="2:9" x14ac:dyDescent="0.25">
      <c r="B2293" s="39"/>
      <c r="C2293" s="40"/>
      <c r="D2293" s="40"/>
      <c r="F2293" s="40"/>
      <c r="G2293" s="40"/>
      <c r="H2293" s="42"/>
      <c r="I2293" s="42" t="str">
        <f t="shared" si="31"/>
        <v/>
      </c>
    </row>
    <row r="2294" spans="2:9" x14ac:dyDescent="0.25">
      <c r="B2294" s="39"/>
      <c r="C2294" s="40"/>
      <c r="D2294" s="40"/>
      <c r="F2294" s="40"/>
      <c r="G2294" s="40"/>
      <c r="H2294" s="42"/>
      <c r="I2294" s="42" t="str">
        <f t="shared" si="31"/>
        <v/>
      </c>
    </row>
    <row r="2295" spans="2:9" x14ac:dyDescent="0.25">
      <c r="B2295" s="39"/>
      <c r="C2295" s="40"/>
      <c r="D2295" s="40"/>
      <c r="F2295" s="40"/>
      <c r="G2295" s="40"/>
      <c r="H2295" s="42"/>
      <c r="I2295" s="42" t="str">
        <f t="shared" si="31"/>
        <v/>
      </c>
    </row>
    <row r="2296" spans="2:9" x14ac:dyDescent="0.25">
      <c r="B2296" s="39"/>
      <c r="C2296" s="40"/>
      <c r="D2296" s="40"/>
      <c r="F2296" s="40"/>
      <c r="G2296" s="40"/>
      <c r="H2296" s="42"/>
      <c r="I2296" s="42" t="str">
        <f t="shared" si="31"/>
        <v/>
      </c>
    </row>
    <row r="2297" spans="2:9" x14ac:dyDescent="0.25">
      <c r="B2297" s="39"/>
      <c r="C2297" s="40"/>
      <c r="D2297" s="40"/>
      <c r="F2297" s="40"/>
      <c r="G2297" s="40"/>
      <c r="H2297" s="42"/>
      <c r="I2297" s="42" t="str">
        <f t="shared" si="31"/>
        <v/>
      </c>
    </row>
    <row r="2298" spans="2:9" x14ac:dyDescent="0.25">
      <c r="B2298" s="39"/>
      <c r="C2298" s="40"/>
      <c r="D2298" s="40"/>
      <c r="F2298" s="40"/>
      <c r="G2298" s="40"/>
      <c r="H2298" s="42"/>
      <c r="I2298" s="42" t="str">
        <f t="shared" si="31"/>
        <v/>
      </c>
    </row>
    <row r="2299" spans="2:9" x14ac:dyDescent="0.25">
      <c r="B2299" s="39"/>
      <c r="C2299" s="40"/>
      <c r="D2299" s="40"/>
      <c r="F2299" s="40"/>
      <c r="G2299" s="40"/>
      <c r="H2299" s="42"/>
      <c r="I2299" s="42" t="str">
        <f t="shared" si="31"/>
        <v/>
      </c>
    </row>
    <row r="2300" spans="2:9" x14ac:dyDescent="0.25">
      <c r="B2300" s="39"/>
      <c r="C2300" s="40"/>
      <c r="D2300" s="40"/>
      <c r="F2300" s="40"/>
      <c r="G2300" s="40"/>
      <c r="H2300" s="42"/>
      <c r="I2300" s="42" t="str">
        <f t="shared" si="31"/>
        <v/>
      </c>
    </row>
    <row r="2301" spans="2:9" x14ac:dyDescent="0.25">
      <c r="B2301" s="39"/>
      <c r="C2301" s="40"/>
      <c r="D2301" s="40"/>
      <c r="F2301" s="40"/>
      <c r="G2301" s="40"/>
      <c r="H2301" s="42"/>
      <c r="I2301" s="42" t="str">
        <f t="shared" si="31"/>
        <v/>
      </c>
    </row>
    <row r="2302" spans="2:9" x14ac:dyDescent="0.25">
      <c r="B2302" s="39"/>
      <c r="C2302" s="40"/>
      <c r="D2302" s="40"/>
      <c r="F2302" s="40"/>
      <c r="G2302" s="40"/>
      <c r="H2302" s="42"/>
      <c r="I2302" s="42" t="str">
        <f t="shared" si="31"/>
        <v/>
      </c>
    </row>
    <row r="2303" spans="2:9" x14ac:dyDescent="0.25">
      <c r="B2303" s="39"/>
      <c r="C2303" s="40"/>
      <c r="D2303" s="40"/>
      <c r="F2303" s="40"/>
      <c r="G2303" s="40"/>
      <c r="H2303" s="42"/>
      <c r="I2303" s="42" t="str">
        <f t="shared" si="31"/>
        <v/>
      </c>
    </row>
    <row r="2304" spans="2:9" x14ac:dyDescent="0.25">
      <c r="B2304" s="39"/>
      <c r="C2304" s="40"/>
      <c r="D2304" s="40"/>
      <c r="F2304" s="40"/>
      <c r="G2304" s="40"/>
      <c r="H2304" s="42"/>
      <c r="I2304" s="42" t="str">
        <f t="shared" ref="I2304:I2367" si="32">IF(H2304&lt;&gt;"",H2304-H2303,"")</f>
        <v/>
      </c>
    </row>
    <row r="2305" spans="2:9" x14ac:dyDescent="0.25">
      <c r="B2305" s="39"/>
      <c r="C2305" s="40"/>
      <c r="D2305" s="40"/>
      <c r="F2305" s="40"/>
      <c r="G2305" s="40"/>
      <c r="H2305" s="42"/>
      <c r="I2305" s="42" t="str">
        <f t="shared" si="32"/>
        <v/>
      </c>
    </row>
    <row r="2306" spans="2:9" x14ac:dyDescent="0.25">
      <c r="B2306" s="39"/>
      <c r="C2306" s="40"/>
      <c r="D2306" s="40"/>
      <c r="F2306" s="40"/>
      <c r="G2306" s="40"/>
      <c r="H2306" s="42"/>
      <c r="I2306" s="42" t="str">
        <f t="shared" si="32"/>
        <v/>
      </c>
    </row>
    <row r="2307" spans="2:9" x14ac:dyDescent="0.25">
      <c r="B2307" s="39"/>
      <c r="C2307" s="40"/>
      <c r="D2307" s="40"/>
      <c r="F2307" s="40"/>
      <c r="G2307" s="40"/>
      <c r="H2307" s="42"/>
      <c r="I2307" s="42" t="str">
        <f t="shared" si="32"/>
        <v/>
      </c>
    </row>
    <row r="2308" spans="2:9" x14ac:dyDescent="0.25">
      <c r="B2308" s="39"/>
      <c r="C2308" s="40"/>
      <c r="D2308" s="40"/>
      <c r="F2308" s="40"/>
      <c r="G2308" s="40"/>
      <c r="H2308" s="42"/>
      <c r="I2308" s="42" t="str">
        <f t="shared" si="32"/>
        <v/>
      </c>
    </row>
    <row r="2309" spans="2:9" x14ac:dyDescent="0.25">
      <c r="B2309" s="39"/>
      <c r="C2309" s="40"/>
      <c r="D2309" s="40"/>
      <c r="F2309" s="40"/>
      <c r="G2309" s="40"/>
      <c r="H2309" s="42"/>
      <c r="I2309" s="42" t="str">
        <f t="shared" si="32"/>
        <v/>
      </c>
    </row>
    <row r="2310" spans="2:9" x14ac:dyDescent="0.25">
      <c r="B2310" s="39"/>
      <c r="C2310" s="40"/>
      <c r="D2310" s="40"/>
      <c r="F2310" s="40"/>
      <c r="G2310" s="40"/>
      <c r="H2310" s="42"/>
      <c r="I2310" s="42" t="str">
        <f t="shared" si="32"/>
        <v/>
      </c>
    </row>
    <row r="2311" spans="2:9" x14ac:dyDescent="0.25">
      <c r="B2311" s="39"/>
      <c r="C2311" s="40"/>
      <c r="D2311" s="40"/>
      <c r="F2311" s="40"/>
      <c r="G2311" s="40"/>
      <c r="H2311" s="42"/>
      <c r="I2311" s="42" t="str">
        <f t="shared" si="32"/>
        <v/>
      </c>
    </row>
    <row r="2312" spans="2:9" x14ac:dyDescent="0.25">
      <c r="B2312" s="39"/>
      <c r="C2312" s="40"/>
      <c r="D2312" s="40"/>
      <c r="F2312" s="40"/>
      <c r="G2312" s="40"/>
      <c r="H2312" s="42"/>
      <c r="I2312" s="42" t="str">
        <f t="shared" si="32"/>
        <v/>
      </c>
    </row>
    <row r="2313" spans="2:9" x14ac:dyDescent="0.25">
      <c r="B2313" s="39"/>
      <c r="C2313" s="40"/>
      <c r="D2313" s="40"/>
      <c r="F2313" s="40"/>
      <c r="G2313" s="40"/>
      <c r="H2313" s="42"/>
      <c r="I2313" s="42" t="str">
        <f t="shared" si="32"/>
        <v/>
      </c>
    </row>
    <row r="2314" spans="2:9" x14ac:dyDescent="0.25">
      <c r="B2314" s="39"/>
      <c r="C2314" s="40"/>
      <c r="D2314" s="40"/>
      <c r="F2314" s="40"/>
      <c r="G2314" s="40"/>
      <c r="H2314" s="42"/>
      <c r="I2314" s="42" t="str">
        <f t="shared" si="32"/>
        <v/>
      </c>
    </row>
    <row r="2315" spans="2:9" x14ac:dyDescent="0.25">
      <c r="B2315" s="39"/>
      <c r="C2315" s="40"/>
      <c r="D2315" s="40"/>
      <c r="F2315" s="40"/>
      <c r="G2315" s="40"/>
      <c r="H2315" s="42"/>
      <c r="I2315" s="42" t="str">
        <f t="shared" si="32"/>
        <v/>
      </c>
    </row>
    <row r="2316" spans="2:9" x14ac:dyDescent="0.25">
      <c r="B2316" s="39"/>
      <c r="C2316" s="40"/>
      <c r="D2316" s="40"/>
      <c r="F2316" s="40"/>
      <c r="G2316" s="40"/>
      <c r="H2316" s="42"/>
      <c r="I2316" s="42" t="str">
        <f t="shared" si="32"/>
        <v/>
      </c>
    </row>
    <row r="2317" spans="2:9" x14ac:dyDescent="0.25">
      <c r="B2317" s="39"/>
      <c r="C2317" s="40"/>
      <c r="D2317" s="40"/>
      <c r="F2317" s="40"/>
      <c r="G2317" s="40"/>
      <c r="H2317" s="42"/>
      <c r="I2317" s="42" t="str">
        <f t="shared" si="32"/>
        <v/>
      </c>
    </row>
    <row r="2318" spans="2:9" x14ac:dyDescent="0.25">
      <c r="B2318" s="39"/>
      <c r="C2318" s="40"/>
      <c r="D2318" s="40"/>
      <c r="F2318" s="40"/>
      <c r="G2318" s="40"/>
      <c r="H2318" s="42"/>
      <c r="I2318" s="42" t="str">
        <f t="shared" si="32"/>
        <v/>
      </c>
    </row>
    <row r="2319" spans="2:9" x14ac:dyDescent="0.25">
      <c r="B2319" s="39"/>
      <c r="C2319" s="40"/>
      <c r="D2319" s="40"/>
      <c r="F2319" s="40"/>
      <c r="G2319" s="40"/>
      <c r="H2319" s="42"/>
      <c r="I2319" s="42" t="str">
        <f t="shared" si="32"/>
        <v/>
      </c>
    </row>
    <row r="2320" spans="2:9" x14ac:dyDescent="0.25">
      <c r="B2320" s="39"/>
      <c r="C2320" s="40"/>
      <c r="D2320" s="40"/>
      <c r="F2320" s="40"/>
      <c r="G2320" s="40"/>
      <c r="H2320" s="42"/>
      <c r="I2320" s="42" t="str">
        <f t="shared" si="32"/>
        <v/>
      </c>
    </row>
    <row r="2321" spans="2:9" x14ac:dyDescent="0.25">
      <c r="B2321" s="39"/>
      <c r="C2321" s="40"/>
      <c r="D2321" s="40"/>
      <c r="F2321" s="40"/>
      <c r="G2321" s="40"/>
      <c r="H2321" s="42"/>
      <c r="I2321" s="42" t="str">
        <f t="shared" si="32"/>
        <v/>
      </c>
    </row>
    <row r="2322" spans="2:9" x14ac:dyDescent="0.25">
      <c r="B2322" s="39"/>
      <c r="C2322" s="40"/>
      <c r="D2322" s="40"/>
      <c r="F2322" s="40"/>
      <c r="G2322" s="40"/>
      <c r="H2322" s="42"/>
      <c r="I2322" s="42" t="str">
        <f t="shared" si="32"/>
        <v/>
      </c>
    </row>
    <row r="2323" spans="2:9" x14ac:dyDescent="0.25">
      <c r="B2323" s="39"/>
      <c r="C2323" s="40"/>
      <c r="D2323" s="40"/>
      <c r="F2323" s="40"/>
      <c r="G2323" s="40"/>
      <c r="H2323" s="42"/>
      <c r="I2323" s="42" t="str">
        <f t="shared" si="32"/>
        <v/>
      </c>
    </row>
    <row r="2324" spans="2:9" x14ac:dyDescent="0.25">
      <c r="B2324" s="39"/>
      <c r="C2324" s="40"/>
      <c r="D2324" s="40"/>
      <c r="F2324" s="40"/>
      <c r="G2324" s="40"/>
      <c r="H2324" s="42"/>
      <c r="I2324" s="42" t="str">
        <f t="shared" si="32"/>
        <v/>
      </c>
    </row>
    <row r="2325" spans="2:9" x14ac:dyDescent="0.25">
      <c r="B2325" s="39"/>
      <c r="C2325" s="40"/>
      <c r="D2325" s="40"/>
      <c r="F2325" s="40"/>
      <c r="G2325" s="40"/>
      <c r="H2325" s="42"/>
      <c r="I2325" s="42" t="str">
        <f t="shared" si="32"/>
        <v/>
      </c>
    </row>
    <row r="2326" spans="2:9" x14ac:dyDescent="0.25">
      <c r="B2326" s="39"/>
      <c r="C2326" s="40"/>
      <c r="D2326" s="40"/>
      <c r="F2326" s="40"/>
      <c r="G2326" s="40"/>
      <c r="H2326" s="42"/>
      <c r="I2326" s="42" t="str">
        <f t="shared" si="32"/>
        <v/>
      </c>
    </row>
    <row r="2327" spans="2:9" x14ac:dyDescent="0.25">
      <c r="B2327" s="39"/>
      <c r="C2327" s="40"/>
      <c r="D2327" s="40"/>
      <c r="F2327" s="40"/>
      <c r="G2327" s="40"/>
      <c r="H2327" s="42"/>
      <c r="I2327" s="42" t="str">
        <f t="shared" si="32"/>
        <v/>
      </c>
    </row>
    <row r="2328" spans="2:9" x14ac:dyDescent="0.25">
      <c r="B2328" s="39"/>
      <c r="C2328" s="40"/>
      <c r="D2328" s="40"/>
      <c r="F2328" s="40"/>
      <c r="G2328" s="40"/>
      <c r="H2328" s="42"/>
      <c r="I2328" s="42" t="str">
        <f t="shared" si="32"/>
        <v/>
      </c>
    </row>
    <row r="2329" spans="2:9" x14ac:dyDescent="0.25">
      <c r="B2329" s="39"/>
      <c r="C2329" s="40"/>
      <c r="D2329" s="40"/>
      <c r="F2329" s="40"/>
      <c r="G2329" s="40"/>
      <c r="H2329" s="42"/>
      <c r="I2329" s="42" t="str">
        <f t="shared" si="32"/>
        <v/>
      </c>
    </row>
    <row r="2330" spans="2:9" x14ac:dyDescent="0.25">
      <c r="B2330" s="39"/>
      <c r="C2330" s="40"/>
      <c r="D2330" s="40"/>
      <c r="F2330" s="40"/>
      <c r="G2330" s="40"/>
      <c r="H2330" s="42"/>
      <c r="I2330" s="42" t="str">
        <f t="shared" si="32"/>
        <v/>
      </c>
    </row>
    <row r="2331" spans="2:9" x14ac:dyDescent="0.25">
      <c r="B2331" s="39"/>
      <c r="C2331" s="40"/>
      <c r="D2331" s="40"/>
      <c r="F2331" s="40"/>
      <c r="G2331" s="40"/>
      <c r="H2331" s="42"/>
      <c r="I2331" s="42" t="str">
        <f t="shared" si="32"/>
        <v/>
      </c>
    </row>
    <row r="2332" spans="2:9" x14ac:dyDescent="0.25">
      <c r="B2332" s="39"/>
      <c r="C2332" s="40"/>
      <c r="D2332" s="40"/>
      <c r="F2332" s="40"/>
      <c r="G2332" s="40"/>
      <c r="H2332" s="42"/>
      <c r="I2332" s="42" t="str">
        <f t="shared" si="32"/>
        <v/>
      </c>
    </row>
    <row r="2333" spans="2:9" x14ac:dyDescent="0.25">
      <c r="B2333" s="39"/>
      <c r="C2333" s="40"/>
      <c r="D2333" s="40"/>
      <c r="F2333" s="40"/>
      <c r="G2333" s="40"/>
      <c r="H2333" s="42"/>
      <c r="I2333" s="42" t="str">
        <f t="shared" si="32"/>
        <v/>
      </c>
    </row>
    <row r="2334" spans="2:9" x14ac:dyDescent="0.25">
      <c r="B2334" s="39"/>
      <c r="C2334" s="40"/>
      <c r="D2334" s="40"/>
      <c r="F2334" s="40"/>
      <c r="G2334" s="40"/>
      <c r="H2334" s="42"/>
      <c r="I2334" s="42" t="str">
        <f t="shared" si="32"/>
        <v/>
      </c>
    </row>
    <row r="2335" spans="2:9" x14ac:dyDescent="0.25">
      <c r="B2335" s="39"/>
      <c r="C2335" s="40"/>
      <c r="D2335" s="40"/>
      <c r="F2335" s="40"/>
      <c r="G2335" s="40"/>
      <c r="H2335" s="42"/>
      <c r="I2335" s="42" t="str">
        <f t="shared" si="32"/>
        <v/>
      </c>
    </row>
    <row r="2336" spans="2:9" x14ac:dyDescent="0.25">
      <c r="B2336" s="39"/>
      <c r="C2336" s="40"/>
      <c r="D2336" s="40"/>
      <c r="F2336" s="40"/>
      <c r="G2336" s="40"/>
      <c r="H2336" s="42"/>
      <c r="I2336" s="42" t="str">
        <f t="shared" si="32"/>
        <v/>
      </c>
    </row>
    <row r="2337" spans="2:9" x14ac:dyDescent="0.25">
      <c r="B2337" s="39"/>
      <c r="C2337" s="40"/>
      <c r="D2337" s="40"/>
      <c r="F2337" s="40"/>
      <c r="G2337" s="40"/>
      <c r="H2337" s="42"/>
      <c r="I2337" s="42" t="str">
        <f t="shared" si="32"/>
        <v/>
      </c>
    </row>
    <row r="2338" spans="2:9" x14ac:dyDescent="0.25">
      <c r="B2338" s="39"/>
      <c r="C2338" s="40"/>
      <c r="D2338" s="40"/>
      <c r="F2338" s="40"/>
      <c r="G2338" s="40"/>
      <c r="H2338" s="42"/>
      <c r="I2338" s="42" t="str">
        <f t="shared" si="32"/>
        <v/>
      </c>
    </row>
    <row r="2339" spans="2:9" x14ac:dyDescent="0.25">
      <c r="B2339" s="39"/>
      <c r="C2339" s="40"/>
      <c r="D2339" s="40"/>
      <c r="F2339" s="40"/>
      <c r="G2339" s="40"/>
      <c r="H2339" s="42"/>
      <c r="I2339" s="42" t="str">
        <f t="shared" si="32"/>
        <v/>
      </c>
    </row>
    <row r="2340" spans="2:9" x14ac:dyDescent="0.25">
      <c r="B2340" s="39"/>
      <c r="C2340" s="40"/>
      <c r="D2340" s="40"/>
      <c r="F2340" s="40"/>
      <c r="G2340" s="40"/>
      <c r="H2340" s="42"/>
      <c r="I2340" s="42" t="str">
        <f t="shared" si="32"/>
        <v/>
      </c>
    </row>
    <row r="2341" spans="2:9" x14ac:dyDescent="0.25">
      <c r="B2341" s="39"/>
      <c r="C2341" s="40"/>
      <c r="D2341" s="40"/>
      <c r="F2341" s="40"/>
      <c r="G2341" s="40"/>
      <c r="H2341" s="42"/>
      <c r="I2341" s="42" t="str">
        <f t="shared" si="32"/>
        <v/>
      </c>
    </row>
    <row r="2342" spans="2:9" x14ac:dyDescent="0.25">
      <c r="B2342" s="39"/>
      <c r="C2342" s="40"/>
      <c r="D2342" s="40"/>
      <c r="F2342" s="40"/>
      <c r="G2342" s="40"/>
      <c r="H2342" s="42"/>
      <c r="I2342" s="42" t="str">
        <f t="shared" si="32"/>
        <v/>
      </c>
    </row>
    <row r="2343" spans="2:9" x14ac:dyDescent="0.25">
      <c r="B2343" s="39"/>
      <c r="C2343" s="40"/>
      <c r="D2343" s="40"/>
      <c r="F2343" s="40"/>
      <c r="G2343" s="40"/>
      <c r="H2343" s="42"/>
      <c r="I2343" s="42" t="str">
        <f t="shared" si="32"/>
        <v/>
      </c>
    </row>
    <row r="2344" spans="2:9" x14ac:dyDescent="0.25">
      <c r="B2344" s="39"/>
      <c r="C2344" s="40"/>
      <c r="D2344" s="40"/>
      <c r="F2344" s="40"/>
      <c r="G2344" s="40"/>
      <c r="H2344" s="42"/>
      <c r="I2344" s="42" t="str">
        <f t="shared" si="32"/>
        <v/>
      </c>
    </row>
    <row r="2345" spans="2:9" x14ac:dyDescent="0.25">
      <c r="B2345" s="39"/>
      <c r="C2345" s="40"/>
      <c r="D2345" s="40"/>
      <c r="F2345" s="40"/>
      <c r="G2345" s="40"/>
      <c r="H2345" s="42"/>
      <c r="I2345" s="42" t="str">
        <f t="shared" si="32"/>
        <v/>
      </c>
    </row>
    <row r="2346" spans="2:9" x14ac:dyDescent="0.25">
      <c r="B2346" s="39"/>
      <c r="C2346" s="40"/>
      <c r="D2346" s="40"/>
      <c r="F2346" s="40"/>
      <c r="G2346" s="40"/>
      <c r="H2346" s="42"/>
      <c r="I2346" s="42" t="str">
        <f t="shared" si="32"/>
        <v/>
      </c>
    </row>
    <row r="2347" spans="2:9" x14ac:dyDescent="0.25">
      <c r="B2347" s="39"/>
      <c r="C2347" s="40"/>
      <c r="D2347" s="40"/>
      <c r="F2347" s="40"/>
      <c r="G2347" s="40"/>
      <c r="H2347" s="42"/>
      <c r="I2347" s="42" t="str">
        <f t="shared" si="32"/>
        <v/>
      </c>
    </row>
    <row r="2348" spans="2:9" x14ac:dyDescent="0.25">
      <c r="B2348" s="39"/>
      <c r="C2348" s="40"/>
      <c r="D2348" s="40"/>
      <c r="F2348" s="40"/>
      <c r="G2348" s="40"/>
      <c r="H2348" s="42"/>
      <c r="I2348" s="42" t="str">
        <f t="shared" si="32"/>
        <v/>
      </c>
    </row>
    <row r="2349" spans="2:9" x14ac:dyDescent="0.25">
      <c r="B2349" s="39"/>
      <c r="C2349" s="40"/>
      <c r="D2349" s="40"/>
      <c r="F2349" s="40"/>
      <c r="G2349" s="40"/>
      <c r="H2349" s="42"/>
      <c r="I2349" s="42" t="str">
        <f t="shared" si="32"/>
        <v/>
      </c>
    </row>
    <row r="2350" spans="2:9" x14ac:dyDescent="0.25">
      <c r="B2350" s="39"/>
      <c r="C2350" s="40"/>
      <c r="D2350" s="40"/>
      <c r="F2350" s="40"/>
      <c r="G2350" s="40"/>
      <c r="H2350" s="42"/>
      <c r="I2350" s="42" t="str">
        <f t="shared" si="32"/>
        <v/>
      </c>
    </row>
    <row r="2351" spans="2:9" x14ac:dyDescent="0.25">
      <c r="B2351" s="39"/>
      <c r="C2351" s="40"/>
      <c r="D2351" s="40"/>
      <c r="F2351" s="40"/>
      <c r="G2351" s="40"/>
      <c r="H2351" s="42"/>
      <c r="I2351" s="42" t="str">
        <f t="shared" si="32"/>
        <v/>
      </c>
    </row>
    <row r="2352" spans="2:9" x14ac:dyDescent="0.25">
      <c r="B2352" s="39"/>
      <c r="C2352" s="40"/>
      <c r="D2352" s="40"/>
      <c r="F2352" s="40"/>
      <c r="G2352" s="40"/>
      <c r="H2352" s="42"/>
      <c r="I2352" s="42" t="str">
        <f t="shared" si="32"/>
        <v/>
      </c>
    </row>
    <row r="2353" spans="2:9" x14ac:dyDescent="0.25">
      <c r="B2353" s="39"/>
      <c r="C2353" s="40"/>
      <c r="D2353" s="40"/>
      <c r="F2353" s="40"/>
      <c r="G2353" s="40"/>
      <c r="H2353" s="42"/>
      <c r="I2353" s="42" t="str">
        <f t="shared" si="32"/>
        <v/>
      </c>
    </row>
    <row r="2354" spans="2:9" x14ac:dyDescent="0.25">
      <c r="B2354" s="39"/>
      <c r="C2354" s="40"/>
      <c r="D2354" s="40"/>
      <c r="F2354" s="40"/>
      <c r="G2354" s="40"/>
      <c r="H2354" s="42"/>
      <c r="I2354" s="42" t="str">
        <f t="shared" si="32"/>
        <v/>
      </c>
    </row>
    <row r="2355" spans="2:9" x14ac:dyDescent="0.25">
      <c r="B2355" s="39"/>
      <c r="C2355" s="40"/>
      <c r="D2355" s="40"/>
      <c r="F2355" s="40"/>
      <c r="G2355" s="40"/>
      <c r="H2355" s="42"/>
      <c r="I2355" s="42" t="str">
        <f t="shared" si="32"/>
        <v/>
      </c>
    </row>
    <row r="2356" spans="2:9" x14ac:dyDescent="0.25">
      <c r="B2356" s="39"/>
      <c r="C2356" s="40"/>
      <c r="D2356" s="40"/>
      <c r="F2356" s="40"/>
      <c r="G2356" s="40"/>
      <c r="H2356" s="42"/>
      <c r="I2356" s="42" t="str">
        <f t="shared" si="32"/>
        <v/>
      </c>
    </row>
    <row r="2357" spans="2:9" x14ac:dyDescent="0.25">
      <c r="B2357" s="39"/>
      <c r="C2357" s="40"/>
      <c r="D2357" s="40"/>
      <c r="F2357" s="40"/>
      <c r="G2357" s="40"/>
      <c r="H2357" s="42"/>
      <c r="I2357" s="42" t="str">
        <f t="shared" si="32"/>
        <v/>
      </c>
    </row>
    <row r="2358" spans="2:9" x14ac:dyDescent="0.25">
      <c r="B2358" s="39"/>
      <c r="C2358" s="40"/>
      <c r="D2358" s="40"/>
      <c r="F2358" s="40"/>
      <c r="G2358" s="40"/>
      <c r="H2358" s="42"/>
      <c r="I2358" s="42" t="str">
        <f t="shared" si="32"/>
        <v/>
      </c>
    </row>
    <row r="2359" spans="2:9" x14ac:dyDescent="0.25">
      <c r="B2359" s="39"/>
      <c r="C2359" s="40"/>
      <c r="D2359" s="40"/>
      <c r="F2359" s="40"/>
      <c r="G2359" s="40"/>
      <c r="H2359" s="42"/>
      <c r="I2359" s="42" t="str">
        <f t="shared" si="32"/>
        <v/>
      </c>
    </row>
    <row r="2360" spans="2:9" x14ac:dyDescent="0.25">
      <c r="B2360" s="39"/>
      <c r="C2360" s="40"/>
      <c r="D2360" s="40"/>
      <c r="F2360" s="40"/>
      <c r="G2360" s="40"/>
      <c r="H2360" s="42"/>
      <c r="I2360" s="42" t="str">
        <f t="shared" si="32"/>
        <v/>
      </c>
    </row>
    <row r="2361" spans="2:9" x14ac:dyDescent="0.25">
      <c r="B2361" s="39"/>
      <c r="C2361" s="40"/>
      <c r="D2361" s="40"/>
      <c r="F2361" s="40"/>
      <c r="G2361" s="40"/>
      <c r="H2361" s="42"/>
      <c r="I2361" s="42" t="str">
        <f t="shared" si="32"/>
        <v/>
      </c>
    </row>
    <row r="2362" spans="2:9" x14ac:dyDescent="0.25">
      <c r="B2362" s="39"/>
      <c r="C2362" s="40"/>
      <c r="D2362" s="40"/>
      <c r="F2362" s="40"/>
      <c r="G2362" s="40"/>
      <c r="H2362" s="42"/>
      <c r="I2362" s="42" t="str">
        <f t="shared" si="32"/>
        <v/>
      </c>
    </row>
    <row r="2363" spans="2:9" x14ac:dyDescent="0.25">
      <c r="B2363" s="39"/>
      <c r="C2363" s="40"/>
      <c r="D2363" s="40"/>
      <c r="F2363" s="40"/>
      <c r="G2363" s="40"/>
      <c r="H2363" s="42"/>
      <c r="I2363" s="42" t="str">
        <f t="shared" si="32"/>
        <v/>
      </c>
    </row>
    <row r="2364" spans="2:9" x14ac:dyDescent="0.25">
      <c r="B2364" s="39"/>
      <c r="C2364" s="40"/>
      <c r="D2364" s="40"/>
      <c r="F2364" s="40"/>
      <c r="G2364" s="40"/>
      <c r="H2364" s="42"/>
      <c r="I2364" s="42" t="str">
        <f t="shared" si="32"/>
        <v/>
      </c>
    </row>
    <row r="2365" spans="2:9" x14ac:dyDescent="0.25">
      <c r="B2365" s="39"/>
      <c r="C2365" s="40"/>
      <c r="D2365" s="40"/>
      <c r="F2365" s="40"/>
      <c r="G2365" s="40"/>
      <c r="H2365" s="42"/>
      <c r="I2365" s="42" t="str">
        <f t="shared" si="32"/>
        <v/>
      </c>
    </row>
    <row r="2366" spans="2:9" x14ac:dyDescent="0.25">
      <c r="B2366" s="39"/>
      <c r="C2366" s="40"/>
      <c r="D2366" s="40"/>
      <c r="F2366" s="40"/>
      <c r="G2366" s="40"/>
      <c r="H2366" s="42"/>
      <c r="I2366" s="42" t="str">
        <f t="shared" si="32"/>
        <v/>
      </c>
    </row>
    <row r="2367" spans="2:9" x14ac:dyDescent="0.25">
      <c r="B2367" s="39"/>
      <c r="C2367" s="40"/>
      <c r="D2367" s="40"/>
      <c r="F2367" s="40"/>
      <c r="G2367" s="40"/>
      <c r="H2367" s="42"/>
      <c r="I2367" s="42" t="str">
        <f t="shared" si="32"/>
        <v/>
      </c>
    </row>
    <row r="2368" spans="2:9" x14ac:dyDescent="0.25">
      <c r="B2368" s="39"/>
      <c r="C2368" s="40"/>
      <c r="D2368" s="40"/>
      <c r="F2368" s="40"/>
      <c r="G2368" s="40"/>
      <c r="H2368" s="42"/>
      <c r="I2368" s="42" t="str">
        <f t="shared" ref="I2368:I2431" si="33">IF(H2368&lt;&gt;"",H2368-H2367,"")</f>
        <v/>
      </c>
    </row>
    <row r="2369" spans="2:9" x14ac:dyDescent="0.25">
      <c r="B2369" s="39"/>
      <c r="C2369" s="40"/>
      <c r="D2369" s="40"/>
      <c r="F2369" s="40"/>
      <c r="G2369" s="40"/>
      <c r="H2369" s="42"/>
      <c r="I2369" s="42" t="str">
        <f t="shared" si="33"/>
        <v/>
      </c>
    </row>
    <row r="2370" spans="2:9" x14ac:dyDescent="0.25">
      <c r="B2370" s="39"/>
      <c r="C2370" s="40"/>
      <c r="D2370" s="40"/>
      <c r="F2370" s="40"/>
      <c r="G2370" s="40"/>
      <c r="H2370" s="42"/>
      <c r="I2370" s="42" t="str">
        <f t="shared" si="33"/>
        <v/>
      </c>
    </row>
    <row r="2371" spans="2:9" x14ac:dyDescent="0.25">
      <c r="B2371" s="39"/>
      <c r="C2371" s="40"/>
      <c r="D2371" s="40"/>
      <c r="F2371" s="40"/>
      <c r="G2371" s="40"/>
      <c r="H2371" s="42"/>
      <c r="I2371" s="42" t="str">
        <f t="shared" si="33"/>
        <v/>
      </c>
    </row>
    <row r="2372" spans="2:9" x14ac:dyDescent="0.25">
      <c r="B2372" s="39"/>
      <c r="C2372" s="40"/>
      <c r="D2372" s="40"/>
      <c r="F2372" s="40"/>
      <c r="G2372" s="40"/>
      <c r="H2372" s="42"/>
      <c r="I2372" s="42" t="str">
        <f t="shared" si="33"/>
        <v/>
      </c>
    </row>
    <row r="2373" spans="2:9" x14ac:dyDescent="0.25">
      <c r="B2373" s="39"/>
      <c r="C2373" s="40"/>
      <c r="D2373" s="40"/>
      <c r="F2373" s="40"/>
      <c r="G2373" s="40"/>
      <c r="H2373" s="42"/>
      <c r="I2373" s="42" t="str">
        <f t="shared" si="33"/>
        <v/>
      </c>
    </row>
    <row r="2374" spans="2:9" x14ac:dyDescent="0.25">
      <c r="B2374" s="39"/>
      <c r="C2374" s="40"/>
      <c r="D2374" s="40"/>
      <c r="F2374" s="40"/>
      <c r="G2374" s="40"/>
      <c r="H2374" s="42"/>
      <c r="I2374" s="42" t="str">
        <f t="shared" si="33"/>
        <v/>
      </c>
    </row>
    <row r="2375" spans="2:9" x14ac:dyDescent="0.25">
      <c r="B2375" s="39"/>
      <c r="C2375" s="40"/>
      <c r="D2375" s="40"/>
      <c r="F2375" s="40"/>
      <c r="G2375" s="40"/>
      <c r="H2375" s="42"/>
      <c r="I2375" s="42" t="str">
        <f t="shared" si="33"/>
        <v/>
      </c>
    </row>
    <row r="2376" spans="2:9" x14ac:dyDescent="0.25">
      <c r="B2376" s="39"/>
      <c r="C2376" s="40"/>
      <c r="D2376" s="40"/>
      <c r="F2376" s="40"/>
      <c r="G2376" s="40"/>
      <c r="H2376" s="42"/>
      <c r="I2376" s="42" t="str">
        <f t="shared" si="33"/>
        <v/>
      </c>
    </row>
    <row r="2377" spans="2:9" x14ac:dyDescent="0.25">
      <c r="B2377" s="39"/>
      <c r="C2377" s="40"/>
      <c r="D2377" s="40"/>
      <c r="F2377" s="40"/>
      <c r="G2377" s="40"/>
      <c r="H2377" s="42"/>
      <c r="I2377" s="42" t="str">
        <f t="shared" si="33"/>
        <v/>
      </c>
    </row>
    <row r="2378" spans="2:9" x14ac:dyDescent="0.25">
      <c r="B2378" s="39"/>
      <c r="C2378" s="40"/>
      <c r="D2378" s="40"/>
      <c r="F2378" s="40"/>
      <c r="G2378" s="40"/>
      <c r="H2378" s="42"/>
      <c r="I2378" s="42" t="str">
        <f t="shared" si="33"/>
        <v/>
      </c>
    </row>
    <row r="2379" spans="2:9" x14ac:dyDescent="0.25">
      <c r="B2379" s="39"/>
      <c r="C2379" s="40"/>
      <c r="D2379" s="40"/>
      <c r="F2379" s="40"/>
      <c r="G2379" s="40"/>
      <c r="H2379" s="42"/>
      <c r="I2379" s="42" t="str">
        <f t="shared" si="33"/>
        <v/>
      </c>
    </row>
    <row r="2380" spans="2:9" x14ac:dyDescent="0.25">
      <c r="B2380" s="39"/>
      <c r="C2380" s="40"/>
      <c r="D2380" s="40"/>
      <c r="F2380" s="40"/>
      <c r="G2380" s="40"/>
      <c r="H2380" s="42"/>
      <c r="I2380" s="42" t="str">
        <f t="shared" si="33"/>
        <v/>
      </c>
    </row>
    <row r="2381" spans="2:9" x14ac:dyDescent="0.25">
      <c r="B2381" s="39"/>
      <c r="C2381" s="40"/>
      <c r="D2381" s="40"/>
      <c r="F2381" s="40"/>
      <c r="G2381" s="40"/>
      <c r="H2381" s="42"/>
      <c r="I2381" s="42" t="str">
        <f t="shared" si="33"/>
        <v/>
      </c>
    </row>
    <row r="2382" spans="2:9" x14ac:dyDescent="0.25">
      <c r="B2382" s="39"/>
      <c r="C2382" s="40"/>
      <c r="D2382" s="40"/>
      <c r="F2382" s="40"/>
      <c r="G2382" s="40"/>
      <c r="H2382" s="42"/>
      <c r="I2382" s="42" t="str">
        <f t="shared" si="33"/>
        <v/>
      </c>
    </row>
    <row r="2383" spans="2:9" x14ac:dyDescent="0.25">
      <c r="B2383" s="39"/>
      <c r="C2383" s="40"/>
      <c r="D2383" s="40"/>
      <c r="F2383" s="40"/>
      <c r="G2383" s="40"/>
      <c r="H2383" s="42"/>
      <c r="I2383" s="42" t="str">
        <f t="shared" si="33"/>
        <v/>
      </c>
    </row>
    <row r="2384" spans="2:9" x14ac:dyDescent="0.25">
      <c r="B2384" s="39"/>
      <c r="C2384" s="40"/>
      <c r="D2384" s="40"/>
      <c r="F2384" s="40"/>
      <c r="G2384" s="40"/>
      <c r="H2384" s="42"/>
      <c r="I2384" s="42" t="str">
        <f t="shared" si="33"/>
        <v/>
      </c>
    </row>
    <row r="2385" spans="2:9" x14ac:dyDescent="0.25">
      <c r="B2385" s="39"/>
      <c r="C2385" s="40"/>
      <c r="D2385" s="40"/>
      <c r="F2385" s="40"/>
      <c r="G2385" s="40"/>
      <c r="H2385" s="42"/>
      <c r="I2385" s="42" t="str">
        <f t="shared" si="33"/>
        <v/>
      </c>
    </row>
    <row r="2386" spans="2:9" x14ac:dyDescent="0.25">
      <c r="B2386" s="39"/>
      <c r="C2386" s="40"/>
      <c r="D2386" s="40"/>
      <c r="F2386" s="40"/>
      <c r="G2386" s="40"/>
      <c r="H2386" s="42"/>
      <c r="I2386" s="42" t="str">
        <f t="shared" si="33"/>
        <v/>
      </c>
    </row>
    <row r="2387" spans="2:9" x14ac:dyDescent="0.25">
      <c r="B2387" s="39"/>
      <c r="C2387" s="40"/>
      <c r="D2387" s="40"/>
      <c r="F2387" s="40"/>
      <c r="G2387" s="40"/>
      <c r="H2387" s="42"/>
      <c r="I2387" s="42" t="str">
        <f t="shared" si="33"/>
        <v/>
      </c>
    </row>
    <row r="2388" spans="2:9" x14ac:dyDescent="0.25">
      <c r="B2388" s="39"/>
      <c r="C2388" s="40"/>
      <c r="D2388" s="40"/>
      <c r="F2388" s="40"/>
      <c r="G2388" s="40"/>
      <c r="H2388" s="42"/>
      <c r="I2388" s="42" t="str">
        <f t="shared" si="33"/>
        <v/>
      </c>
    </row>
    <row r="2389" spans="2:9" x14ac:dyDescent="0.25">
      <c r="B2389" s="39"/>
      <c r="C2389" s="40"/>
      <c r="D2389" s="40"/>
      <c r="F2389" s="40"/>
      <c r="G2389" s="40"/>
      <c r="H2389" s="42"/>
      <c r="I2389" s="42" t="str">
        <f t="shared" si="33"/>
        <v/>
      </c>
    </row>
    <row r="2390" spans="2:9" x14ac:dyDescent="0.25">
      <c r="B2390" s="39"/>
      <c r="C2390" s="40"/>
      <c r="D2390" s="40"/>
      <c r="F2390" s="40"/>
      <c r="G2390" s="40"/>
      <c r="H2390" s="42"/>
      <c r="I2390" s="42" t="str">
        <f t="shared" si="33"/>
        <v/>
      </c>
    </row>
    <row r="2391" spans="2:9" x14ac:dyDescent="0.25">
      <c r="B2391" s="39"/>
      <c r="C2391" s="40"/>
      <c r="D2391" s="40"/>
      <c r="F2391" s="40"/>
      <c r="G2391" s="40"/>
      <c r="H2391" s="42"/>
      <c r="I2391" s="42" t="str">
        <f t="shared" si="33"/>
        <v/>
      </c>
    </row>
    <row r="2392" spans="2:9" x14ac:dyDescent="0.25">
      <c r="B2392" s="39"/>
      <c r="C2392" s="40"/>
      <c r="D2392" s="40"/>
      <c r="F2392" s="40"/>
      <c r="G2392" s="40"/>
      <c r="H2392" s="42"/>
      <c r="I2392" s="42" t="str">
        <f t="shared" si="33"/>
        <v/>
      </c>
    </row>
    <row r="2393" spans="2:9" x14ac:dyDescent="0.25">
      <c r="B2393" s="39"/>
      <c r="C2393" s="40"/>
      <c r="D2393" s="40"/>
      <c r="F2393" s="40"/>
      <c r="G2393" s="40"/>
      <c r="H2393" s="42"/>
      <c r="I2393" s="42" t="str">
        <f t="shared" si="33"/>
        <v/>
      </c>
    </row>
    <row r="2394" spans="2:9" x14ac:dyDescent="0.25">
      <c r="B2394" s="39"/>
      <c r="C2394" s="40"/>
      <c r="D2394" s="40"/>
      <c r="F2394" s="40"/>
      <c r="G2394" s="40"/>
      <c r="H2394" s="42"/>
      <c r="I2394" s="42" t="str">
        <f t="shared" si="33"/>
        <v/>
      </c>
    </row>
    <row r="2395" spans="2:9" x14ac:dyDescent="0.25">
      <c r="B2395" s="39"/>
      <c r="C2395" s="40"/>
      <c r="D2395" s="40"/>
      <c r="F2395" s="40"/>
      <c r="G2395" s="40"/>
      <c r="H2395" s="42"/>
      <c r="I2395" s="42" t="str">
        <f t="shared" si="33"/>
        <v/>
      </c>
    </row>
    <row r="2396" spans="2:9" x14ac:dyDescent="0.25">
      <c r="B2396" s="39"/>
      <c r="C2396" s="40"/>
      <c r="D2396" s="40"/>
      <c r="F2396" s="40"/>
      <c r="G2396" s="40"/>
      <c r="H2396" s="42"/>
      <c r="I2396" s="42" t="str">
        <f t="shared" si="33"/>
        <v/>
      </c>
    </row>
    <row r="2397" spans="2:9" x14ac:dyDescent="0.25">
      <c r="B2397" s="39"/>
      <c r="C2397" s="40"/>
      <c r="D2397" s="40"/>
      <c r="F2397" s="40"/>
      <c r="G2397" s="40"/>
      <c r="H2397" s="42"/>
      <c r="I2397" s="42" t="str">
        <f t="shared" si="33"/>
        <v/>
      </c>
    </row>
    <row r="2398" spans="2:9" x14ac:dyDescent="0.25">
      <c r="B2398" s="39"/>
      <c r="C2398" s="40"/>
      <c r="D2398" s="40"/>
      <c r="F2398" s="40"/>
      <c r="G2398" s="40"/>
      <c r="H2398" s="42"/>
      <c r="I2398" s="42" t="str">
        <f t="shared" si="33"/>
        <v/>
      </c>
    </row>
    <row r="2399" spans="2:9" x14ac:dyDescent="0.25">
      <c r="B2399" s="39"/>
      <c r="C2399" s="40"/>
      <c r="D2399" s="40"/>
      <c r="F2399" s="40"/>
      <c r="G2399" s="40"/>
      <c r="H2399" s="42"/>
      <c r="I2399" s="42" t="str">
        <f t="shared" si="33"/>
        <v/>
      </c>
    </row>
    <row r="2400" spans="2:9" x14ac:dyDescent="0.25">
      <c r="B2400" s="39"/>
      <c r="C2400" s="40"/>
      <c r="D2400" s="40"/>
      <c r="F2400" s="40"/>
      <c r="G2400" s="40"/>
      <c r="H2400" s="42"/>
      <c r="I2400" s="42" t="str">
        <f t="shared" si="33"/>
        <v/>
      </c>
    </row>
    <row r="2401" spans="2:9" x14ac:dyDescent="0.25">
      <c r="B2401" s="39"/>
      <c r="C2401" s="40"/>
      <c r="D2401" s="40"/>
      <c r="F2401" s="40"/>
      <c r="G2401" s="40"/>
      <c r="H2401" s="42"/>
      <c r="I2401" s="42" t="str">
        <f t="shared" si="33"/>
        <v/>
      </c>
    </row>
    <row r="2402" spans="2:9" x14ac:dyDescent="0.25">
      <c r="B2402" s="39"/>
      <c r="C2402" s="40"/>
      <c r="D2402" s="40"/>
      <c r="F2402" s="40"/>
      <c r="G2402" s="40"/>
      <c r="H2402" s="42"/>
      <c r="I2402" s="42" t="str">
        <f t="shared" si="33"/>
        <v/>
      </c>
    </row>
    <row r="2403" spans="2:9" x14ac:dyDescent="0.25">
      <c r="B2403" s="39"/>
      <c r="C2403" s="40"/>
      <c r="D2403" s="40"/>
      <c r="F2403" s="40"/>
      <c r="G2403" s="40"/>
      <c r="H2403" s="42"/>
      <c r="I2403" s="42" t="str">
        <f t="shared" si="33"/>
        <v/>
      </c>
    </row>
    <row r="2404" spans="2:9" x14ac:dyDescent="0.25">
      <c r="B2404" s="39"/>
      <c r="C2404" s="40"/>
      <c r="D2404" s="40"/>
      <c r="F2404" s="40"/>
      <c r="G2404" s="40"/>
      <c r="H2404" s="42"/>
      <c r="I2404" s="42" t="str">
        <f t="shared" si="33"/>
        <v/>
      </c>
    </row>
    <row r="2405" spans="2:9" x14ac:dyDescent="0.25">
      <c r="B2405" s="39"/>
      <c r="C2405" s="40"/>
      <c r="D2405" s="40"/>
      <c r="F2405" s="40"/>
      <c r="G2405" s="40"/>
      <c r="H2405" s="42"/>
      <c r="I2405" s="42" t="str">
        <f t="shared" si="33"/>
        <v/>
      </c>
    </row>
    <row r="2406" spans="2:9" x14ac:dyDescent="0.25">
      <c r="B2406" s="39"/>
      <c r="C2406" s="40"/>
      <c r="D2406" s="40"/>
      <c r="F2406" s="40"/>
      <c r="G2406" s="40"/>
      <c r="H2406" s="42"/>
      <c r="I2406" s="42" t="str">
        <f t="shared" si="33"/>
        <v/>
      </c>
    </row>
    <row r="2407" spans="2:9" x14ac:dyDescent="0.25">
      <c r="B2407" s="39"/>
      <c r="C2407" s="40"/>
      <c r="D2407" s="40"/>
      <c r="F2407" s="40"/>
      <c r="G2407" s="40"/>
      <c r="H2407" s="42"/>
      <c r="I2407" s="42" t="str">
        <f t="shared" si="33"/>
        <v/>
      </c>
    </row>
    <row r="2408" spans="2:9" x14ac:dyDescent="0.25">
      <c r="B2408" s="39"/>
      <c r="C2408" s="40"/>
      <c r="D2408" s="40"/>
      <c r="F2408" s="40"/>
      <c r="G2408" s="40"/>
      <c r="H2408" s="42"/>
      <c r="I2408" s="42" t="str">
        <f t="shared" si="33"/>
        <v/>
      </c>
    </row>
    <row r="2409" spans="2:9" x14ac:dyDescent="0.25">
      <c r="B2409" s="39"/>
      <c r="C2409" s="40"/>
      <c r="D2409" s="40"/>
      <c r="F2409" s="40"/>
      <c r="G2409" s="40"/>
      <c r="H2409" s="42"/>
      <c r="I2409" s="42" t="str">
        <f t="shared" si="33"/>
        <v/>
      </c>
    </row>
    <row r="2410" spans="2:9" x14ac:dyDescent="0.25">
      <c r="B2410" s="39"/>
      <c r="C2410" s="40"/>
      <c r="D2410" s="40"/>
      <c r="F2410" s="40"/>
      <c r="G2410" s="40"/>
      <c r="H2410" s="42"/>
      <c r="I2410" s="42" t="str">
        <f t="shared" si="33"/>
        <v/>
      </c>
    </row>
    <row r="2411" spans="2:9" x14ac:dyDescent="0.25">
      <c r="B2411" s="39"/>
      <c r="C2411" s="40"/>
      <c r="D2411" s="40"/>
      <c r="F2411" s="40"/>
      <c r="G2411" s="40"/>
      <c r="H2411" s="42"/>
      <c r="I2411" s="42" t="str">
        <f t="shared" si="33"/>
        <v/>
      </c>
    </row>
    <row r="2412" spans="2:9" x14ac:dyDescent="0.25">
      <c r="B2412" s="39"/>
      <c r="C2412" s="40"/>
      <c r="D2412" s="40"/>
      <c r="F2412" s="40"/>
      <c r="G2412" s="40"/>
      <c r="H2412" s="42"/>
      <c r="I2412" s="42" t="str">
        <f t="shared" si="33"/>
        <v/>
      </c>
    </row>
    <row r="2413" spans="2:9" x14ac:dyDescent="0.25">
      <c r="B2413" s="39"/>
      <c r="C2413" s="40"/>
      <c r="D2413" s="40"/>
      <c r="F2413" s="40"/>
      <c r="G2413" s="40"/>
      <c r="H2413" s="42"/>
      <c r="I2413" s="42" t="str">
        <f t="shared" si="33"/>
        <v/>
      </c>
    </row>
    <row r="2414" spans="2:9" x14ac:dyDescent="0.25">
      <c r="B2414" s="39"/>
      <c r="C2414" s="40"/>
      <c r="D2414" s="40"/>
      <c r="F2414" s="40"/>
      <c r="G2414" s="40"/>
      <c r="H2414" s="42"/>
      <c r="I2414" s="42" t="str">
        <f t="shared" si="33"/>
        <v/>
      </c>
    </row>
    <row r="2415" spans="2:9" x14ac:dyDescent="0.25">
      <c r="B2415" s="39"/>
      <c r="C2415" s="40"/>
      <c r="D2415" s="40"/>
      <c r="F2415" s="40"/>
      <c r="G2415" s="40"/>
      <c r="H2415" s="42"/>
      <c r="I2415" s="42" t="str">
        <f t="shared" si="33"/>
        <v/>
      </c>
    </row>
    <row r="2416" spans="2:9" x14ac:dyDescent="0.25">
      <c r="B2416" s="39"/>
      <c r="C2416" s="40"/>
      <c r="D2416" s="40"/>
      <c r="F2416" s="40"/>
      <c r="G2416" s="40"/>
      <c r="H2416" s="42"/>
      <c r="I2416" s="42" t="str">
        <f t="shared" si="33"/>
        <v/>
      </c>
    </row>
    <row r="2417" spans="2:9" x14ac:dyDescent="0.25">
      <c r="B2417" s="39"/>
      <c r="C2417" s="40"/>
      <c r="D2417" s="40"/>
      <c r="F2417" s="40"/>
      <c r="G2417" s="40"/>
      <c r="H2417" s="42"/>
      <c r="I2417" s="42" t="str">
        <f t="shared" si="33"/>
        <v/>
      </c>
    </row>
    <row r="2418" spans="2:9" x14ac:dyDescent="0.25">
      <c r="B2418" s="39"/>
      <c r="C2418" s="40"/>
      <c r="D2418" s="40"/>
      <c r="F2418" s="40"/>
      <c r="G2418" s="40"/>
      <c r="H2418" s="42"/>
      <c r="I2418" s="42" t="str">
        <f t="shared" si="33"/>
        <v/>
      </c>
    </row>
    <row r="2419" spans="2:9" x14ac:dyDescent="0.25">
      <c r="B2419" s="39"/>
      <c r="C2419" s="40"/>
      <c r="D2419" s="40"/>
      <c r="F2419" s="40"/>
      <c r="G2419" s="40"/>
      <c r="H2419" s="42"/>
      <c r="I2419" s="42" t="str">
        <f t="shared" si="33"/>
        <v/>
      </c>
    </row>
    <row r="2420" spans="2:9" x14ac:dyDescent="0.25">
      <c r="B2420" s="39"/>
      <c r="C2420" s="40"/>
      <c r="D2420" s="40"/>
      <c r="F2420" s="40"/>
      <c r="G2420" s="40"/>
      <c r="H2420" s="42"/>
      <c r="I2420" s="42" t="str">
        <f t="shared" si="33"/>
        <v/>
      </c>
    </row>
    <row r="2421" spans="2:9" x14ac:dyDescent="0.25">
      <c r="B2421" s="39"/>
      <c r="C2421" s="40"/>
      <c r="D2421" s="40"/>
      <c r="F2421" s="40"/>
      <c r="G2421" s="40"/>
      <c r="H2421" s="42"/>
      <c r="I2421" s="42" t="str">
        <f t="shared" si="33"/>
        <v/>
      </c>
    </row>
    <row r="2422" spans="2:9" x14ac:dyDescent="0.25">
      <c r="B2422" s="39"/>
      <c r="C2422" s="40"/>
      <c r="D2422" s="40"/>
      <c r="F2422" s="40"/>
      <c r="G2422" s="40"/>
      <c r="H2422" s="42"/>
      <c r="I2422" s="42" t="str">
        <f t="shared" si="33"/>
        <v/>
      </c>
    </row>
    <row r="2423" spans="2:9" x14ac:dyDescent="0.25">
      <c r="B2423" s="39"/>
      <c r="C2423" s="40"/>
      <c r="D2423" s="40"/>
      <c r="F2423" s="40"/>
      <c r="G2423" s="40"/>
      <c r="H2423" s="42"/>
      <c r="I2423" s="42" t="str">
        <f t="shared" si="33"/>
        <v/>
      </c>
    </row>
    <row r="2424" spans="2:9" x14ac:dyDescent="0.25">
      <c r="B2424" s="39"/>
      <c r="C2424" s="40"/>
      <c r="D2424" s="40"/>
      <c r="F2424" s="40"/>
      <c r="G2424" s="40"/>
      <c r="H2424" s="42"/>
      <c r="I2424" s="42" t="str">
        <f t="shared" si="33"/>
        <v/>
      </c>
    </row>
    <row r="2425" spans="2:9" x14ac:dyDescent="0.25">
      <c r="B2425" s="39"/>
      <c r="C2425" s="40"/>
      <c r="D2425" s="40"/>
      <c r="F2425" s="40"/>
      <c r="G2425" s="40"/>
      <c r="H2425" s="42"/>
      <c r="I2425" s="42" t="str">
        <f t="shared" si="33"/>
        <v/>
      </c>
    </row>
    <row r="2426" spans="2:9" x14ac:dyDescent="0.25">
      <c r="B2426" s="39"/>
      <c r="C2426" s="40"/>
      <c r="D2426" s="40"/>
      <c r="F2426" s="40"/>
      <c r="G2426" s="40"/>
      <c r="H2426" s="42"/>
      <c r="I2426" s="42" t="str">
        <f t="shared" si="33"/>
        <v/>
      </c>
    </row>
    <row r="2427" spans="2:9" x14ac:dyDescent="0.25">
      <c r="B2427" s="39"/>
      <c r="C2427" s="40"/>
      <c r="D2427" s="40"/>
      <c r="F2427" s="40"/>
      <c r="G2427" s="40"/>
      <c r="H2427" s="42"/>
      <c r="I2427" s="42" t="str">
        <f t="shared" si="33"/>
        <v/>
      </c>
    </row>
    <row r="2428" spans="2:9" x14ac:dyDescent="0.25">
      <c r="B2428" s="39"/>
      <c r="C2428" s="40"/>
      <c r="D2428" s="40"/>
      <c r="F2428" s="40"/>
      <c r="G2428" s="40"/>
      <c r="H2428" s="42"/>
      <c r="I2428" s="42" t="str">
        <f t="shared" si="33"/>
        <v/>
      </c>
    </row>
    <row r="2429" spans="2:9" x14ac:dyDescent="0.25">
      <c r="B2429" s="39"/>
      <c r="C2429" s="40"/>
      <c r="D2429" s="40"/>
      <c r="F2429" s="40"/>
      <c r="G2429" s="40"/>
      <c r="H2429" s="42"/>
      <c r="I2429" s="42" t="str">
        <f t="shared" si="33"/>
        <v/>
      </c>
    </row>
    <row r="2430" spans="2:9" x14ac:dyDescent="0.25">
      <c r="B2430" s="39"/>
      <c r="C2430" s="40"/>
      <c r="D2430" s="40"/>
      <c r="F2430" s="40"/>
      <c r="G2430" s="40"/>
      <c r="H2430" s="42"/>
      <c r="I2430" s="42" t="str">
        <f t="shared" si="33"/>
        <v/>
      </c>
    </row>
    <row r="2431" spans="2:9" x14ac:dyDescent="0.25">
      <c r="B2431" s="39"/>
      <c r="C2431" s="40"/>
      <c r="D2431" s="40"/>
      <c r="F2431" s="40"/>
      <c r="G2431" s="40"/>
      <c r="H2431" s="42"/>
      <c r="I2431" s="42" t="str">
        <f t="shared" si="33"/>
        <v/>
      </c>
    </row>
    <row r="2432" spans="2:9" x14ac:dyDescent="0.25">
      <c r="B2432" s="39"/>
      <c r="C2432" s="40"/>
      <c r="D2432" s="40"/>
      <c r="F2432" s="40"/>
      <c r="G2432" s="40"/>
      <c r="H2432" s="42"/>
      <c r="I2432" s="42" t="str">
        <f t="shared" ref="I2432:I2495" si="34">IF(H2432&lt;&gt;"",H2432-H2431,"")</f>
        <v/>
      </c>
    </row>
    <row r="2433" spans="2:9" x14ac:dyDescent="0.25">
      <c r="B2433" s="39"/>
      <c r="C2433" s="40"/>
      <c r="D2433" s="40"/>
      <c r="F2433" s="40"/>
      <c r="G2433" s="40"/>
      <c r="H2433" s="42"/>
      <c r="I2433" s="42" t="str">
        <f t="shared" si="34"/>
        <v/>
      </c>
    </row>
    <row r="2434" spans="2:9" x14ac:dyDescent="0.25">
      <c r="B2434" s="39"/>
      <c r="C2434" s="40"/>
      <c r="D2434" s="40"/>
      <c r="F2434" s="40"/>
      <c r="G2434" s="40"/>
      <c r="H2434" s="42"/>
      <c r="I2434" s="42" t="str">
        <f t="shared" si="34"/>
        <v/>
      </c>
    </row>
    <row r="2435" spans="2:9" x14ac:dyDescent="0.25">
      <c r="B2435" s="39"/>
      <c r="C2435" s="40"/>
      <c r="D2435" s="40"/>
      <c r="F2435" s="40"/>
      <c r="G2435" s="40"/>
      <c r="H2435" s="42"/>
      <c r="I2435" s="42" t="str">
        <f t="shared" si="34"/>
        <v/>
      </c>
    </row>
    <row r="2436" spans="2:9" x14ac:dyDescent="0.25">
      <c r="B2436" s="39"/>
      <c r="C2436" s="40"/>
      <c r="D2436" s="40"/>
      <c r="F2436" s="40"/>
      <c r="G2436" s="40"/>
      <c r="H2436" s="42"/>
      <c r="I2436" s="42" t="str">
        <f t="shared" si="34"/>
        <v/>
      </c>
    </row>
    <row r="2437" spans="2:9" x14ac:dyDescent="0.25">
      <c r="B2437" s="39"/>
      <c r="C2437" s="40"/>
      <c r="D2437" s="40"/>
      <c r="F2437" s="40"/>
      <c r="G2437" s="40"/>
      <c r="H2437" s="42"/>
      <c r="I2437" s="42" t="str">
        <f t="shared" si="34"/>
        <v/>
      </c>
    </row>
    <row r="2438" spans="2:9" x14ac:dyDescent="0.25">
      <c r="B2438" s="39"/>
      <c r="C2438" s="40"/>
      <c r="D2438" s="40"/>
      <c r="F2438" s="40"/>
      <c r="G2438" s="40"/>
      <c r="H2438" s="42"/>
      <c r="I2438" s="42" t="str">
        <f t="shared" si="34"/>
        <v/>
      </c>
    </row>
    <row r="2439" spans="2:9" x14ac:dyDescent="0.25">
      <c r="B2439" s="39"/>
      <c r="C2439" s="40"/>
      <c r="D2439" s="40"/>
      <c r="F2439" s="40"/>
      <c r="G2439" s="40"/>
      <c r="H2439" s="42"/>
      <c r="I2439" s="42" t="str">
        <f t="shared" si="34"/>
        <v/>
      </c>
    </row>
    <row r="2440" spans="2:9" x14ac:dyDescent="0.25">
      <c r="B2440" s="39"/>
      <c r="C2440" s="40"/>
      <c r="D2440" s="40"/>
      <c r="F2440" s="40"/>
      <c r="G2440" s="40"/>
      <c r="H2440" s="42"/>
      <c r="I2440" s="42" t="str">
        <f t="shared" si="34"/>
        <v/>
      </c>
    </row>
    <row r="2441" spans="2:9" x14ac:dyDescent="0.25">
      <c r="B2441" s="39"/>
      <c r="C2441" s="40"/>
      <c r="D2441" s="40"/>
      <c r="F2441" s="40"/>
      <c r="G2441" s="40"/>
      <c r="H2441" s="42"/>
      <c r="I2441" s="42" t="str">
        <f t="shared" si="34"/>
        <v/>
      </c>
    </row>
    <row r="2442" spans="2:9" x14ac:dyDescent="0.25">
      <c r="B2442" s="39"/>
      <c r="C2442" s="40"/>
      <c r="D2442" s="40"/>
      <c r="F2442" s="40"/>
      <c r="G2442" s="40"/>
      <c r="H2442" s="42"/>
      <c r="I2442" s="42" t="str">
        <f t="shared" si="34"/>
        <v/>
      </c>
    </row>
    <row r="2443" spans="2:9" x14ac:dyDescent="0.25">
      <c r="B2443" s="39"/>
      <c r="C2443" s="40"/>
      <c r="D2443" s="40"/>
      <c r="F2443" s="40"/>
      <c r="G2443" s="40"/>
      <c r="H2443" s="42"/>
      <c r="I2443" s="42" t="str">
        <f t="shared" si="34"/>
        <v/>
      </c>
    </row>
    <row r="2444" spans="2:9" x14ac:dyDescent="0.25">
      <c r="B2444" s="39"/>
      <c r="C2444" s="40"/>
      <c r="D2444" s="40"/>
      <c r="F2444" s="40"/>
      <c r="G2444" s="40"/>
      <c r="H2444" s="42"/>
      <c r="I2444" s="42" t="str">
        <f t="shared" si="34"/>
        <v/>
      </c>
    </row>
    <row r="2445" spans="2:9" x14ac:dyDescent="0.25">
      <c r="B2445" s="39"/>
      <c r="C2445" s="40"/>
      <c r="D2445" s="40"/>
      <c r="F2445" s="40"/>
      <c r="G2445" s="40"/>
      <c r="H2445" s="42"/>
      <c r="I2445" s="42" t="str">
        <f t="shared" si="34"/>
        <v/>
      </c>
    </row>
    <row r="2446" spans="2:9" x14ac:dyDescent="0.25">
      <c r="B2446" s="39"/>
      <c r="C2446" s="40"/>
      <c r="D2446" s="40"/>
      <c r="F2446" s="40"/>
      <c r="G2446" s="40"/>
      <c r="H2446" s="42"/>
      <c r="I2446" s="42" t="str">
        <f t="shared" si="34"/>
        <v/>
      </c>
    </row>
    <row r="2447" spans="2:9" x14ac:dyDescent="0.25">
      <c r="B2447" s="39"/>
      <c r="C2447" s="40"/>
      <c r="D2447" s="40"/>
      <c r="F2447" s="40"/>
      <c r="G2447" s="40"/>
      <c r="H2447" s="42"/>
      <c r="I2447" s="42" t="str">
        <f t="shared" si="34"/>
        <v/>
      </c>
    </row>
    <row r="2448" spans="2:9" x14ac:dyDescent="0.25">
      <c r="B2448" s="39"/>
      <c r="C2448" s="40"/>
      <c r="D2448" s="40"/>
      <c r="F2448" s="40"/>
      <c r="G2448" s="40"/>
      <c r="H2448" s="42"/>
      <c r="I2448" s="42" t="str">
        <f t="shared" si="34"/>
        <v/>
      </c>
    </row>
    <row r="2449" spans="2:9" x14ac:dyDescent="0.25">
      <c r="B2449" s="39"/>
      <c r="C2449" s="40"/>
      <c r="D2449" s="40"/>
      <c r="F2449" s="40"/>
      <c r="G2449" s="40"/>
      <c r="H2449" s="42"/>
      <c r="I2449" s="42" t="str">
        <f t="shared" si="34"/>
        <v/>
      </c>
    </row>
    <row r="2450" spans="2:9" x14ac:dyDescent="0.25">
      <c r="B2450" s="39"/>
      <c r="C2450" s="40"/>
      <c r="D2450" s="40"/>
      <c r="F2450" s="40"/>
      <c r="G2450" s="40"/>
      <c r="H2450" s="42"/>
      <c r="I2450" s="42" t="str">
        <f t="shared" si="34"/>
        <v/>
      </c>
    </row>
    <row r="2451" spans="2:9" x14ac:dyDescent="0.25">
      <c r="B2451" s="39"/>
      <c r="C2451" s="40"/>
      <c r="D2451" s="40"/>
      <c r="F2451" s="40"/>
      <c r="G2451" s="40"/>
      <c r="H2451" s="42"/>
      <c r="I2451" s="42" t="str">
        <f t="shared" si="34"/>
        <v/>
      </c>
    </row>
    <row r="2452" spans="2:9" x14ac:dyDescent="0.25">
      <c r="B2452" s="39"/>
      <c r="C2452" s="40"/>
      <c r="D2452" s="40"/>
      <c r="F2452" s="40"/>
      <c r="G2452" s="40"/>
      <c r="H2452" s="42"/>
      <c r="I2452" s="42" t="str">
        <f t="shared" si="34"/>
        <v/>
      </c>
    </row>
    <row r="2453" spans="2:9" x14ac:dyDescent="0.25">
      <c r="B2453" s="39"/>
      <c r="C2453" s="40"/>
      <c r="D2453" s="40"/>
      <c r="F2453" s="40"/>
      <c r="G2453" s="40"/>
      <c r="H2453" s="42"/>
      <c r="I2453" s="42" t="str">
        <f t="shared" si="34"/>
        <v/>
      </c>
    </row>
    <row r="2454" spans="2:9" x14ac:dyDescent="0.25">
      <c r="B2454" s="39"/>
      <c r="C2454" s="40"/>
      <c r="D2454" s="40"/>
      <c r="F2454" s="40"/>
      <c r="G2454" s="40"/>
      <c r="H2454" s="42"/>
      <c r="I2454" s="42" t="str">
        <f t="shared" si="34"/>
        <v/>
      </c>
    </row>
    <row r="2455" spans="2:9" x14ac:dyDescent="0.25">
      <c r="B2455" s="39"/>
      <c r="C2455" s="40"/>
      <c r="D2455" s="40"/>
      <c r="F2455" s="40"/>
      <c r="G2455" s="40"/>
      <c r="H2455" s="42"/>
      <c r="I2455" s="42" t="str">
        <f t="shared" si="34"/>
        <v/>
      </c>
    </row>
    <row r="2456" spans="2:9" x14ac:dyDescent="0.25">
      <c r="B2456" s="39"/>
      <c r="C2456" s="40"/>
      <c r="D2456" s="40"/>
      <c r="F2456" s="40"/>
      <c r="G2456" s="40"/>
      <c r="H2456" s="42"/>
      <c r="I2456" s="42" t="str">
        <f t="shared" si="34"/>
        <v/>
      </c>
    </row>
    <row r="2457" spans="2:9" x14ac:dyDescent="0.25">
      <c r="B2457" s="39"/>
      <c r="C2457" s="40"/>
      <c r="D2457" s="40"/>
      <c r="F2457" s="40"/>
      <c r="G2457" s="40"/>
      <c r="H2457" s="42"/>
      <c r="I2457" s="42" t="str">
        <f t="shared" si="34"/>
        <v/>
      </c>
    </row>
    <row r="2458" spans="2:9" x14ac:dyDescent="0.25">
      <c r="B2458" s="39"/>
      <c r="C2458" s="40"/>
      <c r="D2458" s="40"/>
      <c r="F2458" s="40"/>
      <c r="G2458" s="40"/>
      <c r="H2458" s="42"/>
      <c r="I2458" s="42" t="str">
        <f t="shared" si="34"/>
        <v/>
      </c>
    </row>
    <row r="2459" spans="2:9" x14ac:dyDescent="0.25">
      <c r="B2459" s="39"/>
      <c r="C2459" s="40"/>
      <c r="D2459" s="40"/>
      <c r="F2459" s="40"/>
      <c r="G2459" s="40"/>
      <c r="H2459" s="42"/>
      <c r="I2459" s="42" t="str">
        <f t="shared" si="34"/>
        <v/>
      </c>
    </row>
    <row r="2460" spans="2:9" x14ac:dyDescent="0.25">
      <c r="B2460" s="39"/>
      <c r="C2460" s="40"/>
      <c r="D2460" s="40"/>
      <c r="F2460" s="40"/>
      <c r="G2460" s="40"/>
      <c r="H2460" s="42"/>
      <c r="I2460" s="42" t="str">
        <f t="shared" si="34"/>
        <v/>
      </c>
    </row>
    <row r="2461" spans="2:9" x14ac:dyDescent="0.25">
      <c r="B2461" s="39"/>
      <c r="C2461" s="40"/>
      <c r="D2461" s="40"/>
      <c r="F2461" s="40"/>
      <c r="G2461" s="40"/>
      <c r="H2461" s="42"/>
      <c r="I2461" s="42" t="str">
        <f t="shared" si="34"/>
        <v/>
      </c>
    </row>
    <row r="2462" spans="2:9" x14ac:dyDescent="0.25">
      <c r="B2462" s="39"/>
      <c r="C2462" s="40"/>
      <c r="D2462" s="40"/>
      <c r="F2462" s="40"/>
      <c r="G2462" s="40"/>
      <c r="H2462" s="42"/>
      <c r="I2462" s="42" t="str">
        <f t="shared" si="34"/>
        <v/>
      </c>
    </row>
    <row r="2463" spans="2:9" x14ac:dyDescent="0.25">
      <c r="B2463" s="39"/>
      <c r="C2463" s="40"/>
      <c r="D2463" s="40"/>
      <c r="F2463" s="40"/>
      <c r="G2463" s="40"/>
      <c r="H2463" s="42"/>
      <c r="I2463" s="42" t="str">
        <f t="shared" si="34"/>
        <v/>
      </c>
    </row>
    <row r="2464" spans="2:9" x14ac:dyDescent="0.25">
      <c r="B2464" s="39"/>
      <c r="C2464" s="40"/>
      <c r="D2464" s="40"/>
      <c r="F2464" s="40"/>
      <c r="G2464" s="40"/>
      <c r="H2464" s="42"/>
      <c r="I2464" s="42" t="str">
        <f t="shared" si="34"/>
        <v/>
      </c>
    </row>
    <row r="2465" spans="2:9" x14ac:dyDescent="0.25">
      <c r="B2465" s="39"/>
      <c r="C2465" s="40"/>
      <c r="D2465" s="40"/>
      <c r="F2465" s="40"/>
      <c r="G2465" s="40"/>
      <c r="H2465" s="42"/>
      <c r="I2465" s="42" t="str">
        <f t="shared" si="34"/>
        <v/>
      </c>
    </row>
    <row r="2466" spans="2:9" x14ac:dyDescent="0.25">
      <c r="B2466" s="39"/>
      <c r="C2466" s="40"/>
      <c r="D2466" s="40"/>
      <c r="F2466" s="40"/>
      <c r="G2466" s="40"/>
      <c r="H2466" s="42"/>
      <c r="I2466" s="42" t="str">
        <f t="shared" si="34"/>
        <v/>
      </c>
    </row>
    <row r="2467" spans="2:9" x14ac:dyDescent="0.25">
      <c r="B2467" s="39"/>
      <c r="C2467" s="40"/>
      <c r="D2467" s="40"/>
      <c r="F2467" s="40"/>
      <c r="G2467" s="40"/>
      <c r="H2467" s="42"/>
      <c r="I2467" s="42" t="str">
        <f t="shared" si="34"/>
        <v/>
      </c>
    </row>
    <row r="2468" spans="2:9" x14ac:dyDescent="0.25">
      <c r="B2468" s="39"/>
      <c r="C2468" s="40"/>
      <c r="D2468" s="40"/>
      <c r="F2468" s="40"/>
      <c r="G2468" s="40"/>
      <c r="H2468" s="42"/>
      <c r="I2468" s="42" t="str">
        <f t="shared" si="34"/>
        <v/>
      </c>
    </row>
    <row r="2469" spans="2:9" x14ac:dyDescent="0.25">
      <c r="B2469" s="39"/>
      <c r="C2469" s="40"/>
      <c r="D2469" s="40"/>
      <c r="F2469" s="40"/>
      <c r="G2469" s="40"/>
      <c r="H2469" s="42"/>
      <c r="I2469" s="42" t="str">
        <f t="shared" si="34"/>
        <v/>
      </c>
    </row>
    <row r="2470" spans="2:9" x14ac:dyDescent="0.25">
      <c r="B2470" s="39"/>
      <c r="C2470" s="40"/>
      <c r="D2470" s="40"/>
      <c r="F2470" s="40"/>
      <c r="G2470" s="40"/>
      <c r="H2470" s="42"/>
      <c r="I2470" s="42" t="str">
        <f t="shared" si="34"/>
        <v/>
      </c>
    </row>
    <row r="2471" spans="2:9" x14ac:dyDescent="0.25">
      <c r="B2471" s="39"/>
      <c r="C2471" s="40"/>
      <c r="D2471" s="40"/>
      <c r="F2471" s="40"/>
      <c r="G2471" s="40"/>
      <c r="H2471" s="42"/>
      <c r="I2471" s="42" t="str">
        <f t="shared" si="34"/>
        <v/>
      </c>
    </row>
    <row r="2472" spans="2:9" x14ac:dyDescent="0.25">
      <c r="B2472" s="39"/>
      <c r="C2472" s="40"/>
      <c r="D2472" s="40"/>
      <c r="F2472" s="40"/>
      <c r="G2472" s="40"/>
      <c r="H2472" s="42"/>
      <c r="I2472" s="42" t="str">
        <f t="shared" si="34"/>
        <v/>
      </c>
    </row>
    <row r="2473" spans="2:9" x14ac:dyDescent="0.25">
      <c r="B2473" s="39"/>
      <c r="C2473" s="40"/>
      <c r="D2473" s="40"/>
      <c r="F2473" s="40"/>
      <c r="G2473" s="40"/>
      <c r="H2473" s="42"/>
      <c r="I2473" s="42" t="str">
        <f t="shared" si="34"/>
        <v/>
      </c>
    </row>
    <row r="2474" spans="2:9" x14ac:dyDescent="0.25">
      <c r="B2474" s="39"/>
      <c r="C2474" s="40"/>
      <c r="D2474" s="40"/>
      <c r="F2474" s="40"/>
      <c r="G2474" s="40"/>
      <c r="H2474" s="42"/>
      <c r="I2474" s="42" t="str">
        <f t="shared" si="34"/>
        <v/>
      </c>
    </row>
    <row r="2475" spans="2:9" x14ac:dyDescent="0.25">
      <c r="B2475" s="39"/>
      <c r="C2475" s="40"/>
      <c r="D2475" s="40"/>
      <c r="F2475" s="40"/>
      <c r="G2475" s="40"/>
      <c r="H2475" s="42"/>
      <c r="I2475" s="42" t="str">
        <f t="shared" si="34"/>
        <v/>
      </c>
    </row>
    <row r="2476" spans="2:9" x14ac:dyDescent="0.25">
      <c r="B2476" s="39"/>
      <c r="C2476" s="40"/>
      <c r="D2476" s="40"/>
      <c r="F2476" s="40"/>
      <c r="G2476" s="40"/>
      <c r="H2476" s="42"/>
      <c r="I2476" s="42" t="str">
        <f t="shared" si="34"/>
        <v/>
      </c>
    </row>
    <row r="2477" spans="2:9" x14ac:dyDescent="0.25">
      <c r="B2477" s="39"/>
      <c r="C2477" s="40"/>
      <c r="D2477" s="40"/>
      <c r="F2477" s="40"/>
      <c r="G2477" s="40"/>
      <c r="H2477" s="42"/>
      <c r="I2477" s="42" t="str">
        <f t="shared" si="34"/>
        <v/>
      </c>
    </row>
    <row r="2478" spans="2:9" x14ac:dyDescent="0.25">
      <c r="B2478" s="39"/>
      <c r="C2478" s="40"/>
      <c r="D2478" s="40"/>
      <c r="F2478" s="40"/>
      <c r="G2478" s="40"/>
      <c r="H2478" s="42"/>
      <c r="I2478" s="42" t="str">
        <f t="shared" si="34"/>
        <v/>
      </c>
    </row>
    <row r="2479" spans="2:9" x14ac:dyDescent="0.25">
      <c r="B2479" s="39"/>
      <c r="C2479" s="40"/>
      <c r="D2479" s="40"/>
      <c r="F2479" s="40"/>
      <c r="G2479" s="40"/>
      <c r="H2479" s="42"/>
      <c r="I2479" s="42" t="str">
        <f t="shared" si="34"/>
        <v/>
      </c>
    </row>
    <row r="2480" spans="2:9" x14ac:dyDescent="0.25">
      <c r="B2480" s="39"/>
      <c r="C2480" s="40"/>
      <c r="D2480" s="40"/>
      <c r="F2480" s="40"/>
      <c r="G2480" s="40"/>
      <c r="H2480" s="42"/>
      <c r="I2480" s="42" t="str">
        <f t="shared" si="34"/>
        <v/>
      </c>
    </row>
    <row r="2481" spans="2:9" x14ac:dyDescent="0.25">
      <c r="B2481" s="39"/>
      <c r="C2481" s="40"/>
      <c r="D2481" s="40"/>
      <c r="F2481" s="40"/>
      <c r="G2481" s="40"/>
      <c r="H2481" s="42"/>
      <c r="I2481" s="42" t="str">
        <f t="shared" si="34"/>
        <v/>
      </c>
    </row>
    <row r="2482" spans="2:9" x14ac:dyDescent="0.25">
      <c r="B2482" s="39"/>
      <c r="C2482" s="40"/>
      <c r="D2482" s="40"/>
      <c r="F2482" s="40"/>
      <c r="G2482" s="40"/>
      <c r="H2482" s="42"/>
      <c r="I2482" s="42" t="str">
        <f t="shared" si="34"/>
        <v/>
      </c>
    </row>
    <row r="2483" spans="2:9" x14ac:dyDescent="0.25">
      <c r="B2483" s="39"/>
      <c r="C2483" s="40"/>
      <c r="D2483" s="40"/>
      <c r="F2483" s="40"/>
      <c r="G2483" s="40"/>
      <c r="H2483" s="42"/>
      <c r="I2483" s="42" t="str">
        <f t="shared" si="34"/>
        <v/>
      </c>
    </row>
    <row r="2484" spans="2:9" x14ac:dyDescent="0.25">
      <c r="B2484" s="39"/>
      <c r="C2484" s="40"/>
      <c r="D2484" s="40"/>
      <c r="F2484" s="40"/>
      <c r="G2484" s="40"/>
      <c r="H2484" s="42"/>
      <c r="I2484" s="42" t="str">
        <f t="shared" si="34"/>
        <v/>
      </c>
    </row>
    <row r="2485" spans="2:9" x14ac:dyDescent="0.25">
      <c r="B2485" s="39"/>
      <c r="C2485" s="40"/>
      <c r="D2485" s="40"/>
      <c r="F2485" s="40"/>
      <c r="G2485" s="40"/>
      <c r="H2485" s="42"/>
      <c r="I2485" s="42" t="str">
        <f t="shared" si="34"/>
        <v/>
      </c>
    </row>
    <row r="2486" spans="2:9" x14ac:dyDescent="0.25">
      <c r="B2486" s="39"/>
      <c r="C2486" s="40"/>
      <c r="D2486" s="40"/>
      <c r="F2486" s="40"/>
      <c r="G2486" s="40"/>
      <c r="H2486" s="42"/>
      <c r="I2486" s="42" t="str">
        <f t="shared" si="34"/>
        <v/>
      </c>
    </row>
    <row r="2487" spans="2:9" x14ac:dyDescent="0.25">
      <c r="B2487" s="39"/>
      <c r="C2487" s="40"/>
      <c r="D2487" s="40"/>
      <c r="F2487" s="40"/>
      <c r="G2487" s="40"/>
      <c r="H2487" s="42"/>
      <c r="I2487" s="42" t="str">
        <f t="shared" si="34"/>
        <v/>
      </c>
    </row>
    <row r="2488" spans="2:9" x14ac:dyDescent="0.25">
      <c r="B2488" s="39"/>
      <c r="C2488" s="40"/>
      <c r="D2488" s="40"/>
      <c r="F2488" s="40"/>
      <c r="G2488" s="40"/>
      <c r="H2488" s="42"/>
      <c r="I2488" s="42" t="str">
        <f t="shared" si="34"/>
        <v/>
      </c>
    </row>
    <row r="2489" spans="2:9" x14ac:dyDescent="0.25">
      <c r="B2489" s="39"/>
      <c r="C2489" s="40"/>
      <c r="D2489" s="40"/>
      <c r="F2489" s="40"/>
      <c r="G2489" s="40"/>
      <c r="H2489" s="42"/>
      <c r="I2489" s="42" t="str">
        <f t="shared" si="34"/>
        <v/>
      </c>
    </row>
    <row r="2490" spans="2:9" x14ac:dyDescent="0.25">
      <c r="B2490" s="39"/>
      <c r="C2490" s="40"/>
      <c r="D2490" s="40"/>
      <c r="F2490" s="40"/>
      <c r="G2490" s="40"/>
      <c r="H2490" s="42"/>
      <c r="I2490" s="42" t="str">
        <f t="shared" si="34"/>
        <v/>
      </c>
    </row>
    <row r="2491" spans="2:9" x14ac:dyDescent="0.25">
      <c r="B2491" s="39"/>
      <c r="C2491" s="40"/>
      <c r="D2491" s="40"/>
      <c r="F2491" s="40"/>
      <c r="G2491" s="40"/>
      <c r="H2491" s="42"/>
      <c r="I2491" s="42" t="str">
        <f t="shared" si="34"/>
        <v/>
      </c>
    </row>
    <row r="2492" spans="2:9" x14ac:dyDescent="0.25">
      <c r="B2492" s="39"/>
      <c r="C2492" s="40"/>
      <c r="D2492" s="40"/>
      <c r="F2492" s="40"/>
      <c r="G2492" s="40"/>
      <c r="H2492" s="42"/>
      <c r="I2492" s="42" t="str">
        <f t="shared" si="34"/>
        <v/>
      </c>
    </row>
    <row r="2493" spans="2:9" x14ac:dyDescent="0.25">
      <c r="B2493" s="39"/>
      <c r="C2493" s="40"/>
      <c r="D2493" s="40"/>
      <c r="F2493" s="40"/>
      <c r="G2493" s="40"/>
      <c r="H2493" s="42"/>
      <c r="I2493" s="42" t="str">
        <f t="shared" si="34"/>
        <v/>
      </c>
    </row>
    <row r="2494" spans="2:9" x14ac:dyDescent="0.25">
      <c r="B2494" s="39"/>
      <c r="C2494" s="40"/>
      <c r="D2494" s="40"/>
      <c r="F2494" s="40"/>
      <c r="G2494" s="40"/>
      <c r="H2494" s="42"/>
      <c r="I2494" s="42" t="str">
        <f t="shared" si="34"/>
        <v/>
      </c>
    </row>
    <row r="2495" spans="2:9" x14ac:dyDescent="0.25">
      <c r="B2495" s="39"/>
      <c r="C2495" s="40"/>
      <c r="D2495" s="40"/>
      <c r="F2495" s="40"/>
      <c r="G2495" s="40"/>
      <c r="H2495" s="42"/>
      <c r="I2495" s="42" t="str">
        <f t="shared" si="34"/>
        <v/>
      </c>
    </row>
    <row r="2496" spans="2:9" x14ac:dyDescent="0.25">
      <c r="B2496" s="39"/>
      <c r="C2496" s="40"/>
      <c r="D2496" s="40"/>
      <c r="F2496" s="40"/>
      <c r="G2496" s="40"/>
      <c r="H2496" s="42"/>
      <c r="I2496" s="42" t="str">
        <f t="shared" ref="I2496:I2559" si="35">IF(H2496&lt;&gt;"",H2496-H2495,"")</f>
        <v/>
      </c>
    </row>
    <row r="2497" spans="2:9" x14ac:dyDescent="0.25">
      <c r="B2497" s="39"/>
      <c r="C2497" s="40"/>
      <c r="D2497" s="40"/>
      <c r="F2497" s="40"/>
      <c r="G2497" s="40"/>
      <c r="H2497" s="42"/>
      <c r="I2497" s="42" t="str">
        <f t="shared" si="35"/>
        <v/>
      </c>
    </row>
    <row r="2498" spans="2:9" x14ac:dyDescent="0.25">
      <c r="B2498" s="39"/>
      <c r="C2498" s="40"/>
      <c r="D2498" s="40"/>
      <c r="F2498" s="40"/>
      <c r="G2498" s="40"/>
      <c r="H2498" s="42"/>
      <c r="I2498" s="42" t="str">
        <f t="shared" si="35"/>
        <v/>
      </c>
    </row>
    <row r="2499" spans="2:9" x14ac:dyDescent="0.25">
      <c r="B2499" s="39"/>
      <c r="C2499" s="40"/>
      <c r="D2499" s="40"/>
      <c r="F2499" s="40"/>
      <c r="G2499" s="40"/>
      <c r="H2499" s="42"/>
      <c r="I2499" s="42" t="str">
        <f t="shared" si="35"/>
        <v/>
      </c>
    </row>
    <row r="2500" spans="2:9" x14ac:dyDescent="0.25">
      <c r="B2500" s="39"/>
      <c r="C2500" s="40"/>
      <c r="D2500" s="40"/>
      <c r="F2500" s="40"/>
      <c r="G2500" s="40"/>
      <c r="H2500" s="42"/>
      <c r="I2500" s="42" t="str">
        <f t="shared" si="35"/>
        <v/>
      </c>
    </row>
    <row r="2501" spans="2:9" x14ac:dyDescent="0.25">
      <c r="B2501" s="39"/>
      <c r="C2501" s="40"/>
      <c r="D2501" s="40"/>
      <c r="F2501" s="40"/>
      <c r="G2501" s="40"/>
      <c r="H2501" s="42"/>
      <c r="I2501" s="42" t="str">
        <f t="shared" si="35"/>
        <v/>
      </c>
    </row>
    <row r="2502" spans="2:9" x14ac:dyDescent="0.25">
      <c r="B2502" s="39"/>
      <c r="C2502" s="40"/>
      <c r="D2502" s="40"/>
      <c r="F2502" s="40"/>
      <c r="G2502" s="40"/>
      <c r="H2502" s="42"/>
      <c r="I2502" s="42" t="str">
        <f t="shared" si="35"/>
        <v/>
      </c>
    </row>
    <row r="2503" spans="2:9" x14ac:dyDescent="0.25">
      <c r="B2503" s="39"/>
      <c r="C2503" s="40"/>
      <c r="D2503" s="40"/>
      <c r="F2503" s="40"/>
      <c r="G2503" s="40"/>
      <c r="H2503" s="42"/>
      <c r="I2503" s="42" t="str">
        <f t="shared" si="35"/>
        <v/>
      </c>
    </row>
    <row r="2504" spans="2:9" x14ac:dyDescent="0.25">
      <c r="B2504" s="39"/>
      <c r="C2504" s="40"/>
      <c r="D2504" s="40"/>
      <c r="F2504" s="40"/>
      <c r="G2504" s="40"/>
      <c r="H2504" s="42"/>
      <c r="I2504" s="42" t="str">
        <f t="shared" si="35"/>
        <v/>
      </c>
    </row>
    <row r="2505" spans="2:9" x14ac:dyDescent="0.25">
      <c r="B2505" s="39"/>
      <c r="C2505" s="40"/>
      <c r="D2505" s="40"/>
      <c r="F2505" s="40"/>
      <c r="G2505" s="40"/>
      <c r="H2505" s="42"/>
      <c r="I2505" s="42" t="str">
        <f t="shared" si="35"/>
        <v/>
      </c>
    </row>
    <row r="2506" spans="2:9" x14ac:dyDescent="0.25">
      <c r="B2506" s="39"/>
      <c r="C2506" s="40"/>
      <c r="D2506" s="40"/>
      <c r="F2506" s="40"/>
      <c r="G2506" s="40"/>
      <c r="H2506" s="42"/>
      <c r="I2506" s="42" t="str">
        <f t="shared" si="35"/>
        <v/>
      </c>
    </row>
    <row r="2507" spans="2:9" x14ac:dyDescent="0.25">
      <c r="B2507" s="39"/>
      <c r="C2507" s="40"/>
      <c r="D2507" s="40"/>
      <c r="F2507" s="40"/>
      <c r="G2507" s="40"/>
      <c r="H2507" s="42"/>
      <c r="I2507" s="42" t="str">
        <f t="shared" si="35"/>
        <v/>
      </c>
    </row>
    <row r="2508" spans="2:9" x14ac:dyDescent="0.25">
      <c r="B2508" s="39"/>
      <c r="C2508" s="40"/>
      <c r="D2508" s="40"/>
      <c r="F2508" s="40"/>
      <c r="G2508" s="40"/>
      <c r="H2508" s="42"/>
      <c r="I2508" s="42" t="str">
        <f t="shared" si="35"/>
        <v/>
      </c>
    </row>
    <row r="2509" spans="2:9" x14ac:dyDescent="0.25">
      <c r="B2509" s="39"/>
      <c r="C2509" s="40"/>
      <c r="D2509" s="40"/>
      <c r="F2509" s="40"/>
      <c r="G2509" s="40"/>
      <c r="H2509" s="42"/>
      <c r="I2509" s="42" t="str">
        <f t="shared" si="35"/>
        <v/>
      </c>
    </row>
    <row r="2510" spans="2:9" x14ac:dyDescent="0.25">
      <c r="B2510" s="39"/>
      <c r="C2510" s="40"/>
      <c r="D2510" s="40"/>
      <c r="F2510" s="40"/>
      <c r="G2510" s="40"/>
      <c r="H2510" s="42"/>
      <c r="I2510" s="42" t="str">
        <f t="shared" si="35"/>
        <v/>
      </c>
    </row>
    <row r="2511" spans="2:9" x14ac:dyDescent="0.25">
      <c r="B2511" s="39"/>
      <c r="C2511" s="40"/>
      <c r="D2511" s="40"/>
      <c r="F2511" s="40"/>
      <c r="G2511" s="40"/>
      <c r="H2511" s="42"/>
      <c r="I2511" s="42" t="str">
        <f t="shared" si="35"/>
        <v/>
      </c>
    </row>
    <row r="2512" spans="2:9" x14ac:dyDescent="0.25">
      <c r="B2512" s="39"/>
      <c r="C2512" s="40"/>
      <c r="D2512" s="40"/>
      <c r="F2512" s="40"/>
      <c r="G2512" s="40"/>
      <c r="H2512" s="42"/>
      <c r="I2512" s="42" t="str">
        <f t="shared" si="35"/>
        <v/>
      </c>
    </row>
    <row r="2513" spans="2:9" x14ac:dyDescent="0.25">
      <c r="B2513" s="39"/>
      <c r="C2513" s="40"/>
      <c r="D2513" s="40"/>
      <c r="F2513" s="40"/>
      <c r="G2513" s="40"/>
      <c r="H2513" s="42"/>
      <c r="I2513" s="42" t="str">
        <f t="shared" si="35"/>
        <v/>
      </c>
    </row>
    <row r="2514" spans="2:9" x14ac:dyDescent="0.25">
      <c r="B2514" s="39"/>
      <c r="C2514" s="40"/>
      <c r="D2514" s="40"/>
      <c r="F2514" s="40"/>
      <c r="G2514" s="40"/>
      <c r="H2514" s="42"/>
      <c r="I2514" s="42" t="str">
        <f t="shared" si="35"/>
        <v/>
      </c>
    </row>
    <row r="2515" spans="2:9" x14ac:dyDescent="0.25">
      <c r="B2515" s="39"/>
      <c r="C2515" s="40"/>
      <c r="D2515" s="40"/>
      <c r="F2515" s="40"/>
      <c r="G2515" s="40"/>
      <c r="H2515" s="42"/>
      <c r="I2515" s="42" t="str">
        <f t="shared" si="35"/>
        <v/>
      </c>
    </row>
    <row r="2516" spans="2:9" x14ac:dyDescent="0.25">
      <c r="B2516" s="39"/>
      <c r="C2516" s="40"/>
      <c r="D2516" s="40"/>
      <c r="F2516" s="40"/>
      <c r="G2516" s="40"/>
      <c r="H2516" s="42"/>
      <c r="I2516" s="42" t="str">
        <f t="shared" si="35"/>
        <v/>
      </c>
    </row>
    <row r="2517" spans="2:9" x14ac:dyDescent="0.25">
      <c r="B2517" s="39"/>
      <c r="C2517" s="40"/>
      <c r="D2517" s="40"/>
      <c r="F2517" s="40"/>
      <c r="G2517" s="40"/>
      <c r="H2517" s="42"/>
      <c r="I2517" s="42" t="str">
        <f t="shared" si="35"/>
        <v/>
      </c>
    </row>
    <row r="2518" spans="2:9" x14ac:dyDescent="0.25">
      <c r="B2518" s="39"/>
      <c r="C2518" s="40"/>
      <c r="D2518" s="40"/>
      <c r="F2518" s="40"/>
      <c r="G2518" s="40"/>
      <c r="H2518" s="42"/>
      <c r="I2518" s="42" t="str">
        <f t="shared" si="35"/>
        <v/>
      </c>
    </row>
    <row r="2519" spans="2:9" x14ac:dyDescent="0.25">
      <c r="B2519" s="39"/>
      <c r="C2519" s="40"/>
      <c r="D2519" s="40"/>
      <c r="F2519" s="40"/>
      <c r="G2519" s="40"/>
      <c r="H2519" s="42"/>
      <c r="I2519" s="42" t="str">
        <f t="shared" si="35"/>
        <v/>
      </c>
    </row>
    <row r="2520" spans="2:9" x14ac:dyDescent="0.25">
      <c r="B2520" s="39"/>
      <c r="C2520" s="40"/>
      <c r="D2520" s="40"/>
      <c r="F2520" s="40"/>
      <c r="G2520" s="40"/>
      <c r="H2520" s="42"/>
      <c r="I2520" s="42" t="str">
        <f t="shared" si="35"/>
        <v/>
      </c>
    </row>
    <row r="2521" spans="2:9" x14ac:dyDescent="0.25">
      <c r="B2521" s="39"/>
      <c r="C2521" s="40"/>
      <c r="D2521" s="40"/>
      <c r="F2521" s="40"/>
      <c r="G2521" s="40"/>
      <c r="H2521" s="42"/>
      <c r="I2521" s="42" t="str">
        <f t="shared" si="35"/>
        <v/>
      </c>
    </row>
    <row r="2522" spans="2:9" x14ac:dyDescent="0.25">
      <c r="B2522" s="39"/>
      <c r="C2522" s="40"/>
      <c r="D2522" s="40"/>
      <c r="F2522" s="40"/>
      <c r="G2522" s="40"/>
      <c r="H2522" s="42"/>
      <c r="I2522" s="42" t="str">
        <f t="shared" si="35"/>
        <v/>
      </c>
    </row>
    <row r="2523" spans="2:9" x14ac:dyDescent="0.25">
      <c r="B2523" s="39"/>
      <c r="C2523" s="40"/>
      <c r="D2523" s="40"/>
      <c r="F2523" s="40"/>
      <c r="G2523" s="40"/>
      <c r="H2523" s="42"/>
      <c r="I2523" s="42" t="str">
        <f t="shared" si="35"/>
        <v/>
      </c>
    </row>
    <row r="2524" spans="2:9" x14ac:dyDescent="0.25">
      <c r="B2524" s="39"/>
      <c r="C2524" s="40"/>
      <c r="D2524" s="40"/>
      <c r="F2524" s="40"/>
      <c r="G2524" s="40"/>
      <c r="H2524" s="42"/>
      <c r="I2524" s="42" t="str">
        <f t="shared" si="35"/>
        <v/>
      </c>
    </row>
    <row r="2525" spans="2:9" x14ac:dyDescent="0.25">
      <c r="B2525" s="39"/>
      <c r="C2525" s="40"/>
      <c r="D2525" s="40"/>
      <c r="F2525" s="40"/>
      <c r="G2525" s="40"/>
      <c r="H2525" s="42"/>
      <c r="I2525" s="42" t="str">
        <f t="shared" si="35"/>
        <v/>
      </c>
    </row>
    <row r="2526" spans="2:9" x14ac:dyDescent="0.25">
      <c r="B2526" s="39"/>
      <c r="C2526" s="40"/>
      <c r="D2526" s="40"/>
      <c r="F2526" s="40"/>
      <c r="G2526" s="40"/>
      <c r="H2526" s="42"/>
      <c r="I2526" s="42" t="str">
        <f t="shared" si="35"/>
        <v/>
      </c>
    </row>
    <row r="2527" spans="2:9" x14ac:dyDescent="0.25">
      <c r="B2527" s="39"/>
      <c r="C2527" s="40"/>
      <c r="D2527" s="40"/>
      <c r="F2527" s="40"/>
      <c r="G2527" s="40"/>
      <c r="H2527" s="42"/>
      <c r="I2527" s="42" t="str">
        <f t="shared" si="35"/>
        <v/>
      </c>
    </row>
    <row r="2528" spans="2:9" x14ac:dyDescent="0.25">
      <c r="B2528" s="39"/>
      <c r="C2528" s="40"/>
      <c r="D2528" s="40"/>
      <c r="F2528" s="40"/>
      <c r="G2528" s="40"/>
      <c r="H2528" s="42"/>
      <c r="I2528" s="42" t="str">
        <f t="shared" si="35"/>
        <v/>
      </c>
    </row>
    <row r="2529" spans="2:9" x14ac:dyDescent="0.25">
      <c r="B2529" s="39"/>
      <c r="C2529" s="40"/>
      <c r="D2529" s="40"/>
      <c r="F2529" s="40"/>
      <c r="G2529" s="40"/>
      <c r="H2529" s="42"/>
      <c r="I2529" s="42" t="str">
        <f t="shared" si="35"/>
        <v/>
      </c>
    </row>
    <row r="2530" spans="2:9" x14ac:dyDescent="0.25">
      <c r="B2530" s="39"/>
      <c r="C2530" s="40"/>
      <c r="D2530" s="40"/>
      <c r="F2530" s="40"/>
      <c r="G2530" s="40"/>
      <c r="H2530" s="42"/>
      <c r="I2530" s="42" t="str">
        <f t="shared" si="35"/>
        <v/>
      </c>
    </row>
    <row r="2531" spans="2:9" x14ac:dyDescent="0.25">
      <c r="B2531" s="39"/>
      <c r="C2531" s="40"/>
      <c r="D2531" s="40"/>
      <c r="F2531" s="40"/>
      <c r="G2531" s="40"/>
      <c r="H2531" s="42"/>
      <c r="I2531" s="42" t="str">
        <f t="shared" si="35"/>
        <v/>
      </c>
    </row>
    <row r="2532" spans="2:9" x14ac:dyDescent="0.25">
      <c r="B2532" s="39"/>
      <c r="C2532" s="40"/>
      <c r="D2532" s="40"/>
      <c r="F2532" s="40"/>
      <c r="G2532" s="40"/>
      <c r="H2532" s="42"/>
      <c r="I2532" s="42" t="str">
        <f t="shared" si="35"/>
        <v/>
      </c>
    </row>
    <row r="2533" spans="2:9" x14ac:dyDescent="0.25">
      <c r="B2533" s="39"/>
      <c r="C2533" s="40"/>
      <c r="D2533" s="40"/>
      <c r="F2533" s="40"/>
      <c r="G2533" s="40"/>
      <c r="H2533" s="42"/>
      <c r="I2533" s="42" t="str">
        <f t="shared" si="35"/>
        <v/>
      </c>
    </row>
    <row r="2534" spans="2:9" x14ac:dyDescent="0.25">
      <c r="B2534" s="39"/>
      <c r="C2534" s="40"/>
      <c r="D2534" s="40"/>
      <c r="F2534" s="40"/>
      <c r="G2534" s="40"/>
      <c r="H2534" s="42"/>
      <c r="I2534" s="42" t="str">
        <f t="shared" si="35"/>
        <v/>
      </c>
    </row>
    <row r="2535" spans="2:9" x14ac:dyDescent="0.25">
      <c r="B2535" s="39"/>
      <c r="C2535" s="40"/>
      <c r="D2535" s="40"/>
      <c r="F2535" s="40"/>
      <c r="G2535" s="40"/>
      <c r="H2535" s="42"/>
      <c r="I2535" s="42" t="str">
        <f t="shared" si="35"/>
        <v/>
      </c>
    </row>
    <row r="2536" spans="2:9" x14ac:dyDescent="0.25">
      <c r="B2536" s="39"/>
      <c r="C2536" s="40"/>
      <c r="D2536" s="40"/>
      <c r="F2536" s="40"/>
      <c r="G2536" s="40"/>
      <c r="H2536" s="42"/>
      <c r="I2536" s="42" t="str">
        <f t="shared" si="35"/>
        <v/>
      </c>
    </row>
    <row r="2537" spans="2:9" x14ac:dyDescent="0.25">
      <c r="B2537" s="39"/>
      <c r="C2537" s="40"/>
      <c r="D2537" s="40"/>
      <c r="F2537" s="40"/>
      <c r="G2537" s="40"/>
      <c r="H2537" s="42"/>
      <c r="I2537" s="42" t="str">
        <f t="shared" si="35"/>
        <v/>
      </c>
    </row>
    <row r="2538" spans="2:9" x14ac:dyDescent="0.25">
      <c r="B2538" s="39"/>
      <c r="C2538" s="40"/>
      <c r="D2538" s="40"/>
      <c r="F2538" s="40"/>
      <c r="G2538" s="40"/>
      <c r="H2538" s="42"/>
      <c r="I2538" s="42" t="str">
        <f t="shared" si="35"/>
        <v/>
      </c>
    </row>
    <row r="2539" spans="2:9" x14ac:dyDescent="0.25">
      <c r="B2539" s="39"/>
      <c r="C2539" s="40"/>
      <c r="D2539" s="40"/>
      <c r="F2539" s="40"/>
      <c r="G2539" s="40"/>
      <c r="H2539" s="42"/>
      <c r="I2539" s="42" t="str">
        <f t="shared" si="35"/>
        <v/>
      </c>
    </row>
    <row r="2540" spans="2:9" x14ac:dyDescent="0.25">
      <c r="B2540" s="39"/>
      <c r="C2540" s="40"/>
      <c r="D2540" s="40"/>
      <c r="F2540" s="40"/>
      <c r="G2540" s="40"/>
      <c r="H2540" s="42"/>
      <c r="I2540" s="42" t="str">
        <f t="shared" si="35"/>
        <v/>
      </c>
    </row>
    <row r="2541" spans="2:9" x14ac:dyDescent="0.25">
      <c r="B2541" s="39"/>
      <c r="C2541" s="40"/>
      <c r="D2541" s="40"/>
      <c r="F2541" s="40"/>
      <c r="G2541" s="40"/>
      <c r="H2541" s="42"/>
      <c r="I2541" s="42" t="str">
        <f t="shared" si="35"/>
        <v/>
      </c>
    </row>
    <row r="2542" spans="2:9" x14ac:dyDescent="0.25">
      <c r="B2542" s="39"/>
      <c r="C2542" s="40"/>
      <c r="D2542" s="40"/>
      <c r="F2542" s="40"/>
      <c r="G2542" s="40"/>
      <c r="H2542" s="42"/>
      <c r="I2542" s="42" t="str">
        <f t="shared" si="35"/>
        <v/>
      </c>
    </row>
    <row r="2543" spans="2:9" x14ac:dyDescent="0.25">
      <c r="B2543" s="39"/>
      <c r="C2543" s="40"/>
      <c r="D2543" s="40"/>
      <c r="F2543" s="40"/>
      <c r="G2543" s="40"/>
      <c r="H2543" s="42"/>
      <c r="I2543" s="42" t="str">
        <f t="shared" si="35"/>
        <v/>
      </c>
    </row>
    <row r="2544" spans="2:9" x14ac:dyDescent="0.25">
      <c r="B2544" s="39"/>
      <c r="C2544" s="40"/>
      <c r="D2544" s="40"/>
      <c r="F2544" s="40"/>
      <c r="G2544" s="40"/>
      <c r="H2544" s="42"/>
      <c r="I2544" s="42" t="str">
        <f t="shared" si="35"/>
        <v/>
      </c>
    </row>
    <row r="2545" spans="2:9" x14ac:dyDescent="0.25">
      <c r="B2545" s="39"/>
      <c r="C2545" s="40"/>
      <c r="D2545" s="40"/>
      <c r="F2545" s="40"/>
      <c r="G2545" s="40"/>
      <c r="H2545" s="42"/>
      <c r="I2545" s="42" t="str">
        <f t="shared" si="35"/>
        <v/>
      </c>
    </row>
    <row r="2546" spans="2:9" x14ac:dyDescent="0.25">
      <c r="B2546" s="39"/>
      <c r="C2546" s="40"/>
      <c r="D2546" s="40"/>
      <c r="F2546" s="40"/>
      <c r="G2546" s="40"/>
      <c r="H2546" s="42"/>
      <c r="I2546" s="42" t="str">
        <f t="shared" si="35"/>
        <v/>
      </c>
    </row>
    <row r="2547" spans="2:9" x14ac:dyDescent="0.25">
      <c r="B2547" s="39"/>
      <c r="C2547" s="40"/>
      <c r="D2547" s="40"/>
      <c r="F2547" s="40"/>
      <c r="G2547" s="40"/>
      <c r="H2547" s="42"/>
      <c r="I2547" s="42" t="str">
        <f t="shared" si="35"/>
        <v/>
      </c>
    </row>
    <row r="2548" spans="2:9" x14ac:dyDescent="0.25">
      <c r="B2548" s="39"/>
      <c r="C2548" s="40"/>
      <c r="D2548" s="40"/>
      <c r="F2548" s="40"/>
      <c r="G2548" s="40"/>
      <c r="H2548" s="42"/>
      <c r="I2548" s="42" t="str">
        <f t="shared" si="35"/>
        <v/>
      </c>
    </row>
    <row r="2549" spans="2:9" x14ac:dyDescent="0.25">
      <c r="B2549" s="39"/>
      <c r="C2549" s="40"/>
      <c r="D2549" s="40"/>
      <c r="F2549" s="40"/>
      <c r="G2549" s="40"/>
      <c r="H2549" s="42"/>
      <c r="I2549" s="42" t="str">
        <f t="shared" si="35"/>
        <v/>
      </c>
    </row>
    <row r="2550" spans="2:9" x14ac:dyDescent="0.25">
      <c r="B2550" s="39"/>
      <c r="C2550" s="40"/>
      <c r="D2550" s="40"/>
      <c r="F2550" s="40"/>
      <c r="G2550" s="40"/>
      <c r="H2550" s="42"/>
      <c r="I2550" s="42" t="str">
        <f t="shared" si="35"/>
        <v/>
      </c>
    </row>
    <row r="2551" spans="2:9" x14ac:dyDescent="0.25">
      <c r="B2551" s="39"/>
      <c r="C2551" s="40"/>
      <c r="D2551" s="40"/>
      <c r="F2551" s="40"/>
      <c r="G2551" s="40"/>
      <c r="H2551" s="42"/>
      <c r="I2551" s="42" t="str">
        <f t="shared" si="35"/>
        <v/>
      </c>
    </row>
    <row r="2552" spans="2:9" x14ac:dyDescent="0.25">
      <c r="B2552" s="39"/>
      <c r="C2552" s="40"/>
      <c r="D2552" s="40"/>
      <c r="F2552" s="40"/>
      <c r="G2552" s="40"/>
      <c r="H2552" s="42"/>
      <c r="I2552" s="42" t="str">
        <f t="shared" si="35"/>
        <v/>
      </c>
    </row>
    <row r="2553" spans="2:9" x14ac:dyDescent="0.25">
      <c r="B2553" s="39"/>
      <c r="C2553" s="40"/>
      <c r="D2553" s="40"/>
      <c r="F2553" s="40"/>
      <c r="G2553" s="40"/>
      <c r="H2553" s="42"/>
      <c r="I2553" s="42" t="str">
        <f t="shared" si="35"/>
        <v/>
      </c>
    </row>
    <row r="2554" spans="2:9" x14ac:dyDescent="0.25">
      <c r="B2554" s="39"/>
      <c r="C2554" s="40"/>
      <c r="D2554" s="40"/>
      <c r="F2554" s="40"/>
      <c r="G2554" s="40"/>
      <c r="H2554" s="42"/>
      <c r="I2554" s="42" t="str">
        <f t="shared" si="35"/>
        <v/>
      </c>
    </row>
    <row r="2555" spans="2:9" x14ac:dyDescent="0.25">
      <c r="B2555" s="39"/>
      <c r="C2555" s="40"/>
      <c r="D2555" s="40"/>
      <c r="F2555" s="40"/>
      <c r="G2555" s="40"/>
      <c r="H2555" s="42"/>
      <c r="I2555" s="42" t="str">
        <f t="shared" si="35"/>
        <v/>
      </c>
    </row>
    <row r="2556" spans="2:9" x14ac:dyDescent="0.25">
      <c r="B2556" s="39"/>
      <c r="C2556" s="40"/>
      <c r="D2556" s="40"/>
      <c r="F2556" s="40"/>
      <c r="G2556" s="40"/>
      <c r="H2556" s="42"/>
      <c r="I2556" s="42" t="str">
        <f t="shared" si="35"/>
        <v/>
      </c>
    </row>
    <row r="2557" spans="2:9" x14ac:dyDescent="0.25">
      <c r="B2557" s="39"/>
      <c r="C2557" s="40"/>
      <c r="D2557" s="40"/>
      <c r="F2557" s="40"/>
      <c r="G2557" s="40"/>
      <c r="H2557" s="42"/>
      <c r="I2557" s="42" t="str">
        <f t="shared" si="35"/>
        <v/>
      </c>
    </row>
    <row r="2558" spans="2:9" x14ac:dyDescent="0.25">
      <c r="B2558" s="39"/>
      <c r="C2558" s="40"/>
      <c r="D2558" s="40"/>
      <c r="F2558" s="40"/>
      <c r="G2558" s="40"/>
      <c r="H2558" s="42"/>
      <c r="I2558" s="42" t="str">
        <f t="shared" si="35"/>
        <v/>
      </c>
    </row>
    <row r="2559" spans="2:9" x14ac:dyDescent="0.25">
      <c r="B2559" s="39"/>
      <c r="C2559" s="40"/>
      <c r="D2559" s="40"/>
      <c r="F2559" s="40"/>
      <c r="G2559" s="40"/>
      <c r="H2559" s="42"/>
      <c r="I2559" s="42" t="str">
        <f t="shared" si="35"/>
        <v/>
      </c>
    </row>
    <row r="2560" spans="2:9" x14ac:dyDescent="0.25">
      <c r="B2560" s="39"/>
      <c r="C2560" s="40"/>
      <c r="D2560" s="40"/>
      <c r="F2560" s="40"/>
      <c r="G2560" s="40"/>
      <c r="H2560" s="42"/>
      <c r="I2560" s="42" t="str">
        <f t="shared" ref="I2560:I2623" si="36">IF(H2560&lt;&gt;"",H2560-H2559,"")</f>
        <v/>
      </c>
    </row>
    <row r="2561" spans="2:9" x14ac:dyDescent="0.25">
      <c r="B2561" s="39"/>
      <c r="C2561" s="40"/>
      <c r="D2561" s="40"/>
      <c r="F2561" s="40"/>
      <c r="G2561" s="40"/>
      <c r="H2561" s="42"/>
      <c r="I2561" s="42" t="str">
        <f t="shared" si="36"/>
        <v/>
      </c>
    </row>
    <row r="2562" spans="2:9" x14ac:dyDescent="0.25">
      <c r="B2562" s="39"/>
      <c r="C2562" s="40"/>
      <c r="D2562" s="40"/>
      <c r="F2562" s="40"/>
      <c r="G2562" s="40"/>
      <c r="H2562" s="42"/>
      <c r="I2562" s="42" t="str">
        <f t="shared" si="36"/>
        <v/>
      </c>
    </row>
    <row r="2563" spans="2:9" x14ac:dyDescent="0.25">
      <c r="B2563" s="39"/>
      <c r="C2563" s="40"/>
      <c r="D2563" s="40"/>
      <c r="F2563" s="40"/>
      <c r="G2563" s="40"/>
      <c r="H2563" s="42"/>
      <c r="I2563" s="42" t="str">
        <f t="shared" si="36"/>
        <v/>
      </c>
    </row>
    <row r="2564" spans="2:9" x14ac:dyDescent="0.25">
      <c r="B2564" s="39"/>
      <c r="C2564" s="40"/>
      <c r="D2564" s="40"/>
      <c r="F2564" s="40"/>
      <c r="G2564" s="40"/>
      <c r="H2564" s="42"/>
      <c r="I2564" s="42" t="str">
        <f t="shared" si="36"/>
        <v/>
      </c>
    </row>
    <row r="2565" spans="2:9" x14ac:dyDescent="0.25">
      <c r="B2565" s="39"/>
      <c r="C2565" s="40"/>
      <c r="D2565" s="40"/>
      <c r="F2565" s="40"/>
      <c r="G2565" s="40"/>
      <c r="H2565" s="42"/>
      <c r="I2565" s="42" t="str">
        <f t="shared" si="36"/>
        <v/>
      </c>
    </row>
    <row r="2566" spans="2:9" x14ac:dyDescent="0.25">
      <c r="B2566" s="39"/>
      <c r="C2566" s="40"/>
      <c r="D2566" s="40"/>
      <c r="F2566" s="40"/>
      <c r="G2566" s="40"/>
      <c r="H2566" s="42"/>
      <c r="I2566" s="42" t="str">
        <f t="shared" si="36"/>
        <v/>
      </c>
    </row>
    <row r="2567" spans="2:9" x14ac:dyDescent="0.25">
      <c r="B2567" s="39"/>
      <c r="C2567" s="40"/>
      <c r="D2567" s="40"/>
      <c r="F2567" s="40"/>
      <c r="G2567" s="40"/>
      <c r="H2567" s="42"/>
      <c r="I2567" s="42" t="str">
        <f t="shared" si="36"/>
        <v/>
      </c>
    </row>
    <row r="2568" spans="2:9" x14ac:dyDescent="0.25">
      <c r="B2568" s="39"/>
      <c r="C2568" s="40"/>
      <c r="D2568" s="40"/>
      <c r="F2568" s="40"/>
      <c r="G2568" s="40"/>
      <c r="H2568" s="42"/>
      <c r="I2568" s="42" t="str">
        <f t="shared" si="36"/>
        <v/>
      </c>
    </row>
    <row r="2569" spans="2:9" x14ac:dyDescent="0.25">
      <c r="B2569" s="39"/>
      <c r="C2569" s="40"/>
      <c r="D2569" s="40"/>
      <c r="F2569" s="40"/>
      <c r="G2569" s="40"/>
      <c r="H2569" s="42"/>
      <c r="I2569" s="42" t="str">
        <f t="shared" si="36"/>
        <v/>
      </c>
    </row>
    <row r="2570" spans="2:9" x14ac:dyDescent="0.25">
      <c r="B2570" s="39"/>
      <c r="C2570" s="40"/>
      <c r="D2570" s="40"/>
      <c r="F2570" s="40"/>
      <c r="G2570" s="40"/>
      <c r="H2570" s="42"/>
      <c r="I2570" s="42" t="str">
        <f t="shared" si="36"/>
        <v/>
      </c>
    </row>
    <row r="2571" spans="2:9" x14ac:dyDescent="0.25">
      <c r="B2571" s="39"/>
      <c r="C2571" s="40"/>
      <c r="D2571" s="40"/>
      <c r="F2571" s="40"/>
      <c r="G2571" s="40"/>
      <c r="H2571" s="42"/>
      <c r="I2571" s="42" t="str">
        <f t="shared" si="36"/>
        <v/>
      </c>
    </row>
    <row r="2572" spans="2:9" x14ac:dyDescent="0.25">
      <c r="B2572" s="39"/>
      <c r="C2572" s="40"/>
      <c r="D2572" s="40"/>
      <c r="F2572" s="40"/>
      <c r="G2572" s="40"/>
      <c r="H2572" s="42"/>
      <c r="I2572" s="42" t="str">
        <f t="shared" si="36"/>
        <v/>
      </c>
    </row>
    <row r="2573" spans="2:9" x14ac:dyDescent="0.25">
      <c r="B2573" s="39"/>
      <c r="C2573" s="40"/>
      <c r="D2573" s="40"/>
      <c r="F2573" s="40"/>
      <c r="G2573" s="40"/>
      <c r="H2573" s="42"/>
      <c r="I2573" s="42" t="str">
        <f t="shared" si="36"/>
        <v/>
      </c>
    </row>
    <row r="2574" spans="2:9" x14ac:dyDescent="0.25">
      <c r="B2574" s="39"/>
      <c r="C2574" s="40"/>
      <c r="D2574" s="40"/>
      <c r="F2574" s="40"/>
      <c r="G2574" s="40"/>
      <c r="H2574" s="42"/>
      <c r="I2574" s="42" t="str">
        <f t="shared" si="36"/>
        <v/>
      </c>
    </row>
    <row r="2575" spans="2:9" x14ac:dyDescent="0.25">
      <c r="B2575" s="39"/>
      <c r="C2575" s="40"/>
      <c r="D2575" s="40"/>
      <c r="F2575" s="40"/>
      <c r="G2575" s="40"/>
      <c r="H2575" s="42"/>
      <c r="I2575" s="42" t="str">
        <f t="shared" si="36"/>
        <v/>
      </c>
    </row>
    <row r="2576" spans="2:9" x14ac:dyDescent="0.25">
      <c r="B2576" s="39"/>
      <c r="C2576" s="40"/>
      <c r="D2576" s="40"/>
      <c r="F2576" s="40"/>
      <c r="G2576" s="40"/>
      <c r="H2576" s="42"/>
      <c r="I2576" s="42" t="str">
        <f t="shared" si="36"/>
        <v/>
      </c>
    </row>
    <row r="2577" spans="2:9" x14ac:dyDescent="0.25">
      <c r="B2577" s="39"/>
      <c r="C2577" s="40"/>
      <c r="D2577" s="40"/>
      <c r="F2577" s="40"/>
      <c r="G2577" s="40"/>
      <c r="H2577" s="42"/>
      <c r="I2577" s="42" t="str">
        <f t="shared" si="36"/>
        <v/>
      </c>
    </row>
    <row r="2578" spans="2:9" x14ac:dyDescent="0.25">
      <c r="B2578" s="39"/>
      <c r="C2578" s="40"/>
      <c r="D2578" s="40"/>
      <c r="F2578" s="40"/>
      <c r="G2578" s="40"/>
      <c r="H2578" s="42"/>
      <c r="I2578" s="42" t="str">
        <f t="shared" si="36"/>
        <v/>
      </c>
    </row>
    <row r="2579" spans="2:9" x14ac:dyDescent="0.25">
      <c r="B2579" s="39"/>
      <c r="C2579" s="40"/>
      <c r="D2579" s="40"/>
      <c r="F2579" s="40"/>
      <c r="G2579" s="40"/>
      <c r="H2579" s="42"/>
      <c r="I2579" s="42" t="str">
        <f t="shared" si="36"/>
        <v/>
      </c>
    </row>
    <row r="2580" spans="2:9" x14ac:dyDescent="0.25">
      <c r="B2580" s="39"/>
      <c r="C2580" s="40"/>
      <c r="D2580" s="40"/>
      <c r="F2580" s="40"/>
      <c r="G2580" s="40"/>
      <c r="H2580" s="42"/>
      <c r="I2580" s="42" t="str">
        <f t="shared" si="36"/>
        <v/>
      </c>
    </row>
    <row r="2581" spans="2:9" x14ac:dyDescent="0.25">
      <c r="B2581" s="39"/>
      <c r="C2581" s="40"/>
      <c r="D2581" s="40"/>
      <c r="F2581" s="40"/>
      <c r="G2581" s="40"/>
      <c r="H2581" s="42"/>
      <c r="I2581" s="42" t="str">
        <f t="shared" si="36"/>
        <v/>
      </c>
    </row>
    <row r="2582" spans="2:9" x14ac:dyDescent="0.25">
      <c r="B2582" s="39"/>
      <c r="C2582" s="40"/>
      <c r="D2582" s="40"/>
      <c r="F2582" s="40"/>
      <c r="G2582" s="40"/>
      <c r="H2582" s="42"/>
      <c r="I2582" s="42" t="str">
        <f t="shared" si="36"/>
        <v/>
      </c>
    </row>
    <row r="2583" spans="2:9" x14ac:dyDescent="0.25">
      <c r="B2583" s="39"/>
      <c r="C2583" s="40"/>
      <c r="D2583" s="40"/>
      <c r="F2583" s="40"/>
      <c r="G2583" s="40"/>
      <c r="H2583" s="42"/>
      <c r="I2583" s="42" t="str">
        <f t="shared" si="36"/>
        <v/>
      </c>
    </row>
    <row r="2584" spans="2:9" x14ac:dyDescent="0.25">
      <c r="B2584" s="39"/>
      <c r="C2584" s="40"/>
      <c r="D2584" s="40"/>
      <c r="F2584" s="40"/>
      <c r="G2584" s="40"/>
      <c r="H2584" s="42"/>
      <c r="I2584" s="42" t="str">
        <f t="shared" si="36"/>
        <v/>
      </c>
    </row>
    <row r="2585" spans="2:9" x14ac:dyDescent="0.25">
      <c r="B2585" s="39"/>
      <c r="C2585" s="40"/>
      <c r="D2585" s="40"/>
      <c r="F2585" s="40"/>
      <c r="G2585" s="40"/>
      <c r="H2585" s="42"/>
      <c r="I2585" s="42" t="str">
        <f t="shared" si="36"/>
        <v/>
      </c>
    </row>
    <row r="2586" spans="2:9" x14ac:dyDescent="0.25">
      <c r="B2586" s="39"/>
      <c r="C2586" s="40"/>
      <c r="D2586" s="40"/>
      <c r="F2586" s="40"/>
      <c r="G2586" s="40"/>
      <c r="H2586" s="42"/>
      <c r="I2586" s="42" t="str">
        <f t="shared" si="36"/>
        <v/>
      </c>
    </row>
    <row r="2587" spans="2:9" x14ac:dyDescent="0.25">
      <c r="B2587" s="39"/>
      <c r="C2587" s="40"/>
      <c r="D2587" s="40"/>
      <c r="F2587" s="40"/>
      <c r="G2587" s="40"/>
      <c r="H2587" s="42"/>
      <c r="I2587" s="42" t="str">
        <f t="shared" si="36"/>
        <v/>
      </c>
    </row>
    <row r="2588" spans="2:9" x14ac:dyDescent="0.25">
      <c r="B2588" s="39"/>
      <c r="C2588" s="40"/>
      <c r="D2588" s="40"/>
      <c r="F2588" s="40"/>
      <c r="G2588" s="40"/>
      <c r="H2588" s="42"/>
      <c r="I2588" s="42" t="str">
        <f t="shared" si="36"/>
        <v/>
      </c>
    </row>
    <row r="2589" spans="2:9" x14ac:dyDescent="0.25">
      <c r="B2589" s="39"/>
      <c r="C2589" s="40"/>
      <c r="D2589" s="40"/>
      <c r="F2589" s="40"/>
      <c r="G2589" s="40"/>
      <c r="H2589" s="42"/>
      <c r="I2589" s="42" t="str">
        <f t="shared" si="36"/>
        <v/>
      </c>
    </row>
    <row r="2590" spans="2:9" x14ac:dyDescent="0.25">
      <c r="B2590" s="39"/>
      <c r="C2590" s="40"/>
      <c r="D2590" s="40"/>
      <c r="F2590" s="40"/>
      <c r="G2590" s="40"/>
      <c r="H2590" s="42"/>
      <c r="I2590" s="42" t="str">
        <f t="shared" si="36"/>
        <v/>
      </c>
    </row>
    <row r="2591" spans="2:9" x14ac:dyDescent="0.25">
      <c r="B2591" s="39"/>
      <c r="C2591" s="40"/>
      <c r="D2591" s="40"/>
      <c r="F2591" s="40"/>
      <c r="G2591" s="40"/>
      <c r="H2591" s="42"/>
      <c r="I2591" s="42" t="str">
        <f t="shared" si="36"/>
        <v/>
      </c>
    </row>
    <row r="2592" spans="2:9" x14ac:dyDescent="0.25">
      <c r="B2592" s="39"/>
      <c r="C2592" s="40"/>
      <c r="D2592" s="40"/>
      <c r="F2592" s="40"/>
      <c r="G2592" s="40"/>
      <c r="H2592" s="42"/>
      <c r="I2592" s="42" t="str">
        <f t="shared" si="36"/>
        <v/>
      </c>
    </row>
    <row r="2593" spans="2:9" x14ac:dyDescent="0.25">
      <c r="B2593" s="39"/>
      <c r="C2593" s="40"/>
      <c r="D2593" s="40"/>
      <c r="F2593" s="40"/>
      <c r="G2593" s="40"/>
      <c r="H2593" s="42"/>
      <c r="I2593" s="42" t="str">
        <f t="shared" si="36"/>
        <v/>
      </c>
    </row>
    <row r="2594" spans="2:9" x14ac:dyDescent="0.25">
      <c r="B2594" s="39"/>
      <c r="C2594" s="40"/>
      <c r="D2594" s="40"/>
      <c r="F2594" s="40"/>
      <c r="G2594" s="40"/>
      <c r="H2594" s="42"/>
      <c r="I2594" s="42" t="str">
        <f t="shared" si="36"/>
        <v/>
      </c>
    </row>
    <row r="2595" spans="2:9" x14ac:dyDescent="0.25">
      <c r="B2595" s="39"/>
      <c r="C2595" s="40"/>
      <c r="D2595" s="40"/>
      <c r="F2595" s="40"/>
      <c r="G2595" s="40"/>
      <c r="H2595" s="42"/>
      <c r="I2595" s="42" t="str">
        <f t="shared" si="36"/>
        <v/>
      </c>
    </row>
    <row r="2596" spans="2:9" x14ac:dyDescent="0.25">
      <c r="B2596" s="39"/>
      <c r="C2596" s="40"/>
      <c r="D2596" s="40"/>
      <c r="F2596" s="40"/>
      <c r="G2596" s="40"/>
      <c r="H2596" s="42"/>
      <c r="I2596" s="42" t="str">
        <f t="shared" si="36"/>
        <v/>
      </c>
    </row>
    <row r="2597" spans="2:9" x14ac:dyDescent="0.25">
      <c r="B2597" s="39"/>
      <c r="C2597" s="40"/>
      <c r="D2597" s="40"/>
      <c r="F2597" s="40"/>
      <c r="G2597" s="40"/>
      <c r="H2597" s="42"/>
      <c r="I2597" s="42" t="str">
        <f t="shared" si="36"/>
        <v/>
      </c>
    </row>
    <row r="2598" spans="2:9" x14ac:dyDescent="0.25">
      <c r="B2598" s="39"/>
      <c r="C2598" s="40"/>
      <c r="D2598" s="40"/>
      <c r="F2598" s="40"/>
      <c r="G2598" s="40"/>
      <c r="H2598" s="42"/>
      <c r="I2598" s="42" t="str">
        <f t="shared" si="36"/>
        <v/>
      </c>
    </row>
    <row r="2599" spans="2:9" x14ac:dyDescent="0.25">
      <c r="B2599" s="39"/>
      <c r="C2599" s="40"/>
      <c r="D2599" s="40"/>
      <c r="F2599" s="40"/>
      <c r="G2599" s="40"/>
      <c r="H2599" s="42"/>
      <c r="I2599" s="42" t="str">
        <f t="shared" si="36"/>
        <v/>
      </c>
    </row>
    <row r="2600" spans="2:9" x14ac:dyDescent="0.25">
      <c r="B2600" s="39"/>
      <c r="C2600" s="40"/>
      <c r="D2600" s="40"/>
      <c r="F2600" s="40"/>
      <c r="G2600" s="40"/>
      <c r="H2600" s="42"/>
      <c r="I2600" s="42" t="str">
        <f t="shared" si="36"/>
        <v/>
      </c>
    </row>
    <row r="2601" spans="2:9" x14ac:dyDescent="0.25">
      <c r="B2601" s="39"/>
      <c r="C2601" s="40"/>
      <c r="D2601" s="40"/>
      <c r="F2601" s="40"/>
      <c r="G2601" s="40"/>
      <c r="H2601" s="42"/>
      <c r="I2601" s="42" t="str">
        <f t="shared" si="36"/>
        <v/>
      </c>
    </row>
    <row r="2602" spans="2:9" x14ac:dyDescent="0.25">
      <c r="B2602" s="39"/>
      <c r="C2602" s="40"/>
      <c r="D2602" s="40"/>
      <c r="F2602" s="40"/>
      <c r="G2602" s="40"/>
      <c r="H2602" s="42"/>
      <c r="I2602" s="42" t="str">
        <f t="shared" si="36"/>
        <v/>
      </c>
    </row>
    <row r="2603" spans="2:9" x14ac:dyDescent="0.25">
      <c r="B2603" s="39"/>
      <c r="C2603" s="40"/>
      <c r="D2603" s="40"/>
      <c r="F2603" s="40"/>
      <c r="G2603" s="40"/>
      <c r="H2603" s="42"/>
      <c r="I2603" s="42" t="str">
        <f t="shared" si="36"/>
        <v/>
      </c>
    </row>
    <row r="2604" spans="2:9" x14ac:dyDescent="0.25">
      <c r="B2604" s="39"/>
      <c r="C2604" s="40"/>
      <c r="D2604" s="40"/>
      <c r="F2604" s="40"/>
      <c r="G2604" s="40"/>
      <c r="H2604" s="42"/>
      <c r="I2604" s="42" t="str">
        <f t="shared" si="36"/>
        <v/>
      </c>
    </row>
    <row r="2605" spans="2:9" x14ac:dyDescent="0.25">
      <c r="B2605" s="39"/>
      <c r="C2605" s="40"/>
      <c r="D2605" s="40"/>
      <c r="F2605" s="40"/>
      <c r="G2605" s="40"/>
      <c r="H2605" s="42"/>
      <c r="I2605" s="42" t="str">
        <f t="shared" si="36"/>
        <v/>
      </c>
    </row>
    <row r="2606" spans="2:9" x14ac:dyDescent="0.25">
      <c r="B2606" s="39"/>
      <c r="C2606" s="40"/>
      <c r="D2606" s="40"/>
      <c r="F2606" s="40"/>
      <c r="G2606" s="40"/>
      <c r="H2606" s="42"/>
      <c r="I2606" s="42" t="str">
        <f t="shared" si="36"/>
        <v/>
      </c>
    </row>
    <row r="2607" spans="2:9" x14ac:dyDescent="0.25">
      <c r="B2607" s="39"/>
      <c r="C2607" s="40"/>
      <c r="D2607" s="40"/>
      <c r="F2607" s="40"/>
      <c r="G2607" s="40"/>
      <c r="H2607" s="42"/>
      <c r="I2607" s="42" t="str">
        <f t="shared" si="36"/>
        <v/>
      </c>
    </row>
    <row r="2608" spans="2:9" x14ac:dyDescent="0.25">
      <c r="B2608" s="39"/>
      <c r="C2608" s="40"/>
      <c r="D2608" s="40"/>
      <c r="F2608" s="40"/>
      <c r="G2608" s="40"/>
      <c r="H2608" s="42"/>
      <c r="I2608" s="42" t="str">
        <f t="shared" si="36"/>
        <v/>
      </c>
    </row>
    <row r="2609" spans="2:9" x14ac:dyDescent="0.25">
      <c r="B2609" s="39"/>
      <c r="C2609" s="40"/>
      <c r="D2609" s="40"/>
      <c r="F2609" s="40"/>
      <c r="G2609" s="40"/>
      <c r="H2609" s="42"/>
      <c r="I2609" s="42" t="str">
        <f t="shared" si="36"/>
        <v/>
      </c>
    </row>
    <row r="2610" spans="2:9" x14ac:dyDescent="0.25">
      <c r="B2610" s="39"/>
      <c r="C2610" s="40"/>
      <c r="D2610" s="40"/>
      <c r="F2610" s="40"/>
      <c r="G2610" s="40"/>
      <c r="H2610" s="42"/>
      <c r="I2610" s="42" t="str">
        <f t="shared" si="36"/>
        <v/>
      </c>
    </row>
    <row r="2611" spans="2:9" x14ac:dyDescent="0.25">
      <c r="B2611" s="39"/>
      <c r="C2611" s="40"/>
      <c r="D2611" s="40"/>
      <c r="F2611" s="40"/>
      <c r="G2611" s="40"/>
      <c r="H2611" s="42"/>
      <c r="I2611" s="42" t="str">
        <f t="shared" si="36"/>
        <v/>
      </c>
    </row>
    <row r="2612" spans="2:9" x14ac:dyDescent="0.25">
      <c r="B2612" s="39"/>
      <c r="C2612" s="40"/>
      <c r="D2612" s="40"/>
      <c r="F2612" s="40"/>
      <c r="G2612" s="40"/>
      <c r="H2612" s="42"/>
      <c r="I2612" s="42" t="str">
        <f t="shared" si="36"/>
        <v/>
      </c>
    </row>
    <row r="2613" spans="2:9" x14ac:dyDescent="0.25">
      <c r="B2613" s="39"/>
      <c r="C2613" s="40"/>
      <c r="D2613" s="40"/>
      <c r="F2613" s="40"/>
      <c r="G2613" s="40"/>
      <c r="H2613" s="42"/>
      <c r="I2613" s="42" t="str">
        <f t="shared" si="36"/>
        <v/>
      </c>
    </row>
    <row r="2614" spans="2:9" x14ac:dyDescent="0.25">
      <c r="B2614" s="39"/>
      <c r="C2614" s="40"/>
      <c r="D2614" s="40"/>
      <c r="F2614" s="40"/>
      <c r="G2614" s="40"/>
      <c r="H2614" s="42"/>
      <c r="I2614" s="42" t="str">
        <f t="shared" si="36"/>
        <v/>
      </c>
    </row>
    <row r="2615" spans="2:9" x14ac:dyDescent="0.25">
      <c r="B2615" s="39"/>
      <c r="C2615" s="40"/>
      <c r="D2615" s="40"/>
      <c r="F2615" s="40"/>
      <c r="G2615" s="40"/>
      <c r="H2615" s="42"/>
      <c r="I2615" s="42" t="str">
        <f t="shared" si="36"/>
        <v/>
      </c>
    </row>
    <row r="2616" spans="2:9" x14ac:dyDescent="0.25">
      <c r="B2616" s="39"/>
      <c r="C2616" s="40"/>
      <c r="D2616" s="40"/>
      <c r="F2616" s="40"/>
      <c r="G2616" s="40"/>
      <c r="H2616" s="42"/>
      <c r="I2616" s="42" t="str">
        <f t="shared" si="36"/>
        <v/>
      </c>
    </row>
    <row r="2617" spans="2:9" x14ac:dyDescent="0.25">
      <c r="B2617" s="39"/>
      <c r="C2617" s="40"/>
      <c r="D2617" s="40"/>
      <c r="F2617" s="40"/>
      <c r="G2617" s="40"/>
      <c r="H2617" s="42"/>
      <c r="I2617" s="42" t="str">
        <f t="shared" si="36"/>
        <v/>
      </c>
    </row>
    <row r="2618" spans="2:9" x14ac:dyDescent="0.25">
      <c r="B2618" s="39"/>
      <c r="C2618" s="40"/>
      <c r="D2618" s="40"/>
      <c r="F2618" s="40"/>
      <c r="G2618" s="40"/>
      <c r="H2618" s="42"/>
      <c r="I2618" s="42" t="str">
        <f t="shared" si="36"/>
        <v/>
      </c>
    </row>
    <row r="2619" spans="2:9" x14ac:dyDescent="0.25">
      <c r="B2619" s="39"/>
      <c r="C2619" s="40"/>
      <c r="D2619" s="40"/>
      <c r="F2619" s="40"/>
      <c r="G2619" s="40"/>
      <c r="H2619" s="42"/>
      <c r="I2619" s="42" t="str">
        <f t="shared" si="36"/>
        <v/>
      </c>
    </row>
    <row r="2620" spans="2:9" x14ac:dyDescent="0.25">
      <c r="B2620" s="39"/>
      <c r="C2620" s="40"/>
      <c r="D2620" s="40"/>
      <c r="F2620" s="40"/>
      <c r="G2620" s="40"/>
      <c r="H2620" s="42"/>
      <c r="I2620" s="42" t="str">
        <f t="shared" si="36"/>
        <v/>
      </c>
    </row>
    <row r="2621" spans="2:9" x14ac:dyDescent="0.25">
      <c r="B2621" s="39"/>
      <c r="C2621" s="40"/>
      <c r="D2621" s="40"/>
      <c r="F2621" s="40"/>
      <c r="G2621" s="40"/>
      <c r="H2621" s="42"/>
      <c r="I2621" s="42" t="str">
        <f t="shared" si="36"/>
        <v/>
      </c>
    </row>
    <row r="2622" spans="2:9" x14ac:dyDescent="0.25">
      <c r="B2622" s="39"/>
      <c r="C2622" s="40"/>
      <c r="D2622" s="40"/>
      <c r="F2622" s="40"/>
      <c r="G2622" s="40"/>
      <c r="H2622" s="42"/>
      <c r="I2622" s="42" t="str">
        <f t="shared" si="36"/>
        <v/>
      </c>
    </row>
    <row r="2623" spans="2:9" x14ac:dyDescent="0.25">
      <c r="B2623" s="39"/>
      <c r="C2623" s="40"/>
      <c r="D2623" s="40"/>
      <c r="F2623" s="40"/>
      <c r="G2623" s="40"/>
      <c r="H2623" s="42"/>
      <c r="I2623" s="42" t="str">
        <f t="shared" si="36"/>
        <v/>
      </c>
    </row>
    <row r="2624" spans="2:9" x14ac:dyDescent="0.25">
      <c r="B2624" s="39"/>
      <c r="C2624" s="40"/>
      <c r="D2624" s="40"/>
      <c r="F2624" s="40"/>
      <c r="G2624" s="40"/>
      <c r="H2624" s="42"/>
      <c r="I2624" s="42" t="str">
        <f t="shared" ref="I2624:I2687" si="37">IF(H2624&lt;&gt;"",H2624-H2623,"")</f>
        <v/>
      </c>
    </row>
    <row r="2625" spans="2:9" x14ac:dyDescent="0.25">
      <c r="B2625" s="39"/>
      <c r="C2625" s="40"/>
      <c r="D2625" s="40"/>
      <c r="F2625" s="40"/>
      <c r="G2625" s="40"/>
      <c r="H2625" s="42"/>
      <c r="I2625" s="42" t="str">
        <f t="shared" si="37"/>
        <v/>
      </c>
    </row>
    <row r="2626" spans="2:9" x14ac:dyDescent="0.25">
      <c r="B2626" s="39"/>
      <c r="C2626" s="40"/>
      <c r="D2626" s="40"/>
      <c r="F2626" s="40"/>
      <c r="G2626" s="40"/>
      <c r="H2626" s="42"/>
      <c r="I2626" s="42" t="str">
        <f t="shared" si="37"/>
        <v/>
      </c>
    </row>
    <row r="2627" spans="2:9" x14ac:dyDescent="0.25">
      <c r="B2627" s="39"/>
      <c r="C2627" s="40"/>
      <c r="D2627" s="40"/>
      <c r="F2627" s="40"/>
      <c r="G2627" s="40"/>
      <c r="H2627" s="42"/>
      <c r="I2627" s="42" t="str">
        <f t="shared" si="37"/>
        <v/>
      </c>
    </row>
    <row r="2628" spans="2:9" x14ac:dyDescent="0.25">
      <c r="B2628" s="39"/>
      <c r="C2628" s="40"/>
      <c r="D2628" s="40"/>
      <c r="F2628" s="40"/>
      <c r="G2628" s="40"/>
      <c r="H2628" s="42"/>
      <c r="I2628" s="42" t="str">
        <f t="shared" si="37"/>
        <v/>
      </c>
    </row>
    <row r="2629" spans="2:9" x14ac:dyDescent="0.25">
      <c r="B2629" s="39"/>
      <c r="C2629" s="40"/>
      <c r="D2629" s="40"/>
      <c r="F2629" s="40"/>
      <c r="G2629" s="40"/>
      <c r="H2629" s="42"/>
      <c r="I2629" s="42" t="str">
        <f t="shared" si="37"/>
        <v/>
      </c>
    </row>
    <row r="2630" spans="2:9" x14ac:dyDescent="0.25">
      <c r="B2630" s="39"/>
      <c r="C2630" s="40"/>
      <c r="D2630" s="40"/>
      <c r="F2630" s="40"/>
      <c r="G2630" s="40"/>
      <c r="H2630" s="42"/>
      <c r="I2630" s="42" t="str">
        <f t="shared" si="37"/>
        <v/>
      </c>
    </row>
    <row r="2631" spans="2:9" x14ac:dyDescent="0.25">
      <c r="B2631" s="39"/>
      <c r="C2631" s="40"/>
      <c r="D2631" s="40"/>
      <c r="F2631" s="40"/>
      <c r="G2631" s="40"/>
      <c r="H2631" s="42"/>
      <c r="I2631" s="42" t="str">
        <f t="shared" si="37"/>
        <v/>
      </c>
    </row>
    <row r="2632" spans="2:9" x14ac:dyDescent="0.25">
      <c r="B2632" s="39"/>
      <c r="C2632" s="40"/>
      <c r="D2632" s="40"/>
      <c r="F2632" s="40"/>
      <c r="G2632" s="40"/>
      <c r="H2632" s="42"/>
      <c r="I2632" s="42" t="str">
        <f t="shared" si="37"/>
        <v/>
      </c>
    </row>
    <row r="2633" spans="2:9" x14ac:dyDescent="0.25">
      <c r="B2633" s="39"/>
      <c r="C2633" s="40"/>
      <c r="D2633" s="40"/>
      <c r="F2633" s="40"/>
      <c r="G2633" s="40"/>
      <c r="H2633" s="42"/>
      <c r="I2633" s="42" t="str">
        <f t="shared" si="37"/>
        <v/>
      </c>
    </row>
    <row r="2634" spans="2:9" x14ac:dyDescent="0.25">
      <c r="B2634" s="39"/>
      <c r="C2634" s="40"/>
      <c r="D2634" s="40"/>
      <c r="F2634" s="40"/>
      <c r="G2634" s="40"/>
      <c r="H2634" s="42"/>
      <c r="I2634" s="42" t="str">
        <f t="shared" si="37"/>
        <v/>
      </c>
    </row>
    <row r="2635" spans="2:9" x14ac:dyDescent="0.25">
      <c r="B2635" s="39"/>
      <c r="C2635" s="40"/>
      <c r="D2635" s="40"/>
      <c r="F2635" s="40"/>
      <c r="G2635" s="40"/>
      <c r="H2635" s="42"/>
      <c r="I2635" s="42" t="str">
        <f t="shared" si="37"/>
        <v/>
      </c>
    </row>
    <row r="2636" spans="2:9" x14ac:dyDescent="0.25">
      <c r="B2636" s="39"/>
      <c r="C2636" s="40"/>
      <c r="D2636" s="40"/>
      <c r="F2636" s="40"/>
      <c r="G2636" s="40"/>
      <c r="H2636" s="42"/>
      <c r="I2636" s="42" t="str">
        <f t="shared" si="37"/>
        <v/>
      </c>
    </row>
    <row r="2637" spans="2:9" x14ac:dyDescent="0.25">
      <c r="B2637" s="39"/>
      <c r="C2637" s="40"/>
      <c r="D2637" s="40"/>
      <c r="F2637" s="40"/>
      <c r="G2637" s="40"/>
      <c r="H2637" s="42"/>
      <c r="I2637" s="42" t="str">
        <f t="shared" si="37"/>
        <v/>
      </c>
    </row>
    <row r="2638" spans="2:9" x14ac:dyDescent="0.25">
      <c r="B2638" s="39"/>
      <c r="C2638" s="40"/>
      <c r="D2638" s="40"/>
      <c r="F2638" s="40"/>
      <c r="G2638" s="40"/>
      <c r="H2638" s="42"/>
      <c r="I2638" s="42" t="str">
        <f t="shared" si="37"/>
        <v/>
      </c>
    </row>
    <row r="2639" spans="2:9" x14ac:dyDescent="0.25">
      <c r="B2639" s="39"/>
      <c r="C2639" s="40"/>
      <c r="D2639" s="40"/>
      <c r="F2639" s="40"/>
      <c r="G2639" s="40"/>
      <c r="H2639" s="42"/>
      <c r="I2639" s="42" t="str">
        <f t="shared" si="37"/>
        <v/>
      </c>
    </row>
    <row r="2640" spans="2:9" x14ac:dyDescent="0.25">
      <c r="B2640" s="39"/>
      <c r="C2640" s="40"/>
      <c r="D2640" s="40"/>
      <c r="F2640" s="40"/>
      <c r="G2640" s="40"/>
      <c r="H2640" s="42"/>
      <c r="I2640" s="42" t="str">
        <f t="shared" si="37"/>
        <v/>
      </c>
    </row>
    <row r="2641" spans="2:9" x14ac:dyDescent="0.25">
      <c r="B2641" s="39"/>
      <c r="C2641" s="40"/>
      <c r="D2641" s="40"/>
      <c r="F2641" s="40"/>
      <c r="G2641" s="40"/>
      <c r="H2641" s="42"/>
      <c r="I2641" s="42" t="str">
        <f t="shared" si="37"/>
        <v/>
      </c>
    </row>
    <row r="2642" spans="2:9" x14ac:dyDescent="0.25">
      <c r="B2642" s="39"/>
      <c r="C2642" s="40"/>
      <c r="D2642" s="40"/>
      <c r="F2642" s="40"/>
      <c r="G2642" s="40"/>
      <c r="H2642" s="42"/>
      <c r="I2642" s="42" t="str">
        <f t="shared" si="37"/>
        <v/>
      </c>
    </row>
    <row r="2643" spans="2:9" x14ac:dyDescent="0.25">
      <c r="B2643" s="39"/>
      <c r="C2643" s="40"/>
      <c r="D2643" s="40"/>
      <c r="F2643" s="40"/>
      <c r="G2643" s="40"/>
      <c r="H2643" s="42"/>
      <c r="I2643" s="42" t="str">
        <f t="shared" si="37"/>
        <v/>
      </c>
    </row>
    <row r="2644" spans="2:9" x14ac:dyDescent="0.25">
      <c r="B2644" s="39"/>
      <c r="C2644" s="40"/>
      <c r="D2644" s="40"/>
      <c r="F2644" s="40"/>
      <c r="G2644" s="40"/>
      <c r="H2644" s="42"/>
      <c r="I2644" s="42" t="str">
        <f t="shared" si="37"/>
        <v/>
      </c>
    </row>
    <row r="2645" spans="2:9" x14ac:dyDescent="0.25">
      <c r="B2645" s="39"/>
      <c r="C2645" s="40"/>
      <c r="D2645" s="40"/>
      <c r="F2645" s="40"/>
      <c r="G2645" s="40"/>
      <c r="H2645" s="42"/>
      <c r="I2645" s="42" t="str">
        <f t="shared" si="37"/>
        <v/>
      </c>
    </row>
    <row r="2646" spans="2:9" x14ac:dyDescent="0.25">
      <c r="B2646" s="39"/>
      <c r="C2646" s="40"/>
      <c r="D2646" s="40"/>
      <c r="F2646" s="40"/>
      <c r="G2646" s="40"/>
      <c r="H2646" s="42"/>
      <c r="I2646" s="42" t="str">
        <f t="shared" si="37"/>
        <v/>
      </c>
    </row>
    <row r="2647" spans="2:9" x14ac:dyDescent="0.25">
      <c r="B2647" s="39"/>
      <c r="C2647" s="40"/>
      <c r="D2647" s="40"/>
      <c r="F2647" s="40"/>
      <c r="G2647" s="40"/>
      <c r="H2647" s="42"/>
      <c r="I2647" s="42" t="str">
        <f t="shared" si="37"/>
        <v/>
      </c>
    </row>
    <row r="2648" spans="2:9" x14ac:dyDescent="0.25">
      <c r="B2648" s="39"/>
      <c r="C2648" s="40"/>
      <c r="D2648" s="40"/>
      <c r="F2648" s="40"/>
      <c r="G2648" s="40"/>
      <c r="H2648" s="42"/>
      <c r="I2648" s="42" t="str">
        <f t="shared" si="37"/>
        <v/>
      </c>
    </row>
    <row r="2649" spans="2:9" x14ac:dyDescent="0.25">
      <c r="B2649" s="39"/>
      <c r="C2649" s="40"/>
      <c r="D2649" s="40"/>
      <c r="F2649" s="40"/>
      <c r="G2649" s="40"/>
      <c r="H2649" s="42"/>
      <c r="I2649" s="42" t="str">
        <f t="shared" si="37"/>
        <v/>
      </c>
    </row>
    <row r="2650" spans="2:9" x14ac:dyDescent="0.25">
      <c r="B2650" s="39"/>
      <c r="C2650" s="40"/>
      <c r="D2650" s="40"/>
      <c r="F2650" s="40"/>
      <c r="G2650" s="40"/>
      <c r="H2650" s="42"/>
      <c r="I2650" s="42" t="str">
        <f t="shared" si="37"/>
        <v/>
      </c>
    </row>
    <row r="2651" spans="2:9" x14ac:dyDescent="0.25">
      <c r="B2651" s="39"/>
      <c r="C2651" s="40"/>
      <c r="D2651" s="40"/>
      <c r="F2651" s="40"/>
      <c r="G2651" s="40"/>
      <c r="H2651" s="42"/>
      <c r="I2651" s="42" t="str">
        <f t="shared" si="37"/>
        <v/>
      </c>
    </row>
    <row r="2652" spans="2:9" x14ac:dyDescent="0.25">
      <c r="B2652" s="39"/>
      <c r="C2652" s="40"/>
      <c r="D2652" s="40"/>
      <c r="F2652" s="40"/>
      <c r="G2652" s="40"/>
      <c r="H2652" s="42"/>
      <c r="I2652" s="42" t="str">
        <f t="shared" si="37"/>
        <v/>
      </c>
    </row>
    <row r="2653" spans="2:9" x14ac:dyDescent="0.25">
      <c r="B2653" s="39"/>
      <c r="C2653" s="40"/>
      <c r="D2653" s="40"/>
      <c r="F2653" s="40"/>
      <c r="G2653" s="40"/>
      <c r="H2653" s="42"/>
      <c r="I2653" s="42" t="str">
        <f t="shared" si="37"/>
        <v/>
      </c>
    </row>
    <row r="2654" spans="2:9" x14ac:dyDescent="0.25">
      <c r="B2654" s="39"/>
      <c r="C2654" s="40"/>
      <c r="D2654" s="40"/>
      <c r="F2654" s="40"/>
      <c r="G2654" s="40"/>
      <c r="H2654" s="42"/>
      <c r="I2654" s="42" t="str">
        <f t="shared" si="37"/>
        <v/>
      </c>
    </row>
    <row r="2655" spans="2:9" x14ac:dyDescent="0.25">
      <c r="B2655" s="39"/>
      <c r="C2655" s="40"/>
      <c r="D2655" s="40"/>
      <c r="F2655" s="40"/>
      <c r="G2655" s="40"/>
      <c r="H2655" s="42"/>
      <c r="I2655" s="42" t="str">
        <f t="shared" si="37"/>
        <v/>
      </c>
    </row>
    <row r="2656" spans="2:9" x14ac:dyDescent="0.25">
      <c r="B2656" s="39"/>
      <c r="C2656" s="40"/>
      <c r="D2656" s="40"/>
      <c r="F2656" s="40"/>
      <c r="G2656" s="40"/>
      <c r="H2656" s="42"/>
      <c r="I2656" s="42" t="str">
        <f t="shared" si="37"/>
        <v/>
      </c>
    </row>
    <row r="2657" spans="2:9" x14ac:dyDescent="0.25">
      <c r="B2657" s="39"/>
      <c r="C2657" s="40"/>
      <c r="D2657" s="40"/>
      <c r="F2657" s="40"/>
      <c r="G2657" s="40"/>
      <c r="H2657" s="42"/>
      <c r="I2657" s="42" t="str">
        <f t="shared" si="37"/>
        <v/>
      </c>
    </row>
    <row r="2658" spans="2:9" x14ac:dyDescent="0.25">
      <c r="B2658" s="39"/>
      <c r="C2658" s="40"/>
      <c r="D2658" s="40"/>
      <c r="F2658" s="40"/>
      <c r="G2658" s="40"/>
      <c r="H2658" s="42"/>
      <c r="I2658" s="42" t="str">
        <f t="shared" si="37"/>
        <v/>
      </c>
    </row>
    <row r="2659" spans="2:9" x14ac:dyDescent="0.25">
      <c r="B2659" s="39"/>
      <c r="C2659" s="40"/>
      <c r="D2659" s="40"/>
      <c r="F2659" s="40"/>
      <c r="G2659" s="40"/>
      <c r="H2659" s="42"/>
      <c r="I2659" s="42" t="str">
        <f t="shared" si="37"/>
        <v/>
      </c>
    </row>
    <row r="2660" spans="2:9" x14ac:dyDescent="0.25">
      <c r="B2660" s="39"/>
      <c r="C2660" s="40"/>
      <c r="D2660" s="40"/>
      <c r="F2660" s="40"/>
      <c r="G2660" s="40"/>
      <c r="H2660" s="42"/>
      <c r="I2660" s="42" t="str">
        <f t="shared" si="37"/>
        <v/>
      </c>
    </row>
    <row r="2661" spans="2:9" x14ac:dyDescent="0.25">
      <c r="B2661" s="39"/>
      <c r="C2661" s="40"/>
      <c r="D2661" s="40"/>
      <c r="F2661" s="40"/>
      <c r="G2661" s="40"/>
      <c r="H2661" s="42"/>
      <c r="I2661" s="42" t="str">
        <f t="shared" si="37"/>
        <v/>
      </c>
    </row>
    <row r="2662" spans="2:9" x14ac:dyDescent="0.25">
      <c r="B2662" s="39"/>
      <c r="C2662" s="40"/>
      <c r="D2662" s="40"/>
      <c r="F2662" s="40"/>
      <c r="G2662" s="40"/>
      <c r="H2662" s="42"/>
      <c r="I2662" s="42" t="str">
        <f t="shared" si="37"/>
        <v/>
      </c>
    </row>
    <row r="2663" spans="2:9" x14ac:dyDescent="0.25">
      <c r="B2663" s="39"/>
      <c r="C2663" s="40"/>
      <c r="D2663" s="40"/>
      <c r="F2663" s="40"/>
      <c r="G2663" s="40"/>
      <c r="H2663" s="42"/>
      <c r="I2663" s="42" t="str">
        <f t="shared" si="37"/>
        <v/>
      </c>
    </row>
    <row r="2664" spans="2:9" x14ac:dyDescent="0.25">
      <c r="B2664" s="39"/>
      <c r="C2664" s="40"/>
      <c r="D2664" s="40"/>
      <c r="F2664" s="40"/>
      <c r="G2664" s="40"/>
      <c r="H2664" s="42"/>
      <c r="I2664" s="42" t="str">
        <f t="shared" si="37"/>
        <v/>
      </c>
    </row>
    <row r="2665" spans="2:9" x14ac:dyDescent="0.25">
      <c r="B2665" s="39"/>
      <c r="C2665" s="40"/>
      <c r="D2665" s="40"/>
      <c r="F2665" s="40"/>
      <c r="G2665" s="40"/>
      <c r="H2665" s="42"/>
      <c r="I2665" s="42" t="str">
        <f t="shared" si="37"/>
        <v/>
      </c>
    </row>
    <row r="2666" spans="2:9" x14ac:dyDescent="0.25">
      <c r="B2666" s="39"/>
      <c r="C2666" s="40"/>
      <c r="D2666" s="40"/>
      <c r="F2666" s="40"/>
      <c r="G2666" s="40"/>
      <c r="H2666" s="42"/>
      <c r="I2666" s="42" t="str">
        <f t="shared" si="37"/>
        <v/>
      </c>
    </row>
    <row r="2667" spans="2:9" x14ac:dyDescent="0.25">
      <c r="B2667" s="39"/>
      <c r="C2667" s="40"/>
      <c r="D2667" s="40"/>
      <c r="F2667" s="40"/>
      <c r="G2667" s="40"/>
      <c r="H2667" s="42"/>
      <c r="I2667" s="42" t="str">
        <f t="shared" si="37"/>
        <v/>
      </c>
    </row>
    <row r="2668" spans="2:9" x14ac:dyDescent="0.25">
      <c r="B2668" s="39"/>
      <c r="C2668" s="40"/>
      <c r="D2668" s="40"/>
      <c r="F2668" s="40"/>
      <c r="G2668" s="40"/>
      <c r="H2668" s="42"/>
      <c r="I2668" s="42" t="str">
        <f t="shared" si="37"/>
        <v/>
      </c>
    </row>
    <row r="2669" spans="2:9" x14ac:dyDescent="0.25">
      <c r="B2669" s="39"/>
      <c r="C2669" s="40"/>
      <c r="D2669" s="40"/>
      <c r="F2669" s="40"/>
      <c r="G2669" s="40"/>
      <c r="H2669" s="42"/>
      <c r="I2669" s="42" t="str">
        <f t="shared" si="37"/>
        <v/>
      </c>
    </row>
    <row r="2670" spans="2:9" x14ac:dyDescent="0.25">
      <c r="B2670" s="39"/>
      <c r="C2670" s="40"/>
      <c r="D2670" s="40"/>
      <c r="F2670" s="40"/>
      <c r="G2670" s="40"/>
      <c r="H2670" s="42"/>
      <c r="I2670" s="42" t="str">
        <f t="shared" si="37"/>
        <v/>
      </c>
    </row>
    <row r="2671" spans="2:9" x14ac:dyDescent="0.25">
      <c r="B2671" s="39"/>
      <c r="C2671" s="40"/>
      <c r="D2671" s="40"/>
      <c r="F2671" s="40"/>
      <c r="G2671" s="40"/>
      <c r="H2671" s="42"/>
      <c r="I2671" s="42" t="str">
        <f t="shared" si="37"/>
        <v/>
      </c>
    </row>
    <row r="2672" spans="2:9" x14ac:dyDescent="0.25">
      <c r="B2672" s="39"/>
      <c r="C2672" s="40"/>
      <c r="D2672" s="40"/>
      <c r="F2672" s="40"/>
      <c r="G2672" s="40"/>
      <c r="H2672" s="42"/>
      <c r="I2672" s="42" t="str">
        <f t="shared" si="37"/>
        <v/>
      </c>
    </row>
    <row r="2673" spans="2:9" x14ac:dyDescent="0.25">
      <c r="B2673" s="39"/>
      <c r="C2673" s="40"/>
      <c r="D2673" s="40"/>
      <c r="F2673" s="40"/>
      <c r="G2673" s="40"/>
      <c r="H2673" s="42"/>
      <c r="I2673" s="42" t="str">
        <f t="shared" si="37"/>
        <v/>
      </c>
    </row>
    <row r="2674" spans="2:9" x14ac:dyDescent="0.25">
      <c r="B2674" s="39"/>
      <c r="C2674" s="40"/>
      <c r="D2674" s="40"/>
      <c r="F2674" s="40"/>
      <c r="G2674" s="40"/>
      <c r="H2674" s="42"/>
      <c r="I2674" s="42" t="str">
        <f t="shared" si="37"/>
        <v/>
      </c>
    </row>
    <row r="2675" spans="2:9" x14ac:dyDescent="0.25">
      <c r="B2675" s="39"/>
      <c r="C2675" s="40"/>
      <c r="D2675" s="40"/>
      <c r="F2675" s="40"/>
      <c r="G2675" s="40"/>
      <c r="H2675" s="42"/>
      <c r="I2675" s="42" t="str">
        <f t="shared" si="37"/>
        <v/>
      </c>
    </row>
    <row r="2676" spans="2:9" x14ac:dyDescent="0.25">
      <c r="B2676" s="39"/>
      <c r="C2676" s="40"/>
      <c r="D2676" s="40"/>
      <c r="F2676" s="40"/>
      <c r="G2676" s="40"/>
      <c r="H2676" s="42"/>
      <c r="I2676" s="42" t="str">
        <f t="shared" si="37"/>
        <v/>
      </c>
    </row>
    <row r="2677" spans="2:9" x14ac:dyDescent="0.25">
      <c r="B2677" s="39"/>
      <c r="C2677" s="40"/>
      <c r="D2677" s="40"/>
      <c r="F2677" s="40"/>
      <c r="G2677" s="40"/>
      <c r="H2677" s="42"/>
      <c r="I2677" s="42" t="str">
        <f t="shared" si="37"/>
        <v/>
      </c>
    </row>
    <row r="2678" spans="2:9" x14ac:dyDescent="0.25">
      <c r="B2678" s="39"/>
      <c r="C2678" s="40"/>
      <c r="D2678" s="40"/>
      <c r="F2678" s="40"/>
      <c r="G2678" s="40"/>
      <c r="H2678" s="42"/>
      <c r="I2678" s="42" t="str">
        <f t="shared" si="37"/>
        <v/>
      </c>
    </row>
    <row r="2679" spans="2:9" x14ac:dyDescent="0.25">
      <c r="B2679" s="39"/>
      <c r="C2679" s="40"/>
      <c r="D2679" s="40"/>
      <c r="F2679" s="40"/>
      <c r="G2679" s="40"/>
      <c r="H2679" s="42"/>
      <c r="I2679" s="42" t="str">
        <f t="shared" si="37"/>
        <v/>
      </c>
    </row>
    <row r="2680" spans="2:9" x14ac:dyDescent="0.25">
      <c r="B2680" s="39"/>
      <c r="C2680" s="40"/>
      <c r="D2680" s="40"/>
      <c r="F2680" s="40"/>
      <c r="G2680" s="40"/>
      <c r="H2680" s="42"/>
      <c r="I2680" s="42" t="str">
        <f t="shared" si="37"/>
        <v/>
      </c>
    </row>
    <row r="2681" spans="2:9" x14ac:dyDescent="0.25">
      <c r="B2681" s="39"/>
      <c r="C2681" s="40"/>
      <c r="D2681" s="40"/>
      <c r="F2681" s="40"/>
      <c r="G2681" s="40"/>
      <c r="H2681" s="42"/>
      <c r="I2681" s="42" t="str">
        <f t="shared" si="37"/>
        <v/>
      </c>
    </row>
    <row r="2682" spans="2:9" x14ac:dyDescent="0.25">
      <c r="B2682" s="39"/>
      <c r="C2682" s="40"/>
      <c r="D2682" s="40"/>
      <c r="F2682" s="40"/>
      <c r="G2682" s="40"/>
      <c r="H2682" s="42"/>
      <c r="I2682" s="42" t="str">
        <f t="shared" si="37"/>
        <v/>
      </c>
    </row>
    <row r="2683" spans="2:9" x14ac:dyDescent="0.25">
      <c r="B2683" s="39"/>
      <c r="C2683" s="40"/>
      <c r="D2683" s="40"/>
      <c r="F2683" s="40"/>
      <c r="G2683" s="40"/>
      <c r="H2683" s="42"/>
      <c r="I2683" s="42" t="str">
        <f t="shared" si="37"/>
        <v/>
      </c>
    </row>
    <row r="2684" spans="2:9" x14ac:dyDescent="0.25">
      <c r="B2684" s="39"/>
      <c r="C2684" s="40"/>
      <c r="D2684" s="40"/>
      <c r="F2684" s="40"/>
      <c r="G2684" s="40"/>
      <c r="H2684" s="42"/>
      <c r="I2684" s="42" t="str">
        <f t="shared" si="37"/>
        <v/>
      </c>
    </row>
    <row r="2685" spans="2:9" x14ac:dyDescent="0.25">
      <c r="B2685" s="39"/>
      <c r="C2685" s="40"/>
      <c r="D2685" s="40"/>
      <c r="F2685" s="40"/>
      <c r="G2685" s="40"/>
      <c r="H2685" s="42"/>
      <c r="I2685" s="42" t="str">
        <f t="shared" si="37"/>
        <v/>
      </c>
    </row>
    <row r="2686" spans="2:9" x14ac:dyDescent="0.25">
      <c r="B2686" s="39"/>
      <c r="C2686" s="40"/>
      <c r="D2686" s="40"/>
      <c r="F2686" s="40"/>
      <c r="G2686" s="40"/>
      <c r="H2686" s="42"/>
      <c r="I2686" s="42" t="str">
        <f t="shared" si="37"/>
        <v/>
      </c>
    </row>
    <row r="2687" spans="2:9" x14ac:dyDescent="0.25">
      <c r="B2687" s="39"/>
      <c r="C2687" s="40"/>
      <c r="D2687" s="40"/>
      <c r="F2687" s="40"/>
      <c r="G2687" s="40"/>
      <c r="H2687" s="42"/>
      <c r="I2687" s="42" t="str">
        <f t="shared" si="37"/>
        <v/>
      </c>
    </row>
    <row r="2688" spans="2:9" x14ac:dyDescent="0.25">
      <c r="B2688" s="39"/>
      <c r="C2688" s="40"/>
      <c r="D2688" s="40"/>
      <c r="F2688" s="40"/>
      <c r="G2688" s="40"/>
      <c r="H2688" s="42"/>
      <c r="I2688" s="42" t="str">
        <f t="shared" ref="I2688:I2751" si="38">IF(H2688&lt;&gt;"",H2688-H2687,"")</f>
        <v/>
      </c>
    </row>
    <row r="2689" spans="2:9" x14ac:dyDescent="0.25">
      <c r="B2689" s="39"/>
      <c r="C2689" s="40"/>
      <c r="D2689" s="40"/>
      <c r="F2689" s="40"/>
      <c r="G2689" s="40"/>
      <c r="H2689" s="42"/>
      <c r="I2689" s="42" t="str">
        <f t="shared" si="38"/>
        <v/>
      </c>
    </row>
    <row r="2690" spans="2:9" x14ac:dyDescent="0.25">
      <c r="B2690" s="39"/>
      <c r="C2690" s="40"/>
      <c r="D2690" s="40"/>
      <c r="F2690" s="40"/>
      <c r="G2690" s="40"/>
      <c r="H2690" s="42"/>
      <c r="I2690" s="42" t="str">
        <f t="shared" si="38"/>
        <v/>
      </c>
    </row>
    <row r="2691" spans="2:9" x14ac:dyDescent="0.25">
      <c r="B2691" s="39"/>
      <c r="C2691" s="40"/>
      <c r="D2691" s="40"/>
      <c r="F2691" s="40"/>
      <c r="G2691" s="40"/>
      <c r="H2691" s="42"/>
      <c r="I2691" s="42" t="str">
        <f t="shared" si="38"/>
        <v/>
      </c>
    </row>
    <row r="2692" spans="2:9" x14ac:dyDescent="0.25">
      <c r="B2692" s="39"/>
      <c r="C2692" s="40"/>
      <c r="D2692" s="40"/>
      <c r="F2692" s="40"/>
      <c r="G2692" s="40"/>
      <c r="H2692" s="42"/>
      <c r="I2692" s="42" t="str">
        <f t="shared" si="38"/>
        <v/>
      </c>
    </row>
    <row r="2693" spans="2:9" x14ac:dyDescent="0.25">
      <c r="B2693" s="39"/>
      <c r="C2693" s="40"/>
      <c r="D2693" s="40"/>
      <c r="F2693" s="40"/>
      <c r="G2693" s="40"/>
      <c r="H2693" s="42"/>
      <c r="I2693" s="42" t="str">
        <f t="shared" si="38"/>
        <v/>
      </c>
    </row>
    <row r="2694" spans="2:9" x14ac:dyDescent="0.25">
      <c r="B2694" s="39"/>
      <c r="C2694" s="40"/>
      <c r="D2694" s="40"/>
      <c r="F2694" s="40"/>
      <c r="G2694" s="40"/>
      <c r="H2694" s="42"/>
      <c r="I2694" s="42" t="str">
        <f t="shared" si="38"/>
        <v/>
      </c>
    </row>
    <row r="2695" spans="2:9" x14ac:dyDescent="0.25">
      <c r="B2695" s="39"/>
      <c r="C2695" s="40"/>
      <c r="D2695" s="40"/>
      <c r="F2695" s="40"/>
      <c r="G2695" s="40"/>
      <c r="H2695" s="42"/>
      <c r="I2695" s="42" t="str">
        <f t="shared" si="38"/>
        <v/>
      </c>
    </row>
    <row r="2696" spans="2:9" x14ac:dyDescent="0.25">
      <c r="B2696" s="39"/>
      <c r="C2696" s="40"/>
      <c r="D2696" s="40"/>
      <c r="F2696" s="40"/>
      <c r="G2696" s="40"/>
      <c r="H2696" s="42"/>
      <c r="I2696" s="42" t="str">
        <f t="shared" si="38"/>
        <v/>
      </c>
    </row>
    <row r="2697" spans="2:9" x14ac:dyDescent="0.25">
      <c r="B2697" s="39"/>
      <c r="C2697" s="40"/>
      <c r="D2697" s="40"/>
      <c r="F2697" s="40"/>
      <c r="G2697" s="40"/>
      <c r="H2697" s="42"/>
      <c r="I2697" s="42" t="str">
        <f t="shared" si="38"/>
        <v/>
      </c>
    </row>
    <row r="2698" spans="2:9" x14ac:dyDescent="0.25">
      <c r="B2698" s="39"/>
      <c r="C2698" s="40"/>
      <c r="D2698" s="40"/>
      <c r="F2698" s="40"/>
      <c r="G2698" s="40"/>
      <c r="H2698" s="42"/>
      <c r="I2698" s="42" t="str">
        <f t="shared" si="38"/>
        <v/>
      </c>
    </row>
    <row r="2699" spans="2:9" x14ac:dyDescent="0.25">
      <c r="B2699" s="39"/>
      <c r="C2699" s="40"/>
      <c r="D2699" s="40"/>
      <c r="F2699" s="40"/>
      <c r="G2699" s="40"/>
      <c r="H2699" s="42"/>
      <c r="I2699" s="42" t="str">
        <f t="shared" si="38"/>
        <v/>
      </c>
    </row>
    <row r="2700" spans="2:9" x14ac:dyDescent="0.25">
      <c r="B2700" s="39"/>
      <c r="C2700" s="40"/>
      <c r="D2700" s="40"/>
      <c r="F2700" s="40"/>
      <c r="G2700" s="40"/>
      <c r="H2700" s="42"/>
      <c r="I2700" s="42" t="str">
        <f t="shared" si="38"/>
        <v/>
      </c>
    </row>
    <row r="2701" spans="2:9" x14ac:dyDescent="0.25">
      <c r="B2701" s="39"/>
      <c r="C2701" s="40"/>
      <c r="D2701" s="40"/>
      <c r="F2701" s="40"/>
      <c r="G2701" s="40"/>
      <c r="H2701" s="42"/>
      <c r="I2701" s="42" t="str">
        <f t="shared" si="38"/>
        <v/>
      </c>
    </row>
    <row r="2702" spans="2:9" x14ac:dyDescent="0.25">
      <c r="B2702" s="39"/>
      <c r="C2702" s="40"/>
      <c r="D2702" s="40"/>
      <c r="F2702" s="40"/>
      <c r="G2702" s="40"/>
      <c r="H2702" s="42"/>
      <c r="I2702" s="42" t="str">
        <f t="shared" si="38"/>
        <v/>
      </c>
    </row>
    <row r="2703" spans="2:9" x14ac:dyDescent="0.25">
      <c r="B2703" s="39"/>
      <c r="C2703" s="40"/>
      <c r="D2703" s="40"/>
      <c r="F2703" s="40"/>
      <c r="G2703" s="40"/>
      <c r="H2703" s="42"/>
      <c r="I2703" s="42" t="str">
        <f t="shared" si="38"/>
        <v/>
      </c>
    </row>
    <row r="2704" spans="2:9" x14ac:dyDescent="0.25">
      <c r="B2704" s="39"/>
      <c r="C2704" s="40"/>
      <c r="D2704" s="40"/>
      <c r="F2704" s="40"/>
      <c r="G2704" s="40"/>
      <c r="H2704" s="42"/>
      <c r="I2704" s="42" t="str">
        <f t="shared" si="38"/>
        <v/>
      </c>
    </row>
    <row r="2705" spans="2:9" x14ac:dyDescent="0.25">
      <c r="B2705" s="39"/>
      <c r="C2705" s="40"/>
      <c r="D2705" s="40"/>
      <c r="F2705" s="40"/>
      <c r="G2705" s="40"/>
      <c r="H2705" s="42"/>
      <c r="I2705" s="42" t="str">
        <f t="shared" si="38"/>
        <v/>
      </c>
    </row>
    <row r="2706" spans="2:9" x14ac:dyDescent="0.25">
      <c r="B2706" s="39"/>
      <c r="C2706" s="40"/>
      <c r="D2706" s="40"/>
      <c r="F2706" s="40"/>
      <c r="G2706" s="40"/>
      <c r="H2706" s="42"/>
      <c r="I2706" s="42" t="str">
        <f t="shared" si="38"/>
        <v/>
      </c>
    </row>
    <row r="2707" spans="2:9" x14ac:dyDescent="0.25">
      <c r="B2707" s="39"/>
      <c r="C2707" s="40"/>
      <c r="D2707" s="40"/>
      <c r="F2707" s="40"/>
      <c r="G2707" s="40"/>
      <c r="H2707" s="42"/>
      <c r="I2707" s="42" t="str">
        <f t="shared" si="38"/>
        <v/>
      </c>
    </row>
    <row r="2708" spans="2:9" x14ac:dyDescent="0.25">
      <c r="B2708" s="39"/>
      <c r="C2708" s="40"/>
      <c r="D2708" s="40"/>
      <c r="F2708" s="40"/>
      <c r="G2708" s="40"/>
      <c r="H2708" s="42"/>
      <c r="I2708" s="42" t="str">
        <f t="shared" si="38"/>
        <v/>
      </c>
    </row>
    <row r="2709" spans="2:9" x14ac:dyDescent="0.25">
      <c r="B2709" s="39"/>
      <c r="C2709" s="40"/>
      <c r="D2709" s="40"/>
      <c r="F2709" s="40"/>
      <c r="G2709" s="40"/>
      <c r="H2709" s="42"/>
      <c r="I2709" s="42" t="str">
        <f t="shared" si="38"/>
        <v/>
      </c>
    </row>
    <row r="2710" spans="2:9" x14ac:dyDescent="0.25">
      <c r="B2710" s="39"/>
      <c r="C2710" s="40"/>
      <c r="D2710" s="40"/>
      <c r="F2710" s="40"/>
      <c r="G2710" s="40"/>
      <c r="H2710" s="42"/>
      <c r="I2710" s="42" t="str">
        <f t="shared" si="38"/>
        <v/>
      </c>
    </row>
    <row r="2711" spans="2:9" x14ac:dyDescent="0.25">
      <c r="B2711" s="39"/>
      <c r="C2711" s="40"/>
      <c r="D2711" s="40"/>
      <c r="F2711" s="40"/>
      <c r="G2711" s="40"/>
      <c r="H2711" s="42"/>
      <c r="I2711" s="42" t="str">
        <f t="shared" si="38"/>
        <v/>
      </c>
    </row>
    <row r="2712" spans="2:9" x14ac:dyDescent="0.25">
      <c r="B2712" s="39"/>
      <c r="C2712" s="40"/>
      <c r="D2712" s="40"/>
      <c r="F2712" s="40"/>
      <c r="G2712" s="40"/>
      <c r="H2712" s="42"/>
      <c r="I2712" s="42" t="str">
        <f t="shared" si="38"/>
        <v/>
      </c>
    </row>
    <row r="2713" spans="2:9" x14ac:dyDescent="0.25">
      <c r="B2713" s="39"/>
      <c r="C2713" s="40"/>
      <c r="D2713" s="40"/>
      <c r="F2713" s="40"/>
      <c r="G2713" s="40"/>
      <c r="H2713" s="42"/>
      <c r="I2713" s="42" t="str">
        <f t="shared" si="38"/>
        <v/>
      </c>
    </row>
    <row r="2714" spans="2:9" x14ac:dyDescent="0.25">
      <c r="B2714" s="39"/>
      <c r="C2714" s="40"/>
      <c r="D2714" s="40"/>
      <c r="F2714" s="40"/>
      <c r="G2714" s="40"/>
      <c r="H2714" s="42"/>
      <c r="I2714" s="42" t="str">
        <f t="shared" si="38"/>
        <v/>
      </c>
    </row>
    <row r="2715" spans="2:9" x14ac:dyDescent="0.25">
      <c r="B2715" s="39"/>
      <c r="C2715" s="40"/>
      <c r="D2715" s="40"/>
      <c r="F2715" s="40"/>
      <c r="G2715" s="40"/>
      <c r="H2715" s="42"/>
      <c r="I2715" s="42" t="str">
        <f t="shared" si="38"/>
        <v/>
      </c>
    </row>
    <row r="2716" spans="2:9" x14ac:dyDescent="0.25">
      <c r="B2716" s="39"/>
      <c r="C2716" s="40"/>
      <c r="D2716" s="40"/>
      <c r="F2716" s="40"/>
      <c r="G2716" s="40"/>
      <c r="H2716" s="42"/>
      <c r="I2716" s="42" t="str">
        <f t="shared" si="38"/>
        <v/>
      </c>
    </row>
    <row r="2717" spans="2:9" x14ac:dyDescent="0.25">
      <c r="B2717" s="39"/>
      <c r="C2717" s="40"/>
      <c r="D2717" s="40"/>
      <c r="F2717" s="40"/>
      <c r="G2717" s="40"/>
      <c r="H2717" s="42"/>
      <c r="I2717" s="42" t="str">
        <f t="shared" si="38"/>
        <v/>
      </c>
    </row>
    <row r="2718" spans="2:9" x14ac:dyDescent="0.25">
      <c r="B2718" s="39"/>
      <c r="C2718" s="40"/>
      <c r="D2718" s="40"/>
      <c r="F2718" s="40"/>
      <c r="G2718" s="40"/>
      <c r="H2718" s="42"/>
      <c r="I2718" s="42" t="str">
        <f t="shared" si="38"/>
        <v/>
      </c>
    </row>
    <row r="2719" spans="2:9" x14ac:dyDescent="0.25">
      <c r="B2719" s="39"/>
      <c r="C2719" s="40"/>
      <c r="D2719" s="40"/>
      <c r="F2719" s="40"/>
      <c r="G2719" s="40"/>
      <c r="H2719" s="42"/>
      <c r="I2719" s="42" t="str">
        <f t="shared" si="38"/>
        <v/>
      </c>
    </row>
    <row r="2720" spans="2:9" x14ac:dyDescent="0.25">
      <c r="B2720" s="39"/>
      <c r="C2720" s="40"/>
      <c r="D2720" s="40"/>
      <c r="F2720" s="40"/>
      <c r="G2720" s="40"/>
      <c r="H2720" s="42"/>
      <c r="I2720" s="42" t="str">
        <f t="shared" si="38"/>
        <v/>
      </c>
    </row>
    <row r="2721" spans="2:9" x14ac:dyDescent="0.25">
      <c r="B2721" s="39"/>
      <c r="C2721" s="40"/>
      <c r="D2721" s="40"/>
      <c r="F2721" s="40"/>
      <c r="G2721" s="40"/>
      <c r="H2721" s="42"/>
      <c r="I2721" s="42" t="str">
        <f t="shared" si="38"/>
        <v/>
      </c>
    </row>
    <row r="2722" spans="2:9" x14ac:dyDescent="0.25">
      <c r="B2722" s="39"/>
      <c r="C2722" s="40"/>
      <c r="D2722" s="40"/>
      <c r="F2722" s="40"/>
      <c r="G2722" s="40"/>
      <c r="H2722" s="42"/>
      <c r="I2722" s="42" t="str">
        <f t="shared" si="38"/>
        <v/>
      </c>
    </row>
    <row r="2723" spans="2:9" x14ac:dyDescent="0.25">
      <c r="B2723" s="39"/>
      <c r="C2723" s="40"/>
      <c r="D2723" s="40"/>
      <c r="F2723" s="40"/>
      <c r="G2723" s="40"/>
      <c r="H2723" s="42"/>
      <c r="I2723" s="42" t="str">
        <f t="shared" si="38"/>
        <v/>
      </c>
    </row>
    <row r="2724" spans="2:9" x14ac:dyDescent="0.25">
      <c r="B2724" s="39"/>
      <c r="C2724" s="40"/>
      <c r="D2724" s="40"/>
      <c r="F2724" s="40"/>
      <c r="G2724" s="40"/>
      <c r="H2724" s="42"/>
      <c r="I2724" s="42" t="str">
        <f t="shared" si="38"/>
        <v/>
      </c>
    </row>
    <row r="2725" spans="2:9" x14ac:dyDescent="0.25">
      <c r="B2725" s="39"/>
      <c r="C2725" s="40"/>
      <c r="D2725" s="40"/>
      <c r="F2725" s="40"/>
      <c r="G2725" s="40"/>
      <c r="H2725" s="42"/>
      <c r="I2725" s="42" t="str">
        <f t="shared" si="38"/>
        <v/>
      </c>
    </row>
    <row r="2726" spans="2:9" x14ac:dyDescent="0.25">
      <c r="B2726" s="39"/>
      <c r="C2726" s="40"/>
      <c r="D2726" s="40"/>
      <c r="F2726" s="40"/>
      <c r="G2726" s="40"/>
      <c r="H2726" s="42"/>
      <c r="I2726" s="42" t="str">
        <f t="shared" si="38"/>
        <v/>
      </c>
    </row>
    <row r="2727" spans="2:9" x14ac:dyDescent="0.25">
      <c r="B2727" s="39"/>
      <c r="C2727" s="40"/>
      <c r="D2727" s="40"/>
      <c r="F2727" s="40"/>
      <c r="G2727" s="40"/>
      <c r="H2727" s="42"/>
      <c r="I2727" s="42" t="str">
        <f t="shared" si="38"/>
        <v/>
      </c>
    </row>
    <row r="2728" spans="2:9" x14ac:dyDescent="0.25">
      <c r="B2728" s="39"/>
      <c r="C2728" s="40"/>
      <c r="D2728" s="40"/>
      <c r="F2728" s="40"/>
      <c r="G2728" s="40"/>
      <c r="H2728" s="42"/>
      <c r="I2728" s="42" t="str">
        <f t="shared" si="38"/>
        <v/>
      </c>
    </row>
    <row r="2729" spans="2:9" x14ac:dyDescent="0.25">
      <c r="B2729" s="39"/>
      <c r="C2729" s="40"/>
      <c r="D2729" s="40"/>
      <c r="F2729" s="40"/>
      <c r="G2729" s="40"/>
      <c r="H2729" s="42"/>
      <c r="I2729" s="42" t="str">
        <f t="shared" si="38"/>
        <v/>
      </c>
    </row>
    <row r="2730" spans="2:9" x14ac:dyDescent="0.25">
      <c r="B2730" s="39"/>
      <c r="C2730" s="40"/>
      <c r="D2730" s="40"/>
      <c r="F2730" s="40"/>
      <c r="G2730" s="40"/>
      <c r="H2730" s="42"/>
      <c r="I2730" s="42" t="str">
        <f t="shared" si="38"/>
        <v/>
      </c>
    </row>
    <row r="2731" spans="2:9" x14ac:dyDescent="0.25">
      <c r="B2731" s="39"/>
      <c r="C2731" s="40"/>
      <c r="D2731" s="40"/>
      <c r="F2731" s="40"/>
      <c r="G2731" s="40"/>
      <c r="H2731" s="42"/>
      <c r="I2731" s="42" t="str">
        <f t="shared" si="38"/>
        <v/>
      </c>
    </row>
    <row r="2732" spans="2:9" x14ac:dyDescent="0.25">
      <c r="B2732" s="39"/>
      <c r="C2732" s="40"/>
      <c r="D2732" s="40"/>
      <c r="F2732" s="40"/>
      <c r="G2732" s="40"/>
      <c r="H2732" s="42"/>
      <c r="I2732" s="42" t="str">
        <f t="shared" si="38"/>
        <v/>
      </c>
    </row>
    <row r="2733" spans="2:9" x14ac:dyDescent="0.25">
      <c r="B2733" s="39"/>
      <c r="C2733" s="40"/>
      <c r="D2733" s="40"/>
      <c r="F2733" s="40"/>
      <c r="G2733" s="40"/>
      <c r="H2733" s="42"/>
      <c r="I2733" s="42" t="str">
        <f t="shared" si="38"/>
        <v/>
      </c>
    </row>
    <row r="2734" spans="2:9" x14ac:dyDescent="0.25">
      <c r="B2734" s="39"/>
      <c r="C2734" s="40"/>
      <c r="D2734" s="40"/>
      <c r="F2734" s="40"/>
      <c r="G2734" s="40"/>
      <c r="H2734" s="42"/>
      <c r="I2734" s="42" t="str">
        <f t="shared" si="38"/>
        <v/>
      </c>
    </row>
    <row r="2735" spans="2:9" x14ac:dyDescent="0.25">
      <c r="B2735" s="39"/>
      <c r="C2735" s="40"/>
      <c r="D2735" s="40"/>
      <c r="F2735" s="40"/>
      <c r="G2735" s="40"/>
      <c r="H2735" s="42"/>
      <c r="I2735" s="42" t="str">
        <f t="shared" si="38"/>
        <v/>
      </c>
    </row>
    <row r="2736" spans="2:9" x14ac:dyDescent="0.25">
      <c r="B2736" s="39"/>
      <c r="C2736" s="40"/>
      <c r="D2736" s="40"/>
      <c r="F2736" s="40"/>
      <c r="G2736" s="40"/>
      <c r="H2736" s="42"/>
      <c r="I2736" s="42" t="str">
        <f t="shared" si="38"/>
        <v/>
      </c>
    </row>
    <row r="2737" spans="2:9" x14ac:dyDescent="0.25">
      <c r="B2737" s="39"/>
      <c r="C2737" s="40"/>
      <c r="D2737" s="40"/>
      <c r="F2737" s="40"/>
      <c r="G2737" s="40"/>
      <c r="H2737" s="42"/>
      <c r="I2737" s="42" t="str">
        <f t="shared" si="38"/>
        <v/>
      </c>
    </row>
    <row r="2738" spans="2:9" x14ac:dyDescent="0.25">
      <c r="B2738" s="39"/>
      <c r="C2738" s="40"/>
      <c r="D2738" s="40"/>
      <c r="F2738" s="40"/>
      <c r="G2738" s="40"/>
      <c r="H2738" s="42"/>
      <c r="I2738" s="42" t="str">
        <f t="shared" si="38"/>
        <v/>
      </c>
    </row>
    <row r="2739" spans="2:9" x14ac:dyDescent="0.25">
      <c r="B2739" s="39"/>
      <c r="C2739" s="40"/>
      <c r="D2739" s="40"/>
      <c r="F2739" s="40"/>
      <c r="G2739" s="40"/>
      <c r="H2739" s="42"/>
      <c r="I2739" s="42" t="str">
        <f t="shared" si="38"/>
        <v/>
      </c>
    </row>
    <row r="2740" spans="2:9" x14ac:dyDescent="0.25">
      <c r="B2740" s="39"/>
      <c r="C2740" s="40"/>
      <c r="D2740" s="40"/>
      <c r="F2740" s="40"/>
      <c r="G2740" s="40"/>
      <c r="H2740" s="42"/>
      <c r="I2740" s="42" t="str">
        <f t="shared" si="38"/>
        <v/>
      </c>
    </row>
    <row r="2741" spans="2:9" x14ac:dyDescent="0.25">
      <c r="B2741" s="39"/>
      <c r="C2741" s="40"/>
      <c r="D2741" s="40"/>
      <c r="F2741" s="40"/>
      <c r="G2741" s="40"/>
      <c r="H2741" s="42"/>
      <c r="I2741" s="42" t="str">
        <f t="shared" si="38"/>
        <v/>
      </c>
    </row>
    <row r="2742" spans="2:9" x14ac:dyDescent="0.25">
      <c r="B2742" s="39"/>
      <c r="C2742" s="40"/>
      <c r="D2742" s="40"/>
      <c r="F2742" s="40"/>
      <c r="G2742" s="40"/>
      <c r="H2742" s="42"/>
      <c r="I2742" s="42" t="str">
        <f t="shared" si="38"/>
        <v/>
      </c>
    </row>
    <row r="2743" spans="2:9" x14ac:dyDescent="0.25">
      <c r="B2743" s="39"/>
      <c r="C2743" s="40"/>
      <c r="D2743" s="40"/>
      <c r="F2743" s="40"/>
      <c r="G2743" s="40"/>
      <c r="H2743" s="42"/>
      <c r="I2743" s="42" t="str">
        <f t="shared" si="38"/>
        <v/>
      </c>
    </row>
    <row r="2744" spans="2:9" x14ac:dyDescent="0.25">
      <c r="B2744" s="39"/>
      <c r="C2744" s="40"/>
      <c r="D2744" s="40"/>
      <c r="F2744" s="40"/>
      <c r="G2744" s="40"/>
      <c r="H2744" s="42"/>
      <c r="I2744" s="42" t="str">
        <f t="shared" si="38"/>
        <v/>
      </c>
    </row>
    <row r="2745" spans="2:9" x14ac:dyDescent="0.25">
      <c r="B2745" s="39"/>
      <c r="C2745" s="40"/>
      <c r="D2745" s="40"/>
      <c r="F2745" s="40"/>
      <c r="G2745" s="40"/>
      <c r="H2745" s="42"/>
      <c r="I2745" s="42" t="str">
        <f t="shared" si="38"/>
        <v/>
      </c>
    </row>
    <row r="2746" spans="2:9" x14ac:dyDescent="0.25">
      <c r="B2746" s="39"/>
      <c r="C2746" s="40"/>
      <c r="D2746" s="40"/>
      <c r="F2746" s="40"/>
      <c r="G2746" s="40"/>
      <c r="H2746" s="42"/>
      <c r="I2746" s="42" t="str">
        <f t="shared" si="38"/>
        <v/>
      </c>
    </row>
    <row r="2747" spans="2:9" x14ac:dyDescent="0.25">
      <c r="B2747" s="39"/>
      <c r="C2747" s="40"/>
      <c r="D2747" s="40"/>
      <c r="F2747" s="40"/>
      <c r="G2747" s="40"/>
      <c r="H2747" s="42"/>
      <c r="I2747" s="42" t="str">
        <f t="shared" si="38"/>
        <v/>
      </c>
    </row>
    <row r="2748" spans="2:9" x14ac:dyDescent="0.25">
      <c r="B2748" s="39"/>
      <c r="C2748" s="40"/>
      <c r="D2748" s="40"/>
      <c r="F2748" s="40"/>
      <c r="G2748" s="40"/>
      <c r="H2748" s="42"/>
      <c r="I2748" s="42" t="str">
        <f t="shared" si="38"/>
        <v/>
      </c>
    </row>
    <row r="2749" spans="2:9" x14ac:dyDescent="0.25">
      <c r="B2749" s="39"/>
      <c r="C2749" s="40"/>
      <c r="D2749" s="40"/>
      <c r="F2749" s="40"/>
      <c r="G2749" s="40"/>
      <c r="H2749" s="42"/>
      <c r="I2749" s="42" t="str">
        <f t="shared" si="38"/>
        <v/>
      </c>
    </row>
    <row r="2750" spans="2:9" x14ac:dyDescent="0.25">
      <c r="B2750" s="39"/>
      <c r="C2750" s="40"/>
      <c r="D2750" s="40"/>
      <c r="F2750" s="40"/>
      <c r="G2750" s="40"/>
      <c r="H2750" s="42"/>
      <c r="I2750" s="42" t="str">
        <f t="shared" si="38"/>
        <v/>
      </c>
    </row>
    <row r="2751" spans="2:9" x14ac:dyDescent="0.25">
      <c r="B2751" s="39"/>
      <c r="C2751" s="40"/>
      <c r="D2751" s="40"/>
      <c r="F2751" s="40"/>
      <c r="G2751" s="40"/>
      <c r="H2751" s="42"/>
      <c r="I2751" s="42" t="str">
        <f t="shared" si="38"/>
        <v/>
      </c>
    </row>
    <row r="2752" spans="2:9" x14ac:dyDescent="0.25">
      <c r="B2752" s="39"/>
      <c r="C2752" s="40"/>
      <c r="D2752" s="40"/>
      <c r="F2752" s="40"/>
      <c r="G2752" s="40"/>
      <c r="H2752" s="42"/>
      <c r="I2752" s="42" t="str">
        <f t="shared" ref="I2752:I2815" si="39">IF(H2752&lt;&gt;"",H2752-H2751,"")</f>
        <v/>
      </c>
    </row>
    <row r="2753" spans="2:9" x14ac:dyDescent="0.25">
      <c r="B2753" s="39"/>
      <c r="C2753" s="40"/>
      <c r="D2753" s="40"/>
      <c r="F2753" s="40"/>
      <c r="G2753" s="40"/>
      <c r="H2753" s="42"/>
      <c r="I2753" s="42" t="str">
        <f t="shared" si="39"/>
        <v/>
      </c>
    </row>
    <row r="2754" spans="2:9" x14ac:dyDescent="0.25">
      <c r="B2754" s="39"/>
      <c r="C2754" s="40"/>
      <c r="D2754" s="40"/>
      <c r="F2754" s="40"/>
      <c r="G2754" s="40"/>
      <c r="H2754" s="42"/>
      <c r="I2754" s="42" t="str">
        <f t="shared" si="39"/>
        <v/>
      </c>
    </row>
    <row r="2755" spans="2:9" x14ac:dyDescent="0.25">
      <c r="B2755" s="39"/>
      <c r="C2755" s="40"/>
      <c r="D2755" s="40"/>
      <c r="F2755" s="40"/>
      <c r="G2755" s="40"/>
      <c r="H2755" s="42"/>
      <c r="I2755" s="42" t="str">
        <f t="shared" si="39"/>
        <v/>
      </c>
    </row>
    <row r="2756" spans="2:9" x14ac:dyDescent="0.25">
      <c r="B2756" s="39"/>
      <c r="C2756" s="40"/>
      <c r="D2756" s="40"/>
      <c r="F2756" s="40"/>
      <c r="G2756" s="40"/>
      <c r="H2756" s="42"/>
      <c r="I2756" s="42" t="str">
        <f t="shared" si="39"/>
        <v/>
      </c>
    </row>
    <row r="2757" spans="2:9" x14ac:dyDescent="0.25">
      <c r="B2757" s="39"/>
      <c r="C2757" s="40"/>
      <c r="D2757" s="40"/>
      <c r="F2757" s="40"/>
      <c r="G2757" s="40"/>
      <c r="H2757" s="42"/>
      <c r="I2757" s="42" t="str">
        <f t="shared" si="39"/>
        <v/>
      </c>
    </row>
    <row r="2758" spans="2:9" x14ac:dyDescent="0.25">
      <c r="B2758" s="39"/>
      <c r="C2758" s="40"/>
      <c r="D2758" s="40"/>
      <c r="F2758" s="40"/>
      <c r="G2758" s="40"/>
      <c r="H2758" s="42"/>
      <c r="I2758" s="42" t="str">
        <f t="shared" si="39"/>
        <v/>
      </c>
    </row>
    <row r="2759" spans="2:9" x14ac:dyDescent="0.25">
      <c r="B2759" s="39"/>
      <c r="C2759" s="40"/>
      <c r="D2759" s="40"/>
      <c r="F2759" s="40"/>
      <c r="G2759" s="40"/>
      <c r="H2759" s="42"/>
      <c r="I2759" s="42" t="str">
        <f t="shared" si="39"/>
        <v/>
      </c>
    </row>
    <row r="2760" spans="2:9" x14ac:dyDescent="0.25">
      <c r="B2760" s="39"/>
      <c r="C2760" s="40"/>
      <c r="D2760" s="40"/>
      <c r="F2760" s="40"/>
      <c r="G2760" s="40"/>
      <c r="H2760" s="42"/>
      <c r="I2760" s="42" t="str">
        <f t="shared" si="39"/>
        <v/>
      </c>
    </row>
    <row r="2761" spans="2:9" x14ac:dyDescent="0.25">
      <c r="B2761" s="39"/>
      <c r="C2761" s="40"/>
      <c r="D2761" s="40"/>
      <c r="F2761" s="40"/>
      <c r="G2761" s="40"/>
      <c r="H2761" s="42"/>
      <c r="I2761" s="42" t="str">
        <f t="shared" si="39"/>
        <v/>
      </c>
    </row>
    <row r="2762" spans="2:9" x14ac:dyDescent="0.25">
      <c r="B2762" s="39"/>
      <c r="C2762" s="40"/>
      <c r="D2762" s="40"/>
      <c r="F2762" s="40"/>
      <c r="G2762" s="40"/>
      <c r="H2762" s="42"/>
      <c r="I2762" s="42" t="str">
        <f t="shared" si="39"/>
        <v/>
      </c>
    </row>
    <row r="2763" spans="2:9" x14ac:dyDescent="0.25">
      <c r="B2763" s="39"/>
      <c r="C2763" s="40"/>
      <c r="D2763" s="40"/>
      <c r="F2763" s="40"/>
      <c r="G2763" s="40"/>
      <c r="H2763" s="42"/>
      <c r="I2763" s="42" t="str">
        <f t="shared" si="39"/>
        <v/>
      </c>
    </row>
    <row r="2764" spans="2:9" x14ac:dyDescent="0.25">
      <c r="B2764" s="39"/>
      <c r="C2764" s="40"/>
      <c r="D2764" s="40"/>
      <c r="F2764" s="40"/>
      <c r="G2764" s="40"/>
      <c r="H2764" s="42"/>
      <c r="I2764" s="42" t="str">
        <f t="shared" si="39"/>
        <v/>
      </c>
    </row>
    <row r="2765" spans="2:9" x14ac:dyDescent="0.25">
      <c r="B2765" s="39"/>
      <c r="C2765" s="40"/>
      <c r="D2765" s="40"/>
      <c r="F2765" s="40"/>
      <c r="G2765" s="40"/>
      <c r="H2765" s="42"/>
      <c r="I2765" s="42" t="str">
        <f t="shared" si="39"/>
        <v/>
      </c>
    </row>
    <row r="2766" spans="2:9" x14ac:dyDescent="0.25">
      <c r="B2766" s="39"/>
      <c r="C2766" s="40"/>
      <c r="D2766" s="40"/>
      <c r="F2766" s="40"/>
      <c r="G2766" s="40"/>
      <c r="H2766" s="42"/>
      <c r="I2766" s="42" t="str">
        <f t="shared" si="39"/>
        <v/>
      </c>
    </row>
    <row r="2767" spans="2:9" x14ac:dyDescent="0.25">
      <c r="B2767" s="39"/>
      <c r="C2767" s="40"/>
      <c r="D2767" s="40"/>
      <c r="F2767" s="40"/>
      <c r="G2767" s="40"/>
      <c r="H2767" s="42"/>
      <c r="I2767" s="42" t="str">
        <f t="shared" si="39"/>
        <v/>
      </c>
    </row>
    <row r="2768" spans="2:9" x14ac:dyDescent="0.25">
      <c r="B2768" s="39"/>
      <c r="C2768" s="40"/>
      <c r="D2768" s="40"/>
      <c r="F2768" s="40"/>
      <c r="G2768" s="40"/>
      <c r="H2768" s="42"/>
      <c r="I2768" s="42" t="str">
        <f t="shared" si="39"/>
        <v/>
      </c>
    </row>
    <row r="2769" spans="2:9" x14ac:dyDescent="0.25">
      <c r="B2769" s="39"/>
      <c r="C2769" s="40"/>
      <c r="D2769" s="40"/>
      <c r="F2769" s="40"/>
      <c r="G2769" s="40"/>
      <c r="H2769" s="42"/>
      <c r="I2769" s="42" t="str">
        <f t="shared" si="39"/>
        <v/>
      </c>
    </row>
    <row r="2770" spans="2:9" x14ac:dyDescent="0.25">
      <c r="B2770" s="39"/>
      <c r="C2770" s="40"/>
      <c r="D2770" s="40"/>
      <c r="F2770" s="40"/>
      <c r="G2770" s="40"/>
      <c r="H2770" s="42"/>
      <c r="I2770" s="42" t="str">
        <f t="shared" si="39"/>
        <v/>
      </c>
    </row>
    <row r="2771" spans="2:9" x14ac:dyDescent="0.25">
      <c r="B2771" s="39"/>
      <c r="C2771" s="40"/>
      <c r="D2771" s="40"/>
      <c r="F2771" s="40"/>
      <c r="G2771" s="40"/>
      <c r="H2771" s="42"/>
      <c r="I2771" s="42" t="str">
        <f t="shared" si="39"/>
        <v/>
      </c>
    </row>
    <row r="2772" spans="2:9" x14ac:dyDescent="0.25">
      <c r="B2772" s="39"/>
      <c r="C2772" s="40"/>
      <c r="D2772" s="40"/>
      <c r="F2772" s="40"/>
      <c r="G2772" s="40"/>
      <c r="H2772" s="42"/>
      <c r="I2772" s="42" t="str">
        <f t="shared" si="39"/>
        <v/>
      </c>
    </row>
    <row r="2773" spans="2:9" x14ac:dyDescent="0.25">
      <c r="B2773" s="39"/>
      <c r="C2773" s="40"/>
      <c r="D2773" s="40"/>
      <c r="F2773" s="40"/>
      <c r="G2773" s="40"/>
      <c r="H2773" s="42"/>
      <c r="I2773" s="42" t="str">
        <f t="shared" si="39"/>
        <v/>
      </c>
    </row>
    <row r="2774" spans="2:9" x14ac:dyDescent="0.25">
      <c r="B2774" s="39"/>
      <c r="C2774" s="40"/>
      <c r="D2774" s="40"/>
      <c r="F2774" s="40"/>
      <c r="G2774" s="40"/>
      <c r="H2774" s="42"/>
      <c r="I2774" s="42" t="str">
        <f t="shared" si="39"/>
        <v/>
      </c>
    </row>
    <row r="2775" spans="2:9" x14ac:dyDescent="0.25">
      <c r="B2775" s="39"/>
      <c r="C2775" s="40"/>
      <c r="D2775" s="40"/>
      <c r="F2775" s="40"/>
      <c r="G2775" s="40"/>
      <c r="H2775" s="42"/>
      <c r="I2775" s="42" t="str">
        <f t="shared" si="39"/>
        <v/>
      </c>
    </row>
    <row r="2776" spans="2:9" x14ac:dyDescent="0.25">
      <c r="B2776" s="39"/>
      <c r="C2776" s="40"/>
      <c r="D2776" s="40"/>
      <c r="F2776" s="40"/>
      <c r="G2776" s="40"/>
      <c r="H2776" s="42"/>
      <c r="I2776" s="42" t="str">
        <f t="shared" si="39"/>
        <v/>
      </c>
    </row>
    <row r="2777" spans="2:9" x14ac:dyDescent="0.25">
      <c r="B2777" s="39"/>
      <c r="C2777" s="40"/>
      <c r="D2777" s="40"/>
      <c r="F2777" s="40"/>
      <c r="G2777" s="40"/>
      <c r="H2777" s="42"/>
      <c r="I2777" s="42" t="str">
        <f t="shared" si="39"/>
        <v/>
      </c>
    </row>
    <row r="2778" spans="2:9" x14ac:dyDescent="0.25">
      <c r="B2778" s="39"/>
      <c r="C2778" s="40"/>
      <c r="D2778" s="40"/>
      <c r="F2778" s="40"/>
      <c r="G2778" s="40"/>
      <c r="H2778" s="42"/>
      <c r="I2778" s="42" t="str">
        <f t="shared" si="39"/>
        <v/>
      </c>
    </row>
    <row r="2779" spans="2:9" x14ac:dyDescent="0.25">
      <c r="B2779" s="39"/>
      <c r="C2779" s="40"/>
      <c r="D2779" s="40"/>
      <c r="F2779" s="40"/>
      <c r="G2779" s="40"/>
      <c r="H2779" s="42"/>
      <c r="I2779" s="42" t="str">
        <f t="shared" si="39"/>
        <v/>
      </c>
    </row>
    <row r="2780" spans="2:9" x14ac:dyDescent="0.25">
      <c r="B2780" s="39"/>
      <c r="C2780" s="40"/>
      <c r="D2780" s="40"/>
      <c r="F2780" s="40"/>
      <c r="G2780" s="40"/>
      <c r="H2780" s="42"/>
      <c r="I2780" s="42" t="str">
        <f t="shared" si="39"/>
        <v/>
      </c>
    </row>
    <row r="2781" spans="2:9" x14ac:dyDescent="0.25">
      <c r="B2781" s="39"/>
      <c r="C2781" s="40"/>
      <c r="D2781" s="40"/>
      <c r="F2781" s="40"/>
      <c r="G2781" s="40"/>
      <c r="H2781" s="42"/>
      <c r="I2781" s="42" t="str">
        <f t="shared" si="39"/>
        <v/>
      </c>
    </row>
    <row r="2782" spans="2:9" x14ac:dyDescent="0.25">
      <c r="B2782" s="39"/>
      <c r="C2782" s="40"/>
      <c r="D2782" s="40"/>
      <c r="F2782" s="40"/>
      <c r="G2782" s="40"/>
      <c r="H2782" s="42"/>
      <c r="I2782" s="42" t="str">
        <f t="shared" si="39"/>
        <v/>
      </c>
    </row>
    <row r="2783" spans="2:9" x14ac:dyDescent="0.25">
      <c r="B2783" s="39"/>
      <c r="C2783" s="40"/>
      <c r="D2783" s="40"/>
      <c r="F2783" s="40"/>
      <c r="G2783" s="40"/>
      <c r="H2783" s="42"/>
      <c r="I2783" s="42" t="str">
        <f t="shared" si="39"/>
        <v/>
      </c>
    </row>
    <row r="2784" spans="2:9" x14ac:dyDescent="0.25">
      <c r="B2784" s="39"/>
      <c r="C2784" s="40"/>
      <c r="D2784" s="40"/>
      <c r="F2784" s="40"/>
      <c r="G2784" s="40"/>
      <c r="H2784" s="42"/>
      <c r="I2784" s="42" t="str">
        <f t="shared" si="39"/>
        <v/>
      </c>
    </row>
    <row r="2785" spans="2:9" x14ac:dyDescent="0.25">
      <c r="B2785" s="39"/>
      <c r="C2785" s="40"/>
      <c r="D2785" s="40"/>
      <c r="F2785" s="40"/>
      <c r="G2785" s="40"/>
      <c r="H2785" s="42"/>
      <c r="I2785" s="42" t="str">
        <f t="shared" si="39"/>
        <v/>
      </c>
    </row>
    <row r="2786" spans="2:9" x14ac:dyDescent="0.25">
      <c r="B2786" s="39"/>
      <c r="C2786" s="40"/>
      <c r="D2786" s="40"/>
      <c r="F2786" s="40"/>
      <c r="G2786" s="40"/>
      <c r="H2786" s="42"/>
      <c r="I2786" s="42" t="str">
        <f t="shared" si="39"/>
        <v/>
      </c>
    </row>
    <row r="2787" spans="2:9" x14ac:dyDescent="0.25">
      <c r="B2787" s="39"/>
      <c r="C2787" s="40"/>
      <c r="D2787" s="40"/>
      <c r="F2787" s="40"/>
      <c r="G2787" s="40"/>
      <c r="H2787" s="42"/>
      <c r="I2787" s="42" t="str">
        <f t="shared" si="39"/>
        <v/>
      </c>
    </row>
    <row r="2788" spans="2:9" x14ac:dyDescent="0.25">
      <c r="B2788" s="39"/>
      <c r="C2788" s="40"/>
      <c r="D2788" s="40"/>
      <c r="F2788" s="40"/>
      <c r="G2788" s="40"/>
      <c r="H2788" s="42"/>
      <c r="I2788" s="42" t="str">
        <f t="shared" si="39"/>
        <v/>
      </c>
    </row>
    <row r="2789" spans="2:9" x14ac:dyDescent="0.25">
      <c r="B2789" s="39"/>
      <c r="C2789" s="40"/>
      <c r="D2789" s="40"/>
      <c r="F2789" s="40"/>
      <c r="G2789" s="40"/>
      <c r="H2789" s="42"/>
      <c r="I2789" s="42" t="str">
        <f t="shared" si="39"/>
        <v/>
      </c>
    </row>
    <row r="2790" spans="2:9" x14ac:dyDescent="0.25">
      <c r="B2790" s="39"/>
      <c r="C2790" s="40"/>
      <c r="D2790" s="40"/>
      <c r="F2790" s="40"/>
      <c r="G2790" s="40"/>
      <c r="H2790" s="42"/>
      <c r="I2790" s="42" t="str">
        <f t="shared" si="39"/>
        <v/>
      </c>
    </row>
    <row r="2791" spans="2:9" x14ac:dyDescent="0.25">
      <c r="B2791" s="39"/>
      <c r="C2791" s="40"/>
      <c r="D2791" s="40"/>
      <c r="F2791" s="40"/>
      <c r="G2791" s="40"/>
      <c r="H2791" s="42"/>
      <c r="I2791" s="42" t="str">
        <f t="shared" si="39"/>
        <v/>
      </c>
    </row>
    <row r="2792" spans="2:9" x14ac:dyDescent="0.25">
      <c r="B2792" s="39"/>
      <c r="C2792" s="40"/>
      <c r="D2792" s="40"/>
      <c r="F2792" s="40"/>
      <c r="G2792" s="40"/>
      <c r="H2792" s="42"/>
      <c r="I2792" s="42" t="str">
        <f t="shared" si="39"/>
        <v/>
      </c>
    </row>
    <row r="2793" spans="2:9" x14ac:dyDescent="0.25">
      <c r="B2793" s="39"/>
      <c r="C2793" s="40"/>
      <c r="D2793" s="40"/>
      <c r="F2793" s="40"/>
      <c r="G2793" s="40"/>
      <c r="H2793" s="42"/>
      <c r="I2793" s="42" t="str">
        <f t="shared" si="39"/>
        <v/>
      </c>
    </row>
    <row r="2794" spans="2:9" x14ac:dyDescent="0.25">
      <c r="B2794" s="39"/>
      <c r="C2794" s="40"/>
      <c r="D2794" s="40"/>
      <c r="F2794" s="40"/>
      <c r="G2794" s="40"/>
      <c r="H2794" s="42"/>
      <c r="I2794" s="42" t="str">
        <f t="shared" si="39"/>
        <v/>
      </c>
    </row>
    <row r="2795" spans="2:9" x14ac:dyDescent="0.25">
      <c r="B2795" s="39"/>
      <c r="C2795" s="40"/>
      <c r="D2795" s="40"/>
      <c r="F2795" s="40"/>
      <c r="G2795" s="40"/>
      <c r="H2795" s="42"/>
      <c r="I2795" s="42" t="str">
        <f t="shared" si="39"/>
        <v/>
      </c>
    </row>
    <row r="2796" spans="2:9" x14ac:dyDescent="0.25">
      <c r="B2796" s="39"/>
      <c r="C2796" s="40"/>
      <c r="D2796" s="40"/>
      <c r="F2796" s="40"/>
      <c r="G2796" s="40"/>
      <c r="H2796" s="42"/>
      <c r="I2796" s="42" t="str">
        <f t="shared" si="39"/>
        <v/>
      </c>
    </row>
    <row r="2797" spans="2:9" x14ac:dyDescent="0.25">
      <c r="B2797" s="39"/>
      <c r="C2797" s="40"/>
      <c r="D2797" s="40"/>
      <c r="F2797" s="40"/>
      <c r="G2797" s="40"/>
      <c r="H2797" s="42"/>
      <c r="I2797" s="42" t="str">
        <f t="shared" si="39"/>
        <v/>
      </c>
    </row>
    <row r="2798" spans="2:9" x14ac:dyDescent="0.25">
      <c r="B2798" s="39"/>
      <c r="C2798" s="40"/>
      <c r="D2798" s="40"/>
      <c r="F2798" s="40"/>
      <c r="G2798" s="40"/>
      <c r="H2798" s="42"/>
      <c r="I2798" s="42" t="str">
        <f t="shared" si="39"/>
        <v/>
      </c>
    </row>
    <row r="2799" spans="2:9" x14ac:dyDescent="0.25">
      <c r="B2799" s="39"/>
      <c r="C2799" s="40"/>
      <c r="D2799" s="40"/>
      <c r="F2799" s="40"/>
      <c r="G2799" s="40"/>
      <c r="H2799" s="42"/>
      <c r="I2799" s="42" t="str">
        <f t="shared" si="39"/>
        <v/>
      </c>
    </row>
    <row r="2800" spans="2:9" x14ac:dyDescent="0.25">
      <c r="B2800" s="39"/>
      <c r="C2800" s="40"/>
      <c r="D2800" s="40"/>
      <c r="F2800" s="40"/>
      <c r="G2800" s="40"/>
      <c r="H2800" s="42"/>
      <c r="I2800" s="42" t="str">
        <f t="shared" si="39"/>
        <v/>
      </c>
    </row>
    <row r="2801" spans="2:9" x14ac:dyDescent="0.25">
      <c r="B2801" s="39"/>
      <c r="C2801" s="40"/>
      <c r="D2801" s="40"/>
      <c r="F2801" s="40"/>
      <c r="G2801" s="40"/>
      <c r="H2801" s="42"/>
      <c r="I2801" s="42" t="str">
        <f t="shared" si="39"/>
        <v/>
      </c>
    </row>
    <row r="2802" spans="2:9" x14ac:dyDescent="0.25">
      <c r="B2802" s="39"/>
      <c r="C2802" s="40"/>
      <c r="D2802" s="40"/>
      <c r="F2802" s="40"/>
      <c r="G2802" s="40"/>
      <c r="H2802" s="42"/>
      <c r="I2802" s="42" t="str">
        <f t="shared" si="39"/>
        <v/>
      </c>
    </row>
    <row r="2803" spans="2:9" x14ac:dyDescent="0.25">
      <c r="B2803" s="39"/>
      <c r="C2803" s="40"/>
      <c r="D2803" s="40"/>
      <c r="F2803" s="40"/>
      <c r="G2803" s="40"/>
      <c r="H2803" s="42"/>
      <c r="I2803" s="42" t="str">
        <f t="shared" si="39"/>
        <v/>
      </c>
    </row>
    <row r="2804" spans="2:9" x14ac:dyDescent="0.25">
      <c r="B2804" s="39"/>
      <c r="C2804" s="40"/>
      <c r="D2804" s="40"/>
      <c r="F2804" s="40"/>
      <c r="G2804" s="40"/>
      <c r="H2804" s="42"/>
      <c r="I2804" s="42" t="str">
        <f t="shared" si="39"/>
        <v/>
      </c>
    </row>
    <row r="2805" spans="2:9" x14ac:dyDescent="0.25">
      <c r="B2805" s="39"/>
      <c r="C2805" s="40"/>
      <c r="D2805" s="40"/>
      <c r="F2805" s="40"/>
      <c r="G2805" s="40"/>
      <c r="H2805" s="42"/>
      <c r="I2805" s="42" t="str">
        <f t="shared" si="39"/>
        <v/>
      </c>
    </row>
    <row r="2806" spans="2:9" x14ac:dyDescent="0.25">
      <c r="B2806" s="39"/>
      <c r="C2806" s="40"/>
      <c r="D2806" s="40"/>
      <c r="F2806" s="40"/>
      <c r="G2806" s="40"/>
      <c r="H2806" s="42"/>
      <c r="I2806" s="42" t="str">
        <f t="shared" si="39"/>
        <v/>
      </c>
    </row>
    <row r="2807" spans="2:9" x14ac:dyDescent="0.25">
      <c r="B2807" s="39"/>
      <c r="C2807" s="40"/>
      <c r="D2807" s="40"/>
      <c r="F2807" s="40"/>
      <c r="G2807" s="40"/>
      <c r="H2807" s="42"/>
      <c r="I2807" s="42" t="str">
        <f t="shared" si="39"/>
        <v/>
      </c>
    </row>
    <row r="2808" spans="2:9" x14ac:dyDescent="0.25">
      <c r="B2808" s="39"/>
      <c r="C2808" s="40"/>
      <c r="D2808" s="40"/>
      <c r="F2808" s="40"/>
      <c r="G2808" s="40"/>
      <c r="H2808" s="42"/>
      <c r="I2808" s="42" t="str">
        <f t="shared" si="39"/>
        <v/>
      </c>
    </row>
    <row r="2809" spans="2:9" x14ac:dyDescent="0.25">
      <c r="B2809" s="39"/>
      <c r="C2809" s="40"/>
      <c r="D2809" s="40"/>
      <c r="F2809" s="40"/>
      <c r="G2809" s="40"/>
      <c r="H2809" s="42"/>
      <c r="I2809" s="42" t="str">
        <f t="shared" si="39"/>
        <v/>
      </c>
    </row>
    <row r="2810" spans="2:9" x14ac:dyDescent="0.25">
      <c r="B2810" s="39"/>
      <c r="C2810" s="40"/>
      <c r="D2810" s="40"/>
      <c r="F2810" s="40"/>
      <c r="G2810" s="40"/>
      <c r="H2810" s="42"/>
      <c r="I2810" s="42" t="str">
        <f t="shared" si="39"/>
        <v/>
      </c>
    </row>
    <row r="2811" spans="2:9" x14ac:dyDescent="0.25">
      <c r="B2811" s="39"/>
      <c r="C2811" s="40"/>
      <c r="D2811" s="40"/>
      <c r="F2811" s="40"/>
      <c r="G2811" s="40"/>
      <c r="H2811" s="42"/>
      <c r="I2811" s="42" t="str">
        <f t="shared" si="39"/>
        <v/>
      </c>
    </row>
    <row r="2812" spans="2:9" x14ac:dyDescent="0.25">
      <c r="B2812" s="39"/>
      <c r="C2812" s="40"/>
      <c r="D2812" s="40"/>
      <c r="F2812" s="40"/>
      <c r="G2812" s="40"/>
      <c r="H2812" s="42"/>
      <c r="I2812" s="42" t="str">
        <f t="shared" si="39"/>
        <v/>
      </c>
    </row>
    <row r="2813" spans="2:9" x14ac:dyDescent="0.25">
      <c r="B2813" s="39"/>
      <c r="C2813" s="40"/>
      <c r="D2813" s="40"/>
      <c r="F2813" s="40"/>
      <c r="G2813" s="40"/>
      <c r="H2813" s="42"/>
      <c r="I2813" s="42" t="str">
        <f t="shared" si="39"/>
        <v/>
      </c>
    </row>
    <row r="2814" spans="2:9" x14ac:dyDescent="0.25">
      <c r="B2814" s="39"/>
      <c r="C2814" s="40"/>
      <c r="D2814" s="40"/>
      <c r="F2814" s="40"/>
      <c r="G2814" s="40"/>
      <c r="H2814" s="42"/>
      <c r="I2814" s="42" t="str">
        <f t="shared" si="39"/>
        <v/>
      </c>
    </row>
    <row r="2815" spans="2:9" x14ac:dyDescent="0.25">
      <c r="B2815" s="39"/>
      <c r="C2815" s="40"/>
      <c r="D2815" s="40"/>
      <c r="F2815" s="40"/>
      <c r="G2815" s="40"/>
      <c r="H2815" s="42"/>
      <c r="I2815" s="42" t="str">
        <f t="shared" si="39"/>
        <v/>
      </c>
    </row>
    <row r="2816" spans="2:9" x14ac:dyDescent="0.25">
      <c r="B2816" s="39"/>
      <c r="C2816" s="40"/>
      <c r="D2816" s="40"/>
      <c r="F2816" s="40"/>
      <c r="G2816" s="40"/>
      <c r="H2816" s="42"/>
      <c r="I2816" s="42" t="str">
        <f t="shared" ref="I2816:I2879" si="40">IF(H2816&lt;&gt;"",H2816-H2815,"")</f>
        <v/>
      </c>
    </row>
    <row r="2817" spans="2:9" x14ac:dyDescent="0.25">
      <c r="B2817" s="39"/>
      <c r="C2817" s="40"/>
      <c r="D2817" s="40"/>
      <c r="F2817" s="40"/>
      <c r="G2817" s="40"/>
      <c r="H2817" s="42"/>
      <c r="I2817" s="42" t="str">
        <f t="shared" si="40"/>
        <v/>
      </c>
    </row>
    <row r="2818" spans="2:9" x14ac:dyDescent="0.25">
      <c r="B2818" s="39"/>
      <c r="C2818" s="40"/>
      <c r="D2818" s="40"/>
      <c r="F2818" s="40"/>
      <c r="G2818" s="40"/>
      <c r="H2818" s="42"/>
      <c r="I2818" s="42" t="str">
        <f t="shared" si="40"/>
        <v/>
      </c>
    </row>
    <row r="2819" spans="2:9" x14ac:dyDescent="0.25">
      <c r="B2819" s="39"/>
      <c r="C2819" s="40"/>
      <c r="D2819" s="40"/>
      <c r="F2819" s="40"/>
      <c r="G2819" s="40"/>
      <c r="H2819" s="42"/>
      <c r="I2819" s="42" t="str">
        <f t="shared" si="40"/>
        <v/>
      </c>
    </row>
    <row r="2820" spans="2:9" x14ac:dyDescent="0.25">
      <c r="B2820" s="39"/>
      <c r="C2820" s="40"/>
      <c r="D2820" s="40"/>
      <c r="F2820" s="40"/>
      <c r="G2820" s="40"/>
      <c r="H2820" s="42"/>
      <c r="I2820" s="42" t="str">
        <f t="shared" si="40"/>
        <v/>
      </c>
    </row>
    <row r="2821" spans="2:9" x14ac:dyDescent="0.25">
      <c r="B2821" s="39"/>
      <c r="C2821" s="40"/>
      <c r="D2821" s="40"/>
      <c r="F2821" s="40"/>
      <c r="G2821" s="40"/>
      <c r="H2821" s="42"/>
      <c r="I2821" s="42" t="str">
        <f t="shared" si="40"/>
        <v/>
      </c>
    </row>
    <row r="2822" spans="2:9" x14ac:dyDescent="0.25">
      <c r="B2822" s="39"/>
      <c r="C2822" s="40"/>
      <c r="D2822" s="40"/>
      <c r="F2822" s="40"/>
      <c r="G2822" s="40"/>
      <c r="H2822" s="42"/>
      <c r="I2822" s="42" t="str">
        <f t="shared" si="40"/>
        <v/>
      </c>
    </row>
    <row r="2823" spans="2:9" x14ac:dyDescent="0.25">
      <c r="B2823" s="39"/>
      <c r="C2823" s="40"/>
      <c r="D2823" s="40"/>
      <c r="F2823" s="40"/>
      <c r="G2823" s="40"/>
      <c r="H2823" s="42"/>
      <c r="I2823" s="42" t="str">
        <f t="shared" si="40"/>
        <v/>
      </c>
    </row>
    <row r="2824" spans="2:9" x14ac:dyDescent="0.25">
      <c r="B2824" s="39"/>
      <c r="C2824" s="40"/>
      <c r="D2824" s="40"/>
      <c r="F2824" s="40"/>
      <c r="G2824" s="40"/>
      <c r="H2824" s="42"/>
      <c r="I2824" s="42" t="str">
        <f t="shared" si="40"/>
        <v/>
      </c>
    </row>
    <row r="2825" spans="2:9" x14ac:dyDescent="0.25">
      <c r="B2825" s="39"/>
      <c r="C2825" s="40"/>
      <c r="D2825" s="40"/>
      <c r="F2825" s="40"/>
      <c r="G2825" s="40"/>
      <c r="H2825" s="42"/>
      <c r="I2825" s="42" t="str">
        <f t="shared" si="40"/>
        <v/>
      </c>
    </row>
    <row r="2826" spans="2:9" x14ac:dyDescent="0.25">
      <c r="B2826" s="39"/>
      <c r="C2826" s="40"/>
      <c r="D2826" s="40"/>
      <c r="F2826" s="40"/>
      <c r="G2826" s="40"/>
      <c r="H2826" s="42"/>
      <c r="I2826" s="42" t="str">
        <f t="shared" si="40"/>
        <v/>
      </c>
    </row>
    <row r="2827" spans="2:9" x14ac:dyDescent="0.25">
      <c r="B2827" s="39"/>
      <c r="C2827" s="40"/>
      <c r="D2827" s="40"/>
      <c r="F2827" s="40"/>
      <c r="G2827" s="40"/>
      <c r="H2827" s="42"/>
      <c r="I2827" s="42" t="str">
        <f t="shared" si="40"/>
        <v/>
      </c>
    </row>
    <row r="2828" spans="2:9" x14ac:dyDescent="0.25">
      <c r="B2828" s="39"/>
      <c r="C2828" s="40"/>
      <c r="D2828" s="40"/>
      <c r="F2828" s="40"/>
      <c r="G2828" s="40"/>
      <c r="H2828" s="42"/>
      <c r="I2828" s="42" t="str">
        <f t="shared" si="40"/>
        <v/>
      </c>
    </row>
    <row r="2829" spans="2:9" x14ac:dyDescent="0.25">
      <c r="B2829" s="39"/>
      <c r="C2829" s="40"/>
      <c r="D2829" s="40"/>
      <c r="F2829" s="40"/>
      <c r="G2829" s="40"/>
      <c r="H2829" s="42"/>
      <c r="I2829" s="42" t="str">
        <f t="shared" si="40"/>
        <v/>
      </c>
    </row>
    <row r="2830" spans="2:9" x14ac:dyDescent="0.25">
      <c r="B2830" s="39"/>
      <c r="C2830" s="40"/>
      <c r="D2830" s="40"/>
      <c r="F2830" s="40"/>
      <c r="G2830" s="40"/>
      <c r="H2830" s="42"/>
      <c r="I2830" s="42" t="str">
        <f t="shared" si="40"/>
        <v/>
      </c>
    </row>
    <row r="2831" spans="2:9" x14ac:dyDescent="0.25">
      <c r="B2831" s="39"/>
      <c r="C2831" s="40"/>
      <c r="D2831" s="40"/>
      <c r="F2831" s="40"/>
      <c r="G2831" s="40"/>
      <c r="H2831" s="42"/>
      <c r="I2831" s="42" t="str">
        <f t="shared" si="40"/>
        <v/>
      </c>
    </row>
    <row r="2832" spans="2:9" x14ac:dyDescent="0.25">
      <c r="B2832" s="39"/>
      <c r="C2832" s="40"/>
      <c r="D2832" s="40"/>
      <c r="F2832" s="40"/>
      <c r="G2832" s="40"/>
      <c r="H2832" s="42"/>
      <c r="I2832" s="42" t="str">
        <f t="shared" si="40"/>
        <v/>
      </c>
    </row>
    <row r="2833" spans="2:9" x14ac:dyDescent="0.25">
      <c r="B2833" s="39"/>
      <c r="C2833" s="40"/>
      <c r="D2833" s="40"/>
      <c r="F2833" s="40"/>
      <c r="G2833" s="40"/>
      <c r="H2833" s="42"/>
      <c r="I2833" s="42" t="str">
        <f t="shared" si="40"/>
        <v/>
      </c>
    </row>
    <row r="2834" spans="2:9" x14ac:dyDescent="0.25">
      <c r="B2834" s="39"/>
      <c r="C2834" s="40"/>
      <c r="D2834" s="40"/>
      <c r="F2834" s="40"/>
      <c r="G2834" s="40"/>
      <c r="H2834" s="42"/>
      <c r="I2834" s="42" t="str">
        <f t="shared" si="40"/>
        <v/>
      </c>
    </row>
    <row r="2835" spans="2:9" x14ac:dyDescent="0.25">
      <c r="B2835" s="39"/>
      <c r="C2835" s="40"/>
      <c r="D2835" s="40"/>
      <c r="F2835" s="40"/>
      <c r="G2835" s="40"/>
      <c r="H2835" s="42"/>
      <c r="I2835" s="42" t="str">
        <f t="shared" si="40"/>
        <v/>
      </c>
    </row>
    <row r="2836" spans="2:9" x14ac:dyDescent="0.25">
      <c r="B2836" s="39"/>
      <c r="C2836" s="40"/>
      <c r="D2836" s="40"/>
      <c r="F2836" s="40"/>
      <c r="G2836" s="40"/>
      <c r="H2836" s="42"/>
      <c r="I2836" s="42" t="str">
        <f t="shared" si="40"/>
        <v/>
      </c>
    </row>
    <row r="2837" spans="2:9" x14ac:dyDescent="0.25">
      <c r="B2837" s="39"/>
      <c r="C2837" s="40"/>
      <c r="D2837" s="40"/>
      <c r="F2837" s="40"/>
      <c r="G2837" s="40"/>
      <c r="H2837" s="42"/>
      <c r="I2837" s="42" t="str">
        <f t="shared" si="40"/>
        <v/>
      </c>
    </row>
    <row r="2838" spans="2:9" x14ac:dyDescent="0.25">
      <c r="B2838" s="39"/>
      <c r="C2838" s="40"/>
      <c r="D2838" s="40"/>
      <c r="F2838" s="40"/>
      <c r="G2838" s="40"/>
      <c r="H2838" s="42"/>
      <c r="I2838" s="42" t="str">
        <f t="shared" si="40"/>
        <v/>
      </c>
    </row>
    <row r="2839" spans="2:9" x14ac:dyDescent="0.25">
      <c r="B2839" s="39"/>
      <c r="C2839" s="40"/>
      <c r="D2839" s="40"/>
      <c r="F2839" s="40"/>
      <c r="G2839" s="40"/>
      <c r="H2839" s="42"/>
      <c r="I2839" s="42" t="str">
        <f t="shared" si="40"/>
        <v/>
      </c>
    </row>
    <row r="2840" spans="2:9" x14ac:dyDescent="0.25">
      <c r="B2840" s="39"/>
      <c r="C2840" s="40"/>
      <c r="D2840" s="40"/>
      <c r="F2840" s="40"/>
      <c r="G2840" s="40"/>
      <c r="H2840" s="42"/>
      <c r="I2840" s="42" t="str">
        <f t="shared" si="40"/>
        <v/>
      </c>
    </row>
    <row r="2841" spans="2:9" x14ac:dyDescent="0.25">
      <c r="B2841" s="39"/>
      <c r="C2841" s="40"/>
      <c r="D2841" s="40"/>
      <c r="F2841" s="40"/>
      <c r="G2841" s="40"/>
      <c r="H2841" s="42"/>
      <c r="I2841" s="42" t="str">
        <f t="shared" si="40"/>
        <v/>
      </c>
    </row>
    <row r="2842" spans="2:9" x14ac:dyDescent="0.25">
      <c r="B2842" s="39"/>
      <c r="C2842" s="40"/>
      <c r="D2842" s="40"/>
      <c r="F2842" s="40"/>
      <c r="G2842" s="40"/>
      <c r="H2842" s="42"/>
      <c r="I2842" s="42" t="str">
        <f t="shared" si="40"/>
        <v/>
      </c>
    </row>
    <row r="2843" spans="2:9" x14ac:dyDescent="0.25">
      <c r="B2843" s="39"/>
      <c r="C2843" s="40"/>
      <c r="D2843" s="40"/>
      <c r="F2843" s="40"/>
      <c r="G2843" s="40"/>
      <c r="H2843" s="42"/>
      <c r="I2843" s="42" t="str">
        <f t="shared" si="40"/>
        <v/>
      </c>
    </row>
    <row r="2844" spans="2:9" x14ac:dyDescent="0.25">
      <c r="B2844" s="39"/>
      <c r="C2844" s="40"/>
      <c r="D2844" s="40"/>
      <c r="F2844" s="40"/>
      <c r="G2844" s="40"/>
      <c r="H2844" s="42"/>
      <c r="I2844" s="42" t="str">
        <f t="shared" si="40"/>
        <v/>
      </c>
    </row>
    <row r="2845" spans="2:9" x14ac:dyDescent="0.25">
      <c r="B2845" s="39"/>
      <c r="C2845" s="40"/>
      <c r="D2845" s="40"/>
      <c r="F2845" s="40"/>
      <c r="G2845" s="40"/>
      <c r="H2845" s="42"/>
      <c r="I2845" s="42" t="str">
        <f t="shared" si="40"/>
        <v/>
      </c>
    </row>
    <row r="2846" spans="2:9" x14ac:dyDescent="0.25">
      <c r="B2846" s="39"/>
      <c r="C2846" s="40"/>
      <c r="D2846" s="40"/>
      <c r="F2846" s="40"/>
      <c r="G2846" s="40"/>
      <c r="H2846" s="42"/>
      <c r="I2846" s="42" t="str">
        <f t="shared" si="40"/>
        <v/>
      </c>
    </row>
    <row r="2847" spans="2:9" x14ac:dyDescent="0.25">
      <c r="B2847" s="39"/>
      <c r="C2847" s="40"/>
      <c r="D2847" s="40"/>
      <c r="F2847" s="40"/>
      <c r="G2847" s="40"/>
      <c r="H2847" s="42"/>
      <c r="I2847" s="42" t="str">
        <f t="shared" si="40"/>
        <v/>
      </c>
    </row>
    <row r="2848" spans="2:9" x14ac:dyDescent="0.25">
      <c r="B2848" s="39"/>
      <c r="C2848" s="40"/>
      <c r="D2848" s="40"/>
      <c r="F2848" s="40"/>
      <c r="G2848" s="40"/>
      <c r="H2848" s="42"/>
      <c r="I2848" s="42" t="str">
        <f t="shared" si="40"/>
        <v/>
      </c>
    </row>
    <row r="2849" spans="2:9" x14ac:dyDescent="0.25">
      <c r="B2849" s="39"/>
      <c r="C2849" s="40"/>
      <c r="D2849" s="40"/>
      <c r="F2849" s="40"/>
      <c r="G2849" s="40"/>
      <c r="H2849" s="42"/>
      <c r="I2849" s="42" t="str">
        <f t="shared" si="40"/>
        <v/>
      </c>
    </row>
    <row r="2850" spans="2:9" x14ac:dyDescent="0.25">
      <c r="B2850" s="39"/>
      <c r="C2850" s="40"/>
      <c r="D2850" s="40"/>
      <c r="F2850" s="40"/>
      <c r="G2850" s="40"/>
      <c r="H2850" s="42"/>
      <c r="I2850" s="42" t="str">
        <f t="shared" si="40"/>
        <v/>
      </c>
    </row>
    <row r="2851" spans="2:9" x14ac:dyDescent="0.25">
      <c r="B2851" s="39"/>
      <c r="C2851" s="40"/>
      <c r="D2851" s="40"/>
      <c r="F2851" s="40"/>
      <c r="G2851" s="40"/>
      <c r="H2851" s="42"/>
      <c r="I2851" s="42" t="str">
        <f t="shared" si="40"/>
        <v/>
      </c>
    </row>
    <row r="2852" spans="2:9" x14ac:dyDescent="0.25">
      <c r="B2852" s="39"/>
      <c r="C2852" s="40"/>
      <c r="D2852" s="40"/>
      <c r="F2852" s="40"/>
      <c r="G2852" s="40"/>
      <c r="H2852" s="42"/>
      <c r="I2852" s="42" t="str">
        <f t="shared" si="40"/>
        <v/>
      </c>
    </row>
    <row r="2853" spans="2:9" x14ac:dyDescent="0.25">
      <c r="B2853" s="39"/>
      <c r="C2853" s="40"/>
      <c r="D2853" s="40"/>
      <c r="F2853" s="40"/>
      <c r="G2853" s="40"/>
      <c r="H2853" s="42"/>
      <c r="I2853" s="42" t="str">
        <f t="shared" si="40"/>
        <v/>
      </c>
    </row>
    <row r="2854" spans="2:9" x14ac:dyDescent="0.25">
      <c r="B2854" s="39"/>
      <c r="C2854" s="40"/>
      <c r="D2854" s="40"/>
      <c r="F2854" s="40"/>
      <c r="G2854" s="40"/>
      <c r="H2854" s="42"/>
      <c r="I2854" s="42" t="str">
        <f t="shared" si="40"/>
        <v/>
      </c>
    </row>
    <row r="2855" spans="2:9" x14ac:dyDescent="0.25">
      <c r="B2855" s="39"/>
      <c r="C2855" s="40"/>
      <c r="D2855" s="40"/>
      <c r="F2855" s="40"/>
      <c r="G2855" s="40"/>
      <c r="H2855" s="42"/>
      <c r="I2855" s="42" t="str">
        <f t="shared" si="40"/>
        <v/>
      </c>
    </row>
    <row r="2856" spans="2:9" x14ac:dyDescent="0.25">
      <c r="B2856" s="39"/>
      <c r="C2856" s="40"/>
      <c r="D2856" s="40"/>
      <c r="F2856" s="40"/>
      <c r="G2856" s="40"/>
      <c r="H2856" s="42"/>
      <c r="I2856" s="42" t="str">
        <f t="shared" si="40"/>
        <v/>
      </c>
    </row>
    <row r="2857" spans="2:9" x14ac:dyDescent="0.25">
      <c r="B2857" s="39"/>
      <c r="C2857" s="40"/>
      <c r="D2857" s="40"/>
      <c r="F2857" s="40"/>
      <c r="G2857" s="40"/>
      <c r="H2857" s="42"/>
      <c r="I2857" s="42" t="str">
        <f t="shared" si="40"/>
        <v/>
      </c>
    </row>
    <row r="2858" spans="2:9" x14ac:dyDescent="0.25">
      <c r="B2858" s="39"/>
      <c r="C2858" s="40"/>
      <c r="D2858" s="40"/>
      <c r="F2858" s="40"/>
      <c r="G2858" s="40"/>
      <c r="H2858" s="42"/>
      <c r="I2858" s="42" t="str">
        <f t="shared" si="40"/>
        <v/>
      </c>
    </row>
    <row r="2859" spans="2:9" x14ac:dyDescent="0.25">
      <c r="B2859" s="39"/>
      <c r="C2859" s="40"/>
      <c r="D2859" s="40"/>
      <c r="F2859" s="40"/>
      <c r="G2859" s="40"/>
      <c r="H2859" s="42"/>
      <c r="I2859" s="42" t="str">
        <f t="shared" si="40"/>
        <v/>
      </c>
    </row>
    <row r="2860" spans="2:9" x14ac:dyDescent="0.25">
      <c r="B2860" s="39"/>
      <c r="C2860" s="40"/>
      <c r="D2860" s="40"/>
      <c r="F2860" s="40"/>
      <c r="G2860" s="40"/>
      <c r="H2860" s="42"/>
      <c r="I2860" s="42" t="str">
        <f t="shared" si="40"/>
        <v/>
      </c>
    </row>
    <row r="2861" spans="2:9" x14ac:dyDescent="0.25">
      <c r="B2861" s="39"/>
      <c r="C2861" s="40"/>
      <c r="D2861" s="40"/>
      <c r="F2861" s="40"/>
      <c r="G2861" s="40"/>
      <c r="H2861" s="42"/>
      <c r="I2861" s="42" t="str">
        <f t="shared" si="40"/>
        <v/>
      </c>
    </row>
    <row r="2862" spans="2:9" x14ac:dyDescent="0.25">
      <c r="B2862" s="39"/>
      <c r="C2862" s="40"/>
      <c r="D2862" s="40"/>
      <c r="F2862" s="40"/>
      <c r="G2862" s="40"/>
      <c r="H2862" s="42"/>
      <c r="I2862" s="42" t="str">
        <f t="shared" si="40"/>
        <v/>
      </c>
    </row>
    <row r="2863" spans="2:9" x14ac:dyDescent="0.25">
      <c r="B2863" s="39"/>
      <c r="C2863" s="40"/>
      <c r="D2863" s="40"/>
      <c r="F2863" s="40"/>
      <c r="G2863" s="40"/>
      <c r="H2863" s="42"/>
      <c r="I2863" s="42" t="str">
        <f t="shared" si="40"/>
        <v/>
      </c>
    </row>
    <row r="2864" spans="2:9" x14ac:dyDescent="0.25">
      <c r="B2864" s="39"/>
      <c r="C2864" s="40"/>
      <c r="D2864" s="40"/>
      <c r="F2864" s="40"/>
      <c r="G2864" s="40"/>
      <c r="H2864" s="42"/>
      <c r="I2864" s="42" t="str">
        <f t="shared" si="40"/>
        <v/>
      </c>
    </row>
    <row r="2865" spans="2:9" x14ac:dyDescent="0.25">
      <c r="B2865" s="39"/>
      <c r="C2865" s="40"/>
      <c r="D2865" s="40"/>
      <c r="F2865" s="40"/>
      <c r="G2865" s="40"/>
      <c r="H2865" s="42"/>
      <c r="I2865" s="42" t="str">
        <f t="shared" si="40"/>
        <v/>
      </c>
    </row>
    <row r="2866" spans="2:9" x14ac:dyDescent="0.25">
      <c r="B2866" s="39"/>
      <c r="C2866" s="40"/>
      <c r="D2866" s="40"/>
      <c r="F2866" s="40"/>
      <c r="G2866" s="40"/>
      <c r="H2866" s="42"/>
      <c r="I2866" s="42" t="str">
        <f t="shared" si="40"/>
        <v/>
      </c>
    </row>
    <row r="2867" spans="2:9" x14ac:dyDescent="0.25">
      <c r="B2867" s="39"/>
      <c r="C2867" s="40"/>
      <c r="D2867" s="40"/>
      <c r="F2867" s="40"/>
      <c r="G2867" s="40"/>
      <c r="H2867" s="42"/>
      <c r="I2867" s="42" t="str">
        <f t="shared" si="40"/>
        <v/>
      </c>
    </row>
    <row r="2868" spans="2:9" x14ac:dyDescent="0.25">
      <c r="B2868" s="39"/>
      <c r="C2868" s="40"/>
      <c r="D2868" s="40"/>
      <c r="F2868" s="40"/>
      <c r="G2868" s="40"/>
      <c r="H2868" s="42"/>
      <c r="I2868" s="42" t="str">
        <f t="shared" si="40"/>
        <v/>
      </c>
    </row>
    <row r="2869" spans="2:9" x14ac:dyDescent="0.25">
      <c r="B2869" s="39"/>
      <c r="C2869" s="40"/>
      <c r="D2869" s="40"/>
      <c r="F2869" s="40"/>
      <c r="G2869" s="40"/>
      <c r="H2869" s="42"/>
      <c r="I2869" s="42" t="str">
        <f t="shared" si="40"/>
        <v/>
      </c>
    </row>
    <row r="2870" spans="2:9" x14ac:dyDescent="0.25">
      <c r="B2870" s="39"/>
      <c r="C2870" s="40"/>
      <c r="D2870" s="40"/>
      <c r="F2870" s="40"/>
      <c r="G2870" s="40"/>
      <c r="H2870" s="42"/>
      <c r="I2870" s="42" t="str">
        <f t="shared" si="40"/>
        <v/>
      </c>
    </row>
    <row r="2871" spans="2:9" x14ac:dyDescent="0.25">
      <c r="B2871" s="39"/>
      <c r="C2871" s="40"/>
      <c r="D2871" s="40"/>
      <c r="F2871" s="40"/>
      <c r="G2871" s="40"/>
      <c r="H2871" s="42"/>
      <c r="I2871" s="42" t="str">
        <f t="shared" si="40"/>
        <v/>
      </c>
    </row>
    <row r="2872" spans="2:9" x14ac:dyDescent="0.25">
      <c r="B2872" s="39"/>
      <c r="C2872" s="40"/>
      <c r="D2872" s="40"/>
      <c r="F2872" s="40"/>
      <c r="G2872" s="40"/>
      <c r="H2872" s="42"/>
      <c r="I2872" s="42" t="str">
        <f t="shared" si="40"/>
        <v/>
      </c>
    </row>
    <row r="2873" spans="2:9" x14ac:dyDescent="0.25">
      <c r="B2873" s="39"/>
      <c r="C2873" s="40"/>
      <c r="D2873" s="40"/>
      <c r="F2873" s="40"/>
      <c r="G2873" s="40"/>
      <c r="H2873" s="42"/>
      <c r="I2873" s="42" t="str">
        <f t="shared" si="40"/>
        <v/>
      </c>
    </row>
    <row r="2874" spans="2:9" x14ac:dyDescent="0.25">
      <c r="B2874" s="39"/>
      <c r="C2874" s="40"/>
      <c r="D2874" s="40"/>
      <c r="F2874" s="40"/>
      <c r="G2874" s="40"/>
      <c r="H2874" s="42"/>
      <c r="I2874" s="42" t="str">
        <f t="shared" si="40"/>
        <v/>
      </c>
    </row>
    <row r="2875" spans="2:9" x14ac:dyDescent="0.25">
      <c r="B2875" s="39"/>
      <c r="C2875" s="40"/>
      <c r="D2875" s="40"/>
      <c r="F2875" s="40"/>
      <c r="G2875" s="40"/>
      <c r="H2875" s="42"/>
      <c r="I2875" s="42" t="str">
        <f t="shared" si="40"/>
        <v/>
      </c>
    </row>
    <row r="2876" spans="2:9" x14ac:dyDescent="0.25">
      <c r="B2876" s="39"/>
      <c r="C2876" s="40"/>
      <c r="D2876" s="40"/>
      <c r="F2876" s="40"/>
      <c r="G2876" s="40"/>
      <c r="H2876" s="42"/>
      <c r="I2876" s="42" t="str">
        <f t="shared" si="40"/>
        <v/>
      </c>
    </row>
    <row r="2877" spans="2:9" x14ac:dyDescent="0.25">
      <c r="B2877" s="39"/>
      <c r="C2877" s="40"/>
      <c r="D2877" s="40"/>
      <c r="F2877" s="40"/>
      <c r="G2877" s="40"/>
      <c r="H2877" s="42"/>
      <c r="I2877" s="42" t="str">
        <f t="shared" si="40"/>
        <v/>
      </c>
    </row>
    <row r="2878" spans="2:9" x14ac:dyDescent="0.25">
      <c r="B2878" s="39"/>
      <c r="C2878" s="40"/>
      <c r="D2878" s="40"/>
      <c r="F2878" s="40"/>
      <c r="G2878" s="40"/>
      <c r="H2878" s="42"/>
      <c r="I2878" s="42" t="str">
        <f t="shared" si="40"/>
        <v/>
      </c>
    </row>
    <row r="2879" spans="2:9" x14ac:dyDescent="0.25">
      <c r="B2879" s="39"/>
      <c r="C2879" s="40"/>
      <c r="D2879" s="40"/>
      <c r="F2879" s="40"/>
      <c r="G2879" s="40"/>
      <c r="H2879" s="42"/>
      <c r="I2879" s="42" t="str">
        <f t="shared" si="40"/>
        <v/>
      </c>
    </row>
    <row r="2880" spans="2:9" x14ac:dyDescent="0.25">
      <c r="B2880" s="39"/>
      <c r="C2880" s="40"/>
      <c r="D2880" s="40"/>
      <c r="F2880" s="40"/>
      <c r="G2880" s="40"/>
      <c r="H2880" s="42"/>
      <c r="I2880" s="42" t="str">
        <f t="shared" ref="I2880:I2943" si="41">IF(H2880&lt;&gt;"",H2880-H2879,"")</f>
        <v/>
      </c>
    </row>
    <row r="2881" spans="2:9" x14ac:dyDescent="0.25">
      <c r="B2881" s="39"/>
      <c r="C2881" s="40"/>
      <c r="D2881" s="40"/>
      <c r="F2881" s="40"/>
      <c r="G2881" s="40"/>
      <c r="H2881" s="42"/>
      <c r="I2881" s="42" t="str">
        <f t="shared" si="41"/>
        <v/>
      </c>
    </row>
    <row r="2882" spans="2:9" x14ac:dyDescent="0.25">
      <c r="B2882" s="39"/>
      <c r="C2882" s="40"/>
      <c r="D2882" s="40"/>
      <c r="F2882" s="40"/>
      <c r="G2882" s="40"/>
      <c r="H2882" s="42"/>
      <c r="I2882" s="42" t="str">
        <f t="shared" si="41"/>
        <v/>
      </c>
    </row>
    <row r="2883" spans="2:9" x14ac:dyDescent="0.25">
      <c r="B2883" s="39"/>
      <c r="C2883" s="40"/>
      <c r="D2883" s="40"/>
      <c r="F2883" s="40"/>
      <c r="G2883" s="40"/>
      <c r="H2883" s="42"/>
      <c r="I2883" s="42" t="str">
        <f t="shared" si="41"/>
        <v/>
      </c>
    </row>
    <row r="2884" spans="2:9" x14ac:dyDescent="0.25">
      <c r="B2884" s="39"/>
      <c r="C2884" s="40"/>
      <c r="D2884" s="40"/>
      <c r="F2884" s="40"/>
      <c r="G2884" s="40"/>
      <c r="H2884" s="42"/>
      <c r="I2884" s="42" t="str">
        <f t="shared" si="41"/>
        <v/>
      </c>
    </row>
    <row r="2885" spans="2:9" x14ac:dyDescent="0.25">
      <c r="B2885" s="39"/>
      <c r="C2885" s="40"/>
      <c r="D2885" s="40"/>
      <c r="F2885" s="40"/>
      <c r="G2885" s="40"/>
      <c r="H2885" s="42"/>
      <c r="I2885" s="42" t="str">
        <f t="shared" si="41"/>
        <v/>
      </c>
    </row>
    <row r="2886" spans="2:9" x14ac:dyDescent="0.25">
      <c r="B2886" s="39"/>
      <c r="C2886" s="40"/>
      <c r="D2886" s="40"/>
      <c r="F2886" s="40"/>
      <c r="G2886" s="40"/>
      <c r="H2886" s="42"/>
      <c r="I2886" s="42" t="str">
        <f t="shared" si="41"/>
        <v/>
      </c>
    </row>
    <row r="2887" spans="2:9" x14ac:dyDescent="0.25">
      <c r="B2887" s="39"/>
      <c r="C2887" s="40"/>
      <c r="D2887" s="40"/>
      <c r="F2887" s="40"/>
      <c r="G2887" s="40"/>
      <c r="H2887" s="42"/>
      <c r="I2887" s="42" t="str">
        <f t="shared" si="41"/>
        <v/>
      </c>
    </row>
    <row r="2888" spans="2:9" x14ac:dyDescent="0.25">
      <c r="B2888" s="39"/>
      <c r="C2888" s="40"/>
      <c r="D2888" s="40"/>
      <c r="F2888" s="40"/>
      <c r="G2888" s="40"/>
      <c r="H2888" s="42"/>
      <c r="I2888" s="42" t="str">
        <f t="shared" si="41"/>
        <v/>
      </c>
    </row>
    <row r="2889" spans="2:9" x14ac:dyDescent="0.25">
      <c r="B2889" s="39"/>
      <c r="C2889" s="40"/>
      <c r="D2889" s="40"/>
      <c r="F2889" s="40"/>
      <c r="G2889" s="40"/>
      <c r="H2889" s="42"/>
      <c r="I2889" s="42" t="str">
        <f t="shared" si="41"/>
        <v/>
      </c>
    </row>
    <row r="2890" spans="2:9" x14ac:dyDescent="0.25">
      <c r="B2890" s="39"/>
      <c r="C2890" s="40"/>
      <c r="D2890" s="40"/>
      <c r="F2890" s="40"/>
      <c r="G2890" s="40"/>
      <c r="H2890" s="42"/>
      <c r="I2890" s="42" t="str">
        <f t="shared" si="41"/>
        <v/>
      </c>
    </row>
    <row r="2891" spans="2:9" x14ac:dyDescent="0.25">
      <c r="B2891" s="39"/>
      <c r="C2891" s="40"/>
      <c r="D2891" s="40"/>
      <c r="F2891" s="40"/>
      <c r="G2891" s="40"/>
      <c r="H2891" s="42"/>
      <c r="I2891" s="42" t="str">
        <f t="shared" si="41"/>
        <v/>
      </c>
    </row>
    <row r="2892" spans="2:9" x14ac:dyDescent="0.25">
      <c r="B2892" s="39"/>
      <c r="C2892" s="40"/>
      <c r="D2892" s="40"/>
      <c r="F2892" s="40"/>
      <c r="G2892" s="40"/>
      <c r="H2892" s="42"/>
      <c r="I2892" s="42" t="str">
        <f t="shared" si="41"/>
        <v/>
      </c>
    </row>
    <row r="2893" spans="2:9" x14ac:dyDescent="0.25">
      <c r="B2893" s="39"/>
      <c r="C2893" s="40"/>
      <c r="D2893" s="40"/>
      <c r="F2893" s="40"/>
      <c r="G2893" s="40"/>
      <c r="H2893" s="42"/>
      <c r="I2893" s="42" t="str">
        <f t="shared" si="41"/>
        <v/>
      </c>
    </row>
    <row r="2894" spans="2:9" x14ac:dyDescent="0.25">
      <c r="B2894" s="39"/>
      <c r="C2894" s="40"/>
      <c r="D2894" s="40"/>
      <c r="F2894" s="40"/>
      <c r="G2894" s="40"/>
      <c r="H2894" s="42"/>
      <c r="I2894" s="42" t="str">
        <f t="shared" si="41"/>
        <v/>
      </c>
    </row>
    <row r="2895" spans="2:9" x14ac:dyDescent="0.25">
      <c r="B2895" s="39"/>
      <c r="C2895" s="40"/>
      <c r="D2895" s="40"/>
      <c r="F2895" s="40"/>
      <c r="G2895" s="40"/>
      <c r="H2895" s="42"/>
      <c r="I2895" s="42" t="str">
        <f t="shared" si="41"/>
        <v/>
      </c>
    </row>
    <row r="2896" spans="2:9" x14ac:dyDescent="0.25">
      <c r="B2896" s="39"/>
      <c r="C2896" s="40"/>
      <c r="D2896" s="40"/>
      <c r="F2896" s="40"/>
      <c r="G2896" s="40"/>
      <c r="H2896" s="42"/>
      <c r="I2896" s="42" t="str">
        <f t="shared" si="41"/>
        <v/>
      </c>
    </row>
    <row r="2897" spans="2:9" x14ac:dyDescent="0.25">
      <c r="B2897" s="39"/>
      <c r="C2897" s="40"/>
      <c r="D2897" s="40"/>
      <c r="F2897" s="40"/>
      <c r="G2897" s="40"/>
      <c r="H2897" s="42"/>
      <c r="I2897" s="42" t="str">
        <f t="shared" si="41"/>
        <v/>
      </c>
    </row>
    <row r="2898" spans="2:9" x14ac:dyDescent="0.25">
      <c r="B2898" s="39"/>
      <c r="C2898" s="40"/>
      <c r="D2898" s="40"/>
      <c r="F2898" s="40"/>
      <c r="G2898" s="40"/>
      <c r="H2898" s="42"/>
      <c r="I2898" s="42" t="str">
        <f t="shared" si="41"/>
        <v/>
      </c>
    </row>
    <row r="2899" spans="2:9" x14ac:dyDescent="0.25">
      <c r="B2899" s="39"/>
      <c r="C2899" s="40"/>
      <c r="D2899" s="40"/>
      <c r="F2899" s="40"/>
      <c r="G2899" s="40"/>
      <c r="H2899" s="42"/>
      <c r="I2899" s="42" t="str">
        <f t="shared" si="41"/>
        <v/>
      </c>
    </row>
    <row r="2900" spans="2:9" x14ac:dyDescent="0.25">
      <c r="B2900" s="39"/>
      <c r="C2900" s="40"/>
      <c r="D2900" s="40"/>
      <c r="F2900" s="40"/>
      <c r="G2900" s="40"/>
      <c r="H2900" s="42"/>
      <c r="I2900" s="42" t="str">
        <f t="shared" si="41"/>
        <v/>
      </c>
    </row>
    <row r="2901" spans="2:9" x14ac:dyDescent="0.25">
      <c r="B2901" s="39"/>
      <c r="C2901" s="40"/>
      <c r="D2901" s="40"/>
      <c r="F2901" s="40"/>
      <c r="G2901" s="40"/>
      <c r="H2901" s="42"/>
      <c r="I2901" s="42" t="str">
        <f t="shared" si="41"/>
        <v/>
      </c>
    </row>
    <row r="2902" spans="2:9" x14ac:dyDescent="0.25">
      <c r="B2902" s="39"/>
      <c r="C2902" s="40"/>
      <c r="D2902" s="40"/>
      <c r="F2902" s="40"/>
      <c r="G2902" s="40"/>
      <c r="H2902" s="42"/>
      <c r="I2902" s="42" t="str">
        <f t="shared" si="41"/>
        <v/>
      </c>
    </row>
    <row r="2903" spans="2:9" x14ac:dyDescent="0.25">
      <c r="B2903" s="39"/>
      <c r="C2903" s="40"/>
      <c r="D2903" s="40"/>
      <c r="F2903" s="40"/>
      <c r="G2903" s="40"/>
      <c r="H2903" s="42"/>
      <c r="I2903" s="42" t="str">
        <f t="shared" si="41"/>
        <v/>
      </c>
    </row>
    <row r="2904" spans="2:9" x14ac:dyDescent="0.25">
      <c r="B2904" s="39"/>
      <c r="C2904" s="40"/>
      <c r="D2904" s="40"/>
      <c r="F2904" s="40"/>
      <c r="G2904" s="40"/>
      <c r="H2904" s="42"/>
      <c r="I2904" s="42" t="str">
        <f t="shared" si="41"/>
        <v/>
      </c>
    </row>
    <row r="2905" spans="2:9" x14ac:dyDescent="0.25">
      <c r="B2905" s="39"/>
      <c r="C2905" s="40"/>
      <c r="D2905" s="40"/>
      <c r="F2905" s="40"/>
      <c r="G2905" s="40"/>
      <c r="H2905" s="42"/>
      <c r="I2905" s="42" t="str">
        <f t="shared" si="41"/>
        <v/>
      </c>
    </row>
    <row r="2906" spans="2:9" x14ac:dyDescent="0.25">
      <c r="B2906" s="39"/>
      <c r="C2906" s="40"/>
      <c r="D2906" s="40"/>
      <c r="F2906" s="40"/>
      <c r="G2906" s="40"/>
      <c r="H2906" s="42"/>
      <c r="I2906" s="42" t="str">
        <f t="shared" si="41"/>
        <v/>
      </c>
    </row>
    <row r="2907" spans="2:9" x14ac:dyDescent="0.25">
      <c r="B2907" s="39"/>
      <c r="C2907" s="40"/>
      <c r="D2907" s="40"/>
      <c r="F2907" s="40"/>
      <c r="G2907" s="40"/>
      <c r="H2907" s="42"/>
      <c r="I2907" s="42" t="str">
        <f t="shared" si="41"/>
        <v/>
      </c>
    </row>
    <row r="2908" spans="2:9" x14ac:dyDescent="0.25">
      <c r="B2908" s="39"/>
      <c r="C2908" s="40"/>
      <c r="D2908" s="40"/>
      <c r="F2908" s="40"/>
      <c r="G2908" s="40"/>
      <c r="H2908" s="42"/>
      <c r="I2908" s="42" t="str">
        <f t="shared" si="41"/>
        <v/>
      </c>
    </row>
    <row r="2909" spans="2:9" x14ac:dyDescent="0.25">
      <c r="B2909" s="39"/>
      <c r="C2909" s="40"/>
      <c r="D2909" s="40"/>
      <c r="F2909" s="40"/>
      <c r="G2909" s="40"/>
      <c r="H2909" s="42"/>
      <c r="I2909" s="42" t="str">
        <f t="shared" si="41"/>
        <v/>
      </c>
    </row>
    <row r="2910" spans="2:9" x14ac:dyDescent="0.25">
      <c r="B2910" s="39"/>
      <c r="C2910" s="40"/>
      <c r="D2910" s="40"/>
      <c r="F2910" s="40"/>
      <c r="G2910" s="40"/>
      <c r="H2910" s="42"/>
      <c r="I2910" s="42" t="str">
        <f t="shared" si="41"/>
        <v/>
      </c>
    </row>
    <row r="2911" spans="2:9" x14ac:dyDescent="0.25">
      <c r="B2911" s="39"/>
      <c r="C2911" s="40"/>
      <c r="D2911" s="40"/>
      <c r="F2911" s="40"/>
      <c r="G2911" s="40"/>
      <c r="H2911" s="42"/>
      <c r="I2911" s="42" t="str">
        <f t="shared" si="41"/>
        <v/>
      </c>
    </row>
    <row r="2912" spans="2:9" x14ac:dyDescent="0.25">
      <c r="B2912" s="39"/>
      <c r="C2912" s="40"/>
      <c r="D2912" s="40"/>
      <c r="F2912" s="40"/>
      <c r="G2912" s="40"/>
      <c r="H2912" s="42"/>
      <c r="I2912" s="42" t="str">
        <f t="shared" si="41"/>
        <v/>
      </c>
    </row>
    <row r="2913" spans="2:9" x14ac:dyDescent="0.25">
      <c r="B2913" s="39"/>
      <c r="C2913" s="40"/>
      <c r="D2913" s="40"/>
      <c r="F2913" s="40"/>
      <c r="G2913" s="40"/>
      <c r="H2913" s="42"/>
      <c r="I2913" s="42" t="str">
        <f t="shared" si="41"/>
        <v/>
      </c>
    </row>
    <row r="2914" spans="2:9" x14ac:dyDescent="0.25">
      <c r="B2914" s="39"/>
      <c r="C2914" s="40"/>
      <c r="D2914" s="40"/>
      <c r="F2914" s="40"/>
      <c r="G2914" s="40"/>
      <c r="H2914" s="42"/>
      <c r="I2914" s="42" t="str">
        <f t="shared" si="41"/>
        <v/>
      </c>
    </row>
    <row r="2915" spans="2:9" x14ac:dyDescent="0.25">
      <c r="B2915" s="39"/>
      <c r="C2915" s="40"/>
      <c r="D2915" s="40"/>
      <c r="F2915" s="40"/>
      <c r="G2915" s="40"/>
      <c r="H2915" s="42"/>
      <c r="I2915" s="42" t="str">
        <f t="shared" si="41"/>
        <v/>
      </c>
    </row>
    <row r="2916" spans="2:9" x14ac:dyDescent="0.25">
      <c r="B2916" s="39"/>
      <c r="C2916" s="40"/>
      <c r="D2916" s="40"/>
      <c r="F2916" s="40"/>
      <c r="G2916" s="40"/>
      <c r="H2916" s="42"/>
      <c r="I2916" s="42" t="str">
        <f t="shared" si="41"/>
        <v/>
      </c>
    </row>
    <row r="2917" spans="2:9" x14ac:dyDescent="0.25">
      <c r="B2917" s="39"/>
      <c r="C2917" s="40"/>
      <c r="D2917" s="40"/>
      <c r="F2917" s="40"/>
      <c r="G2917" s="40"/>
      <c r="H2917" s="42"/>
      <c r="I2917" s="42" t="str">
        <f t="shared" si="41"/>
        <v/>
      </c>
    </row>
    <row r="2918" spans="2:9" x14ac:dyDescent="0.25">
      <c r="B2918" s="39"/>
      <c r="C2918" s="40"/>
      <c r="D2918" s="40"/>
      <c r="F2918" s="40"/>
      <c r="G2918" s="40"/>
      <c r="H2918" s="42"/>
      <c r="I2918" s="42" t="str">
        <f t="shared" si="41"/>
        <v/>
      </c>
    </row>
    <row r="2919" spans="2:9" x14ac:dyDescent="0.25">
      <c r="B2919" s="39"/>
      <c r="C2919" s="40"/>
      <c r="D2919" s="40"/>
      <c r="F2919" s="40"/>
      <c r="G2919" s="40"/>
      <c r="H2919" s="42"/>
      <c r="I2919" s="42" t="str">
        <f t="shared" si="41"/>
        <v/>
      </c>
    </row>
    <row r="2920" spans="2:9" x14ac:dyDescent="0.25">
      <c r="B2920" s="39"/>
      <c r="C2920" s="40"/>
      <c r="D2920" s="40"/>
      <c r="F2920" s="40"/>
      <c r="G2920" s="40"/>
      <c r="H2920" s="42"/>
      <c r="I2920" s="42" t="str">
        <f t="shared" si="41"/>
        <v/>
      </c>
    </row>
    <row r="2921" spans="2:9" x14ac:dyDescent="0.25">
      <c r="B2921" s="39"/>
      <c r="C2921" s="40"/>
      <c r="D2921" s="40"/>
      <c r="F2921" s="40"/>
      <c r="G2921" s="40"/>
      <c r="H2921" s="42"/>
      <c r="I2921" s="42" t="str">
        <f t="shared" si="41"/>
        <v/>
      </c>
    </row>
    <row r="2922" spans="2:9" x14ac:dyDescent="0.25">
      <c r="B2922" s="39"/>
      <c r="C2922" s="40"/>
      <c r="D2922" s="40"/>
      <c r="F2922" s="40"/>
      <c r="G2922" s="40"/>
      <c r="H2922" s="42"/>
      <c r="I2922" s="42" t="str">
        <f t="shared" si="41"/>
        <v/>
      </c>
    </row>
    <row r="2923" spans="2:9" x14ac:dyDescent="0.25">
      <c r="B2923" s="39"/>
      <c r="C2923" s="40"/>
      <c r="D2923" s="40"/>
      <c r="F2923" s="40"/>
      <c r="G2923" s="40"/>
      <c r="H2923" s="42"/>
      <c r="I2923" s="42" t="str">
        <f t="shared" si="41"/>
        <v/>
      </c>
    </row>
    <row r="2924" spans="2:9" x14ac:dyDescent="0.25">
      <c r="B2924" s="39"/>
      <c r="C2924" s="40"/>
      <c r="D2924" s="40"/>
      <c r="F2924" s="40"/>
      <c r="G2924" s="40"/>
      <c r="H2924" s="42"/>
      <c r="I2924" s="42" t="str">
        <f t="shared" si="41"/>
        <v/>
      </c>
    </row>
    <row r="2925" spans="2:9" x14ac:dyDescent="0.25">
      <c r="B2925" s="39"/>
      <c r="C2925" s="40"/>
      <c r="D2925" s="40"/>
      <c r="F2925" s="40"/>
      <c r="G2925" s="40"/>
      <c r="H2925" s="42"/>
      <c r="I2925" s="42" t="str">
        <f t="shared" si="41"/>
        <v/>
      </c>
    </row>
    <row r="2926" spans="2:9" x14ac:dyDescent="0.25">
      <c r="B2926" s="39"/>
      <c r="C2926" s="40"/>
      <c r="D2926" s="40"/>
      <c r="F2926" s="40"/>
      <c r="G2926" s="40"/>
      <c r="H2926" s="42"/>
      <c r="I2926" s="42" t="str">
        <f t="shared" si="41"/>
        <v/>
      </c>
    </row>
    <row r="2927" spans="2:9" x14ac:dyDescent="0.25">
      <c r="B2927" s="39"/>
      <c r="C2927" s="40"/>
      <c r="D2927" s="40"/>
      <c r="F2927" s="40"/>
      <c r="G2927" s="40"/>
      <c r="H2927" s="42"/>
      <c r="I2927" s="42" t="str">
        <f t="shared" si="41"/>
        <v/>
      </c>
    </row>
    <row r="2928" spans="2:9" x14ac:dyDescent="0.25">
      <c r="B2928" s="39"/>
      <c r="C2928" s="40"/>
      <c r="D2928" s="40"/>
      <c r="F2928" s="40"/>
      <c r="G2928" s="40"/>
      <c r="H2928" s="42"/>
      <c r="I2928" s="42" t="str">
        <f t="shared" si="41"/>
        <v/>
      </c>
    </row>
    <row r="2929" spans="2:9" x14ac:dyDescent="0.25">
      <c r="B2929" s="39"/>
      <c r="C2929" s="40"/>
      <c r="D2929" s="40"/>
      <c r="F2929" s="40"/>
      <c r="G2929" s="40"/>
      <c r="H2929" s="42"/>
      <c r="I2929" s="42" t="str">
        <f t="shared" si="41"/>
        <v/>
      </c>
    </row>
    <row r="2930" spans="2:9" x14ac:dyDescent="0.25">
      <c r="B2930" s="39"/>
      <c r="C2930" s="40"/>
      <c r="D2930" s="40"/>
      <c r="F2930" s="40"/>
      <c r="G2930" s="40"/>
      <c r="H2930" s="42"/>
      <c r="I2930" s="42" t="str">
        <f t="shared" si="41"/>
        <v/>
      </c>
    </row>
    <row r="2931" spans="2:9" x14ac:dyDescent="0.25">
      <c r="B2931" s="39"/>
      <c r="C2931" s="40"/>
      <c r="D2931" s="40"/>
      <c r="F2931" s="40"/>
      <c r="G2931" s="40"/>
      <c r="H2931" s="42"/>
      <c r="I2931" s="42" t="str">
        <f t="shared" si="41"/>
        <v/>
      </c>
    </row>
    <row r="2932" spans="2:9" x14ac:dyDescent="0.25">
      <c r="B2932" s="39"/>
      <c r="C2932" s="40"/>
      <c r="D2932" s="40"/>
      <c r="F2932" s="40"/>
      <c r="G2932" s="40"/>
      <c r="H2932" s="42"/>
      <c r="I2932" s="42" t="str">
        <f t="shared" si="41"/>
        <v/>
      </c>
    </row>
    <row r="2933" spans="2:9" x14ac:dyDescent="0.25">
      <c r="B2933" s="39"/>
      <c r="C2933" s="40"/>
      <c r="D2933" s="40"/>
      <c r="F2933" s="40"/>
      <c r="G2933" s="40"/>
      <c r="H2933" s="42"/>
      <c r="I2933" s="42" t="str">
        <f t="shared" si="41"/>
        <v/>
      </c>
    </row>
    <row r="2934" spans="2:9" x14ac:dyDescent="0.25">
      <c r="B2934" s="39"/>
      <c r="C2934" s="40"/>
      <c r="D2934" s="40"/>
      <c r="F2934" s="40"/>
      <c r="G2934" s="40"/>
      <c r="H2934" s="42"/>
      <c r="I2934" s="42" t="str">
        <f t="shared" si="41"/>
        <v/>
      </c>
    </row>
    <row r="2935" spans="2:9" x14ac:dyDescent="0.25">
      <c r="B2935" s="39"/>
      <c r="C2935" s="40"/>
      <c r="D2935" s="40"/>
      <c r="F2935" s="40"/>
      <c r="G2935" s="40"/>
      <c r="H2935" s="42"/>
      <c r="I2935" s="42" t="str">
        <f t="shared" si="41"/>
        <v/>
      </c>
    </row>
    <row r="2936" spans="2:9" x14ac:dyDescent="0.25">
      <c r="B2936" s="39"/>
      <c r="C2936" s="40"/>
      <c r="D2936" s="40"/>
      <c r="F2936" s="40"/>
      <c r="G2936" s="40"/>
      <c r="H2936" s="42"/>
      <c r="I2936" s="42" t="str">
        <f t="shared" si="41"/>
        <v/>
      </c>
    </row>
    <row r="2937" spans="2:9" x14ac:dyDescent="0.25">
      <c r="B2937" s="39"/>
      <c r="C2937" s="40"/>
      <c r="D2937" s="40"/>
      <c r="F2937" s="40"/>
      <c r="G2937" s="40"/>
      <c r="H2937" s="42"/>
      <c r="I2937" s="42" t="str">
        <f t="shared" si="41"/>
        <v/>
      </c>
    </row>
    <row r="2938" spans="2:9" x14ac:dyDescent="0.25">
      <c r="B2938" s="39"/>
      <c r="C2938" s="40"/>
      <c r="D2938" s="40"/>
      <c r="F2938" s="40"/>
      <c r="G2938" s="40"/>
      <c r="H2938" s="42"/>
      <c r="I2938" s="42" t="str">
        <f t="shared" si="41"/>
        <v/>
      </c>
    </row>
    <row r="2939" spans="2:9" x14ac:dyDescent="0.25">
      <c r="B2939" s="39"/>
      <c r="C2939" s="40"/>
      <c r="D2939" s="40"/>
      <c r="F2939" s="40"/>
      <c r="G2939" s="40"/>
      <c r="H2939" s="42"/>
      <c r="I2939" s="42" t="str">
        <f t="shared" si="41"/>
        <v/>
      </c>
    </row>
    <row r="2940" spans="2:9" x14ac:dyDescent="0.25">
      <c r="B2940" s="39"/>
      <c r="C2940" s="40"/>
      <c r="D2940" s="40"/>
      <c r="F2940" s="40"/>
      <c r="G2940" s="40"/>
      <c r="H2940" s="42"/>
      <c r="I2940" s="42" t="str">
        <f t="shared" si="41"/>
        <v/>
      </c>
    </row>
    <row r="2941" spans="2:9" x14ac:dyDescent="0.25">
      <c r="B2941" s="39"/>
      <c r="C2941" s="40"/>
      <c r="D2941" s="40"/>
      <c r="F2941" s="40"/>
      <c r="G2941" s="40"/>
      <c r="H2941" s="42"/>
      <c r="I2941" s="42" t="str">
        <f t="shared" si="41"/>
        <v/>
      </c>
    </row>
    <row r="2942" spans="2:9" x14ac:dyDescent="0.25">
      <c r="B2942" s="39"/>
      <c r="C2942" s="40"/>
      <c r="D2942" s="40"/>
      <c r="F2942" s="40"/>
      <c r="G2942" s="40"/>
      <c r="H2942" s="42"/>
      <c r="I2942" s="42" t="str">
        <f t="shared" si="41"/>
        <v/>
      </c>
    </row>
    <row r="2943" spans="2:9" x14ac:dyDescent="0.25">
      <c r="B2943" s="39"/>
      <c r="C2943" s="40"/>
      <c r="D2943" s="40"/>
      <c r="F2943" s="40"/>
      <c r="G2943" s="40"/>
      <c r="H2943" s="42"/>
      <c r="I2943" s="42" t="str">
        <f t="shared" si="41"/>
        <v/>
      </c>
    </row>
    <row r="2944" spans="2:9" x14ac:dyDescent="0.25">
      <c r="B2944" s="39"/>
      <c r="C2944" s="40"/>
      <c r="D2944" s="40"/>
      <c r="F2944" s="40"/>
      <c r="G2944" s="40"/>
      <c r="H2944" s="42"/>
      <c r="I2944" s="42" t="str">
        <f t="shared" ref="I2944:I3007" si="42">IF(H2944&lt;&gt;"",H2944-H2943,"")</f>
        <v/>
      </c>
    </row>
    <row r="2945" spans="2:9" x14ac:dyDescent="0.25">
      <c r="B2945" s="39"/>
      <c r="C2945" s="40"/>
      <c r="D2945" s="40"/>
      <c r="F2945" s="40"/>
      <c r="G2945" s="40"/>
      <c r="H2945" s="42"/>
      <c r="I2945" s="42" t="str">
        <f t="shared" si="42"/>
        <v/>
      </c>
    </row>
    <row r="2946" spans="2:9" x14ac:dyDescent="0.25">
      <c r="B2946" s="39"/>
      <c r="C2946" s="40"/>
      <c r="D2946" s="40"/>
      <c r="F2946" s="40"/>
      <c r="G2946" s="40"/>
      <c r="H2946" s="42"/>
      <c r="I2946" s="42" t="str">
        <f t="shared" si="42"/>
        <v/>
      </c>
    </row>
    <row r="2947" spans="2:9" x14ac:dyDescent="0.25">
      <c r="B2947" s="39"/>
      <c r="C2947" s="40"/>
      <c r="D2947" s="40"/>
      <c r="F2947" s="40"/>
      <c r="G2947" s="40"/>
      <c r="H2947" s="42"/>
      <c r="I2947" s="42" t="str">
        <f t="shared" si="42"/>
        <v/>
      </c>
    </row>
    <row r="2948" spans="2:9" x14ac:dyDescent="0.25">
      <c r="B2948" s="39"/>
      <c r="C2948" s="40"/>
      <c r="D2948" s="40"/>
      <c r="F2948" s="40"/>
      <c r="G2948" s="40"/>
      <c r="H2948" s="42"/>
      <c r="I2948" s="42" t="str">
        <f t="shared" si="42"/>
        <v/>
      </c>
    </row>
    <row r="2949" spans="2:9" x14ac:dyDescent="0.25">
      <c r="B2949" s="39"/>
      <c r="C2949" s="40"/>
      <c r="D2949" s="40"/>
      <c r="F2949" s="40"/>
      <c r="G2949" s="40"/>
      <c r="H2949" s="42"/>
      <c r="I2949" s="42" t="str">
        <f t="shared" si="42"/>
        <v/>
      </c>
    </row>
    <row r="2950" spans="2:9" x14ac:dyDescent="0.25">
      <c r="B2950" s="39"/>
      <c r="C2950" s="40"/>
      <c r="D2950" s="40"/>
      <c r="F2950" s="40"/>
      <c r="G2950" s="40"/>
      <c r="H2950" s="42"/>
      <c r="I2950" s="42" t="str">
        <f t="shared" si="42"/>
        <v/>
      </c>
    </row>
    <row r="2951" spans="2:9" x14ac:dyDescent="0.25">
      <c r="B2951" s="39"/>
      <c r="C2951" s="40"/>
      <c r="D2951" s="40"/>
      <c r="F2951" s="40"/>
      <c r="G2951" s="40"/>
      <c r="H2951" s="42"/>
      <c r="I2951" s="42" t="str">
        <f t="shared" si="42"/>
        <v/>
      </c>
    </row>
    <row r="2952" spans="2:9" x14ac:dyDescent="0.25">
      <c r="B2952" s="39"/>
      <c r="C2952" s="40"/>
      <c r="D2952" s="40"/>
      <c r="F2952" s="40"/>
      <c r="G2952" s="40"/>
      <c r="H2952" s="42"/>
      <c r="I2952" s="42" t="str">
        <f t="shared" si="42"/>
        <v/>
      </c>
    </row>
    <row r="2953" spans="2:9" x14ac:dyDescent="0.25">
      <c r="B2953" s="39"/>
      <c r="C2953" s="40"/>
      <c r="D2953" s="40"/>
      <c r="F2953" s="40"/>
      <c r="G2953" s="40"/>
      <c r="H2953" s="42"/>
      <c r="I2953" s="42" t="str">
        <f t="shared" si="42"/>
        <v/>
      </c>
    </row>
    <row r="2954" spans="2:9" x14ac:dyDescent="0.25">
      <c r="B2954" s="39"/>
      <c r="C2954" s="40"/>
      <c r="D2954" s="40"/>
      <c r="F2954" s="40"/>
      <c r="G2954" s="40"/>
      <c r="H2954" s="42"/>
      <c r="I2954" s="42" t="str">
        <f t="shared" si="42"/>
        <v/>
      </c>
    </row>
    <row r="2955" spans="2:9" x14ac:dyDescent="0.25">
      <c r="B2955" s="39"/>
      <c r="C2955" s="40"/>
      <c r="D2955" s="40"/>
      <c r="F2955" s="40"/>
      <c r="G2955" s="40"/>
      <c r="H2955" s="42"/>
      <c r="I2955" s="42" t="str">
        <f t="shared" si="42"/>
        <v/>
      </c>
    </row>
    <row r="2956" spans="2:9" x14ac:dyDescent="0.25">
      <c r="B2956" s="39"/>
      <c r="C2956" s="40"/>
      <c r="D2956" s="40"/>
      <c r="F2956" s="40"/>
      <c r="G2956" s="40"/>
      <c r="H2956" s="42"/>
      <c r="I2956" s="42" t="str">
        <f t="shared" si="42"/>
        <v/>
      </c>
    </row>
    <row r="2957" spans="2:9" x14ac:dyDescent="0.25">
      <c r="B2957" s="39"/>
      <c r="C2957" s="40"/>
      <c r="D2957" s="40"/>
      <c r="F2957" s="40"/>
      <c r="G2957" s="40"/>
      <c r="H2957" s="42"/>
      <c r="I2957" s="42" t="str">
        <f t="shared" si="42"/>
        <v/>
      </c>
    </row>
    <row r="2958" spans="2:9" x14ac:dyDescent="0.25">
      <c r="B2958" s="39"/>
      <c r="C2958" s="40"/>
      <c r="D2958" s="40"/>
      <c r="F2958" s="40"/>
      <c r="G2958" s="40"/>
      <c r="H2958" s="42"/>
      <c r="I2958" s="42" t="str">
        <f t="shared" si="42"/>
        <v/>
      </c>
    </row>
    <row r="2959" spans="2:9" x14ac:dyDescent="0.25">
      <c r="B2959" s="39"/>
      <c r="C2959" s="40"/>
      <c r="D2959" s="40"/>
      <c r="F2959" s="40"/>
      <c r="G2959" s="40"/>
      <c r="H2959" s="42"/>
      <c r="I2959" s="42" t="str">
        <f t="shared" si="42"/>
        <v/>
      </c>
    </row>
    <row r="2960" spans="2:9" x14ac:dyDescent="0.25">
      <c r="B2960" s="39"/>
      <c r="C2960" s="40"/>
      <c r="D2960" s="40"/>
      <c r="F2960" s="40"/>
      <c r="G2960" s="40"/>
      <c r="H2960" s="42"/>
      <c r="I2960" s="42" t="str">
        <f t="shared" si="42"/>
        <v/>
      </c>
    </row>
    <row r="2961" spans="2:9" x14ac:dyDescent="0.25">
      <c r="B2961" s="39"/>
      <c r="C2961" s="40"/>
      <c r="D2961" s="40"/>
      <c r="F2961" s="40"/>
      <c r="G2961" s="40"/>
      <c r="H2961" s="42"/>
      <c r="I2961" s="42" t="str">
        <f t="shared" si="42"/>
        <v/>
      </c>
    </row>
    <row r="2962" spans="2:9" x14ac:dyDescent="0.25">
      <c r="B2962" s="39"/>
      <c r="C2962" s="40"/>
      <c r="D2962" s="40"/>
      <c r="F2962" s="40"/>
      <c r="G2962" s="40"/>
      <c r="H2962" s="42"/>
      <c r="I2962" s="42" t="str">
        <f t="shared" si="42"/>
        <v/>
      </c>
    </row>
    <row r="2963" spans="2:9" x14ac:dyDescent="0.25">
      <c r="B2963" s="39"/>
      <c r="C2963" s="40"/>
      <c r="D2963" s="40"/>
      <c r="F2963" s="40"/>
      <c r="G2963" s="40"/>
      <c r="H2963" s="42"/>
      <c r="I2963" s="42" t="str">
        <f t="shared" si="42"/>
        <v/>
      </c>
    </row>
    <row r="2964" spans="2:9" x14ac:dyDescent="0.25">
      <c r="B2964" s="39"/>
      <c r="C2964" s="40"/>
      <c r="D2964" s="40"/>
      <c r="F2964" s="40"/>
      <c r="G2964" s="40"/>
      <c r="H2964" s="42"/>
      <c r="I2964" s="42" t="str">
        <f t="shared" si="42"/>
        <v/>
      </c>
    </row>
    <row r="2965" spans="2:9" x14ac:dyDescent="0.25">
      <c r="B2965" s="39"/>
      <c r="C2965" s="40"/>
      <c r="D2965" s="40"/>
      <c r="F2965" s="40"/>
      <c r="G2965" s="40"/>
      <c r="H2965" s="42"/>
      <c r="I2965" s="42" t="str">
        <f t="shared" si="42"/>
        <v/>
      </c>
    </row>
    <row r="2966" spans="2:9" x14ac:dyDescent="0.25">
      <c r="B2966" s="39"/>
      <c r="C2966" s="40"/>
      <c r="D2966" s="40"/>
      <c r="F2966" s="40"/>
      <c r="G2966" s="40"/>
      <c r="H2966" s="42"/>
      <c r="I2966" s="42" t="str">
        <f t="shared" si="42"/>
        <v/>
      </c>
    </row>
    <row r="2967" spans="2:9" x14ac:dyDescent="0.25">
      <c r="B2967" s="39"/>
      <c r="C2967" s="40"/>
      <c r="D2967" s="40"/>
      <c r="F2967" s="40"/>
      <c r="G2967" s="40"/>
      <c r="H2967" s="42"/>
      <c r="I2967" s="42" t="str">
        <f t="shared" si="42"/>
        <v/>
      </c>
    </row>
    <row r="2968" spans="2:9" x14ac:dyDescent="0.25">
      <c r="B2968" s="39"/>
      <c r="C2968" s="40"/>
      <c r="D2968" s="40"/>
      <c r="F2968" s="40"/>
      <c r="G2968" s="40"/>
      <c r="H2968" s="42"/>
      <c r="I2968" s="42" t="str">
        <f t="shared" si="42"/>
        <v/>
      </c>
    </row>
    <row r="2969" spans="2:9" x14ac:dyDescent="0.25">
      <c r="B2969" s="39"/>
      <c r="C2969" s="40"/>
      <c r="D2969" s="40"/>
      <c r="F2969" s="40"/>
      <c r="G2969" s="40"/>
      <c r="H2969" s="42"/>
      <c r="I2969" s="42" t="str">
        <f t="shared" si="42"/>
        <v/>
      </c>
    </row>
    <row r="2970" spans="2:9" x14ac:dyDescent="0.25">
      <c r="B2970" s="39"/>
      <c r="C2970" s="40"/>
      <c r="D2970" s="40"/>
      <c r="F2970" s="40"/>
      <c r="G2970" s="40"/>
      <c r="H2970" s="42"/>
      <c r="I2970" s="42" t="str">
        <f t="shared" si="42"/>
        <v/>
      </c>
    </row>
    <row r="2971" spans="2:9" x14ac:dyDescent="0.25">
      <c r="B2971" s="39"/>
      <c r="C2971" s="40"/>
      <c r="D2971" s="40"/>
      <c r="F2971" s="40"/>
      <c r="G2971" s="40"/>
      <c r="H2971" s="42"/>
      <c r="I2971" s="42" t="str">
        <f t="shared" si="42"/>
        <v/>
      </c>
    </row>
    <row r="2972" spans="2:9" x14ac:dyDescent="0.25">
      <c r="B2972" s="39"/>
      <c r="C2972" s="40"/>
      <c r="D2972" s="40"/>
      <c r="F2972" s="40"/>
      <c r="G2972" s="40"/>
      <c r="H2972" s="42"/>
      <c r="I2972" s="42" t="str">
        <f t="shared" si="42"/>
        <v/>
      </c>
    </row>
    <row r="2973" spans="2:9" x14ac:dyDescent="0.25">
      <c r="B2973" s="39"/>
      <c r="C2973" s="40"/>
      <c r="D2973" s="40"/>
      <c r="F2973" s="40"/>
      <c r="G2973" s="40"/>
      <c r="H2973" s="42"/>
      <c r="I2973" s="42" t="str">
        <f t="shared" si="42"/>
        <v/>
      </c>
    </row>
    <row r="2974" spans="2:9" x14ac:dyDescent="0.25">
      <c r="B2974" s="39"/>
      <c r="C2974" s="40"/>
      <c r="D2974" s="40"/>
      <c r="F2974" s="40"/>
      <c r="G2974" s="40"/>
      <c r="H2974" s="42"/>
      <c r="I2974" s="42" t="str">
        <f t="shared" si="42"/>
        <v/>
      </c>
    </row>
    <row r="2975" spans="2:9" x14ac:dyDescent="0.25">
      <c r="B2975" s="39"/>
      <c r="C2975" s="40"/>
      <c r="D2975" s="40"/>
      <c r="F2975" s="40"/>
      <c r="G2975" s="40"/>
      <c r="H2975" s="42"/>
      <c r="I2975" s="42" t="str">
        <f t="shared" si="42"/>
        <v/>
      </c>
    </row>
    <row r="2976" spans="2:9" x14ac:dyDescent="0.25">
      <c r="B2976" s="39"/>
      <c r="C2976" s="40"/>
      <c r="D2976" s="40"/>
      <c r="F2976" s="40"/>
      <c r="G2976" s="40"/>
      <c r="H2976" s="42"/>
      <c r="I2976" s="42" t="str">
        <f t="shared" si="42"/>
        <v/>
      </c>
    </row>
    <row r="2977" spans="2:9" x14ac:dyDescent="0.25">
      <c r="B2977" s="39"/>
      <c r="C2977" s="40"/>
      <c r="D2977" s="40"/>
      <c r="F2977" s="40"/>
      <c r="G2977" s="40"/>
      <c r="H2977" s="42"/>
      <c r="I2977" s="42" t="str">
        <f t="shared" si="42"/>
        <v/>
      </c>
    </row>
    <row r="2978" spans="2:9" x14ac:dyDescent="0.25">
      <c r="B2978" s="39"/>
      <c r="C2978" s="40"/>
      <c r="D2978" s="40"/>
      <c r="F2978" s="40"/>
      <c r="G2978" s="40"/>
      <c r="H2978" s="42"/>
      <c r="I2978" s="42" t="str">
        <f t="shared" si="42"/>
        <v/>
      </c>
    </row>
    <row r="2979" spans="2:9" x14ac:dyDescent="0.25">
      <c r="B2979" s="39"/>
      <c r="C2979" s="40"/>
      <c r="D2979" s="40"/>
      <c r="F2979" s="40"/>
      <c r="G2979" s="40"/>
      <c r="H2979" s="42"/>
      <c r="I2979" s="42" t="str">
        <f t="shared" si="42"/>
        <v/>
      </c>
    </row>
    <row r="2980" spans="2:9" x14ac:dyDescent="0.25">
      <c r="B2980" s="39"/>
      <c r="C2980" s="40"/>
      <c r="D2980" s="40"/>
      <c r="F2980" s="40"/>
      <c r="G2980" s="40"/>
      <c r="H2980" s="42"/>
      <c r="I2980" s="42" t="str">
        <f t="shared" si="42"/>
        <v/>
      </c>
    </row>
    <row r="2981" spans="2:9" x14ac:dyDescent="0.25">
      <c r="B2981" s="39"/>
      <c r="C2981" s="40"/>
      <c r="D2981" s="40"/>
      <c r="F2981" s="40"/>
      <c r="G2981" s="40"/>
      <c r="H2981" s="42"/>
      <c r="I2981" s="42" t="str">
        <f t="shared" si="42"/>
        <v/>
      </c>
    </row>
    <row r="2982" spans="2:9" x14ac:dyDescent="0.25">
      <c r="B2982" s="39"/>
      <c r="C2982" s="40"/>
      <c r="D2982" s="40"/>
      <c r="F2982" s="40"/>
      <c r="G2982" s="40"/>
      <c r="H2982" s="42"/>
      <c r="I2982" s="42" t="str">
        <f t="shared" si="42"/>
        <v/>
      </c>
    </row>
    <row r="2983" spans="2:9" x14ac:dyDescent="0.25">
      <c r="B2983" s="39"/>
      <c r="C2983" s="40"/>
      <c r="D2983" s="40"/>
      <c r="F2983" s="40"/>
      <c r="G2983" s="40"/>
      <c r="H2983" s="42"/>
      <c r="I2983" s="42" t="str">
        <f t="shared" si="42"/>
        <v/>
      </c>
    </row>
    <row r="2984" spans="2:9" x14ac:dyDescent="0.25">
      <c r="B2984" s="39"/>
      <c r="C2984" s="40"/>
      <c r="D2984" s="40"/>
      <c r="F2984" s="40"/>
      <c r="G2984" s="40"/>
      <c r="H2984" s="42"/>
      <c r="I2984" s="42" t="str">
        <f t="shared" si="42"/>
        <v/>
      </c>
    </row>
    <row r="2985" spans="2:9" x14ac:dyDescent="0.25">
      <c r="B2985" s="39"/>
      <c r="C2985" s="40"/>
      <c r="D2985" s="40"/>
      <c r="F2985" s="40"/>
      <c r="G2985" s="40"/>
      <c r="H2985" s="42"/>
      <c r="I2985" s="42" t="str">
        <f t="shared" si="42"/>
        <v/>
      </c>
    </row>
    <row r="2986" spans="2:9" x14ac:dyDescent="0.25">
      <c r="B2986" s="39"/>
      <c r="C2986" s="40"/>
      <c r="D2986" s="40"/>
      <c r="F2986" s="40"/>
      <c r="G2986" s="40"/>
      <c r="H2986" s="42"/>
      <c r="I2986" s="42" t="str">
        <f t="shared" si="42"/>
        <v/>
      </c>
    </row>
    <row r="2987" spans="2:9" x14ac:dyDescent="0.25">
      <c r="B2987" s="39"/>
      <c r="C2987" s="40"/>
      <c r="D2987" s="40"/>
      <c r="F2987" s="40"/>
      <c r="G2987" s="40"/>
      <c r="H2987" s="42"/>
      <c r="I2987" s="42" t="str">
        <f t="shared" si="42"/>
        <v/>
      </c>
    </row>
    <row r="2988" spans="2:9" x14ac:dyDescent="0.25">
      <c r="B2988" s="39"/>
      <c r="C2988" s="40"/>
      <c r="D2988" s="40"/>
      <c r="F2988" s="40"/>
      <c r="G2988" s="40"/>
      <c r="H2988" s="42"/>
      <c r="I2988" s="42" t="str">
        <f t="shared" si="42"/>
        <v/>
      </c>
    </row>
    <row r="2989" spans="2:9" x14ac:dyDescent="0.25">
      <c r="B2989" s="39"/>
      <c r="C2989" s="40"/>
      <c r="D2989" s="40"/>
      <c r="F2989" s="40"/>
      <c r="G2989" s="40"/>
      <c r="H2989" s="42"/>
      <c r="I2989" s="42" t="str">
        <f t="shared" si="42"/>
        <v/>
      </c>
    </row>
    <row r="2990" spans="2:9" x14ac:dyDescent="0.25">
      <c r="B2990" s="39"/>
      <c r="C2990" s="40"/>
      <c r="D2990" s="40"/>
      <c r="F2990" s="40"/>
      <c r="G2990" s="40"/>
      <c r="H2990" s="42"/>
      <c r="I2990" s="42" t="str">
        <f t="shared" si="42"/>
        <v/>
      </c>
    </row>
    <row r="2991" spans="2:9" x14ac:dyDescent="0.25">
      <c r="B2991" s="39"/>
      <c r="C2991" s="40"/>
      <c r="D2991" s="40"/>
      <c r="F2991" s="40"/>
      <c r="G2991" s="40"/>
      <c r="H2991" s="42"/>
      <c r="I2991" s="42" t="str">
        <f t="shared" si="42"/>
        <v/>
      </c>
    </row>
    <row r="2992" spans="2:9" x14ac:dyDescent="0.25">
      <c r="B2992" s="39"/>
      <c r="C2992" s="40"/>
      <c r="D2992" s="40"/>
      <c r="F2992" s="40"/>
      <c r="G2992" s="40"/>
      <c r="H2992" s="42"/>
      <c r="I2992" s="42" t="str">
        <f t="shared" si="42"/>
        <v/>
      </c>
    </row>
    <row r="2993" spans="2:9" x14ac:dyDescent="0.25">
      <c r="B2993" s="39"/>
      <c r="C2993" s="40"/>
      <c r="D2993" s="40"/>
      <c r="F2993" s="40"/>
      <c r="G2993" s="40"/>
      <c r="H2993" s="42"/>
      <c r="I2993" s="42" t="str">
        <f t="shared" si="42"/>
        <v/>
      </c>
    </row>
    <row r="2994" spans="2:9" x14ac:dyDescent="0.25">
      <c r="B2994" s="39"/>
      <c r="C2994" s="40"/>
      <c r="D2994" s="40"/>
      <c r="F2994" s="40"/>
      <c r="G2994" s="40"/>
      <c r="H2994" s="42"/>
      <c r="I2994" s="42" t="str">
        <f t="shared" si="42"/>
        <v/>
      </c>
    </row>
    <row r="2995" spans="2:9" x14ac:dyDescent="0.25">
      <c r="B2995" s="39"/>
      <c r="C2995" s="40"/>
      <c r="D2995" s="40"/>
      <c r="F2995" s="40"/>
      <c r="G2995" s="40"/>
      <c r="H2995" s="42"/>
      <c r="I2995" s="42" t="str">
        <f t="shared" si="42"/>
        <v/>
      </c>
    </row>
    <row r="2996" spans="2:9" x14ac:dyDescent="0.25">
      <c r="B2996" s="39"/>
      <c r="C2996" s="40"/>
      <c r="D2996" s="40"/>
      <c r="F2996" s="40"/>
      <c r="G2996" s="40"/>
      <c r="H2996" s="42"/>
      <c r="I2996" s="42" t="str">
        <f t="shared" si="42"/>
        <v/>
      </c>
    </row>
    <row r="2997" spans="2:9" x14ac:dyDescent="0.25">
      <c r="B2997" s="39"/>
      <c r="C2997" s="40"/>
      <c r="D2997" s="40"/>
      <c r="F2997" s="40"/>
      <c r="G2997" s="40"/>
      <c r="H2997" s="42"/>
      <c r="I2997" s="42" t="str">
        <f t="shared" si="42"/>
        <v/>
      </c>
    </row>
    <row r="2998" spans="2:9" x14ac:dyDescent="0.25">
      <c r="B2998" s="39"/>
      <c r="C2998" s="40"/>
      <c r="D2998" s="40"/>
      <c r="F2998" s="40"/>
      <c r="G2998" s="40"/>
      <c r="H2998" s="42"/>
      <c r="I2998" s="42" t="str">
        <f t="shared" si="42"/>
        <v/>
      </c>
    </row>
    <row r="2999" spans="2:9" x14ac:dyDescent="0.25">
      <c r="B2999" s="39"/>
      <c r="C2999" s="40"/>
      <c r="D2999" s="40"/>
      <c r="F2999" s="40"/>
      <c r="G2999" s="40"/>
      <c r="H2999" s="42"/>
      <c r="I2999" s="42" t="str">
        <f t="shared" si="42"/>
        <v/>
      </c>
    </row>
    <row r="3000" spans="2:9" x14ac:dyDescent="0.25">
      <c r="B3000" s="39"/>
      <c r="C3000" s="40"/>
      <c r="D3000" s="40"/>
      <c r="F3000" s="40"/>
      <c r="G3000" s="40"/>
      <c r="H3000" s="42"/>
      <c r="I3000" s="42" t="str">
        <f t="shared" si="42"/>
        <v/>
      </c>
    </row>
    <row r="3001" spans="2:9" x14ac:dyDescent="0.25">
      <c r="B3001" s="39"/>
      <c r="C3001" s="40"/>
      <c r="D3001" s="40"/>
      <c r="F3001" s="40"/>
      <c r="G3001" s="40"/>
      <c r="H3001" s="42"/>
      <c r="I3001" s="42" t="str">
        <f t="shared" si="42"/>
        <v/>
      </c>
    </row>
    <row r="3002" spans="2:9" x14ac:dyDescent="0.25">
      <c r="B3002" s="39"/>
      <c r="C3002" s="40"/>
      <c r="D3002" s="40"/>
      <c r="F3002" s="40"/>
      <c r="G3002" s="40"/>
      <c r="H3002" s="42"/>
      <c r="I3002" s="42" t="str">
        <f t="shared" si="42"/>
        <v/>
      </c>
    </row>
    <row r="3003" spans="2:9" x14ac:dyDescent="0.25">
      <c r="B3003" s="39"/>
      <c r="C3003" s="40"/>
      <c r="D3003" s="40"/>
      <c r="F3003" s="40"/>
      <c r="G3003" s="40"/>
      <c r="H3003" s="42"/>
      <c r="I3003" s="42" t="str">
        <f t="shared" si="42"/>
        <v/>
      </c>
    </row>
    <row r="3004" spans="2:9" x14ac:dyDescent="0.25">
      <c r="B3004" s="39"/>
      <c r="C3004" s="40"/>
      <c r="D3004" s="40"/>
      <c r="F3004" s="40"/>
      <c r="G3004" s="40"/>
      <c r="H3004" s="42"/>
      <c r="I3004" s="42" t="str">
        <f t="shared" si="42"/>
        <v/>
      </c>
    </row>
    <row r="3005" spans="2:9" x14ac:dyDescent="0.25">
      <c r="B3005" s="39"/>
      <c r="C3005" s="40"/>
      <c r="D3005" s="40"/>
      <c r="F3005" s="40"/>
      <c r="G3005" s="40"/>
      <c r="H3005" s="42"/>
      <c r="I3005" s="42" t="str">
        <f t="shared" si="42"/>
        <v/>
      </c>
    </row>
    <row r="3006" spans="2:9" x14ac:dyDescent="0.25">
      <c r="B3006" s="39"/>
      <c r="C3006" s="40"/>
      <c r="D3006" s="40"/>
      <c r="F3006" s="40"/>
      <c r="G3006" s="40"/>
      <c r="H3006" s="42"/>
      <c r="I3006" s="42" t="str">
        <f t="shared" si="42"/>
        <v/>
      </c>
    </row>
    <row r="3007" spans="2:9" x14ac:dyDescent="0.25">
      <c r="B3007" s="39"/>
      <c r="C3007" s="40"/>
      <c r="D3007" s="40"/>
      <c r="F3007" s="40"/>
      <c r="G3007" s="40"/>
      <c r="H3007" s="42"/>
      <c r="I3007" s="42" t="str">
        <f t="shared" si="42"/>
        <v/>
      </c>
    </row>
    <row r="3008" spans="2:9" x14ac:dyDescent="0.25">
      <c r="B3008" s="39"/>
      <c r="C3008" s="40"/>
      <c r="D3008" s="40"/>
      <c r="F3008" s="40"/>
      <c r="G3008" s="40"/>
      <c r="H3008" s="42"/>
      <c r="I3008" s="42" t="str">
        <f t="shared" ref="I3008:I3071" si="43">IF(H3008&lt;&gt;"",H3008-H3007,"")</f>
        <v/>
      </c>
    </row>
    <row r="3009" spans="2:9" x14ac:dyDescent="0.25">
      <c r="B3009" s="39"/>
      <c r="C3009" s="40"/>
      <c r="D3009" s="40"/>
      <c r="F3009" s="40"/>
      <c r="G3009" s="40"/>
      <c r="H3009" s="42"/>
      <c r="I3009" s="42" t="str">
        <f t="shared" si="43"/>
        <v/>
      </c>
    </row>
    <row r="3010" spans="2:9" x14ac:dyDescent="0.25">
      <c r="B3010" s="39"/>
      <c r="C3010" s="40"/>
      <c r="D3010" s="40"/>
      <c r="F3010" s="40"/>
      <c r="G3010" s="40"/>
      <c r="H3010" s="42"/>
      <c r="I3010" s="42" t="str">
        <f t="shared" si="43"/>
        <v/>
      </c>
    </row>
    <row r="3011" spans="2:9" x14ac:dyDescent="0.25">
      <c r="B3011" s="39"/>
      <c r="C3011" s="40"/>
      <c r="D3011" s="40"/>
      <c r="F3011" s="40"/>
      <c r="G3011" s="40"/>
      <c r="H3011" s="42"/>
      <c r="I3011" s="42" t="str">
        <f t="shared" si="43"/>
        <v/>
      </c>
    </row>
    <row r="3012" spans="2:9" x14ac:dyDescent="0.25">
      <c r="B3012" s="39"/>
      <c r="C3012" s="40"/>
      <c r="D3012" s="40"/>
      <c r="F3012" s="40"/>
      <c r="G3012" s="40"/>
      <c r="H3012" s="42"/>
      <c r="I3012" s="42" t="str">
        <f t="shared" si="43"/>
        <v/>
      </c>
    </row>
    <row r="3013" spans="2:9" x14ac:dyDescent="0.25">
      <c r="B3013" s="39"/>
      <c r="C3013" s="40"/>
      <c r="D3013" s="40"/>
      <c r="F3013" s="40"/>
      <c r="G3013" s="40"/>
      <c r="H3013" s="42"/>
      <c r="I3013" s="42" t="str">
        <f t="shared" si="43"/>
        <v/>
      </c>
    </row>
    <row r="3014" spans="2:9" x14ac:dyDescent="0.25">
      <c r="B3014" s="39"/>
      <c r="C3014" s="40"/>
      <c r="D3014" s="40"/>
      <c r="F3014" s="40"/>
      <c r="G3014" s="40"/>
      <c r="H3014" s="42"/>
      <c r="I3014" s="42" t="str">
        <f t="shared" si="43"/>
        <v/>
      </c>
    </row>
    <row r="3015" spans="2:9" x14ac:dyDescent="0.25">
      <c r="B3015" s="39"/>
      <c r="C3015" s="40"/>
      <c r="D3015" s="40"/>
      <c r="F3015" s="40"/>
      <c r="G3015" s="40"/>
      <c r="H3015" s="42"/>
      <c r="I3015" s="42" t="str">
        <f t="shared" si="43"/>
        <v/>
      </c>
    </row>
    <row r="3016" spans="2:9" x14ac:dyDescent="0.25">
      <c r="B3016" s="39"/>
      <c r="C3016" s="40"/>
      <c r="D3016" s="40"/>
      <c r="F3016" s="40"/>
      <c r="G3016" s="40"/>
      <c r="H3016" s="42"/>
      <c r="I3016" s="42" t="str">
        <f t="shared" si="43"/>
        <v/>
      </c>
    </row>
    <row r="3017" spans="2:9" x14ac:dyDescent="0.25">
      <c r="B3017" s="39"/>
      <c r="C3017" s="40"/>
      <c r="D3017" s="40"/>
      <c r="F3017" s="40"/>
      <c r="G3017" s="40"/>
      <c r="H3017" s="42"/>
      <c r="I3017" s="42" t="str">
        <f t="shared" si="43"/>
        <v/>
      </c>
    </row>
    <row r="3018" spans="2:9" x14ac:dyDescent="0.25">
      <c r="B3018" s="39"/>
      <c r="C3018" s="40"/>
      <c r="D3018" s="40"/>
      <c r="F3018" s="40"/>
      <c r="G3018" s="40"/>
      <c r="H3018" s="42"/>
      <c r="I3018" s="42" t="str">
        <f t="shared" si="43"/>
        <v/>
      </c>
    </row>
    <row r="3019" spans="2:9" x14ac:dyDescent="0.25">
      <c r="B3019" s="39"/>
      <c r="C3019" s="40"/>
      <c r="D3019" s="40"/>
      <c r="F3019" s="40"/>
      <c r="G3019" s="40"/>
      <c r="H3019" s="42"/>
      <c r="I3019" s="42" t="str">
        <f t="shared" si="43"/>
        <v/>
      </c>
    </row>
    <row r="3020" spans="2:9" x14ac:dyDescent="0.25">
      <c r="B3020" s="39"/>
      <c r="C3020" s="40"/>
      <c r="D3020" s="40"/>
      <c r="F3020" s="40"/>
      <c r="G3020" s="40"/>
      <c r="H3020" s="42"/>
      <c r="I3020" s="42" t="str">
        <f t="shared" si="43"/>
        <v/>
      </c>
    </row>
    <row r="3021" spans="2:9" x14ac:dyDescent="0.25">
      <c r="B3021" s="39"/>
      <c r="C3021" s="40"/>
      <c r="D3021" s="40"/>
      <c r="F3021" s="40"/>
      <c r="G3021" s="40"/>
      <c r="H3021" s="42"/>
      <c r="I3021" s="42" t="str">
        <f t="shared" si="43"/>
        <v/>
      </c>
    </row>
    <row r="3022" spans="2:9" x14ac:dyDescent="0.25">
      <c r="B3022" s="39"/>
      <c r="C3022" s="40"/>
      <c r="D3022" s="40"/>
      <c r="F3022" s="40"/>
      <c r="G3022" s="40"/>
      <c r="H3022" s="42"/>
      <c r="I3022" s="42" t="str">
        <f t="shared" si="43"/>
        <v/>
      </c>
    </row>
    <row r="3023" spans="2:9" x14ac:dyDescent="0.25">
      <c r="B3023" s="39"/>
      <c r="C3023" s="40"/>
      <c r="D3023" s="40"/>
      <c r="F3023" s="40"/>
      <c r="G3023" s="40"/>
      <c r="H3023" s="42"/>
      <c r="I3023" s="42" t="str">
        <f t="shared" si="43"/>
        <v/>
      </c>
    </row>
    <row r="3024" spans="2:9" x14ac:dyDescent="0.25">
      <c r="B3024" s="39"/>
      <c r="C3024" s="40"/>
      <c r="D3024" s="40"/>
      <c r="F3024" s="40"/>
      <c r="G3024" s="40"/>
      <c r="H3024" s="42"/>
      <c r="I3024" s="42" t="str">
        <f t="shared" si="43"/>
        <v/>
      </c>
    </row>
    <row r="3025" spans="2:9" x14ac:dyDescent="0.25">
      <c r="B3025" s="39"/>
      <c r="C3025" s="40"/>
      <c r="D3025" s="40"/>
      <c r="F3025" s="40"/>
      <c r="G3025" s="40"/>
      <c r="H3025" s="42"/>
      <c r="I3025" s="42" t="str">
        <f t="shared" si="43"/>
        <v/>
      </c>
    </row>
    <row r="3026" spans="2:9" x14ac:dyDescent="0.25">
      <c r="B3026" s="39"/>
      <c r="C3026" s="40"/>
      <c r="D3026" s="40"/>
      <c r="F3026" s="40"/>
      <c r="G3026" s="40"/>
      <c r="H3026" s="42"/>
      <c r="I3026" s="42" t="str">
        <f t="shared" si="43"/>
        <v/>
      </c>
    </row>
    <row r="3027" spans="2:9" x14ac:dyDescent="0.25">
      <c r="B3027" s="39"/>
      <c r="C3027" s="40"/>
      <c r="D3027" s="40"/>
      <c r="F3027" s="40"/>
      <c r="G3027" s="40"/>
      <c r="H3027" s="42"/>
      <c r="I3027" s="42" t="str">
        <f t="shared" si="43"/>
        <v/>
      </c>
    </row>
    <row r="3028" spans="2:9" x14ac:dyDescent="0.25">
      <c r="B3028" s="39"/>
      <c r="C3028" s="40"/>
      <c r="D3028" s="40"/>
      <c r="F3028" s="40"/>
      <c r="G3028" s="40"/>
      <c r="H3028" s="42"/>
      <c r="I3028" s="42" t="str">
        <f t="shared" si="43"/>
        <v/>
      </c>
    </row>
    <row r="3029" spans="2:9" x14ac:dyDescent="0.25">
      <c r="B3029" s="39"/>
      <c r="C3029" s="40"/>
      <c r="D3029" s="40"/>
      <c r="F3029" s="40"/>
      <c r="G3029" s="40"/>
      <c r="H3029" s="42"/>
      <c r="I3029" s="42" t="str">
        <f t="shared" si="43"/>
        <v/>
      </c>
    </row>
    <row r="3030" spans="2:9" x14ac:dyDescent="0.25">
      <c r="B3030" s="39"/>
      <c r="C3030" s="40"/>
      <c r="D3030" s="40"/>
      <c r="F3030" s="40"/>
      <c r="G3030" s="40"/>
      <c r="H3030" s="42"/>
      <c r="I3030" s="42" t="str">
        <f t="shared" si="43"/>
        <v/>
      </c>
    </row>
    <row r="3031" spans="2:9" x14ac:dyDescent="0.25">
      <c r="B3031" s="39"/>
      <c r="C3031" s="40"/>
      <c r="D3031" s="40"/>
      <c r="F3031" s="40"/>
      <c r="G3031" s="40"/>
      <c r="H3031" s="42"/>
      <c r="I3031" s="42" t="str">
        <f t="shared" si="43"/>
        <v/>
      </c>
    </row>
    <row r="3032" spans="2:9" x14ac:dyDescent="0.25">
      <c r="B3032" s="39"/>
      <c r="C3032" s="40"/>
      <c r="D3032" s="40"/>
      <c r="F3032" s="40"/>
      <c r="G3032" s="40"/>
      <c r="H3032" s="42"/>
      <c r="I3032" s="42" t="str">
        <f t="shared" si="43"/>
        <v/>
      </c>
    </row>
    <row r="3033" spans="2:9" x14ac:dyDescent="0.25">
      <c r="B3033" s="39"/>
      <c r="C3033" s="40"/>
      <c r="D3033" s="40"/>
      <c r="F3033" s="40"/>
      <c r="G3033" s="40"/>
      <c r="H3033" s="42"/>
      <c r="I3033" s="42" t="str">
        <f t="shared" si="43"/>
        <v/>
      </c>
    </row>
    <row r="3034" spans="2:9" x14ac:dyDescent="0.25">
      <c r="B3034" s="39"/>
      <c r="C3034" s="40"/>
      <c r="D3034" s="40"/>
      <c r="F3034" s="40"/>
      <c r="G3034" s="40"/>
      <c r="H3034" s="42"/>
      <c r="I3034" s="42" t="str">
        <f t="shared" si="43"/>
        <v/>
      </c>
    </row>
    <row r="3035" spans="2:9" x14ac:dyDescent="0.25">
      <c r="B3035" s="39"/>
      <c r="C3035" s="40"/>
      <c r="D3035" s="40"/>
      <c r="F3035" s="40"/>
      <c r="G3035" s="40"/>
      <c r="H3035" s="42"/>
      <c r="I3035" s="42" t="str">
        <f t="shared" si="43"/>
        <v/>
      </c>
    </row>
    <row r="3036" spans="2:9" x14ac:dyDescent="0.25">
      <c r="B3036" s="39"/>
      <c r="C3036" s="40"/>
      <c r="D3036" s="40"/>
      <c r="F3036" s="40"/>
      <c r="G3036" s="40"/>
      <c r="H3036" s="42"/>
      <c r="I3036" s="42" t="str">
        <f t="shared" si="43"/>
        <v/>
      </c>
    </row>
    <row r="3037" spans="2:9" x14ac:dyDescent="0.25">
      <c r="B3037" s="39"/>
      <c r="C3037" s="40"/>
      <c r="D3037" s="40"/>
      <c r="F3037" s="40"/>
      <c r="G3037" s="40"/>
      <c r="H3037" s="42"/>
      <c r="I3037" s="42" t="str">
        <f t="shared" si="43"/>
        <v/>
      </c>
    </row>
    <row r="3038" spans="2:9" x14ac:dyDescent="0.25">
      <c r="B3038" s="39"/>
      <c r="C3038" s="40"/>
      <c r="D3038" s="40"/>
      <c r="F3038" s="40"/>
      <c r="G3038" s="40"/>
      <c r="H3038" s="42"/>
      <c r="I3038" s="42" t="str">
        <f t="shared" si="43"/>
        <v/>
      </c>
    </row>
    <row r="3039" spans="2:9" x14ac:dyDescent="0.25">
      <c r="B3039" s="39"/>
      <c r="C3039" s="40"/>
      <c r="D3039" s="40"/>
      <c r="F3039" s="40"/>
      <c r="G3039" s="40"/>
      <c r="H3039" s="42"/>
      <c r="I3039" s="42" t="str">
        <f t="shared" si="43"/>
        <v/>
      </c>
    </row>
    <row r="3040" spans="2:9" x14ac:dyDescent="0.25">
      <c r="B3040" s="39"/>
      <c r="C3040" s="40"/>
      <c r="D3040" s="40"/>
      <c r="F3040" s="40"/>
      <c r="G3040" s="40"/>
      <c r="H3040" s="42"/>
      <c r="I3040" s="42" t="str">
        <f t="shared" si="43"/>
        <v/>
      </c>
    </row>
    <row r="3041" spans="2:9" x14ac:dyDescent="0.25">
      <c r="B3041" s="39"/>
      <c r="C3041" s="40"/>
      <c r="D3041" s="40"/>
      <c r="F3041" s="40"/>
      <c r="G3041" s="40"/>
      <c r="H3041" s="42"/>
      <c r="I3041" s="42" t="str">
        <f t="shared" si="43"/>
        <v/>
      </c>
    </row>
    <row r="3042" spans="2:9" x14ac:dyDescent="0.25">
      <c r="B3042" s="39"/>
      <c r="C3042" s="40"/>
      <c r="D3042" s="40"/>
      <c r="F3042" s="40"/>
      <c r="G3042" s="40"/>
      <c r="H3042" s="42"/>
      <c r="I3042" s="42" t="str">
        <f t="shared" si="43"/>
        <v/>
      </c>
    </row>
    <row r="3043" spans="2:9" x14ac:dyDescent="0.25">
      <c r="B3043" s="39"/>
      <c r="C3043" s="40"/>
      <c r="D3043" s="40"/>
      <c r="F3043" s="40"/>
      <c r="G3043" s="40"/>
      <c r="H3043" s="42"/>
      <c r="I3043" s="42" t="str">
        <f t="shared" si="43"/>
        <v/>
      </c>
    </row>
    <row r="3044" spans="2:9" x14ac:dyDescent="0.25">
      <c r="B3044" s="39"/>
      <c r="C3044" s="40"/>
      <c r="D3044" s="40"/>
      <c r="F3044" s="40"/>
      <c r="G3044" s="40"/>
      <c r="H3044" s="42"/>
      <c r="I3044" s="42" t="str">
        <f t="shared" si="43"/>
        <v/>
      </c>
    </row>
    <row r="3045" spans="2:9" x14ac:dyDescent="0.25">
      <c r="B3045" s="39"/>
      <c r="C3045" s="40"/>
      <c r="D3045" s="40"/>
      <c r="F3045" s="40"/>
      <c r="G3045" s="40"/>
      <c r="H3045" s="42"/>
      <c r="I3045" s="42" t="str">
        <f t="shared" si="43"/>
        <v/>
      </c>
    </row>
    <row r="3046" spans="2:9" x14ac:dyDescent="0.25">
      <c r="B3046" s="39"/>
      <c r="C3046" s="40"/>
      <c r="D3046" s="40"/>
      <c r="F3046" s="40"/>
      <c r="G3046" s="40"/>
      <c r="H3046" s="42"/>
      <c r="I3046" s="42" t="str">
        <f t="shared" si="43"/>
        <v/>
      </c>
    </row>
    <row r="3047" spans="2:9" x14ac:dyDescent="0.25">
      <c r="B3047" s="39"/>
      <c r="C3047" s="40"/>
      <c r="D3047" s="40"/>
      <c r="F3047" s="40"/>
      <c r="G3047" s="40"/>
      <c r="H3047" s="42"/>
      <c r="I3047" s="42" t="str">
        <f t="shared" si="43"/>
        <v/>
      </c>
    </row>
    <row r="3048" spans="2:9" x14ac:dyDescent="0.25">
      <c r="B3048" s="39"/>
      <c r="C3048" s="40"/>
      <c r="D3048" s="40"/>
      <c r="F3048" s="40"/>
      <c r="G3048" s="40"/>
      <c r="H3048" s="42"/>
      <c r="I3048" s="42" t="str">
        <f t="shared" si="43"/>
        <v/>
      </c>
    </row>
    <row r="3049" spans="2:9" x14ac:dyDescent="0.25">
      <c r="B3049" s="39"/>
      <c r="C3049" s="40"/>
      <c r="D3049" s="40"/>
      <c r="F3049" s="40"/>
      <c r="G3049" s="40"/>
      <c r="H3049" s="42"/>
      <c r="I3049" s="42" t="str">
        <f t="shared" si="43"/>
        <v/>
      </c>
    </row>
    <row r="3050" spans="2:9" x14ac:dyDescent="0.25">
      <c r="B3050" s="39"/>
      <c r="C3050" s="40"/>
      <c r="D3050" s="40"/>
      <c r="F3050" s="40"/>
      <c r="G3050" s="40"/>
      <c r="H3050" s="42"/>
      <c r="I3050" s="42" t="str">
        <f t="shared" si="43"/>
        <v/>
      </c>
    </row>
    <row r="3051" spans="2:9" x14ac:dyDescent="0.25">
      <c r="B3051" s="39"/>
      <c r="C3051" s="40"/>
      <c r="D3051" s="40"/>
      <c r="F3051" s="40"/>
      <c r="G3051" s="40"/>
      <c r="H3051" s="42"/>
      <c r="I3051" s="42" t="str">
        <f t="shared" si="43"/>
        <v/>
      </c>
    </row>
    <row r="3052" spans="2:9" x14ac:dyDescent="0.25">
      <c r="B3052" s="39"/>
      <c r="C3052" s="40"/>
      <c r="D3052" s="40"/>
      <c r="F3052" s="40"/>
      <c r="G3052" s="40"/>
      <c r="H3052" s="42"/>
      <c r="I3052" s="42" t="str">
        <f t="shared" si="43"/>
        <v/>
      </c>
    </row>
    <row r="3053" spans="2:9" x14ac:dyDescent="0.25">
      <c r="B3053" s="39"/>
      <c r="C3053" s="40"/>
      <c r="D3053" s="40"/>
      <c r="F3053" s="40"/>
      <c r="G3053" s="40"/>
      <c r="H3053" s="42"/>
      <c r="I3053" s="42" t="str">
        <f t="shared" si="43"/>
        <v/>
      </c>
    </row>
    <row r="3054" spans="2:9" x14ac:dyDescent="0.25">
      <c r="B3054" s="39"/>
      <c r="C3054" s="40"/>
      <c r="D3054" s="40"/>
      <c r="F3054" s="40"/>
      <c r="G3054" s="40"/>
      <c r="H3054" s="42"/>
      <c r="I3054" s="42" t="str">
        <f t="shared" si="43"/>
        <v/>
      </c>
    </row>
    <row r="3055" spans="2:9" x14ac:dyDescent="0.25">
      <c r="B3055" s="39"/>
      <c r="C3055" s="40"/>
      <c r="D3055" s="40"/>
      <c r="F3055" s="40"/>
      <c r="G3055" s="40"/>
      <c r="H3055" s="42"/>
      <c r="I3055" s="42" t="str">
        <f t="shared" si="43"/>
        <v/>
      </c>
    </row>
    <row r="3056" spans="2:9" x14ac:dyDescent="0.25">
      <c r="B3056" s="39"/>
      <c r="C3056" s="40"/>
      <c r="D3056" s="40"/>
      <c r="F3056" s="40"/>
      <c r="G3056" s="40"/>
      <c r="H3056" s="42"/>
      <c r="I3056" s="42" t="str">
        <f t="shared" si="43"/>
        <v/>
      </c>
    </row>
    <row r="3057" spans="2:9" x14ac:dyDescent="0.25">
      <c r="B3057" s="39"/>
      <c r="C3057" s="40"/>
      <c r="D3057" s="40"/>
      <c r="F3057" s="40"/>
      <c r="G3057" s="40"/>
      <c r="H3057" s="42"/>
      <c r="I3057" s="42" t="str">
        <f t="shared" si="43"/>
        <v/>
      </c>
    </row>
    <row r="3058" spans="2:9" x14ac:dyDescent="0.25">
      <c r="B3058" s="39"/>
      <c r="C3058" s="40"/>
      <c r="D3058" s="40"/>
      <c r="F3058" s="40"/>
      <c r="G3058" s="40"/>
      <c r="H3058" s="42"/>
      <c r="I3058" s="42" t="str">
        <f t="shared" si="43"/>
        <v/>
      </c>
    </row>
    <row r="3059" spans="2:9" x14ac:dyDescent="0.25">
      <c r="B3059" s="39"/>
      <c r="C3059" s="40"/>
      <c r="D3059" s="40"/>
      <c r="F3059" s="40"/>
      <c r="G3059" s="40"/>
      <c r="H3059" s="42"/>
      <c r="I3059" s="42" t="str">
        <f t="shared" si="43"/>
        <v/>
      </c>
    </row>
    <row r="3060" spans="2:9" x14ac:dyDescent="0.25">
      <c r="B3060" s="39"/>
      <c r="C3060" s="40"/>
      <c r="D3060" s="40"/>
      <c r="F3060" s="40"/>
      <c r="G3060" s="40"/>
      <c r="H3060" s="42"/>
      <c r="I3060" s="42" t="str">
        <f t="shared" si="43"/>
        <v/>
      </c>
    </row>
    <row r="3061" spans="2:9" x14ac:dyDescent="0.25">
      <c r="B3061" s="39"/>
      <c r="C3061" s="40"/>
      <c r="D3061" s="40"/>
      <c r="F3061" s="40"/>
      <c r="G3061" s="40"/>
      <c r="H3061" s="42"/>
      <c r="I3061" s="42" t="str">
        <f t="shared" si="43"/>
        <v/>
      </c>
    </row>
    <row r="3062" spans="2:9" x14ac:dyDescent="0.25">
      <c r="B3062" s="39"/>
      <c r="C3062" s="40"/>
      <c r="D3062" s="40"/>
      <c r="F3062" s="40"/>
      <c r="G3062" s="40"/>
      <c r="H3062" s="42"/>
      <c r="I3062" s="42" t="str">
        <f t="shared" si="43"/>
        <v/>
      </c>
    </row>
    <row r="3063" spans="2:9" x14ac:dyDescent="0.25">
      <c r="B3063" s="39"/>
      <c r="C3063" s="40"/>
      <c r="D3063" s="40"/>
      <c r="F3063" s="40"/>
      <c r="G3063" s="40"/>
      <c r="H3063" s="42"/>
      <c r="I3063" s="42" t="str">
        <f t="shared" si="43"/>
        <v/>
      </c>
    </row>
    <row r="3064" spans="2:9" x14ac:dyDescent="0.25">
      <c r="B3064" s="39"/>
      <c r="C3064" s="40"/>
      <c r="D3064" s="40"/>
      <c r="F3064" s="40"/>
      <c r="G3064" s="40"/>
      <c r="H3064" s="42"/>
      <c r="I3064" s="42" t="str">
        <f t="shared" si="43"/>
        <v/>
      </c>
    </row>
    <row r="3065" spans="2:9" x14ac:dyDescent="0.25">
      <c r="B3065" s="39"/>
      <c r="C3065" s="40"/>
      <c r="D3065" s="40"/>
      <c r="F3065" s="40"/>
      <c r="G3065" s="40"/>
      <c r="H3065" s="42"/>
      <c r="I3065" s="42" t="str">
        <f t="shared" si="43"/>
        <v/>
      </c>
    </row>
    <row r="3066" spans="2:9" x14ac:dyDescent="0.25">
      <c r="B3066" s="39"/>
      <c r="C3066" s="40"/>
      <c r="D3066" s="40"/>
      <c r="F3066" s="40"/>
      <c r="G3066" s="40"/>
      <c r="H3066" s="42"/>
      <c r="I3066" s="42" t="str">
        <f t="shared" si="43"/>
        <v/>
      </c>
    </row>
    <row r="3067" spans="2:9" x14ac:dyDescent="0.25">
      <c r="B3067" s="39"/>
      <c r="C3067" s="40"/>
      <c r="D3067" s="40"/>
      <c r="F3067" s="40"/>
      <c r="G3067" s="40"/>
      <c r="H3067" s="42"/>
      <c r="I3067" s="42" t="str">
        <f t="shared" si="43"/>
        <v/>
      </c>
    </row>
    <row r="3068" spans="2:9" x14ac:dyDescent="0.25">
      <c r="B3068" s="39"/>
      <c r="C3068" s="40"/>
      <c r="D3068" s="40"/>
      <c r="F3068" s="40"/>
      <c r="G3068" s="40"/>
      <c r="H3068" s="42"/>
      <c r="I3068" s="42" t="str">
        <f t="shared" si="43"/>
        <v/>
      </c>
    </row>
    <row r="3069" spans="2:9" x14ac:dyDescent="0.25">
      <c r="B3069" s="39"/>
      <c r="C3069" s="40"/>
      <c r="D3069" s="40"/>
      <c r="F3069" s="40"/>
      <c r="G3069" s="40"/>
      <c r="H3069" s="42"/>
      <c r="I3069" s="42" t="str">
        <f t="shared" si="43"/>
        <v/>
      </c>
    </row>
    <row r="3070" spans="2:9" x14ac:dyDescent="0.25">
      <c r="B3070" s="39"/>
      <c r="C3070" s="40"/>
      <c r="D3070" s="40"/>
      <c r="F3070" s="40"/>
      <c r="G3070" s="40"/>
      <c r="H3070" s="42"/>
      <c r="I3070" s="42" t="str">
        <f t="shared" si="43"/>
        <v/>
      </c>
    </row>
    <row r="3071" spans="2:9" x14ac:dyDescent="0.25">
      <c r="B3071" s="39"/>
      <c r="C3071" s="40"/>
      <c r="D3071" s="40"/>
      <c r="F3071" s="40"/>
      <c r="G3071" s="40"/>
      <c r="H3071" s="42"/>
      <c r="I3071" s="42" t="str">
        <f t="shared" si="43"/>
        <v/>
      </c>
    </row>
    <row r="3072" spans="2:9" x14ac:dyDescent="0.25">
      <c r="B3072" s="39"/>
      <c r="C3072" s="40"/>
      <c r="D3072" s="40"/>
      <c r="F3072" s="40"/>
      <c r="G3072" s="40"/>
      <c r="H3072" s="42"/>
      <c r="I3072" s="42" t="str">
        <f t="shared" ref="I3072:I3135" si="44">IF(H3072&lt;&gt;"",H3072-H3071,"")</f>
        <v/>
      </c>
    </row>
    <row r="3073" spans="2:9" x14ac:dyDescent="0.25">
      <c r="B3073" s="39"/>
      <c r="C3073" s="40"/>
      <c r="D3073" s="40"/>
      <c r="F3073" s="40"/>
      <c r="G3073" s="40"/>
      <c r="H3073" s="42"/>
      <c r="I3073" s="42" t="str">
        <f t="shared" si="44"/>
        <v/>
      </c>
    </row>
    <row r="3074" spans="2:9" x14ac:dyDescent="0.25">
      <c r="B3074" s="39"/>
      <c r="C3074" s="40"/>
      <c r="D3074" s="40"/>
      <c r="F3074" s="40"/>
      <c r="G3074" s="40"/>
      <c r="H3074" s="42"/>
      <c r="I3074" s="42" t="str">
        <f t="shared" si="44"/>
        <v/>
      </c>
    </row>
    <row r="3075" spans="2:9" x14ac:dyDescent="0.25">
      <c r="B3075" s="39"/>
      <c r="C3075" s="40"/>
      <c r="D3075" s="40"/>
      <c r="F3075" s="40"/>
      <c r="G3075" s="40"/>
      <c r="H3075" s="42"/>
      <c r="I3075" s="42" t="str">
        <f t="shared" si="44"/>
        <v/>
      </c>
    </row>
    <row r="3076" spans="2:9" x14ac:dyDescent="0.25">
      <c r="B3076" s="39"/>
      <c r="C3076" s="40"/>
      <c r="D3076" s="40"/>
      <c r="F3076" s="40"/>
      <c r="G3076" s="40"/>
      <c r="H3076" s="42"/>
      <c r="I3076" s="42" t="str">
        <f t="shared" si="44"/>
        <v/>
      </c>
    </row>
    <row r="3077" spans="2:9" x14ac:dyDescent="0.25">
      <c r="B3077" s="39"/>
      <c r="C3077" s="40"/>
      <c r="D3077" s="40"/>
      <c r="F3077" s="40"/>
      <c r="G3077" s="40"/>
      <c r="H3077" s="42"/>
      <c r="I3077" s="42" t="str">
        <f t="shared" si="44"/>
        <v/>
      </c>
    </row>
    <row r="3078" spans="2:9" x14ac:dyDescent="0.25">
      <c r="B3078" s="39"/>
      <c r="C3078" s="40"/>
      <c r="D3078" s="40"/>
      <c r="F3078" s="40"/>
      <c r="G3078" s="40"/>
      <c r="H3078" s="42"/>
      <c r="I3078" s="42" t="str">
        <f t="shared" si="44"/>
        <v/>
      </c>
    </row>
    <row r="3079" spans="2:9" x14ac:dyDescent="0.25">
      <c r="B3079" s="39"/>
      <c r="C3079" s="40"/>
      <c r="D3079" s="40"/>
      <c r="F3079" s="40"/>
      <c r="G3079" s="40"/>
      <c r="H3079" s="42"/>
      <c r="I3079" s="42" t="str">
        <f t="shared" si="44"/>
        <v/>
      </c>
    </row>
    <row r="3080" spans="2:9" x14ac:dyDescent="0.25">
      <c r="B3080" s="39"/>
      <c r="C3080" s="40"/>
      <c r="D3080" s="40"/>
      <c r="F3080" s="40"/>
      <c r="G3080" s="40"/>
      <c r="H3080" s="42"/>
      <c r="I3080" s="42" t="str">
        <f t="shared" si="44"/>
        <v/>
      </c>
    </row>
    <row r="3081" spans="2:9" x14ac:dyDescent="0.25">
      <c r="B3081" s="39"/>
      <c r="C3081" s="40"/>
      <c r="D3081" s="40"/>
      <c r="F3081" s="40"/>
      <c r="G3081" s="40"/>
      <c r="H3081" s="42"/>
      <c r="I3081" s="42" t="str">
        <f t="shared" si="44"/>
        <v/>
      </c>
    </row>
    <row r="3082" spans="2:9" x14ac:dyDescent="0.25">
      <c r="B3082" s="39"/>
      <c r="C3082" s="40"/>
      <c r="D3082" s="40"/>
      <c r="F3082" s="40"/>
      <c r="G3082" s="40"/>
      <c r="H3082" s="42"/>
      <c r="I3082" s="42" t="str">
        <f t="shared" si="44"/>
        <v/>
      </c>
    </row>
    <row r="3083" spans="2:9" x14ac:dyDescent="0.25">
      <c r="B3083" s="39"/>
      <c r="C3083" s="40"/>
      <c r="D3083" s="40"/>
      <c r="F3083" s="40"/>
      <c r="G3083" s="40"/>
      <c r="H3083" s="42"/>
      <c r="I3083" s="42" t="str">
        <f t="shared" si="44"/>
        <v/>
      </c>
    </row>
    <row r="3084" spans="2:9" x14ac:dyDescent="0.25">
      <c r="B3084" s="39"/>
      <c r="C3084" s="40"/>
      <c r="D3084" s="40"/>
      <c r="F3084" s="40"/>
      <c r="G3084" s="40"/>
      <c r="H3084" s="42"/>
      <c r="I3084" s="42" t="str">
        <f t="shared" si="44"/>
        <v/>
      </c>
    </row>
    <row r="3085" spans="2:9" x14ac:dyDescent="0.25">
      <c r="B3085" s="39"/>
      <c r="C3085" s="40"/>
      <c r="D3085" s="40"/>
      <c r="F3085" s="40"/>
      <c r="G3085" s="40"/>
      <c r="H3085" s="42"/>
      <c r="I3085" s="42" t="str">
        <f t="shared" si="44"/>
        <v/>
      </c>
    </row>
    <row r="3086" spans="2:9" x14ac:dyDescent="0.25">
      <c r="B3086" s="39"/>
      <c r="C3086" s="40"/>
      <c r="D3086" s="40"/>
      <c r="F3086" s="40"/>
      <c r="G3086" s="40"/>
      <c r="H3086" s="42"/>
      <c r="I3086" s="42" t="str">
        <f t="shared" si="44"/>
        <v/>
      </c>
    </row>
    <row r="3087" spans="2:9" x14ac:dyDescent="0.25">
      <c r="B3087" s="39"/>
      <c r="C3087" s="40"/>
      <c r="D3087" s="40"/>
      <c r="F3087" s="40"/>
      <c r="G3087" s="40"/>
      <c r="H3087" s="42"/>
      <c r="I3087" s="42" t="str">
        <f t="shared" si="44"/>
        <v/>
      </c>
    </row>
    <row r="3088" spans="2:9" x14ac:dyDescent="0.25">
      <c r="B3088" s="39"/>
      <c r="C3088" s="40"/>
      <c r="D3088" s="40"/>
      <c r="F3088" s="40"/>
      <c r="G3088" s="40"/>
      <c r="H3088" s="42"/>
      <c r="I3088" s="42" t="str">
        <f t="shared" si="44"/>
        <v/>
      </c>
    </row>
    <row r="3089" spans="2:9" x14ac:dyDescent="0.25">
      <c r="B3089" s="39"/>
      <c r="C3089" s="40"/>
      <c r="D3089" s="40"/>
      <c r="F3089" s="40"/>
      <c r="G3089" s="40"/>
      <c r="H3089" s="42"/>
      <c r="I3089" s="42" t="str">
        <f t="shared" si="44"/>
        <v/>
      </c>
    </row>
    <row r="3090" spans="2:9" x14ac:dyDescent="0.25">
      <c r="B3090" s="39"/>
      <c r="C3090" s="40"/>
      <c r="D3090" s="40"/>
      <c r="F3090" s="40"/>
      <c r="G3090" s="40"/>
      <c r="H3090" s="42"/>
      <c r="I3090" s="42" t="str">
        <f t="shared" si="44"/>
        <v/>
      </c>
    </row>
    <row r="3091" spans="2:9" x14ac:dyDescent="0.25">
      <c r="B3091" s="39"/>
      <c r="C3091" s="40"/>
      <c r="D3091" s="40"/>
      <c r="F3091" s="40"/>
      <c r="G3091" s="40"/>
      <c r="H3091" s="42"/>
      <c r="I3091" s="42" t="str">
        <f t="shared" si="44"/>
        <v/>
      </c>
    </row>
    <row r="3092" spans="2:9" x14ac:dyDescent="0.25">
      <c r="B3092" s="39"/>
      <c r="C3092" s="40"/>
      <c r="D3092" s="40"/>
      <c r="F3092" s="40"/>
      <c r="G3092" s="40"/>
      <c r="H3092" s="42"/>
      <c r="I3092" s="42" t="str">
        <f t="shared" si="44"/>
        <v/>
      </c>
    </row>
    <row r="3093" spans="2:9" x14ac:dyDescent="0.25">
      <c r="B3093" s="39"/>
      <c r="C3093" s="40"/>
      <c r="D3093" s="40"/>
      <c r="F3093" s="40"/>
      <c r="G3093" s="40"/>
      <c r="H3093" s="42"/>
      <c r="I3093" s="42" t="str">
        <f t="shared" si="44"/>
        <v/>
      </c>
    </row>
    <row r="3094" spans="2:9" x14ac:dyDescent="0.25">
      <c r="B3094" s="39"/>
      <c r="C3094" s="40"/>
      <c r="D3094" s="40"/>
      <c r="F3094" s="40"/>
      <c r="G3094" s="40"/>
      <c r="H3094" s="42"/>
      <c r="I3094" s="42" t="str">
        <f t="shared" si="44"/>
        <v/>
      </c>
    </row>
    <row r="3095" spans="2:9" x14ac:dyDescent="0.25">
      <c r="B3095" s="39"/>
      <c r="C3095" s="40"/>
      <c r="D3095" s="40"/>
      <c r="F3095" s="40"/>
      <c r="G3095" s="40"/>
      <c r="H3095" s="42"/>
      <c r="I3095" s="42" t="str">
        <f t="shared" si="44"/>
        <v/>
      </c>
    </row>
    <row r="3096" spans="2:9" x14ac:dyDescent="0.25">
      <c r="B3096" s="39"/>
      <c r="C3096" s="40"/>
      <c r="D3096" s="40"/>
      <c r="F3096" s="40"/>
      <c r="G3096" s="40"/>
      <c r="H3096" s="42"/>
      <c r="I3096" s="42" t="str">
        <f t="shared" si="44"/>
        <v/>
      </c>
    </row>
    <row r="3097" spans="2:9" x14ac:dyDescent="0.25">
      <c r="B3097" s="39"/>
      <c r="C3097" s="40"/>
      <c r="D3097" s="40"/>
      <c r="F3097" s="40"/>
      <c r="G3097" s="40"/>
      <c r="H3097" s="42"/>
      <c r="I3097" s="42" t="str">
        <f t="shared" si="44"/>
        <v/>
      </c>
    </row>
    <row r="3098" spans="2:9" x14ac:dyDescent="0.25">
      <c r="B3098" s="39"/>
      <c r="C3098" s="40"/>
      <c r="D3098" s="40"/>
      <c r="F3098" s="40"/>
      <c r="G3098" s="40"/>
      <c r="H3098" s="42"/>
      <c r="I3098" s="42" t="str">
        <f t="shared" si="44"/>
        <v/>
      </c>
    </row>
    <row r="3099" spans="2:9" x14ac:dyDescent="0.25">
      <c r="B3099" s="39"/>
      <c r="C3099" s="40"/>
      <c r="D3099" s="40"/>
      <c r="F3099" s="40"/>
      <c r="G3099" s="40"/>
      <c r="H3099" s="42"/>
      <c r="I3099" s="42" t="str">
        <f t="shared" si="44"/>
        <v/>
      </c>
    </row>
    <row r="3100" spans="2:9" x14ac:dyDescent="0.25">
      <c r="B3100" s="39"/>
      <c r="C3100" s="40"/>
      <c r="D3100" s="40"/>
      <c r="F3100" s="40"/>
      <c r="G3100" s="40"/>
      <c r="H3100" s="42"/>
      <c r="I3100" s="42" t="str">
        <f t="shared" si="44"/>
        <v/>
      </c>
    </row>
    <row r="3101" spans="2:9" x14ac:dyDescent="0.25">
      <c r="B3101" s="39"/>
      <c r="C3101" s="40"/>
      <c r="D3101" s="40"/>
      <c r="F3101" s="40"/>
      <c r="G3101" s="40"/>
      <c r="H3101" s="42"/>
      <c r="I3101" s="42" t="str">
        <f t="shared" si="44"/>
        <v/>
      </c>
    </row>
    <row r="3102" spans="2:9" x14ac:dyDescent="0.25">
      <c r="B3102" s="39"/>
      <c r="C3102" s="40"/>
      <c r="D3102" s="40"/>
      <c r="F3102" s="40"/>
      <c r="G3102" s="40"/>
      <c r="H3102" s="42"/>
      <c r="I3102" s="42" t="str">
        <f t="shared" si="44"/>
        <v/>
      </c>
    </row>
    <row r="3103" spans="2:9" x14ac:dyDescent="0.25">
      <c r="B3103" s="39"/>
      <c r="C3103" s="40"/>
      <c r="D3103" s="40"/>
      <c r="F3103" s="40"/>
      <c r="G3103" s="40"/>
      <c r="H3103" s="42"/>
      <c r="I3103" s="42" t="str">
        <f t="shared" si="44"/>
        <v/>
      </c>
    </row>
    <row r="3104" spans="2:9" x14ac:dyDescent="0.25">
      <c r="B3104" s="39"/>
      <c r="C3104" s="40"/>
      <c r="D3104" s="40"/>
      <c r="F3104" s="40"/>
      <c r="G3104" s="40"/>
      <c r="H3104" s="42"/>
      <c r="I3104" s="42" t="str">
        <f t="shared" si="44"/>
        <v/>
      </c>
    </row>
    <row r="3105" spans="2:9" x14ac:dyDescent="0.25">
      <c r="B3105" s="39"/>
      <c r="C3105" s="40"/>
      <c r="D3105" s="40"/>
      <c r="F3105" s="40"/>
      <c r="G3105" s="40"/>
      <c r="H3105" s="42"/>
      <c r="I3105" s="42" t="str">
        <f t="shared" si="44"/>
        <v/>
      </c>
    </row>
    <row r="3106" spans="2:9" x14ac:dyDescent="0.25">
      <c r="B3106" s="39"/>
      <c r="C3106" s="40"/>
      <c r="D3106" s="40"/>
      <c r="F3106" s="40"/>
      <c r="G3106" s="40"/>
      <c r="H3106" s="42"/>
      <c r="I3106" s="42" t="str">
        <f t="shared" si="44"/>
        <v/>
      </c>
    </row>
    <row r="3107" spans="2:9" x14ac:dyDescent="0.25">
      <c r="B3107" s="39"/>
      <c r="C3107" s="40"/>
      <c r="D3107" s="40"/>
      <c r="F3107" s="40"/>
      <c r="G3107" s="40"/>
      <c r="H3107" s="42"/>
      <c r="I3107" s="42" t="str">
        <f t="shared" si="44"/>
        <v/>
      </c>
    </row>
    <row r="3108" spans="2:9" x14ac:dyDescent="0.25">
      <c r="B3108" s="39"/>
      <c r="C3108" s="40"/>
      <c r="D3108" s="40"/>
      <c r="F3108" s="40"/>
      <c r="G3108" s="40"/>
      <c r="H3108" s="42"/>
      <c r="I3108" s="42" t="str">
        <f t="shared" si="44"/>
        <v/>
      </c>
    </row>
    <row r="3109" spans="2:9" x14ac:dyDescent="0.25">
      <c r="B3109" s="39"/>
      <c r="C3109" s="40"/>
      <c r="D3109" s="40"/>
      <c r="F3109" s="40"/>
      <c r="G3109" s="40"/>
      <c r="H3109" s="42"/>
      <c r="I3109" s="42" t="str">
        <f t="shared" si="44"/>
        <v/>
      </c>
    </row>
    <row r="3110" spans="2:9" x14ac:dyDescent="0.25">
      <c r="B3110" s="39"/>
      <c r="C3110" s="40"/>
      <c r="D3110" s="40"/>
      <c r="F3110" s="40"/>
      <c r="G3110" s="40"/>
      <c r="H3110" s="42"/>
      <c r="I3110" s="42" t="str">
        <f t="shared" si="44"/>
        <v/>
      </c>
    </row>
    <row r="3111" spans="2:9" x14ac:dyDescent="0.25">
      <c r="B3111" s="39"/>
      <c r="C3111" s="40"/>
      <c r="D3111" s="40"/>
      <c r="F3111" s="40"/>
      <c r="G3111" s="40"/>
      <c r="H3111" s="42"/>
      <c r="I3111" s="42" t="str">
        <f t="shared" si="44"/>
        <v/>
      </c>
    </row>
    <row r="3112" spans="2:9" x14ac:dyDescent="0.25">
      <c r="B3112" s="39"/>
      <c r="C3112" s="40"/>
      <c r="D3112" s="40"/>
      <c r="F3112" s="40"/>
      <c r="G3112" s="40"/>
      <c r="H3112" s="42"/>
      <c r="I3112" s="42" t="str">
        <f t="shared" si="44"/>
        <v/>
      </c>
    </row>
    <row r="3113" spans="2:9" x14ac:dyDescent="0.25">
      <c r="B3113" s="39"/>
      <c r="C3113" s="40"/>
      <c r="D3113" s="40"/>
      <c r="F3113" s="40"/>
      <c r="G3113" s="40"/>
      <c r="H3113" s="42"/>
      <c r="I3113" s="42" t="str">
        <f t="shared" si="44"/>
        <v/>
      </c>
    </row>
    <row r="3114" spans="2:9" x14ac:dyDescent="0.25">
      <c r="B3114" s="39"/>
      <c r="C3114" s="40"/>
      <c r="D3114" s="40"/>
      <c r="F3114" s="40"/>
      <c r="G3114" s="40"/>
      <c r="H3114" s="42"/>
      <c r="I3114" s="42" t="str">
        <f t="shared" si="44"/>
        <v/>
      </c>
    </row>
    <row r="3115" spans="2:9" x14ac:dyDescent="0.25">
      <c r="B3115" s="39"/>
      <c r="C3115" s="40"/>
      <c r="D3115" s="40"/>
      <c r="F3115" s="40"/>
      <c r="G3115" s="40"/>
      <c r="H3115" s="42"/>
      <c r="I3115" s="42" t="str">
        <f t="shared" si="44"/>
        <v/>
      </c>
    </row>
    <row r="3116" spans="2:9" x14ac:dyDescent="0.25">
      <c r="B3116" s="39"/>
      <c r="C3116" s="40"/>
      <c r="D3116" s="40"/>
      <c r="F3116" s="40"/>
      <c r="G3116" s="40"/>
      <c r="H3116" s="42"/>
      <c r="I3116" s="42" t="str">
        <f t="shared" si="44"/>
        <v/>
      </c>
    </row>
    <row r="3117" spans="2:9" x14ac:dyDescent="0.25">
      <c r="B3117" s="39"/>
      <c r="C3117" s="40"/>
      <c r="D3117" s="40"/>
      <c r="F3117" s="40"/>
      <c r="G3117" s="40"/>
      <c r="H3117" s="42"/>
      <c r="I3117" s="42" t="str">
        <f t="shared" si="44"/>
        <v/>
      </c>
    </row>
    <row r="3118" spans="2:9" x14ac:dyDescent="0.25">
      <c r="B3118" s="39"/>
      <c r="C3118" s="40"/>
      <c r="D3118" s="40"/>
      <c r="F3118" s="40"/>
      <c r="G3118" s="40"/>
      <c r="H3118" s="42"/>
      <c r="I3118" s="42" t="str">
        <f t="shared" si="44"/>
        <v/>
      </c>
    </row>
    <row r="3119" spans="2:9" x14ac:dyDescent="0.25">
      <c r="B3119" s="39"/>
      <c r="C3119" s="40"/>
      <c r="D3119" s="40"/>
      <c r="F3119" s="40"/>
      <c r="G3119" s="40"/>
      <c r="H3119" s="42"/>
      <c r="I3119" s="42" t="str">
        <f t="shared" si="44"/>
        <v/>
      </c>
    </row>
    <row r="3120" spans="2:9" x14ac:dyDescent="0.25">
      <c r="B3120" s="39"/>
      <c r="C3120" s="40"/>
      <c r="D3120" s="40"/>
      <c r="F3120" s="40"/>
      <c r="G3120" s="40"/>
      <c r="H3120" s="42"/>
      <c r="I3120" s="42" t="str">
        <f t="shared" si="44"/>
        <v/>
      </c>
    </row>
    <row r="3121" spans="2:9" x14ac:dyDescent="0.25">
      <c r="B3121" s="39"/>
      <c r="C3121" s="40"/>
      <c r="D3121" s="40"/>
      <c r="F3121" s="40"/>
      <c r="G3121" s="40"/>
      <c r="H3121" s="42"/>
      <c r="I3121" s="42" t="str">
        <f t="shared" si="44"/>
        <v/>
      </c>
    </row>
    <row r="3122" spans="2:9" x14ac:dyDescent="0.25">
      <c r="B3122" s="39"/>
      <c r="C3122" s="40"/>
      <c r="D3122" s="40"/>
      <c r="F3122" s="40"/>
      <c r="G3122" s="40"/>
      <c r="H3122" s="42"/>
      <c r="I3122" s="42" t="str">
        <f t="shared" si="44"/>
        <v/>
      </c>
    </row>
    <row r="3123" spans="2:9" x14ac:dyDescent="0.25">
      <c r="B3123" s="39"/>
      <c r="C3123" s="40"/>
      <c r="D3123" s="40"/>
      <c r="F3123" s="40"/>
      <c r="G3123" s="40"/>
      <c r="H3123" s="42"/>
      <c r="I3123" s="42" t="str">
        <f t="shared" si="44"/>
        <v/>
      </c>
    </row>
    <row r="3124" spans="2:9" x14ac:dyDescent="0.25">
      <c r="B3124" s="39"/>
      <c r="C3124" s="40"/>
      <c r="D3124" s="40"/>
      <c r="F3124" s="40"/>
      <c r="G3124" s="40"/>
      <c r="H3124" s="42"/>
      <c r="I3124" s="42" t="str">
        <f t="shared" si="44"/>
        <v/>
      </c>
    </row>
    <row r="3125" spans="2:9" x14ac:dyDescent="0.25">
      <c r="B3125" s="39"/>
      <c r="C3125" s="40"/>
      <c r="D3125" s="40"/>
      <c r="F3125" s="40"/>
      <c r="G3125" s="40"/>
      <c r="H3125" s="42"/>
      <c r="I3125" s="42" t="str">
        <f t="shared" si="44"/>
        <v/>
      </c>
    </row>
    <row r="3126" spans="2:9" x14ac:dyDescent="0.25">
      <c r="B3126" s="39"/>
      <c r="C3126" s="40"/>
      <c r="D3126" s="40"/>
      <c r="F3126" s="40"/>
      <c r="G3126" s="40"/>
      <c r="H3126" s="42"/>
      <c r="I3126" s="42" t="str">
        <f t="shared" si="44"/>
        <v/>
      </c>
    </row>
    <row r="3127" spans="2:9" x14ac:dyDescent="0.25">
      <c r="B3127" s="39"/>
      <c r="C3127" s="40"/>
      <c r="D3127" s="40"/>
      <c r="F3127" s="40"/>
      <c r="G3127" s="40"/>
      <c r="H3127" s="42"/>
      <c r="I3127" s="42" t="str">
        <f t="shared" si="44"/>
        <v/>
      </c>
    </row>
    <row r="3128" spans="2:9" x14ac:dyDescent="0.25">
      <c r="B3128" s="39"/>
      <c r="C3128" s="40"/>
      <c r="D3128" s="40"/>
      <c r="F3128" s="40"/>
      <c r="G3128" s="40"/>
      <c r="H3128" s="42"/>
      <c r="I3128" s="42" t="str">
        <f t="shared" si="44"/>
        <v/>
      </c>
    </row>
    <row r="3129" spans="2:9" x14ac:dyDescent="0.25">
      <c r="B3129" s="39"/>
      <c r="C3129" s="40"/>
      <c r="D3129" s="40"/>
      <c r="F3129" s="40"/>
      <c r="G3129" s="40"/>
      <c r="H3129" s="42"/>
      <c r="I3129" s="42" t="str">
        <f t="shared" si="44"/>
        <v/>
      </c>
    </row>
    <row r="3130" spans="2:9" x14ac:dyDescent="0.25">
      <c r="B3130" s="39"/>
      <c r="C3130" s="40"/>
      <c r="D3130" s="40"/>
      <c r="F3130" s="40"/>
      <c r="G3130" s="40"/>
      <c r="H3130" s="42"/>
      <c r="I3130" s="42" t="str">
        <f t="shared" si="44"/>
        <v/>
      </c>
    </row>
    <row r="3131" spans="2:9" x14ac:dyDescent="0.25">
      <c r="B3131" s="39"/>
      <c r="C3131" s="40"/>
      <c r="D3131" s="40"/>
      <c r="F3131" s="40"/>
      <c r="G3131" s="40"/>
      <c r="H3131" s="42"/>
      <c r="I3131" s="42" t="str">
        <f t="shared" si="44"/>
        <v/>
      </c>
    </row>
    <row r="3132" spans="2:9" x14ac:dyDescent="0.25">
      <c r="B3132" s="39"/>
      <c r="C3132" s="40"/>
      <c r="D3132" s="40"/>
      <c r="F3132" s="40"/>
      <c r="G3132" s="40"/>
      <c r="H3132" s="42"/>
      <c r="I3132" s="42" t="str">
        <f t="shared" si="44"/>
        <v/>
      </c>
    </row>
    <row r="3133" spans="2:9" x14ac:dyDescent="0.25">
      <c r="B3133" s="39"/>
      <c r="C3133" s="40"/>
      <c r="D3133" s="40"/>
      <c r="F3133" s="40"/>
      <c r="G3133" s="40"/>
      <c r="H3133" s="42"/>
      <c r="I3133" s="42" t="str">
        <f t="shared" si="44"/>
        <v/>
      </c>
    </row>
    <row r="3134" spans="2:9" x14ac:dyDescent="0.25">
      <c r="B3134" s="39"/>
      <c r="C3134" s="40"/>
      <c r="D3134" s="40"/>
      <c r="F3134" s="40"/>
      <c r="G3134" s="40"/>
      <c r="H3134" s="42"/>
      <c r="I3134" s="42" t="str">
        <f t="shared" si="44"/>
        <v/>
      </c>
    </row>
    <row r="3135" spans="2:9" x14ac:dyDescent="0.25">
      <c r="B3135" s="39"/>
      <c r="C3135" s="40"/>
      <c r="D3135" s="40"/>
      <c r="F3135" s="40"/>
      <c r="G3135" s="40"/>
      <c r="H3135" s="42"/>
      <c r="I3135" s="42" t="str">
        <f t="shared" si="44"/>
        <v/>
      </c>
    </row>
    <row r="3136" spans="2:9" x14ac:dyDescent="0.25">
      <c r="B3136" s="39"/>
      <c r="C3136" s="40"/>
      <c r="D3136" s="40"/>
      <c r="F3136" s="40"/>
      <c r="G3136" s="40"/>
      <c r="H3136" s="42"/>
      <c r="I3136" s="42" t="str">
        <f t="shared" ref="I3136:I3199" si="45">IF(H3136&lt;&gt;"",H3136-H3135,"")</f>
        <v/>
      </c>
    </row>
    <row r="3137" spans="2:9" x14ac:dyDescent="0.25">
      <c r="B3137" s="39"/>
      <c r="C3137" s="40"/>
      <c r="D3137" s="40"/>
      <c r="F3137" s="40"/>
      <c r="G3137" s="40"/>
      <c r="H3137" s="42"/>
      <c r="I3137" s="42" t="str">
        <f t="shared" si="45"/>
        <v/>
      </c>
    </row>
    <row r="3138" spans="2:9" x14ac:dyDescent="0.25">
      <c r="B3138" s="39"/>
      <c r="C3138" s="40"/>
      <c r="D3138" s="40"/>
      <c r="F3138" s="40"/>
      <c r="G3138" s="40"/>
      <c r="H3138" s="42"/>
      <c r="I3138" s="42" t="str">
        <f t="shared" si="45"/>
        <v/>
      </c>
    </row>
    <row r="3139" spans="2:9" x14ac:dyDescent="0.25">
      <c r="B3139" s="39"/>
      <c r="C3139" s="40"/>
      <c r="D3139" s="40"/>
      <c r="F3139" s="40"/>
      <c r="G3139" s="40"/>
      <c r="H3139" s="42"/>
      <c r="I3139" s="42" t="str">
        <f t="shared" si="45"/>
        <v/>
      </c>
    </row>
    <row r="3140" spans="2:9" x14ac:dyDescent="0.25">
      <c r="B3140" s="39"/>
      <c r="C3140" s="40"/>
      <c r="D3140" s="40"/>
      <c r="F3140" s="40"/>
      <c r="G3140" s="40"/>
      <c r="H3140" s="42"/>
      <c r="I3140" s="42" t="str">
        <f t="shared" si="45"/>
        <v/>
      </c>
    </row>
    <row r="3141" spans="2:9" x14ac:dyDescent="0.25">
      <c r="B3141" s="39"/>
      <c r="C3141" s="40"/>
      <c r="D3141" s="40"/>
      <c r="F3141" s="40"/>
      <c r="G3141" s="40"/>
      <c r="H3141" s="42"/>
      <c r="I3141" s="42" t="str">
        <f t="shared" si="45"/>
        <v/>
      </c>
    </row>
    <row r="3142" spans="2:9" x14ac:dyDescent="0.25">
      <c r="B3142" s="39"/>
      <c r="C3142" s="40"/>
      <c r="D3142" s="40"/>
      <c r="F3142" s="40"/>
      <c r="G3142" s="40"/>
      <c r="H3142" s="42"/>
      <c r="I3142" s="42" t="str">
        <f t="shared" si="45"/>
        <v/>
      </c>
    </row>
    <row r="3143" spans="2:9" x14ac:dyDescent="0.25">
      <c r="B3143" s="39"/>
      <c r="C3143" s="40"/>
      <c r="D3143" s="40"/>
      <c r="F3143" s="40"/>
      <c r="G3143" s="40"/>
      <c r="H3143" s="42"/>
      <c r="I3143" s="42" t="str">
        <f t="shared" si="45"/>
        <v/>
      </c>
    </row>
    <row r="3144" spans="2:9" x14ac:dyDescent="0.25">
      <c r="B3144" s="39"/>
      <c r="C3144" s="40"/>
      <c r="D3144" s="40"/>
      <c r="F3144" s="40"/>
      <c r="G3144" s="40"/>
      <c r="H3144" s="42"/>
      <c r="I3144" s="42" t="str">
        <f t="shared" si="45"/>
        <v/>
      </c>
    </row>
    <row r="3145" spans="2:9" x14ac:dyDescent="0.25">
      <c r="B3145" s="39"/>
      <c r="C3145" s="40"/>
      <c r="D3145" s="40"/>
      <c r="F3145" s="40"/>
      <c r="G3145" s="40"/>
      <c r="H3145" s="42"/>
      <c r="I3145" s="42" t="str">
        <f t="shared" si="45"/>
        <v/>
      </c>
    </row>
    <row r="3146" spans="2:9" x14ac:dyDescent="0.25">
      <c r="B3146" s="39"/>
      <c r="C3146" s="40"/>
      <c r="D3146" s="40"/>
      <c r="F3146" s="40"/>
      <c r="G3146" s="40"/>
      <c r="H3146" s="42"/>
      <c r="I3146" s="42" t="str">
        <f t="shared" si="45"/>
        <v/>
      </c>
    </row>
    <row r="3147" spans="2:9" x14ac:dyDescent="0.25">
      <c r="B3147" s="39"/>
      <c r="C3147" s="40"/>
      <c r="D3147" s="40"/>
      <c r="F3147" s="40"/>
      <c r="G3147" s="40"/>
      <c r="H3147" s="42"/>
      <c r="I3147" s="42" t="str">
        <f t="shared" si="45"/>
        <v/>
      </c>
    </row>
    <row r="3148" spans="2:9" x14ac:dyDescent="0.25">
      <c r="B3148" s="39"/>
      <c r="C3148" s="40"/>
      <c r="D3148" s="40"/>
      <c r="F3148" s="40"/>
      <c r="G3148" s="40"/>
      <c r="H3148" s="42"/>
      <c r="I3148" s="42" t="str">
        <f t="shared" si="45"/>
        <v/>
      </c>
    </row>
    <row r="3149" spans="2:9" x14ac:dyDescent="0.25">
      <c r="B3149" s="39"/>
      <c r="C3149" s="40"/>
      <c r="D3149" s="40"/>
      <c r="F3149" s="40"/>
      <c r="G3149" s="40"/>
      <c r="H3149" s="42"/>
      <c r="I3149" s="42" t="str">
        <f t="shared" si="45"/>
        <v/>
      </c>
    </row>
    <row r="3150" spans="2:9" x14ac:dyDescent="0.25">
      <c r="B3150" s="39"/>
      <c r="C3150" s="40"/>
      <c r="D3150" s="40"/>
      <c r="F3150" s="40"/>
      <c r="G3150" s="40"/>
      <c r="H3150" s="42"/>
      <c r="I3150" s="42" t="str">
        <f t="shared" si="45"/>
        <v/>
      </c>
    </row>
    <row r="3151" spans="2:9" x14ac:dyDescent="0.25">
      <c r="B3151" s="39"/>
      <c r="C3151" s="40"/>
      <c r="D3151" s="40"/>
      <c r="F3151" s="40"/>
      <c r="G3151" s="40"/>
      <c r="H3151" s="42"/>
      <c r="I3151" s="42" t="str">
        <f t="shared" si="45"/>
        <v/>
      </c>
    </row>
    <row r="3152" spans="2:9" x14ac:dyDescent="0.25">
      <c r="B3152" s="39"/>
      <c r="C3152" s="40"/>
      <c r="D3152" s="40"/>
      <c r="F3152" s="40"/>
      <c r="G3152" s="40"/>
      <c r="H3152" s="42"/>
      <c r="I3152" s="42" t="str">
        <f t="shared" si="45"/>
        <v/>
      </c>
    </row>
    <row r="3153" spans="2:9" x14ac:dyDescent="0.25">
      <c r="B3153" s="39"/>
      <c r="C3153" s="40"/>
      <c r="D3153" s="40"/>
      <c r="F3153" s="40"/>
      <c r="G3153" s="40"/>
      <c r="H3153" s="42"/>
      <c r="I3153" s="42" t="str">
        <f t="shared" si="45"/>
        <v/>
      </c>
    </row>
    <row r="3154" spans="2:9" x14ac:dyDescent="0.25">
      <c r="B3154" s="39"/>
      <c r="C3154" s="40"/>
      <c r="D3154" s="40"/>
      <c r="F3154" s="40"/>
      <c r="G3154" s="40"/>
      <c r="H3154" s="42"/>
      <c r="I3154" s="42" t="str">
        <f t="shared" si="45"/>
        <v/>
      </c>
    </row>
    <row r="3155" spans="2:9" x14ac:dyDescent="0.25">
      <c r="B3155" s="39"/>
      <c r="C3155" s="40"/>
      <c r="D3155" s="40"/>
      <c r="F3155" s="40"/>
      <c r="G3155" s="40"/>
      <c r="H3155" s="42"/>
      <c r="I3155" s="42" t="str">
        <f t="shared" si="45"/>
        <v/>
      </c>
    </row>
    <row r="3156" spans="2:9" x14ac:dyDescent="0.25">
      <c r="B3156" s="39"/>
      <c r="C3156" s="40"/>
      <c r="D3156" s="40"/>
      <c r="F3156" s="40"/>
      <c r="G3156" s="40"/>
      <c r="H3156" s="42"/>
      <c r="I3156" s="42" t="str">
        <f t="shared" si="45"/>
        <v/>
      </c>
    </row>
    <row r="3157" spans="2:9" x14ac:dyDescent="0.25">
      <c r="B3157" s="39"/>
      <c r="C3157" s="40"/>
      <c r="D3157" s="40"/>
      <c r="F3157" s="40"/>
      <c r="G3157" s="40"/>
      <c r="H3157" s="42"/>
      <c r="I3157" s="42" t="str">
        <f t="shared" si="45"/>
        <v/>
      </c>
    </row>
    <row r="3158" spans="2:9" x14ac:dyDescent="0.25">
      <c r="B3158" s="39"/>
      <c r="C3158" s="40"/>
      <c r="D3158" s="40"/>
      <c r="F3158" s="40"/>
      <c r="G3158" s="40"/>
      <c r="H3158" s="42"/>
      <c r="I3158" s="42" t="str">
        <f t="shared" si="45"/>
        <v/>
      </c>
    </row>
    <row r="3159" spans="2:9" x14ac:dyDescent="0.25">
      <c r="B3159" s="39"/>
      <c r="C3159" s="40"/>
      <c r="D3159" s="40"/>
      <c r="F3159" s="40"/>
      <c r="G3159" s="40"/>
      <c r="H3159" s="42"/>
      <c r="I3159" s="42" t="str">
        <f t="shared" si="45"/>
        <v/>
      </c>
    </row>
    <row r="3160" spans="2:9" x14ac:dyDescent="0.25">
      <c r="B3160" s="39"/>
      <c r="C3160" s="40"/>
      <c r="D3160" s="40"/>
      <c r="F3160" s="40"/>
      <c r="G3160" s="40"/>
      <c r="H3160" s="42"/>
      <c r="I3160" s="42" t="str">
        <f t="shared" si="45"/>
        <v/>
      </c>
    </row>
    <row r="3161" spans="2:9" x14ac:dyDescent="0.25">
      <c r="B3161" s="39"/>
      <c r="C3161" s="40"/>
      <c r="D3161" s="40"/>
      <c r="F3161" s="40"/>
      <c r="G3161" s="40"/>
      <c r="H3161" s="42"/>
      <c r="I3161" s="42" t="str">
        <f t="shared" si="45"/>
        <v/>
      </c>
    </row>
    <row r="3162" spans="2:9" x14ac:dyDescent="0.25">
      <c r="B3162" s="39"/>
      <c r="C3162" s="40"/>
      <c r="D3162" s="40"/>
      <c r="F3162" s="40"/>
      <c r="G3162" s="40"/>
      <c r="H3162" s="42"/>
      <c r="I3162" s="42" t="str">
        <f t="shared" si="45"/>
        <v/>
      </c>
    </row>
    <row r="3163" spans="2:9" x14ac:dyDescent="0.25">
      <c r="B3163" s="39"/>
      <c r="C3163" s="40"/>
      <c r="D3163" s="40"/>
      <c r="F3163" s="40"/>
      <c r="G3163" s="40"/>
      <c r="H3163" s="42"/>
      <c r="I3163" s="42" t="str">
        <f t="shared" si="45"/>
        <v/>
      </c>
    </row>
    <row r="3164" spans="2:9" x14ac:dyDescent="0.25">
      <c r="B3164" s="39"/>
      <c r="C3164" s="40"/>
      <c r="D3164" s="40"/>
      <c r="F3164" s="40"/>
      <c r="G3164" s="40"/>
      <c r="H3164" s="42"/>
      <c r="I3164" s="42" t="str">
        <f t="shared" si="45"/>
        <v/>
      </c>
    </row>
    <row r="3165" spans="2:9" x14ac:dyDescent="0.25">
      <c r="B3165" s="39"/>
      <c r="C3165" s="40"/>
      <c r="D3165" s="40"/>
      <c r="F3165" s="40"/>
      <c r="G3165" s="40"/>
      <c r="H3165" s="42"/>
      <c r="I3165" s="42" t="str">
        <f t="shared" si="45"/>
        <v/>
      </c>
    </row>
    <row r="3166" spans="2:9" x14ac:dyDescent="0.25">
      <c r="B3166" s="39"/>
      <c r="C3166" s="40"/>
      <c r="D3166" s="40"/>
      <c r="F3166" s="40"/>
      <c r="G3166" s="40"/>
      <c r="H3166" s="42"/>
      <c r="I3166" s="42" t="str">
        <f t="shared" si="45"/>
        <v/>
      </c>
    </row>
    <row r="3167" spans="2:9" x14ac:dyDescent="0.25">
      <c r="B3167" s="39"/>
      <c r="C3167" s="40"/>
      <c r="D3167" s="40"/>
      <c r="F3167" s="40"/>
      <c r="G3167" s="40"/>
      <c r="H3167" s="42"/>
      <c r="I3167" s="42" t="str">
        <f t="shared" si="45"/>
        <v/>
      </c>
    </row>
    <row r="3168" spans="2:9" x14ac:dyDescent="0.25">
      <c r="B3168" s="39"/>
      <c r="C3168" s="40"/>
      <c r="D3168" s="40"/>
      <c r="F3168" s="40"/>
      <c r="G3168" s="40"/>
      <c r="H3168" s="42"/>
      <c r="I3168" s="42" t="str">
        <f t="shared" si="45"/>
        <v/>
      </c>
    </row>
    <row r="3169" spans="2:9" x14ac:dyDescent="0.25">
      <c r="B3169" s="39"/>
      <c r="C3169" s="40"/>
      <c r="D3169" s="40"/>
      <c r="F3169" s="40"/>
      <c r="G3169" s="40"/>
      <c r="H3169" s="42"/>
      <c r="I3169" s="42" t="str">
        <f t="shared" si="45"/>
        <v/>
      </c>
    </row>
    <row r="3170" spans="2:9" x14ac:dyDescent="0.25">
      <c r="B3170" s="39"/>
      <c r="C3170" s="40"/>
      <c r="D3170" s="40"/>
      <c r="F3170" s="40"/>
      <c r="G3170" s="40"/>
      <c r="H3170" s="42"/>
      <c r="I3170" s="42" t="str">
        <f t="shared" si="45"/>
        <v/>
      </c>
    </row>
    <row r="3171" spans="2:9" x14ac:dyDescent="0.25">
      <c r="B3171" s="39"/>
      <c r="C3171" s="40"/>
      <c r="D3171" s="40"/>
      <c r="F3171" s="40"/>
      <c r="G3171" s="40"/>
      <c r="H3171" s="42"/>
      <c r="I3171" s="42" t="str">
        <f t="shared" si="45"/>
        <v/>
      </c>
    </row>
    <row r="3172" spans="2:9" x14ac:dyDescent="0.25">
      <c r="B3172" s="39"/>
      <c r="C3172" s="40"/>
      <c r="D3172" s="40"/>
      <c r="F3172" s="40"/>
      <c r="G3172" s="40"/>
      <c r="H3172" s="42"/>
      <c r="I3172" s="42" t="str">
        <f t="shared" si="45"/>
        <v/>
      </c>
    </row>
    <row r="3173" spans="2:9" x14ac:dyDescent="0.25">
      <c r="B3173" s="39"/>
      <c r="C3173" s="40"/>
      <c r="D3173" s="40"/>
      <c r="F3173" s="40"/>
      <c r="G3173" s="40"/>
      <c r="H3173" s="42"/>
      <c r="I3173" s="42" t="str">
        <f t="shared" si="45"/>
        <v/>
      </c>
    </row>
    <row r="3174" spans="2:9" x14ac:dyDescent="0.25">
      <c r="B3174" s="39"/>
      <c r="C3174" s="40"/>
      <c r="D3174" s="40"/>
      <c r="F3174" s="40"/>
      <c r="G3174" s="40"/>
      <c r="H3174" s="42"/>
      <c r="I3174" s="42" t="str">
        <f t="shared" si="45"/>
        <v/>
      </c>
    </row>
    <row r="3175" spans="2:9" x14ac:dyDescent="0.25">
      <c r="B3175" s="39"/>
      <c r="C3175" s="40"/>
      <c r="D3175" s="40"/>
      <c r="F3175" s="40"/>
      <c r="G3175" s="40"/>
      <c r="H3175" s="42"/>
      <c r="I3175" s="42" t="str">
        <f t="shared" si="45"/>
        <v/>
      </c>
    </row>
    <row r="3176" spans="2:9" x14ac:dyDescent="0.25">
      <c r="B3176" s="39"/>
      <c r="C3176" s="40"/>
      <c r="D3176" s="40"/>
      <c r="F3176" s="40"/>
      <c r="G3176" s="40"/>
      <c r="H3176" s="42"/>
      <c r="I3176" s="42" t="str">
        <f t="shared" si="45"/>
        <v/>
      </c>
    </row>
    <row r="3177" spans="2:9" x14ac:dyDescent="0.25">
      <c r="B3177" s="39"/>
      <c r="C3177" s="40"/>
      <c r="D3177" s="40"/>
      <c r="F3177" s="40"/>
      <c r="G3177" s="40"/>
      <c r="H3177" s="42"/>
      <c r="I3177" s="42" t="str">
        <f t="shared" si="45"/>
        <v/>
      </c>
    </row>
    <row r="3178" spans="2:9" x14ac:dyDescent="0.25">
      <c r="B3178" s="39"/>
      <c r="C3178" s="40"/>
      <c r="D3178" s="40"/>
      <c r="F3178" s="40"/>
      <c r="G3178" s="40"/>
      <c r="H3178" s="42"/>
      <c r="I3178" s="42" t="str">
        <f t="shared" si="45"/>
        <v/>
      </c>
    </row>
    <row r="3179" spans="2:9" x14ac:dyDescent="0.25">
      <c r="B3179" s="39"/>
      <c r="C3179" s="40"/>
      <c r="D3179" s="40"/>
      <c r="F3179" s="40"/>
      <c r="G3179" s="40"/>
      <c r="H3179" s="42"/>
      <c r="I3179" s="42" t="str">
        <f t="shared" si="45"/>
        <v/>
      </c>
    </row>
    <row r="3180" spans="2:9" x14ac:dyDescent="0.25">
      <c r="B3180" s="39"/>
      <c r="C3180" s="40"/>
      <c r="D3180" s="40"/>
      <c r="F3180" s="40"/>
      <c r="G3180" s="40"/>
      <c r="H3180" s="42"/>
      <c r="I3180" s="42" t="str">
        <f t="shared" si="45"/>
        <v/>
      </c>
    </row>
    <row r="3181" spans="2:9" x14ac:dyDescent="0.25">
      <c r="B3181" s="39"/>
      <c r="C3181" s="40"/>
      <c r="D3181" s="40"/>
      <c r="F3181" s="40"/>
      <c r="G3181" s="40"/>
      <c r="H3181" s="42"/>
      <c r="I3181" s="42" t="str">
        <f t="shared" si="45"/>
        <v/>
      </c>
    </row>
    <row r="3182" spans="2:9" x14ac:dyDescent="0.25">
      <c r="B3182" s="39"/>
      <c r="C3182" s="40"/>
      <c r="D3182" s="40"/>
      <c r="F3182" s="40"/>
      <c r="G3182" s="40"/>
      <c r="H3182" s="42"/>
      <c r="I3182" s="42" t="str">
        <f t="shared" si="45"/>
        <v/>
      </c>
    </row>
    <row r="3183" spans="2:9" x14ac:dyDescent="0.25">
      <c r="B3183" s="39"/>
      <c r="C3183" s="40"/>
      <c r="D3183" s="40"/>
      <c r="F3183" s="40"/>
      <c r="G3183" s="40"/>
      <c r="H3183" s="42"/>
      <c r="I3183" s="42" t="str">
        <f t="shared" si="45"/>
        <v/>
      </c>
    </row>
    <row r="3184" spans="2:9" x14ac:dyDescent="0.25">
      <c r="B3184" s="39"/>
      <c r="C3184" s="40"/>
      <c r="D3184" s="40"/>
      <c r="F3184" s="40"/>
      <c r="G3184" s="40"/>
      <c r="H3184" s="42"/>
      <c r="I3184" s="42" t="str">
        <f t="shared" si="45"/>
        <v/>
      </c>
    </row>
    <row r="3185" spans="2:9" x14ac:dyDescent="0.25">
      <c r="B3185" s="39"/>
      <c r="C3185" s="40"/>
      <c r="D3185" s="40"/>
      <c r="F3185" s="40"/>
      <c r="G3185" s="40"/>
      <c r="H3185" s="42"/>
      <c r="I3185" s="42" t="str">
        <f t="shared" si="45"/>
        <v/>
      </c>
    </row>
    <row r="3186" spans="2:9" x14ac:dyDescent="0.25">
      <c r="B3186" s="39"/>
      <c r="C3186" s="40"/>
      <c r="D3186" s="40"/>
      <c r="F3186" s="40"/>
      <c r="G3186" s="40"/>
      <c r="H3186" s="42"/>
      <c r="I3186" s="42" t="str">
        <f t="shared" si="45"/>
        <v/>
      </c>
    </row>
    <row r="3187" spans="2:9" x14ac:dyDescent="0.25">
      <c r="B3187" s="39"/>
      <c r="C3187" s="40"/>
      <c r="D3187" s="40"/>
      <c r="F3187" s="40"/>
      <c r="G3187" s="40"/>
      <c r="H3187" s="42"/>
      <c r="I3187" s="42" t="str">
        <f t="shared" si="45"/>
        <v/>
      </c>
    </row>
    <row r="3188" spans="2:9" x14ac:dyDescent="0.25">
      <c r="B3188" s="39"/>
      <c r="C3188" s="40"/>
      <c r="D3188" s="40"/>
      <c r="F3188" s="40"/>
      <c r="G3188" s="40"/>
      <c r="H3188" s="42"/>
      <c r="I3188" s="42" t="str">
        <f t="shared" si="45"/>
        <v/>
      </c>
    </row>
    <row r="3189" spans="2:9" x14ac:dyDescent="0.25">
      <c r="B3189" s="39"/>
      <c r="C3189" s="40"/>
      <c r="D3189" s="40"/>
      <c r="F3189" s="40"/>
      <c r="G3189" s="40"/>
      <c r="H3189" s="42"/>
      <c r="I3189" s="42" t="str">
        <f t="shared" si="45"/>
        <v/>
      </c>
    </row>
    <row r="3190" spans="2:9" x14ac:dyDescent="0.25">
      <c r="B3190" s="39"/>
      <c r="C3190" s="40"/>
      <c r="D3190" s="40"/>
      <c r="F3190" s="40"/>
      <c r="G3190" s="40"/>
      <c r="H3190" s="42"/>
      <c r="I3190" s="42" t="str">
        <f t="shared" si="45"/>
        <v/>
      </c>
    </row>
    <row r="3191" spans="2:9" x14ac:dyDescent="0.25">
      <c r="B3191" s="39"/>
      <c r="C3191" s="40"/>
      <c r="D3191" s="40"/>
      <c r="F3191" s="40"/>
      <c r="G3191" s="40"/>
      <c r="H3191" s="42"/>
      <c r="I3191" s="42" t="str">
        <f t="shared" si="45"/>
        <v/>
      </c>
    </row>
    <row r="3192" spans="2:9" x14ac:dyDescent="0.25">
      <c r="B3192" s="39"/>
      <c r="C3192" s="40"/>
      <c r="D3192" s="40"/>
      <c r="F3192" s="40"/>
      <c r="G3192" s="40"/>
      <c r="H3192" s="42"/>
      <c r="I3192" s="42" t="str">
        <f t="shared" si="45"/>
        <v/>
      </c>
    </row>
    <row r="3193" spans="2:9" x14ac:dyDescent="0.25">
      <c r="B3193" s="39"/>
      <c r="C3193" s="40"/>
      <c r="D3193" s="40"/>
      <c r="F3193" s="40"/>
      <c r="G3193" s="40"/>
      <c r="H3193" s="42"/>
      <c r="I3193" s="42" t="str">
        <f t="shared" si="45"/>
        <v/>
      </c>
    </row>
    <row r="3194" spans="2:9" x14ac:dyDescent="0.25">
      <c r="B3194" s="39"/>
      <c r="C3194" s="40"/>
      <c r="D3194" s="40"/>
      <c r="F3194" s="40"/>
      <c r="G3194" s="40"/>
      <c r="H3194" s="42"/>
      <c r="I3194" s="42" t="str">
        <f t="shared" si="45"/>
        <v/>
      </c>
    </row>
    <row r="3195" spans="2:9" x14ac:dyDescent="0.25">
      <c r="B3195" s="39"/>
      <c r="C3195" s="40"/>
      <c r="D3195" s="40"/>
      <c r="F3195" s="40"/>
      <c r="G3195" s="40"/>
      <c r="H3195" s="42"/>
      <c r="I3195" s="42" t="str">
        <f t="shared" si="45"/>
        <v/>
      </c>
    </row>
    <row r="3196" spans="2:9" x14ac:dyDescent="0.25">
      <c r="B3196" s="39"/>
      <c r="C3196" s="40"/>
      <c r="D3196" s="40"/>
      <c r="F3196" s="40"/>
      <c r="G3196" s="40"/>
      <c r="H3196" s="42"/>
      <c r="I3196" s="42" t="str">
        <f t="shared" si="45"/>
        <v/>
      </c>
    </row>
    <row r="3197" spans="2:9" x14ac:dyDescent="0.25">
      <c r="B3197" s="39"/>
      <c r="C3197" s="40"/>
      <c r="D3197" s="40"/>
      <c r="F3197" s="40"/>
      <c r="G3197" s="40"/>
      <c r="H3197" s="42"/>
      <c r="I3197" s="42" t="str">
        <f t="shared" si="45"/>
        <v/>
      </c>
    </row>
    <row r="3198" spans="2:9" x14ac:dyDescent="0.25">
      <c r="B3198" s="39"/>
      <c r="C3198" s="40"/>
      <c r="D3198" s="40"/>
      <c r="F3198" s="40"/>
      <c r="G3198" s="40"/>
      <c r="H3198" s="42"/>
      <c r="I3198" s="42" t="str">
        <f t="shared" si="45"/>
        <v/>
      </c>
    </row>
    <row r="3199" spans="2:9" x14ac:dyDescent="0.25">
      <c r="B3199" s="39"/>
      <c r="C3199" s="40"/>
      <c r="D3199" s="40"/>
      <c r="F3199" s="40"/>
      <c r="G3199" s="40"/>
      <c r="H3199" s="42"/>
      <c r="I3199" s="42" t="str">
        <f t="shared" si="45"/>
        <v/>
      </c>
    </row>
    <row r="3200" spans="2:9" x14ac:dyDescent="0.25">
      <c r="B3200" s="39"/>
      <c r="C3200" s="40"/>
      <c r="D3200" s="40"/>
      <c r="F3200" s="40"/>
      <c r="G3200" s="40"/>
      <c r="H3200" s="42"/>
      <c r="I3200" s="42" t="str">
        <f t="shared" ref="I3200:I3263" si="46">IF(H3200&lt;&gt;"",H3200-H3199,"")</f>
        <v/>
      </c>
    </row>
    <row r="3201" spans="2:9" x14ac:dyDescent="0.25">
      <c r="B3201" s="39"/>
      <c r="C3201" s="40"/>
      <c r="D3201" s="40"/>
      <c r="F3201" s="40"/>
      <c r="G3201" s="40"/>
      <c r="H3201" s="42"/>
      <c r="I3201" s="42" t="str">
        <f t="shared" si="46"/>
        <v/>
      </c>
    </row>
    <row r="3202" spans="2:9" x14ac:dyDescent="0.25">
      <c r="B3202" s="39"/>
      <c r="C3202" s="40"/>
      <c r="D3202" s="40"/>
      <c r="F3202" s="40"/>
      <c r="G3202" s="40"/>
      <c r="H3202" s="42"/>
      <c r="I3202" s="42" t="str">
        <f t="shared" si="46"/>
        <v/>
      </c>
    </row>
    <row r="3203" spans="2:9" x14ac:dyDescent="0.25">
      <c r="B3203" s="39"/>
      <c r="C3203" s="40"/>
      <c r="D3203" s="40"/>
      <c r="F3203" s="40"/>
      <c r="G3203" s="40"/>
      <c r="H3203" s="42"/>
      <c r="I3203" s="42" t="str">
        <f t="shared" si="46"/>
        <v/>
      </c>
    </row>
    <row r="3204" spans="2:9" x14ac:dyDescent="0.25">
      <c r="B3204" s="39"/>
      <c r="C3204" s="40"/>
      <c r="D3204" s="40"/>
      <c r="F3204" s="40"/>
      <c r="G3204" s="40"/>
      <c r="H3204" s="42"/>
      <c r="I3204" s="42" t="str">
        <f t="shared" si="46"/>
        <v/>
      </c>
    </row>
    <row r="3205" spans="2:9" x14ac:dyDescent="0.25">
      <c r="B3205" s="39"/>
      <c r="C3205" s="40"/>
      <c r="D3205" s="40"/>
      <c r="F3205" s="40"/>
      <c r="G3205" s="40"/>
      <c r="H3205" s="42"/>
      <c r="I3205" s="42" t="str">
        <f t="shared" si="46"/>
        <v/>
      </c>
    </row>
    <row r="3206" spans="2:9" x14ac:dyDescent="0.25">
      <c r="B3206" s="39"/>
      <c r="C3206" s="40"/>
      <c r="D3206" s="40"/>
      <c r="F3206" s="40"/>
      <c r="G3206" s="40"/>
      <c r="H3206" s="42"/>
      <c r="I3206" s="42" t="str">
        <f t="shared" si="46"/>
        <v/>
      </c>
    </row>
    <row r="3207" spans="2:9" x14ac:dyDescent="0.25">
      <c r="B3207" s="39"/>
      <c r="C3207" s="40"/>
      <c r="D3207" s="40"/>
      <c r="F3207" s="40"/>
      <c r="G3207" s="40"/>
      <c r="H3207" s="42"/>
      <c r="I3207" s="42" t="str">
        <f t="shared" si="46"/>
        <v/>
      </c>
    </row>
    <row r="3208" spans="2:9" x14ac:dyDescent="0.25">
      <c r="B3208" s="39"/>
      <c r="C3208" s="40"/>
      <c r="D3208" s="40"/>
      <c r="F3208" s="40"/>
      <c r="G3208" s="40"/>
      <c r="H3208" s="42"/>
      <c r="I3208" s="42" t="str">
        <f t="shared" si="46"/>
        <v/>
      </c>
    </row>
    <row r="3209" spans="2:9" x14ac:dyDescent="0.25">
      <c r="B3209" s="39"/>
      <c r="C3209" s="40"/>
      <c r="D3209" s="40"/>
      <c r="F3209" s="40"/>
      <c r="G3209" s="40"/>
      <c r="H3209" s="42"/>
      <c r="I3209" s="42" t="str">
        <f t="shared" si="46"/>
        <v/>
      </c>
    </row>
    <row r="3210" spans="2:9" x14ac:dyDescent="0.25">
      <c r="B3210" s="39"/>
      <c r="C3210" s="40"/>
      <c r="D3210" s="40"/>
      <c r="F3210" s="40"/>
      <c r="G3210" s="40"/>
      <c r="H3210" s="42"/>
      <c r="I3210" s="42" t="str">
        <f t="shared" si="46"/>
        <v/>
      </c>
    </row>
    <row r="3211" spans="2:9" x14ac:dyDescent="0.25">
      <c r="B3211" s="39"/>
      <c r="C3211" s="40"/>
      <c r="D3211" s="40"/>
      <c r="F3211" s="40"/>
      <c r="G3211" s="40"/>
      <c r="H3211" s="42"/>
      <c r="I3211" s="42" t="str">
        <f t="shared" si="46"/>
        <v/>
      </c>
    </row>
    <row r="3212" spans="2:9" x14ac:dyDescent="0.25">
      <c r="B3212" s="39"/>
      <c r="C3212" s="40"/>
      <c r="D3212" s="40"/>
      <c r="F3212" s="40"/>
      <c r="G3212" s="40"/>
      <c r="H3212" s="42"/>
      <c r="I3212" s="42" t="str">
        <f t="shared" si="46"/>
        <v/>
      </c>
    </row>
    <row r="3213" spans="2:9" x14ac:dyDescent="0.25">
      <c r="B3213" s="39"/>
      <c r="C3213" s="40"/>
      <c r="D3213" s="40"/>
      <c r="F3213" s="40"/>
      <c r="G3213" s="40"/>
      <c r="H3213" s="42"/>
      <c r="I3213" s="42" t="str">
        <f t="shared" si="46"/>
        <v/>
      </c>
    </row>
    <row r="3214" spans="2:9" x14ac:dyDescent="0.25">
      <c r="B3214" s="39"/>
      <c r="C3214" s="40"/>
      <c r="D3214" s="40"/>
      <c r="F3214" s="40"/>
      <c r="G3214" s="40"/>
      <c r="H3214" s="42"/>
      <c r="I3214" s="42" t="str">
        <f t="shared" si="46"/>
        <v/>
      </c>
    </row>
    <row r="3215" spans="2:9" x14ac:dyDescent="0.25">
      <c r="B3215" s="39"/>
      <c r="C3215" s="40"/>
      <c r="D3215" s="40"/>
      <c r="F3215" s="40"/>
      <c r="G3215" s="40"/>
      <c r="H3215" s="42"/>
      <c r="I3215" s="42" t="str">
        <f t="shared" si="46"/>
        <v/>
      </c>
    </row>
    <row r="3216" spans="2:9" x14ac:dyDescent="0.25">
      <c r="B3216" s="39"/>
      <c r="C3216" s="40"/>
      <c r="D3216" s="40"/>
      <c r="F3216" s="40"/>
      <c r="G3216" s="40"/>
      <c r="H3216" s="42"/>
      <c r="I3216" s="42" t="str">
        <f t="shared" si="46"/>
        <v/>
      </c>
    </row>
    <row r="3217" spans="2:9" x14ac:dyDescent="0.25">
      <c r="B3217" s="39"/>
      <c r="C3217" s="40"/>
      <c r="D3217" s="40"/>
      <c r="F3217" s="40"/>
      <c r="G3217" s="40"/>
      <c r="H3217" s="42"/>
      <c r="I3217" s="42" t="str">
        <f t="shared" si="46"/>
        <v/>
      </c>
    </row>
    <row r="3218" spans="2:9" x14ac:dyDescent="0.25">
      <c r="B3218" s="39"/>
      <c r="C3218" s="40"/>
      <c r="D3218" s="40"/>
      <c r="F3218" s="40"/>
      <c r="G3218" s="40"/>
      <c r="H3218" s="42"/>
      <c r="I3218" s="42" t="str">
        <f t="shared" si="46"/>
        <v/>
      </c>
    </row>
    <row r="3219" spans="2:9" x14ac:dyDescent="0.25">
      <c r="B3219" s="39"/>
      <c r="C3219" s="40"/>
      <c r="D3219" s="40"/>
      <c r="F3219" s="40"/>
      <c r="G3219" s="40"/>
      <c r="H3219" s="42"/>
      <c r="I3219" s="42" t="str">
        <f t="shared" si="46"/>
        <v/>
      </c>
    </row>
    <row r="3220" spans="2:9" x14ac:dyDescent="0.25">
      <c r="B3220" s="39"/>
      <c r="C3220" s="40"/>
      <c r="D3220" s="40"/>
      <c r="F3220" s="40"/>
      <c r="G3220" s="40"/>
      <c r="H3220" s="42"/>
      <c r="I3220" s="42" t="str">
        <f t="shared" si="46"/>
        <v/>
      </c>
    </row>
    <row r="3221" spans="2:9" x14ac:dyDescent="0.25">
      <c r="B3221" s="39"/>
      <c r="C3221" s="40"/>
      <c r="D3221" s="40"/>
      <c r="F3221" s="40"/>
      <c r="G3221" s="40"/>
      <c r="H3221" s="42"/>
      <c r="I3221" s="42" t="str">
        <f t="shared" si="46"/>
        <v/>
      </c>
    </row>
    <row r="3222" spans="2:9" x14ac:dyDescent="0.25">
      <c r="B3222" s="39"/>
      <c r="C3222" s="40"/>
      <c r="D3222" s="40"/>
      <c r="F3222" s="40"/>
      <c r="G3222" s="40"/>
      <c r="H3222" s="42"/>
      <c r="I3222" s="42" t="str">
        <f t="shared" si="46"/>
        <v/>
      </c>
    </row>
    <row r="3223" spans="2:9" x14ac:dyDescent="0.25">
      <c r="B3223" s="39"/>
      <c r="C3223" s="40"/>
      <c r="D3223" s="40"/>
      <c r="F3223" s="40"/>
      <c r="G3223" s="40"/>
      <c r="H3223" s="42"/>
      <c r="I3223" s="42" t="str">
        <f t="shared" si="46"/>
        <v/>
      </c>
    </row>
    <row r="3224" spans="2:9" x14ac:dyDescent="0.25">
      <c r="B3224" s="39"/>
      <c r="C3224" s="40"/>
      <c r="D3224" s="40"/>
      <c r="F3224" s="40"/>
      <c r="G3224" s="40"/>
      <c r="H3224" s="42"/>
      <c r="I3224" s="42" t="str">
        <f t="shared" si="46"/>
        <v/>
      </c>
    </row>
    <row r="3225" spans="2:9" x14ac:dyDescent="0.25">
      <c r="B3225" s="39"/>
      <c r="C3225" s="40"/>
      <c r="D3225" s="40"/>
      <c r="F3225" s="40"/>
      <c r="G3225" s="40"/>
      <c r="H3225" s="42"/>
      <c r="I3225" s="42" t="str">
        <f t="shared" si="46"/>
        <v/>
      </c>
    </row>
    <row r="3226" spans="2:9" x14ac:dyDescent="0.25">
      <c r="B3226" s="39"/>
      <c r="C3226" s="40"/>
      <c r="D3226" s="40"/>
      <c r="F3226" s="40"/>
      <c r="G3226" s="40"/>
      <c r="H3226" s="42"/>
      <c r="I3226" s="42" t="str">
        <f t="shared" si="46"/>
        <v/>
      </c>
    </row>
    <row r="3227" spans="2:9" x14ac:dyDescent="0.25">
      <c r="B3227" s="39"/>
      <c r="C3227" s="40"/>
      <c r="D3227" s="40"/>
      <c r="F3227" s="40"/>
      <c r="G3227" s="40"/>
      <c r="H3227" s="42"/>
      <c r="I3227" s="42" t="str">
        <f t="shared" si="46"/>
        <v/>
      </c>
    </row>
    <row r="3228" spans="2:9" x14ac:dyDescent="0.25">
      <c r="B3228" s="39"/>
      <c r="C3228" s="40"/>
      <c r="D3228" s="40"/>
      <c r="F3228" s="40"/>
      <c r="G3228" s="40"/>
      <c r="H3228" s="42"/>
      <c r="I3228" s="42" t="str">
        <f t="shared" si="46"/>
        <v/>
      </c>
    </row>
    <row r="3229" spans="2:9" x14ac:dyDescent="0.25">
      <c r="B3229" s="39"/>
      <c r="C3229" s="40"/>
      <c r="D3229" s="40"/>
      <c r="F3229" s="40"/>
      <c r="G3229" s="40"/>
      <c r="H3229" s="42"/>
      <c r="I3229" s="42" t="str">
        <f t="shared" si="46"/>
        <v/>
      </c>
    </row>
    <row r="3230" spans="2:9" x14ac:dyDescent="0.25">
      <c r="B3230" s="39"/>
      <c r="C3230" s="40"/>
      <c r="D3230" s="40"/>
      <c r="F3230" s="40"/>
      <c r="G3230" s="40"/>
      <c r="H3230" s="42"/>
      <c r="I3230" s="42" t="str">
        <f t="shared" si="46"/>
        <v/>
      </c>
    </row>
    <row r="3231" spans="2:9" x14ac:dyDescent="0.25">
      <c r="B3231" s="39"/>
      <c r="C3231" s="40"/>
      <c r="D3231" s="40"/>
      <c r="F3231" s="40"/>
      <c r="G3231" s="40"/>
      <c r="H3231" s="42"/>
      <c r="I3231" s="42" t="str">
        <f t="shared" si="46"/>
        <v/>
      </c>
    </row>
    <row r="3232" spans="2:9" x14ac:dyDescent="0.25">
      <c r="B3232" s="39"/>
      <c r="C3232" s="40"/>
      <c r="D3232" s="40"/>
      <c r="F3232" s="40"/>
      <c r="G3232" s="40"/>
      <c r="H3232" s="42"/>
      <c r="I3232" s="42" t="str">
        <f t="shared" si="46"/>
        <v/>
      </c>
    </row>
    <row r="3233" spans="2:9" x14ac:dyDescent="0.25">
      <c r="B3233" s="39"/>
      <c r="C3233" s="40"/>
      <c r="D3233" s="40"/>
      <c r="F3233" s="40"/>
      <c r="G3233" s="40"/>
      <c r="H3233" s="42"/>
      <c r="I3233" s="42" t="str">
        <f t="shared" si="46"/>
        <v/>
      </c>
    </row>
    <row r="3234" spans="2:9" x14ac:dyDescent="0.25">
      <c r="B3234" s="39"/>
      <c r="C3234" s="40"/>
      <c r="D3234" s="40"/>
      <c r="F3234" s="40"/>
      <c r="G3234" s="40"/>
      <c r="H3234" s="42"/>
      <c r="I3234" s="42" t="str">
        <f t="shared" si="46"/>
        <v/>
      </c>
    </row>
    <row r="3235" spans="2:9" x14ac:dyDescent="0.25">
      <c r="B3235" s="39"/>
      <c r="C3235" s="40"/>
      <c r="D3235" s="40"/>
      <c r="F3235" s="40"/>
      <c r="G3235" s="40"/>
      <c r="H3235" s="42"/>
      <c r="I3235" s="42" t="str">
        <f t="shared" si="46"/>
        <v/>
      </c>
    </row>
    <row r="3236" spans="2:9" x14ac:dyDescent="0.25">
      <c r="B3236" s="39"/>
      <c r="C3236" s="40"/>
      <c r="D3236" s="40"/>
      <c r="F3236" s="40"/>
      <c r="G3236" s="40"/>
      <c r="H3236" s="42"/>
      <c r="I3236" s="42" t="str">
        <f t="shared" si="46"/>
        <v/>
      </c>
    </row>
    <row r="3237" spans="2:9" x14ac:dyDescent="0.25">
      <c r="B3237" s="39"/>
      <c r="C3237" s="40"/>
      <c r="D3237" s="40"/>
      <c r="F3237" s="40"/>
      <c r="G3237" s="40"/>
      <c r="H3237" s="42"/>
      <c r="I3237" s="42" t="str">
        <f t="shared" si="46"/>
        <v/>
      </c>
    </row>
    <row r="3238" spans="2:9" x14ac:dyDescent="0.25">
      <c r="B3238" s="39"/>
      <c r="C3238" s="40"/>
      <c r="D3238" s="40"/>
      <c r="F3238" s="40"/>
      <c r="G3238" s="40"/>
      <c r="H3238" s="42"/>
      <c r="I3238" s="42" t="str">
        <f t="shared" si="46"/>
        <v/>
      </c>
    </row>
    <row r="3239" spans="2:9" x14ac:dyDescent="0.25">
      <c r="B3239" s="39"/>
      <c r="C3239" s="40"/>
      <c r="D3239" s="40"/>
      <c r="F3239" s="40"/>
      <c r="G3239" s="40"/>
      <c r="H3239" s="42"/>
      <c r="I3239" s="42" t="str">
        <f t="shared" si="46"/>
        <v/>
      </c>
    </row>
    <row r="3240" spans="2:9" x14ac:dyDescent="0.25">
      <c r="B3240" s="39"/>
      <c r="C3240" s="40"/>
      <c r="D3240" s="40"/>
      <c r="F3240" s="40"/>
      <c r="G3240" s="40"/>
      <c r="H3240" s="42"/>
      <c r="I3240" s="42" t="str">
        <f t="shared" si="46"/>
        <v/>
      </c>
    </row>
    <row r="3241" spans="2:9" x14ac:dyDescent="0.25">
      <c r="B3241" s="39"/>
      <c r="C3241" s="40"/>
      <c r="D3241" s="40"/>
      <c r="F3241" s="40"/>
      <c r="G3241" s="40"/>
      <c r="H3241" s="42"/>
      <c r="I3241" s="42" t="str">
        <f t="shared" si="46"/>
        <v/>
      </c>
    </row>
    <row r="3242" spans="2:9" x14ac:dyDescent="0.25">
      <c r="B3242" s="39"/>
      <c r="C3242" s="40"/>
      <c r="D3242" s="40"/>
      <c r="F3242" s="40"/>
      <c r="G3242" s="40"/>
      <c r="H3242" s="42"/>
      <c r="I3242" s="42" t="str">
        <f t="shared" si="46"/>
        <v/>
      </c>
    </row>
    <row r="3243" spans="2:9" x14ac:dyDescent="0.25">
      <c r="B3243" s="39"/>
      <c r="C3243" s="40"/>
      <c r="D3243" s="40"/>
      <c r="F3243" s="40"/>
      <c r="G3243" s="40"/>
      <c r="H3243" s="42"/>
      <c r="I3243" s="42" t="str">
        <f t="shared" si="46"/>
        <v/>
      </c>
    </row>
    <row r="3244" spans="2:9" x14ac:dyDescent="0.25">
      <c r="B3244" s="39"/>
      <c r="C3244" s="40"/>
      <c r="D3244" s="40"/>
      <c r="F3244" s="40"/>
      <c r="G3244" s="40"/>
      <c r="H3244" s="42"/>
      <c r="I3244" s="42" t="str">
        <f t="shared" si="46"/>
        <v/>
      </c>
    </row>
    <row r="3245" spans="2:9" x14ac:dyDescent="0.25">
      <c r="B3245" s="39"/>
      <c r="C3245" s="40"/>
      <c r="D3245" s="40"/>
      <c r="F3245" s="40"/>
      <c r="G3245" s="40"/>
      <c r="H3245" s="42"/>
      <c r="I3245" s="42" t="str">
        <f t="shared" si="46"/>
        <v/>
      </c>
    </row>
    <row r="3246" spans="2:9" x14ac:dyDescent="0.25">
      <c r="B3246" s="39"/>
      <c r="C3246" s="40"/>
      <c r="D3246" s="40"/>
      <c r="F3246" s="40"/>
      <c r="G3246" s="40"/>
      <c r="H3246" s="42"/>
      <c r="I3246" s="42" t="str">
        <f t="shared" si="46"/>
        <v/>
      </c>
    </row>
    <row r="3247" spans="2:9" x14ac:dyDescent="0.25">
      <c r="B3247" s="39"/>
      <c r="C3247" s="40"/>
      <c r="D3247" s="40"/>
      <c r="F3247" s="40"/>
      <c r="G3247" s="40"/>
      <c r="H3247" s="42"/>
      <c r="I3247" s="42" t="str">
        <f t="shared" si="46"/>
        <v/>
      </c>
    </row>
    <row r="3248" spans="2:9" x14ac:dyDescent="0.25">
      <c r="B3248" s="39"/>
      <c r="C3248" s="40"/>
      <c r="D3248" s="40"/>
      <c r="F3248" s="40"/>
      <c r="G3248" s="40"/>
      <c r="H3248" s="42"/>
      <c r="I3248" s="42" t="str">
        <f t="shared" si="46"/>
        <v/>
      </c>
    </row>
    <row r="3249" spans="2:9" x14ac:dyDescent="0.25">
      <c r="B3249" s="39"/>
      <c r="C3249" s="40"/>
      <c r="D3249" s="40"/>
      <c r="F3249" s="40"/>
      <c r="G3249" s="40"/>
      <c r="H3249" s="42"/>
      <c r="I3249" s="42" t="str">
        <f t="shared" si="46"/>
        <v/>
      </c>
    </row>
    <row r="3250" spans="2:9" x14ac:dyDescent="0.25">
      <c r="B3250" s="39"/>
      <c r="C3250" s="40"/>
      <c r="D3250" s="40"/>
      <c r="F3250" s="40"/>
      <c r="G3250" s="40"/>
      <c r="H3250" s="42"/>
      <c r="I3250" s="42" t="str">
        <f t="shared" si="46"/>
        <v/>
      </c>
    </row>
    <row r="3251" spans="2:9" x14ac:dyDescent="0.25">
      <c r="B3251" s="39"/>
      <c r="C3251" s="40"/>
      <c r="D3251" s="40"/>
      <c r="F3251" s="40"/>
      <c r="G3251" s="40"/>
      <c r="H3251" s="42"/>
      <c r="I3251" s="42" t="str">
        <f t="shared" si="46"/>
        <v/>
      </c>
    </row>
    <row r="3252" spans="2:9" x14ac:dyDescent="0.25">
      <c r="B3252" s="39"/>
      <c r="C3252" s="40"/>
      <c r="D3252" s="40"/>
      <c r="F3252" s="40"/>
      <c r="G3252" s="40"/>
      <c r="H3252" s="42"/>
      <c r="I3252" s="42" t="str">
        <f t="shared" si="46"/>
        <v/>
      </c>
    </row>
    <row r="3253" spans="2:9" x14ac:dyDescent="0.25">
      <c r="B3253" s="39"/>
      <c r="C3253" s="40"/>
      <c r="D3253" s="40"/>
      <c r="F3253" s="40"/>
      <c r="G3253" s="40"/>
      <c r="H3253" s="42"/>
      <c r="I3253" s="42" t="str">
        <f t="shared" si="46"/>
        <v/>
      </c>
    </row>
    <row r="3254" spans="2:9" x14ac:dyDescent="0.25">
      <c r="B3254" s="39"/>
      <c r="C3254" s="40"/>
      <c r="D3254" s="40"/>
      <c r="F3254" s="40"/>
      <c r="G3254" s="40"/>
      <c r="H3254" s="42"/>
      <c r="I3254" s="42" t="str">
        <f t="shared" si="46"/>
        <v/>
      </c>
    </row>
    <row r="3255" spans="2:9" x14ac:dyDescent="0.25">
      <c r="B3255" s="39"/>
      <c r="C3255" s="40"/>
      <c r="D3255" s="40"/>
      <c r="F3255" s="40"/>
      <c r="G3255" s="40"/>
      <c r="H3255" s="42"/>
      <c r="I3255" s="42" t="str">
        <f t="shared" si="46"/>
        <v/>
      </c>
    </row>
    <row r="3256" spans="2:9" x14ac:dyDescent="0.25">
      <c r="B3256" s="39"/>
      <c r="C3256" s="40"/>
      <c r="D3256" s="40"/>
      <c r="F3256" s="40"/>
      <c r="G3256" s="40"/>
      <c r="H3256" s="42"/>
      <c r="I3256" s="42" t="str">
        <f t="shared" si="46"/>
        <v/>
      </c>
    </row>
    <row r="3257" spans="2:9" x14ac:dyDescent="0.25">
      <c r="B3257" s="39"/>
      <c r="C3257" s="40"/>
      <c r="D3257" s="40"/>
      <c r="F3257" s="40"/>
      <c r="G3257" s="40"/>
      <c r="H3257" s="42"/>
      <c r="I3257" s="42" t="str">
        <f t="shared" si="46"/>
        <v/>
      </c>
    </row>
    <row r="3258" spans="2:9" x14ac:dyDescent="0.25">
      <c r="B3258" s="39"/>
      <c r="C3258" s="40"/>
      <c r="D3258" s="40"/>
      <c r="F3258" s="40"/>
      <c r="G3258" s="40"/>
      <c r="H3258" s="42"/>
      <c r="I3258" s="42" t="str">
        <f t="shared" si="46"/>
        <v/>
      </c>
    </row>
    <row r="3259" spans="2:9" x14ac:dyDescent="0.25">
      <c r="B3259" s="39"/>
      <c r="C3259" s="40"/>
      <c r="D3259" s="40"/>
      <c r="F3259" s="40"/>
      <c r="G3259" s="40"/>
      <c r="H3259" s="42"/>
      <c r="I3259" s="42" t="str">
        <f t="shared" si="46"/>
        <v/>
      </c>
    </row>
    <row r="3260" spans="2:9" x14ac:dyDescent="0.25">
      <c r="B3260" s="39"/>
      <c r="C3260" s="40"/>
      <c r="D3260" s="40"/>
      <c r="F3260" s="40"/>
      <c r="G3260" s="40"/>
      <c r="H3260" s="42"/>
      <c r="I3260" s="42" t="str">
        <f t="shared" si="46"/>
        <v/>
      </c>
    </row>
    <row r="3261" spans="2:9" x14ac:dyDescent="0.25">
      <c r="B3261" s="39"/>
      <c r="C3261" s="40"/>
      <c r="D3261" s="40"/>
      <c r="F3261" s="40"/>
      <c r="G3261" s="40"/>
      <c r="H3261" s="42"/>
      <c r="I3261" s="42" t="str">
        <f t="shared" si="46"/>
        <v/>
      </c>
    </row>
    <row r="3262" spans="2:9" x14ac:dyDescent="0.25">
      <c r="B3262" s="39"/>
      <c r="C3262" s="40"/>
      <c r="D3262" s="40"/>
      <c r="F3262" s="40"/>
      <c r="G3262" s="40"/>
      <c r="H3262" s="42"/>
      <c r="I3262" s="42" t="str">
        <f t="shared" si="46"/>
        <v/>
      </c>
    </row>
    <row r="3263" spans="2:9" x14ac:dyDescent="0.25">
      <c r="B3263" s="39"/>
      <c r="C3263" s="40"/>
      <c r="D3263" s="40"/>
      <c r="F3263" s="40"/>
      <c r="G3263" s="40"/>
      <c r="H3263" s="42"/>
      <c r="I3263" s="42" t="str">
        <f t="shared" si="46"/>
        <v/>
      </c>
    </row>
    <row r="3264" spans="2:9" x14ac:dyDescent="0.25">
      <c r="B3264" s="39"/>
      <c r="C3264" s="40"/>
      <c r="D3264" s="40"/>
      <c r="F3264" s="40"/>
      <c r="G3264" s="40"/>
      <c r="H3264" s="42"/>
      <c r="I3264" s="42" t="str">
        <f t="shared" ref="I3264:I3327" si="47">IF(H3264&lt;&gt;"",H3264-H3263,"")</f>
        <v/>
      </c>
    </row>
    <row r="3265" spans="2:9" x14ac:dyDescent="0.25">
      <c r="B3265" s="39"/>
      <c r="C3265" s="40"/>
      <c r="D3265" s="40"/>
      <c r="F3265" s="40"/>
      <c r="G3265" s="40"/>
      <c r="H3265" s="42"/>
      <c r="I3265" s="42" t="str">
        <f t="shared" si="47"/>
        <v/>
      </c>
    </row>
    <row r="3266" spans="2:9" x14ac:dyDescent="0.25">
      <c r="B3266" s="39"/>
      <c r="C3266" s="40"/>
      <c r="D3266" s="40"/>
      <c r="F3266" s="40"/>
      <c r="G3266" s="40"/>
      <c r="H3266" s="42"/>
      <c r="I3266" s="42" t="str">
        <f t="shared" si="47"/>
        <v/>
      </c>
    </row>
    <row r="3267" spans="2:9" x14ac:dyDescent="0.25">
      <c r="B3267" s="39"/>
      <c r="C3267" s="40"/>
      <c r="D3267" s="40"/>
      <c r="F3267" s="40"/>
      <c r="G3267" s="40"/>
      <c r="H3267" s="42"/>
      <c r="I3267" s="42" t="str">
        <f t="shared" si="47"/>
        <v/>
      </c>
    </row>
    <row r="3268" spans="2:9" x14ac:dyDescent="0.25">
      <c r="B3268" s="39"/>
      <c r="C3268" s="40"/>
      <c r="D3268" s="40"/>
      <c r="F3268" s="40"/>
      <c r="G3268" s="40"/>
      <c r="H3268" s="42"/>
      <c r="I3268" s="42" t="str">
        <f t="shared" si="47"/>
        <v/>
      </c>
    </row>
    <row r="3269" spans="2:9" x14ac:dyDescent="0.25">
      <c r="B3269" s="39"/>
      <c r="C3269" s="40"/>
      <c r="D3269" s="40"/>
      <c r="F3269" s="40"/>
      <c r="G3269" s="40"/>
      <c r="H3269" s="42"/>
      <c r="I3269" s="42" t="str">
        <f t="shared" si="47"/>
        <v/>
      </c>
    </row>
    <row r="3270" spans="2:9" x14ac:dyDescent="0.25">
      <c r="B3270" s="39"/>
      <c r="C3270" s="40"/>
      <c r="D3270" s="40"/>
      <c r="F3270" s="40"/>
      <c r="G3270" s="40"/>
      <c r="H3270" s="42"/>
      <c r="I3270" s="42" t="str">
        <f t="shared" si="47"/>
        <v/>
      </c>
    </row>
    <row r="3271" spans="2:9" x14ac:dyDescent="0.25">
      <c r="B3271" s="39"/>
      <c r="C3271" s="40"/>
      <c r="D3271" s="40"/>
      <c r="F3271" s="40"/>
      <c r="G3271" s="40"/>
      <c r="H3271" s="42"/>
      <c r="I3271" s="42" t="str">
        <f t="shared" si="47"/>
        <v/>
      </c>
    </row>
    <row r="3272" spans="2:9" x14ac:dyDescent="0.25">
      <c r="B3272" s="39"/>
      <c r="C3272" s="40"/>
      <c r="D3272" s="40"/>
      <c r="F3272" s="40"/>
      <c r="G3272" s="40"/>
      <c r="H3272" s="42"/>
      <c r="I3272" s="42" t="str">
        <f t="shared" si="47"/>
        <v/>
      </c>
    </row>
    <row r="3273" spans="2:9" x14ac:dyDescent="0.25">
      <c r="B3273" s="39"/>
      <c r="C3273" s="40"/>
      <c r="D3273" s="40"/>
      <c r="F3273" s="40"/>
      <c r="G3273" s="40"/>
      <c r="H3273" s="42"/>
      <c r="I3273" s="42" t="str">
        <f t="shared" si="47"/>
        <v/>
      </c>
    </row>
    <row r="3274" spans="2:9" x14ac:dyDescent="0.25">
      <c r="B3274" s="39"/>
      <c r="C3274" s="40"/>
      <c r="D3274" s="40"/>
      <c r="F3274" s="40"/>
      <c r="G3274" s="40"/>
      <c r="H3274" s="42"/>
      <c r="I3274" s="42" t="str">
        <f t="shared" si="47"/>
        <v/>
      </c>
    </row>
    <row r="3275" spans="2:9" x14ac:dyDescent="0.25">
      <c r="B3275" s="39"/>
      <c r="C3275" s="40"/>
      <c r="D3275" s="40"/>
      <c r="F3275" s="40"/>
      <c r="G3275" s="40"/>
      <c r="H3275" s="42"/>
      <c r="I3275" s="42" t="str">
        <f t="shared" si="47"/>
        <v/>
      </c>
    </row>
    <row r="3276" spans="2:9" x14ac:dyDescent="0.25">
      <c r="B3276" s="39"/>
      <c r="C3276" s="40"/>
      <c r="D3276" s="40"/>
      <c r="F3276" s="40"/>
      <c r="G3276" s="40"/>
      <c r="H3276" s="42"/>
      <c r="I3276" s="42" t="str">
        <f t="shared" si="47"/>
        <v/>
      </c>
    </row>
    <row r="3277" spans="2:9" x14ac:dyDescent="0.25">
      <c r="B3277" s="39"/>
      <c r="C3277" s="40"/>
      <c r="D3277" s="40"/>
      <c r="F3277" s="40"/>
      <c r="G3277" s="40"/>
      <c r="H3277" s="42"/>
      <c r="I3277" s="42" t="str">
        <f t="shared" si="47"/>
        <v/>
      </c>
    </row>
    <row r="3278" spans="2:9" x14ac:dyDescent="0.25">
      <c r="B3278" s="39"/>
      <c r="C3278" s="40"/>
      <c r="D3278" s="40"/>
      <c r="F3278" s="40"/>
      <c r="G3278" s="40"/>
      <c r="H3278" s="42"/>
      <c r="I3278" s="42" t="str">
        <f t="shared" si="47"/>
        <v/>
      </c>
    </row>
    <row r="3279" spans="2:9" x14ac:dyDescent="0.25">
      <c r="B3279" s="39"/>
      <c r="C3279" s="40"/>
      <c r="D3279" s="40"/>
      <c r="F3279" s="40"/>
      <c r="G3279" s="40"/>
      <c r="H3279" s="42"/>
      <c r="I3279" s="42" t="str">
        <f t="shared" si="47"/>
        <v/>
      </c>
    </row>
    <row r="3280" spans="2:9" x14ac:dyDescent="0.25">
      <c r="B3280" s="39"/>
      <c r="C3280" s="40"/>
      <c r="D3280" s="40"/>
      <c r="F3280" s="40"/>
      <c r="G3280" s="40"/>
      <c r="H3280" s="42"/>
      <c r="I3280" s="42" t="str">
        <f t="shared" si="47"/>
        <v/>
      </c>
    </row>
    <row r="3281" spans="2:9" x14ac:dyDescent="0.25">
      <c r="B3281" s="39"/>
      <c r="C3281" s="40"/>
      <c r="D3281" s="40"/>
      <c r="F3281" s="40"/>
      <c r="G3281" s="40"/>
      <c r="H3281" s="42"/>
      <c r="I3281" s="42" t="str">
        <f t="shared" si="47"/>
        <v/>
      </c>
    </row>
    <row r="3282" spans="2:9" x14ac:dyDescent="0.25">
      <c r="B3282" s="39"/>
      <c r="C3282" s="40"/>
      <c r="D3282" s="40"/>
      <c r="F3282" s="40"/>
      <c r="G3282" s="40"/>
      <c r="H3282" s="42"/>
      <c r="I3282" s="42" t="str">
        <f t="shared" si="47"/>
        <v/>
      </c>
    </row>
    <row r="3283" spans="2:9" x14ac:dyDescent="0.25">
      <c r="B3283" s="39"/>
      <c r="C3283" s="40"/>
      <c r="D3283" s="40"/>
      <c r="F3283" s="40"/>
      <c r="G3283" s="40"/>
      <c r="H3283" s="42"/>
      <c r="I3283" s="42" t="str">
        <f t="shared" si="47"/>
        <v/>
      </c>
    </row>
    <row r="3284" spans="2:9" x14ac:dyDescent="0.25">
      <c r="B3284" s="39"/>
      <c r="C3284" s="40"/>
      <c r="D3284" s="40"/>
      <c r="F3284" s="40"/>
      <c r="G3284" s="40"/>
      <c r="H3284" s="42"/>
      <c r="I3284" s="42" t="str">
        <f t="shared" si="47"/>
        <v/>
      </c>
    </row>
    <row r="3285" spans="2:9" x14ac:dyDescent="0.25">
      <c r="B3285" s="39"/>
      <c r="C3285" s="40"/>
      <c r="D3285" s="40"/>
      <c r="F3285" s="40"/>
      <c r="G3285" s="40"/>
      <c r="H3285" s="42"/>
      <c r="I3285" s="42" t="str">
        <f t="shared" si="47"/>
        <v/>
      </c>
    </row>
    <row r="3286" spans="2:9" x14ac:dyDescent="0.25">
      <c r="B3286" s="39"/>
      <c r="C3286" s="40"/>
      <c r="D3286" s="40"/>
      <c r="F3286" s="40"/>
      <c r="G3286" s="40"/>
      <c r="H3286" s="42"/>
      <c r="I3286" s="42" t="str">
        <f t="shared" si="47"/>
        <v/>
      </c>
    </row>
    <row r="3287" spans="2:9" x14ac:dyDescent="0.25">
      <c r="B3287" s="39"/>
      <c r="C3287" s="40"/>
      <c r="D3287" s="40"/>
      <c r="F3287" s="40"/>
      <c r="G3287" s="40"/>
      <c r="H3287" s="42"/>
      <c r="I3287" s="42" t="str">
        <f t="shared" si="47"/>
        <v/>
      </c>
    </row>
    <row r="3288" spans="2:9" x14ac:dyDescent="0.25">
      <c r="B3288" s="39"/>
      <c r="C3288" s="40"/>
      <c r="D3288" s="40"/>
      <c r="F3288" s="40"/>
      <c r="G3288" s="40"/>
      <c r="H3288" s="42"/>
      <c r="I3288" s="42" t="str">
        <f t="shared" si="47"/>
        <v/>
      </c>
    </row>
    <row r="3289" spans="2:9" x14ac:dyDescent="0.25">
      <c r="B3289" s="39"/>
      <c r="C3289" s="40"/>
      <c r="D3289" s="40"/>
      <c r="F3289" s="40"/>
      <c r="G3289" s="40"/>
      <c r="H3289" s="42"/>
      <c r="I3289" s="42" t="str">
        <f t="shared" si="47"/>
        <v/>
      </c>
    </row>
    <row r="3290" spans="2:9" x14ac:dyDescent="0.25">
      <c r="B3290" s="39"/>
      <c r="C3290" s="40"/>
      <c r="D3290" s="40"/>
      <c r="F3290" s="40"/>
      <c r="G3290" s="40"/>
      <c r="H3290" s="42"/>
      <c r="I3290" s="42" t="str">
        <f t="shared" si="47"/>
        <v/>
      </c>
    </row>
    <row r="3291" spans="2:9" x14ac:dyDescent="0.25">
      <c r="B3291" s="39"/>
      <c r="C3291" s="40"/>
      <c r="D3291" s="40"/>
      <c r="F3291" s="40"/>
      <c r="G3291" s="40"/>
      <c r="H3291" s="42"/>
      <c r="I3291" s="42" t="str">
        <f t="shared" si="47"/>
        <v/>
      </c>
    </row>
    <row r="3292" spans="2:9" x14ac:dyDescent="0.25">
      <c r="B3292" s="39"/>
      <c r="C3292" s="40"/>
      <c r="D3292" s="40"/>
      <c r="F3292" s="40"/>
      <c r="G3292" s="40"/>
      <c r="H3292" s="42"/>
      <c r="I3292" s="42" t="str">
        <f t="shared" si="47"/>
        <v/>
      </c>
    </row>
    <row r="3293" spans="2:9" x14ac:dyDescent="0.25">
      <c r="B3293" s="39"/>
      <c r="C3293" s="40"/>
      <c r="D3293" s="40"/>
      <c r="F3293" s="40"/>
      <c r="G3293" s="40"/>
      <c r="H3293" s="42"/>
      <c r="I3293" s="42" t="str">
        <f t="shared" si="47"/>
        <v/>
      </c>
    </row>
    <row r="3294" spans="2:9" x14ac:dyDescent="0.25">
      <c r="B3294" s="39"/>
      <c r="C3294" s="40"/>
      <c r="D3294" s="40"/>
      <c r="F3294" s="40"/>
      <c r="G3294" s="40"/>
      <c r="H3294" s="42"/>
      <c r="I3294" s="42" t="str">
        <f t="shared" si="47"/>
        <v/>
      </c>
    </row>
    <row r="3295" spans="2:9" x14ac:dyDescent="0.25">
      <c r="B3295" s="39"/>
      <c r="C3295" s="40"/>
      <c r="D3295" s="40"/>
      <c r="F3295" s="40"/>
      <c r="G3295" s="40"/>
      <c r="H3295" s="42"/>
      <c r="I3295" s="42" t="str">
        <f t="shared" si="47"/>
        <v/>
      </c>
    </row>
    <row r="3296" spans="2:9" x14ac:dyDescent="0.25">
      <c r="B3296" s="39"/>
      <c r="C3296" s="40"/>
      <c r="D3296" s="40"/>
      <c r="F3296" s="40"/>
      <c r="G3296" s="40"/>
      <c r="H3296" s="42"/>
      <c r="I3296" s="42" t="str">
        <f t="shared" si="47"/>
        <v/>
      </c>
    </row>
    <row r="3297" spans="2:9" x14ac:dyDescent="0.25">
      <c r="B3297" s="39"/>
      <c r="C3297" s="40"/>
      <c r="D3297" s="40"/>
      <c r="F3297" s="40"/>
      <c r="G3297" s="40"/>
      <c r="H3297" s="42"/>
      <c r="I3297" s="42" t="str">
        <f t="shared" si="47"/>
        <v/>
      </c>
    </row>
    <row r="3298" spans="2:9" x14ac:dyDescent="0.25">
      <c r="B3298" s="39"/>
      <c r="C3298" s="40"/>
      <c r="D3298" s="40"/>
      <c r="F3298" s="40"/>
      <c r="G3298" s="40"/>
      <c r="H3298" s="42"/>
      <c r="I3298" s="42" t="str">
        <f t="shared" si="47"/>
        <v/>
      </c>
    </row>
    <row r="3299" spans="2:9" x14ac:dyDescent="0.25">
      <c r="B3299" s="39"/>
      <c r="C3299" s="40"/>
      <c r="D3299" s="40"/>
      <c r="F3299" s="40"/>
      <c r="G3299" s="40"/>
      <c r="H3299" s="42"/>
      <c r="I3299" s="42" t="str">
        <f t="shared" si="47"/>
        <v/>
      </c>
    </row>
    <row r="3300" spans="2:9" x14ac:dyDescent="0.25">
      <c r="B3300" s="39"/>
      <c r="C3300" s="40"/>
      <c r="D3300" s="40"/>
      <c r="F3300" s="40"/>
      <c r="G3300" s="40"/>
      <c r="H3300" s="42"/>
      <c r="I3300" s="42" t="str">
        <f t="shared" si="47"/>
        <v/>
      </c>
    </row>
    <row r="3301" spans="2:9" x14ac:dyDescent="0.25">
      <c r="B3301" s="39"/>
      <c r="C3301" s="40"/>
      <c r="D3301" s="40"/>
      <c r="F3301" s="40"/>
      <c r="G3301" s="40"/>
      <c r="H3301" s="42"/>
      <c r="I3301" s="42" t="str">
        <f t="shared" si="47"/>
        <v/>
      </c>
    </row>
    <row r="3302" spans="2:9" x14ac:dyDescent="0.25">
      <c r="B3302" s="39"/>
      <c r="C3302" s="40"/>
      <c r="D3302" s="40"/>
      <c r="F3302" s="40"/>
      <c r="G3302" s="40"/>
      <c r="H3302" s="42"/>
      <c r="I3302" s="42" t="str">
        <f t="shared" si="47"/>
        <v/>
      </c>
    </row>
    <row r="3303" spans="2:9" x14ac:dyDescent="0.25">
      <c r="B3303" s="39"/>
      <c r="C3303" s="40"/>
      <c r="D3303" s="40"/>
      <c r="F3303" s="40"/>
      <c r="G3303" s="40"/>
      <c r="H3303" s="42"/>
      <c r="I3303" s="42" t="str">
        <f t="shared" si="47"/>
        <v/>
      </c>
    </row>
    <row r="3304" spans="2:9" x14ac:dyDescent="0.25">
      <c r="B3304" s="39"/>
      <c r="C3304" s="40"/>
      <c r="D3304" s="40"/>
      <c r="F3304" s="40"/>
      <c r="G3304" s="40"/>
      <c r="H3304" s="42"/>
      <c r="I3304" s="42" t="str">
        <f t="shared" si="47"/>
        <v/>
      </c>
    </row>
    <row r="3305" spans="2:9" x14ac:dyDescent="0.25">
      <c r="B3305" s="39"/>
      <c r="C3305" s="40"/>
      <c r="D3305" s="40"/>
      <c r="F3305" s="40"/>
      <c r="G3305" s="40"/>
      <c r="H3305" s="42"/>
      <c r="I3305" s="42" t="str">
        <f t="shared" si="47"/>
        <v/>
      </c>
    </row>
    <row r="3306" spans="2:9" x14ac:dyDescent="0.25">
      <c r="B3306" s="39"/>
      <c r="C3306" s="40"/>
      <c r="D3306" s="40"/>
      <c r="F3306" s="40"/>
      <c r="G3306" s="40"/>
      <c r="H3306" s="42"/>
      <c r="I3306" s="42" t="str">
        <f t="shared" si="47"/>
        <v/>
      </c>
    </row>
    <row r="3307" spans="2:9" x14ac:dyDescent="0.25">
      <c r="B3307" s="39"/>
      <c r="C3307" s="40"/>
      <c r="D3307" s="40"/>
      <c r="F3307" s="40"/>
      <c r="G3307" s="40"/>
      <c r="H3307" s="42"/>
      <c r="I3307" s="42" t="str">
        <f t="shared" si="47"/>
        <v/>
      </c>
    </row>
    <row r="3308" spans="2:9" x14ac:dyDescent="0.25">
      <c r="B3308" s="39"/>
      <c r="C3308" s="40"/>
      <c r="D3308" s="40"/>
      <c r="F3308" s="40"/>
      <c r="G3308" s="40"/>
      <c r="H3308" s="42"/>
      <c r="I3308" s="42" t="str">
        <f t="shared" si="47"/>
        <v/>
      </c>
    </row>
    <row r="3309" spans="2:9" x14ac:dyDescent="0.25">
      <c r="B3309" s="39"/>
      <c r="C3309" s="40"/>
      <c r="D3309" s="40"/>
      <c r="F3309" s="40"/>
      <c r="G3309" s="40"/>
      <c r="H3309" s="42"/>
      <c r="I3309" s="42" t="str">
        <f t="shared" si="47"/>
        <v/>
      </c>
    </row>
    <row r="3310" spans="2:9" x14ac:dyDescent="0.25">
      <c r="B3310" s="39"/>
      <c r="C3310" s="40"/>
      <c r="D3310" s="40"/>
      <c r="F3310" s="40"/>
      <c r="G3310" s="40"/>
      <c r="H3310" s="42"/>
      <c r="I3310" s="42" t="str">
        <f t="shared" si="47"/>
        <v/>
      </c>
    </row>
    <row r="3311" spans="2:9" x14ac:dyDescent="0.25">
      <c r="B3311" s="39"/>
      <c r="C3311" s="40"/>
      <c r="D3311" s="40"/>
      <c r="F3311" s="40"/>
      <c r="G3311" s="40"/>
      <c r="H3311" s="42"/>
      <c r="I3311" s="42" t="str">
        <f t="shared" si="47"/>
        <v/>
      </c>
    </row>
    <row r="3312" spans="2:9" x14ac:dyDescent="0.25">
      <c r="B3312" s="39"/>
      <c r="C3312" s="40"/>
      <c r="D3312" s="40"/>
      <c r="F3312" s="40"/>
      <c r="G3312" s="40"/>
      <c r="H3312" s="42"/>
      <c r="I3312" s="42" t="str">
        <f t="shared" si="47"/>
        <v/>
      </c>
    </row>
    <row r="3313" spans="2:9" x14ac:dyDescent="0.25">
      <c r="B3313" s="39"/>
      <c r="C3313" s="40"/>
      <c r="D3313" s="40"/>
      <c r="F3313" s="40"/>
      <c r="G3313" s="40"/>
      <c r="H3313" s="42"/>
      <c r="I3313" s="42" t="str">
        <f t="shared" si="47"/>
        <v/>
      </c>
    </row>
    <row r="3314" spans="2:9" x14ac:dyDescent="0.25">
      <c r="B3314" s="39"/>
      <c r="C3314" s="40"/>
      <c r="D3314" s="40"/>
      <c r="F3314" s="40"/>
      <c r="G3314" s="40"/>
      <c r="H3314" s="42"/>
      <c r="I3314" s="42" t="str">
        <f t="shared" si="47"/>
        <v/>
      </c>
    </row>
    <row r="3315" spans="2:9" x14ac:dyDescent="0.25">
      <c r="B3315" s="39"/>
      <c r="C3315" s="40"/>
      <c r="D3315" s="40"/>
      <c r="F3315" s="40"/>
      <c r="G3315" s="40"/>
      <c r="H3315" s="42"/>
      <c r="I3315" s="42" t="str">
        <f t="shared" si="47"/>
        <v/>
      </c>
    </row>
    <row r="3316" spans="2:9" x14ac:dyDescent="0.25">
      <c r="B3316" s="39"/>
      <c r="C3316" s="40"/>
      <c r="D3316" s="40"/>
      <c r="F3316" s="40"/>
      <c r="G3316" s="40"/>
      <c r="H3316" s="42"/>
      <c r="I3316" s="42" t="str">
        <f t="shared" si="47"/>
        <v/>
      </c>
    </row>
    <row r="3317" spans="2:9" x14ac:dyDescent="0.25">
      <c r="B3317" s="39"/>
      <c r="C3317" s="40"/>
      <c r="D3317" s="40"/>
      <c r="F3317" s="40"/>
      <c r="G3317" s="40"/>
      <c r="H3317" s="42"/>
      <c r="I3317" s="42" t="str">
        <f t="shared" si="47"/>
        <v/>
      </c>
    </row>
    <row r="3318" spans="2:9" x14ac:dyDescent="0.25">
      <c r="B3318" s="39"/>
      <c r="C3318" s="40"/>
      <c r="D3318" s="40"/>
      <c r="F3318" s="40"/>
      <c r="G3318" s="40"/>
      <c r="H3318" s="42"/>
      <c r="I3318" s="42" t="str">
        <f t="shared" si="47"/>
        <v/>
      </c>
    </row>
    <row r="3319" spans="2:9" x14ac:dyDescent="0.25">
      <c r="B3319" s="39"/>
      <c r="C3319" s="40"/>
      <c r="D3319" s="40"/>
      <c r="F3319" s="40"/>
      <c r="G3319" s="40"/>
      <c r="H3319" s="42"/>
      <c r="I3319" s="42" t="str">
        <f t="shared" si="47"/>
        <v/>
      </c>
    </row>
    <row r="3320" spans="2:9" x14ac:dyDescent="0.25">
      <c r="B3320" s="39"/>
      <c r="C3320" s="40"/>
      <c r="D3320" s="40"/>
      <c r="F3320" s="40"/>
      <c r="G3320" s="40"/>
      <c r="H3320" s="42"/>
      <c r="I3320" s="42" t="str">
        <f t="shared" si="47"/>
        <v/>
      </c>
    </row>
    <row r="3321" spans="2:9" x14ac:dyDescent="0.25">
      <c r="B3321" s="39"/>
      <c r="C3321" s="40"/>
      <c r="D3321" s="40"/>
      <c r="F3321" s="40"/>
      <c r="G3321" s="40"/>
      <c r="H3321" s="42"/>
      <c r="I3321" s="42" t="str">
        <f t="shared" si="47"/>
        <v/>
      </c>
    </row>
    <row r="3322" spans="2:9" x14ac:dyDescent="0.25">
      <c r="B3322" s="39"/>
      <c r="C3322" s="40"/>
      <c r="D3322" s="40"/>
      <c r="F3322" s="40"/>
      <c r="G3322" s="40"/>
      <c r="H3322" s="42"/>
      <c r="I3322" s="42" t="str">
        <f t="shared" si="47"/>
        <v/>
      </c>
    </row>
    <row r="3323" spans="2:9" x14ac:dyDescent="0.25">
      <c r="B3323" s="39"/>
      <c r="C3323" s="40"/>
      <c r="D3323" s="40"/>
      <c r="F3323" s="40"/>
      <c r="G3323" s="40"/>
      <c r="H3323" s="42"/>
      <c r="I3323" s="42" t="str">
        <f t="shared" si="47"/>
        <v/>
      </c>
    </row>
    <row r="3324" spans="2:9" x14ac:dyDescent="0.25">
      <c r="B3324" s="39"/>
      <c r="C3324" s="40"/>
      <c r="D3324" s="40"/>
      <c r="F3324" s="40"/>
      <c r="G3324" s="40"/>
      <c r="H3324" s="42"/>
      <c r="I3324" s="42" t="str">
        <f t="shared" si="47"/>
        <v/>
      </c>
    </row>
    <row r="3325" spans="2:9" x14ac:dyDescent="0.25">
      <c r="B3325" s="39"/>
      <c r="C3325" s="40"/>
      <c r="D3325" s="40"/>
      <c r="F3325" s="40"/>
      <c r="G3325" s="40"/>
      <c r="H3325" s="42"/>
      <c r="I3325" s="42" t="str">
        <f t="shared" si="47"/>
        <v/>
      </c>
    </row>
    <row r="3326" spans="2:9" x14ac:dyDescent="0.25">
      <c r="B3326" s="39"/>
      <c r="C3326" s="40"/>
      <c r="D3326" s="40"/>
      <c r="F3326" s="40"/>
      <c r="G3326" s="40"/>
      <c r="H3326" s="42"/>
      <c r="I3326" s="42" t="str">
        <f t="shared" si="47"/>
        <v/>
      </c>
    </row>
    <row r="3327" spans="2:9" x14ac:dyDescent="0.25">
      <c r="B3327" s="39"/>
      <c r="C3327" s="40"/>
      <c r="D3327" s="40"/>
      <c r="F3327" s="40"/>
      <c r="G3327" s="40"/>
      <c r="H3327" s="42"/>
      <c r="I3327" s="42" t="str">
        <f t="shared" si="47"/>
        <v/>
      </c>
    </row>
    <row r="3328" spans="2:9" x14ac:dyDescent="0.25">
      <c r="B3328" s="39"/>
      <c r="C3328" s="40"/>
      <c r="D3328" s="40"/>
      <c r="F3328" s="40"/>
      <c r="G3328" s="40"/>
      <c r="H3328" s="42"/>
      <c r="I3328" s="42" t="str">
        <f t="shared" ref="I3328:I3391" si="48">IF(H3328&lt;&gt;"",H3328-H3327,"")</f>
        <v/>
      </c>
    </row>
    <row r="3329" spans="2:9" x14ac:dyDescent="0.25">
      <c r="B3329" s="39"/>
      <c r="C3329" s="40"/>
      <c r="D3329" s="40"/>
      <c r="F3329" s="40"/>
      <c r="G3329" s="40"/>
      <c r="H3329" s="42"/>
      <c r="I3329" s="42" t="str">
        <f t="shared" si="48"/>
        <v/>
      </c>
    </row>
    <row r="3330" spans="2:9" x14ac:dyDescent="0.25">
      <c r="B3330" s="39"/>
      <c r="C3330" s="40"/>
      <c r="D3330" s="40"/>
      <c r="F3330" s="40"/>
      <c r="G3330" s="40"/>
      <c r="H3330" s="42"/>
      <c r="I3330" s="42" t="str">
        <f t="shared" si="48"/>
        <v/>
      </c>
    </row>
    <row r="3331" spans="2:9" x14ac:dyDescent="0.25">
      <c r="B3331" s="39"/>
      <c r="C3331" s="40"/>
      <c r="D3331" s="40"/>
      <c r="F3331" s="40"/>
      <c r="G3331" s="40"/>
      <c r="H3331" s="42"/>
      <c r="I3331" s="42" t="str">
        <f t="shared" si="48"/>
        <v/>
      </c>
    </row>
    <row r="3332" spans="2:9" x14ac:dyDescent="0.25">
      <c r="B3332" s="39"/>
      <c r="C3332" s="40"/>
      <c r="D3332" s="40"/>
      <c r="F3332" s="40"/>
      <c r="G3332" s="40"/>
      <c r="H3332" s="42"/>
      <c r="I3332" s="42" t="str">
        <f t="shared" si="48"/>
        <v/>
      </c>
    </row>
    <row r="3333" spans="2:9" x14ac:dyDescent="0.25">
      <c r="B3333" s="39"/>
      <c r="C3333" s="40"/>
      <c r="D3333" s="40"/>
      <c r="F3333" s="40"/>
      <c r="G3333" s="40"/>
      <c r="H3333" s="42"/>
      <c r="I3333" s="42" t="str">
        <f t="shared" si="48"/>
        <v/>
      </c>
    </row>
    <row r="3334" spans="2:9" x14ac:dyDescent="0.25">
      <c r="B3334" s="39"/>
      <c r="C3334" s="40"/>
      <c r="D3334" s="40"/>
      <c r="F3334" s="40"/>
      <c r="G3334" s="40"/>
      <c r="H3334" s="42"/>
      <c r="I3334" s="42" t="str">
        <f t="shared" si="48"/>
        <v/>
      </c>
    </row>
    <row r="3335" spans="2:9" x14ac:dyDescent="0.25">
      <c r="B3335" s="39"/>
      <c r="C3335" s="40"/>
      <c r="D3335" s="40"/>
      <c r="F3335" s="40"/>
      <c r="G3335" s="40"/>
      <c r="H3335" s="42"/>
      <c r="I3335" s="42" t="str">
        <f t="shared" si="48"/>
        <v/>
      </c>
    </row>
    <row r="3336" spans="2:9" x14ac:dyDescent="0.25">
      <c r="B3336" s="39"/>
      <c r="C3336" s="40"/>
      <c r="D3336" s="40"/>
      <c r="F3336" s="40"/>
      <c r="G3336" s="40"/>
      <c r="H3336" s="42"/>
      <c r="I3336" s="42" t="str">
        <f t="shared" si="48"/>
        <v/>
      </c>
    </row>
    <row r="3337" spans="2:9" x14ac:dyDescent="0.25">
      <c r="B3337" s="39"/>
      <c r="C3337" s="40"/>
      <c r="D3337" s="40"/>
      <c r="F3337" s="40"/>
      <c r="G3337" s="40"/>
      <c r="H3337" s="42"/>
      <c r="I3337" s="42" t="str">
        <f t="shared" si="48"/>
        <v/>
      </c>
    </row>
    <row r="3338" spans="2:9" x14ac:dyDescent="0.25">
      <c r="B3338" s="39"/>
      <c r="C3338" s="40"/>
      <c r="D3338" s="40"/>
      <c r="F3338" s="40"/>
      <c r="G3338" s="40"/>
      <c r="H3338" s="42"/>
      <c r="I3338" s="42" t="str">
        <f t="shared" si="48"/>
        <v/>
      </c>
    </row>
    <row r="3339" spans="2:9" x14ac:dyDescent="0.25">
      <c r="B3339" s="39"/>
      <c r="C3339" s="40"/>
      <c r="D3339" s="40"/>
      <c r="F3339" s="40"/>
      <c r="G3339" s="40"/>
      <c r="H3339" s="42"/>
      <c r="I3339" s="42" t="str">
        <f t="shared" si="48"/>
        <v/>
      </c>
    </row>
    <row r="3340" spans="2:9" x14ac:dyDescent="0.25">
      <c r="B3340" s="39"/>
      <c r="C3340" s="40"/>
      <c r="D3340" s="40"/>
      <c r="F3340" s="40"/>
      <c r="G3340" s="40"/>
      <c r="H3340" s="42"/>
      <c r="I3340" s="42" t="str">
        <f t="shared" si="48"/>
        <v/>
      </c>
    </row>
    <row r="3341" spans="2:9" x14ac:dyDescent="0.25">
      <c r="B3341" s="39"/>
      <c r="C3341" s="40"/>
      <c r="D3341" s="40"/>
      <c r="F3341" s="40"/>
      <c r="G3341" s="40"/>
      <c r="H3341" s="42"/>
      <c r="I3341" s="42" t="str">
        <f t="shared" si="48"/>
        <v/>
      </c>
    </row>
    <row r="3342" spans="2:9" x14ac:dyDescent="0.25">
      <c r="B3342" s="39"/>
      <c r="C3342" s="40"/>
      <c r="D3342" s="40"/>
      <c r="F3342" s="40"/>
      <c r="G3342" s="40"/>
      <c r="H3342" s="42"/>
      <c r="I3342" s="42" t="str">
        <f t="shared" si="48"/>
        <v/>
      </c>
    </row>
    <row r="3343" spans="2:9" x14ac:dyDescent="0.25">
      <c r="B3343" s="39"/>
      <c r="C3343" s="40"/>
      <c r="D3343" s="40"/>
      <c r="F3343" s="40"/>
      <c r="G3343" s="40"/>
      <c r="H3343" s="42"/>
      <c r="I3343" s="42" t="str">
        <f t="shared" si="48"/>
        <v/>
      </c>
    </row>
    <row r="3344" spans="2:9" x14ac:dyDescent="0.25">
      <c r="B3344" s="39"/>
      <c r="C3344" s="40"/>
      <c r="D3344" s="40"/>
      <c r="F3344" s="40"/>
      <c r="G3344" s="40"/>
      <c r="H3344" s="42"/>
      <c r="I3344" s="42" t="str">
        <f t="shared" si="48"/>
        <v/>
      </c>
    </row>
    <row r="3345" spans="2:9" x14ac:dyDescent="0.25">
      <c r="B3345" s="39"/>
      <c r="C3345" s="40"/>
      <c r="D3345" s="40"/>
      <c r="F3345" s="40"/>
      <c r="G3345" s="40"/>
      <c r="H3345" s="42"/>
      <c r="I3345" s="42" t="str">
        <f t="shared" si="48"/>
        <v/>
      </c>
    </row>
    <row r="3346" spans="2:9" x14ac:dyDescent="0.25">
      <c r="B3346" s="39"/>
      <c r="C3346" s="40"/>
      <c r="D3346" s="40"/>
      <c r="F3346" s="40"/>
      <c r="G3346" s="40"/>
      <c r="H3346" s="42"/>
      <c r="I3346" s="42" t="str">
        <f t="shared" si="48"/>
        <v/>
      </c>
    </row>
    <row r="3347" spans="2:9" x14ac:dyDescent="0.25">
      <c r="B3347" s="39"/>
      <c r="C3347" s="40"/>
      <c r="D3347" s="40"/>
      <c r="F3347" s="40"/>
      <c r="G3347" s="40"/>
      <c r="H3347" s="42"/>
      <c r="I3347" s="42" t="str">
        <f t="shared" si="48"/>
        <v/>
      </c>
    </row>
    <row r="3348" spans="2:9" x14ac:dyDescent="0.25">
      <c r="B3348" s="39"/>
      <c r="C3348" s="40"/>
      <c r="D3348" s="40"/>
      <c r="F3348" s="40"/>
      <c r="G3348" s="40"/>
      <c r="H3348" s="42"/>
      <c r="I3348" s="42" t="str">
        <f t="shared" si="48"/>
        <v/>
      </c>
    </row>
    <row r="3349" spans="2:9" x14ac:dyDescent="0.25">
      <c r="B3349" s="39"/>
      <c r="C3349" s="40"/>
      <c r="D3349" s="40"/>
      <c r="F3349" s="40"/>
      <c r="G3349" s="40"/>
      <c r="H3349" s="42"/>
      <c r="I3349" s="42" t="str">
        <f t="shared" si="48"/>
        <v/>
      </c>
    </row>
    <row r="3350" spans="2:9" x14ac:dyDescent="0.25">
      <c r="B3350" s="39"/>
      <c r="C3350" s="40"/>
      <c r="D3350" s="40"/>
      <c r="F3350" s="40"/>
      <c r="G3350" s="40"/>
      <c r="H3350" s="42"/>
      <c r="I3350" s="42" t="str">
        <f t="shared" si="48"/>
        <v/>
      </c>
    </row>
    <row r="3351" spans="2:9" x14ac:dyDescent="0.25">
      <c r="B3351" s="39"/>
      <c r="C3351" s="40"/>
      <c r="D3351" s="40"/>
      <c r="F3351" s="40"/>
      <c r="G3351" s="40"/>
      <c r="H3351" s="42"/>
      <c r="I3351" s="42" t="str">
        <f t="shared" si="48"/>
        <v/>
      </c>
    </row>
    <row r="3352" spans="2:9" x14ac:dyDescent="0.25">
      <c r="B3352" s="39"/>
      <c r="C3352" s="40"/>
      <c r="D3352" s="40"/>
      <c r="F3352" s="40"/>
      <c r="G3352" s="40"/>
      <c r="H3352" s="42"/>
      <c r="I3352" s="42" t="str">
        <f t="shared" si="48"/>
        <v/>
      </c>
    </row>
    <row r="3353" spans="2:9" x14ac:dyDescent="0.25">
      <c r="B3353" s="39"/>
      <c r="C3353" s="40"/>
      <c r="D3353" s="40"/>
      <c r="F3353" s="40"/>
      <c r="G3353" s="40"/>
      <c r="H3353" s="42"/>
      <c r="I3353" s="42" t="str">
        <f t="shared" si="48"/>
        <v/>
      </c>
    </row>
    <row r="3354" spans="2:9" x14ac:dyDescent="0.25">
      <c r="B3354" s="39"/>
      <c r="C3354" s="40"/>
      <c r="D3354" s="40"/>
      <c r="F3354" s="40"/>
      <c r="G3354" s="40"/>
      <c r="H3354" s="42"/>
      <c r="I3354" s="42" t="str">
        <f t="shared" si="48"/>
        <v/>
      </c>
    </row>
    <row r="3355" spans="2:9" x14ac:dyDescent="0.25">
      <c r="B3355" s="39"/>
      <c r="C3355" s="40"/>
      <c r="D3355" s="40"/>
      <c r="F3355" s="40"/>
      <c r="G3355" s="40"/>
      <c r="H3355" s="42"/>
      <c r="I3355" s="42" t="str">
        <f t="shared" si="48"/>
        <v/>
      </c>
    </row>
    <row r="3356" spans="2:9" x14ac:dyDescent="0.25">
      <c r="B3356" s="39"/>
      <c r="C3356" s="40"/>
      <c r="D3356" s="40"/>
      <c r="F3356" s="40"/>
      <c r="G3356" s="40"/>
      <c r="H3356" s="42"/>
      <c r="I3356" s="42" t="str">
        <f t="shared" si="48"/>
        <v/>
      </c>
    </row>
    <row r="3357" spans="2:9" x14ac:dyDescent="0.25">
      <c r="B3357" s="39"/>
      <c r="C3357" s="40"/>
      <c r="D3357" s="40"/>
      <c r="F3357" s="40"/>
      <c r="G3357" s="40"/>
      <c r="H3357" s="42"/>
      <c r="I3357" s="42" t="str">
        <f t="shared" si="48"/>
        <v/>
      </c>
    </row>
    <row r="3358" spans="2:9" x14ac:dyDescent="0.25">
      <c r="B3358" s="39"/>
      <c r="C3358" s="40"/>
      <c r="D3358" s="40"/>
      <c r="F3358" s="40"/>
      <c r="G3358" s="40"/>
      <c r="H3358" s="42"/>
      <c r="I3358" s="42" t="str">
        <f t="shared" si="48"/>
        <v/>
      </c>
    </row>
    <row r="3359" spans="2:9" x14ac:dyDescent="0.25">
      <c r="B3359" s="39"/>
      <c r="C3359" s="40"/>
      <c r="D3359" s="40"/>
      <c r="F3359" s="40"/>
      <c r="G3359" s="40"/>
      <c r="H3359" s="42"/>
      <c r="I3359" s="42" t="str">
        <f t="shared" si="48"/>
        <v/>
      </c>
    </row>
    <row r="3360" spans="2:9" x14ac:dyDescent="0.25">
      <c r="B3360" s="39"/>
      <c r="C3360" s="40"/>
      <c r="D3360" s="40"/>
      <c r="F3360" s="40"/>
      <c r="G3360" s="40"/>
      <c r="H3360" s="42"/>
      <c r="I3360" s="42" t="str">
        <f t="shared" si="48"/>
        <v/>
      </c>
    </row>
    <row r="3361" spans="2:9" x14ac:dyDescent="0.25">
      <c r="B3361" s="39"/>
      <c r="C3361" s="40"/>
      <c r="D3361" s="40"/>
      <c r="F3361" s="40"/>
      <c r="G3361" s="40"/>
      <c r="H3361" s="42"/>
      <c r="I3361" s="42" t="str">
        <f t="shared" si="48"/>
        <v/>
      </c>
    </row>
    <row r="3362" spans="2:9" x14ac:dyDescent="0.25">
      <c r="B3362" s="39"/>
      <c r="C3362" s="40"/>
      <c r="D3362" s="40"/>
      <c r="F3362" s="40"/>
      <c r="G3362" s="40"/>
      <c r="H3362" s="42"/>
      <c r="I3362" s="42" t="str">
        <f t="shared" si="48"/>
        <v/>
      </c>
    </row>
    <row r="3363" spans="2:9" x14ac:dyDescent="0.25">
      <c r="B3363" s="39"/>
      <c r="C3363" s="40"/>
      <c r="D3363" s="40"/>
      <c r="F3363" s="40"/>
      <c r="G3363" s="40"/>
      <c r="H3363" s="42"/>
      <c r="I3363" s="42" t="str">
        <f t="shared" si="48"/>
        <v/>
      </c>
    </row>
    <row r="3364" spans="2:9" x14ac:dyDescent="0.25">
      <c r="B3364" s="39"/>
      <c r="C3364" s="40"/>
      <c r="D3364" s="40"/>
      <c r="F3364" s="40"/>
      <c r="G3364" s="40"/>
      <c r="H3364" s="42"/>
      <c r="I3364" s="42" t="str">
        <f t="shared" si="48"/>
        <v/>
      </c>
    </row>
    <row r="3365" spans="2:9" x14ac:dyDescent="0.25">
      <c r="B3365" s="39"/>
      <c r="C3365" s="40"/>
      <c r="D3365" s="40"/>
      <c r="F3365" s="40"/>
      <c r="G3365" s="40"/>
      <c r="H3365" s="42"/>
      <c r="I3365" s="42" t="str">
        <f t="shared" si="48"/>
        <v/>
      </c>
    </row>
    <row r="3366" spans="2:9" x14ac:dyDescent="0.25">
      <c r="B3366" s="39"/>
      <c r="C3366" s="40"/>
      <c r="D3366" s="40"/>
      <c r="F3366" s="40"/>
      <c r="G3366" s="40"/>
      <c r="H3366" s="42"/>
      <c r="I3366" s="42" t="str">
        <f t="shared" si="48"/>
        <v/>
      </c>
    </row>
    <row r="3367" spans="2:9" x14ac:dyDescent="0.25">
      <c r="B3367" s="39"/>
      <c r="C3367" s="40"/>
      <c r="D3367" s="40"/>
      <c r="F3367" s="40"/>
      <c r="G3367" s="40"/>
      <c r="H3367" s="42"/>
      <c r="I3367" s="42" t="str">
        <f t="shared" si="48"/>
        <v/>
      </c>
    </row>
    <row r="3368" spans="2:9" x14ac:dyDescent="0.25">
      <c r="B3368" s="39"/>
      <c r="C3368" s="40"/>
      <c r="D3368" s="40"/>
      <c r="F3368" s="40"/>
      <c r="G3368" s="40"/>
      <c r="H3368" s="42"/>
      <c r="I3368" s="42" t="str">
        <f t="shared" si="48"/>
        <v/>
      </c>
    </row>
    <row r="3369" spans="2:9" x14ac:dyDescent="0.25">
      <c r="B3369" s="39"/>
      <c r="C3369" s="40"/>
      <c r="D3369" s="40"/>
      <c r="F3369" s="40"/>
      <c r="G3369" s="40"/>
      <c r="H3369" s="42"/>
      <c r="I3369" s="42" t="str">
        <f t="shared" si="48"/>
        <v/>
      </c>
    </row>
    <row r="3370" spans="2:9" x14ac:dyDescent="0.25">
      <c r="B3370" s="39"/>
      <c r="C3370" s="40"/>
      <c r="D3370" s="40"/>
      <c r="F3370" s="40"/>
      <c r="G3370" s="40"/>
      <c r="H3370" s="42"/>
      <c r="I3370" s="42" t="str">
        <f t="shared" si="48"/>
        <v/>
      </c>
    </row>
    <row r="3371" spans="2:9" x14ac:dyDescent="0.25">
      <c r="B3371" s="39"/>
      <c r="C3371" s="40"/>
      <c r="D3371" s="40"/>
      <c r="F3371" s="40"/>
      <c r="G3371" s="40"/>
      <c r="H3371" s="42"/>
      <c r="I3371" s="42" t="str">
        <f t="shared" si="48"/>
        <v/>
      </c>
    </row>
    <row r="3372" spans="2:9" x14ac:dyDescent="0.25">
      <c r="B3372" s="39"/>
      <c r="C3372" s="40"/>
      <c r="D3372" s="40"/>
      <c r="F3372" s="40"/>
      <c r="G3372" s="40"/>
      <c r="H3372" s="42"/>
      <c r="I3372" s="42" t="str">
        <f t="shared" si="48"/>
        <v/>
      </c>
    </row>
    <row r="3373" spans="2:9" x14ac:dyDescent="0.25">
      <c r="B3373" s="39"/>
      <c r="C3373" s="40"/>
      <c r="D3373" s="40"/>
      <c r="F3373" s="40"/>
      <c r="G3373" s="40"/>
      <c r="H3373" s="42"/>
      <c r="I3373" s="42" t="str">
        <f t="shared" si="48"/>
        <v/>
      </c>
    </row>
    <row r="3374" spans="2:9" x14ac:dyDescent="0.25">
      <c r="B3374" s="39"/>
      <c r="C3374" s="40"/>
      <c r="D3374" s="40"/>
      <c r="F3374" s="40"/>
      <c r="G3374" s="40"/>
      <c r="H3374" s="42"/>
      <c r="I3374" s="42" t="str">
        <f t="shared" si="48"/>
        <v/>
      </c>
    </row>
    <row r="3375" spans="2:9" x14ac:dyDescent="0.25">
      <c r="B3375" s="39"/>
      <c r="C3375" s="40"/>
      <c r="D3375" s="40"/>
      <c r="F3375" s="40"/>
      <c r="G3375" s="40"/>
      <c r="H3375" s="42"/>
      <c r="I3375" s="42" t="str">
        <f t="shared" si="48"/>
        <v/>
      </c>
    </row>
    <row r="3376" spans="2:9" x14ac:dyDescent="0.25">
      <c r="B3376" s="39"/>
      <c r="C3376" s="40"/>
      <c r="D3376" s="40"/>
      <c r="F3376" s="40"/>
      <c r="G3376" s="40"/>
      <c r="H3376" s="42"/>
      <c r="I3376" s="42" t="str">
        <f t="shared" si="48"/>
        <v/>
      </c>
    </row>
    <row r="3377" spans="2:9" x14ac:dyDescent="0.25">
      <c r="B3377" s="39"/>
      <c r="C3377" s="40"/>
      <c r="D3377" s="40"/>
      <c r="F3377" s="40"/>
      <c r="G3377" s="40"/>
      <c r="H3377" s="42"/>
      <c r="I3377" s="42" t="str">
        <f t="shared" si="48"/>
        <v/>
      </c>
    </row>
    <row r="3378" spans="2:9" x14ac:dyDescent="0.25">
      <c r="B3378" s="39"/>
      <c r="C3378" s="40"/>
      <c r="D3378" s="40"/>
      <c r="F3378" s="40"/>
      <c r="G3378" s="40"/>
      <c r="H3378" s="42"/>
      <c r="I3378" s="42" t="str">
        <f t="shared" si="48"/>
        <v/>
      </c>
    </row>
    <row r="3379" spans="2:9" x14ac:dyDescent="0.25">
      <c r="B3379" s="39"/>
      <c r="C3379" s="40"/>
      <c r="D3379" s="40"/>
      <c r="F3379" s="40"/>
      <c r="G3379" s="40"/>
      <c r="H3379" s="42"/>
      <c r="I3379" s="42" t="str">
        <f t="shared" si="48"/>
        <v/>
      </c>
    </row>
    <row r="3380" spans="2:9" x14ac:dyDescent="0.25">
      <c r="B3380" s="39"/>
      <c r="C3380" s="40"/>
      <c r="D3380" s="40"/>
      <c r="F3380" s="40"/>
      <c r="G3380" s="40"/>
      <c r="H3380" s="42"/>
      <c r="I3380" s="42" t="str">
        <f t="shared" si="48"/>
        <v/>
      </c>
    </row>
    <row r="3381" spans="2:9" x14ac:dyDescent="0.25">
      <c r="B3381" s="39"/>
      <c r="C3381" s="40"/>
      <c r="D3381" s="40"/>
      <c r="F3381" s="40"/>
      <c r="G3381" s="40"/>
      <c r="H3381" s="42"/>
      <c r="I3381" s="42" t="str">
        <f t="shared" si="48"/>
        <v/>
      </c>
    </row>
    <row r="3382" spans="2:9" x14ac:dyDescent="0.25">
      <c r="B3382" s="39"/>
      <c r="C3382" s="40"/>
      <c r="D3382" s="40"/>
      <c r="F3382" s="40"/>
      <c r="G3382" s="40"/>
      <c r="H3382" s="42"/>
      <c r="I3382" s="42" t="str">
        <f t="shared" si="48"/>
        <v/>
      </c>
    </row>
    <row r="3383" spans="2:9" x14ac:dyDescent="0.25">
      <c r="B3383" s="39"/>
      <c r="C3383" s="40"/>
      <c r="D3383" s="40"/>
      <c r="F3383" s="40"/>
      <c r="G3383" s="40"/>
      <c r="H3383" s="42"/>
      <c r="I3383" s="42" t="str">
        <f t="shared" si="48"/>
        <v/>
      </c>
    </row>
    <row r="3384" spans="2:9" x14ac:dyDescent="0.25">
      <c r="B3384" s="39"/>
      <c r="C3384" s="40"/>
      <c r="D3384" s="40"/>
      <c r="F3384" s="40"/>
      <c r="G3384" s="40"/>
      <c r="H3384" s="42"/>
      <c r="I3384" s="42" t="str">
        <f t="shared" si="48"/>
        <v/>
      </c>
    </row>
    <row r="3385" spans="2:9" x14ac:dyDescent="0.25">
      <c r="B3385" s="39"/>
      <c r="C3385" s="40"/>
      <c r="D3385" s="40"/>
      <c r="F3385" s="40"/>
      <c r="G3385" s="40"/>
      <c r="H3385" s="42"/>
      <c r="I3385" s="42" t="str">
        <f t="shared" si="48"/>
        <v/>
      </c>
    </row>
    <row r="3386" spans="2:9" x14ac:dyDescent="0.25">
      <c r="B3386" s="39"/>
      <c r="C3386" s="40"/>
      <c r="D3386" s="40"/>
      <c r="F3386" s="40"/>
      <c r="G3386" s="40"/>
      <c r="H3386" s="42"/>
      <c r="I3386" s="42" t="str">
        <f t="shared" si="48"/>
        <v/>
      </c>
    </row>
    <row r="3387" spans="2:9" x14ac:dyDescent="0.25">
      <c r="B3387" s="39"/>
      <c r="C3387" s="40"/>
      <c r="D3387" s="40"/>
      <c r="F3387" s="40"/>
      <c r="G3387" s="40"/>
      <c r="H3387" s="42"/>
      <c r="I3387" s="42" t="str">
        <f t="shared" si="48"/>
        <v/>
      </c>
    </row>
    <row r="3388" spans="2:9" x14ac:dyDescent="0.25">
      <c r="B3388" s="39"/>
      <c r="C3388" s="40"/>
      <c r="D3388" s="40"/>
      <c r="F3388" s="40"/>
      <c r="G3388" s="40"/>
      <c r="H3388" s="42"/>
      <c r="I3388" s="42" t="str">
        <f t="shared" si="48"/>
        <v/>
      </c>
    </row>
    <row r="3389" spans="2:9" x14ac:dyDescent="0.25">
      <c r="B3389" s="39"/>
      <c r="C3389" s="40"/>
      <c r="D3389" s="40"/>
      <c r="F3389" s="40"/>
      <c r="G3389" s="40"/>
      <c r="H3389" s="42"/>
      <c r="I3389" s="42" t="str">
        <f t="shared" si="48"/>
        <v/>
      </c>
    </row>
    <row r="3390" spans="2:9" x14ac:dyDescent="0.25">
      <c r="B3390" s="39"/>
      <c r="C3390" s="40"/>
      <c r="D3390" s="40"/>
      <c r="F3390" s="40"/>
      <c r="G3390" s="40"/>
      <c r="H3390" s="42"/>
      <c r="I3390" s="42" t="str">
        <f t="shared" si="48"/>
        <v/>
      </c>
    </row>
    <row r="3391" spans="2:9" x14ac:dyDescent="0.25">
      <c r="B3391" s="39"/>
      <c r="C3391" s="40"/>
      <c r="D3391" s="40"/>
      <c r="F3391" s="40"/>
      <c r="G3391" s="40"/>
      <c r="H3391" s="42"/>
      <c r="I3391" s="42" t="str">
        <f t="shared" si="48"/>
        <v/>
      </c>
    </row>
    <row r="3392" spans="2:9" x14ac:dyDescent="0.25">
      <c r="B3392" s="39"/>
      <c r="C3392" s="40"/>
      <c r="D3392" s="40"/>
      <c r="F3392" s="40"/>
      <c r="G3392" s="40"/>
      <c r="H3392" s="42"/>
      <c r="I3392" s="42" t="str">
        <f t="shared" ref="I3392:I3455" si="49">IF(H3392&lt;&gt;"",H3392-H3391,"")</f>
        <v/>
      </c>
    </row>
    <row r="3393" spans="2:9" x14ac:dyDescent="0.25">
      <c r="B3393" s="39"/>
      <c r="C3393" s="40"/>
      <c r="D3393" s="40"/>
      <c r="F3393" s="40"/>
      <c r="G3393" s="40"/>
      <c r="H3393" s="42"/>
      <c r="I3393" s="42" t="str">
        <f t="shared" si="49"/>
        <v/>
      </c>
    </row>
    <row r="3394" spans="2:9" x14ac:dyDescent="0.25">
      <c r="B3394" s="39"/>
      <c r="C3394" s="40"/>
      <c r="D3394" s="40"/>
      <c r="F3394" s="40"/>
      <c r="G3394" s="40"/>
      <c r="H3394" s="42"/>
      <c r="I3394" s="42" t="str">
        <f t="shared" si="49"/>
        <v/>
      </c>
    </row>
    <row r="3395" spans="2:9" x14ac:dyDescent="0.25">
      <c r="B3395" s="39"/>
      <c r="C3395" s="40"/>
      <c r="D3395" s="40"/>
      <c r="F3395" s="40"/>
      <c r="G3395" s="40"/>
      <c r="H3395" s="42"/>
      <c r="I3395" s="42" t="str">
        <f t="shared" si="49"/>
        <v/>
      </c>
    </row>
    <row r="3396" spans="2:9" x14ac:dyDescent="0.25">
      <c r="B3396" s="39"/>
      <c r="C3396" s="40"/>
      <c r="D3396" s="40"/>
      <c r="F3396" s="40"/>
      <c r="G3396" s="40"/>
      <c r="H3396" s="42"/>
      <c r="I3396" s="42" t="str">
        <f t="shared" si="49"/>
        <v/>
      </c>
    </row>
    <row r="3397" spans="2:9" x14ac:dyDescent="0.25">
      <c r="B3397" s="39"/>
      <c r="C3397" s="40"/>
      <c r="D3397" s="40"/>
      <c r="F3397" s="40"/>
      <c r="G3397" s="40"/>
      <c r="H3397" s="42"/>
      <c r="I3397" s="42" t="str">
        <f t="shared" si="49"/>
        <v/>
      </c>
    </row>
    <row r="3398" spans="2:9" x14ac:dyDescent="0.25">
      <c r="B3398" s="39"/>
      <c r="C3398" s="40"/>
      <c r="D3398" s="40"/>
      <c r="F3398" s="40"/>
      <c r="G3398" s="40"/>
      <c r="H3398" s="42"/>
      <c r="I3398" s="42" t="str">
        <f t="shared" si="49"/>
        <v/>
      </c>
    </row>
    <row r="3399" spans="2:9" x14ac:dyDescent="0.25">
      <c r="B3399" s="39"/>
      <c r="C3399" s="40"/>
      <c r="D3399" s="40"/>
      <c r="F3399" s="40"/>
      <c r="G3399" s="40"/>
      <c r="H3399" s="42"/>
      <c r="I3399" s="42" t="str">
        <f t="shared" si="49"/>
        <v/>
      </c>
    </row>
    <row r="3400" spans="2:9" x14ac:dyDescent="0.25">
      <c r="B3400" s="39"/>
      <c r="C3400" s="40"/>
      <c r="D3400" s="40"/>
      <c r="F3400" s="40"/>
      <c r="G3400" s="40"/>
      <c r="H3400" s="42"/>
      <c r="I3400" s="42" t="str">
        <f t="shared" si="49"/>
        <v/>
      </c>
    </row>
    <row r="3401" spans="2:9" x14ac:dyDescent="0.25">
      <c r="B3401" s="39"/>
      <c r="C3401" s="40"/>
      <c r="D3401" s="40"/>
      <c r="F3401" s="40"/>
      <c r="G3401" s="40"/>
      <c r="H3401" s="42"/>
      <c r="I3401" s="42" t="str">
        <f t="shared" si="49"/>
        <v/>
      </c>
    </row>
    <row r="3402" spans="2:9" x14ac:dyDescent="0.25">
      <c r="B3402" s="39"/>
      <c r="C3402" s="40"/>
      <c r="D3402" s="40"/>
      <c r="F3402" s="40"/>
      <c r="G3402" s="40"/>
      <c r="H3402" s="42"/>
      <c r="I3402" s="42" t="str">
        <f t="shared" si="49"/>
        <v/>
      </c>
    </row>
    <row r="3403" spans="2:9" x14ac:dyDescent="0.25">
      <c r="B3403" s="39"/>
      <c r="C3403" s="40"/>
      <c r="D3403" s="40"/>
      <c r="F3403" s="40"/>
      <c r="G3403" s="40"/>
      <c r="H3403" s="42"/>
      <c r="I3403" s="42" t="str">
        <f t="shared" si="49"/>
        <v/>
      </c>
    </row>
    <row r="3404" spans="2:9" x14ac:dyDescent="0.25">
      <c r="B3404" s="39"/>
      <c r="C3404" s="40"/>
      <c r="D3404" s="40"/>
      <c r="F3404" s="40"/>
      <c r="G3404" s="40"/>
      <c r="H3404" s="42"/>
      <c r="I3404" s="42" t="str">
        <f t="shared" si="49"/>
        <v/>
      </c>
    </row>
    <row r="3405" spans="2:9" x14ac:dyDescent="0.25">
      <c r="B3405" s="39"/>
      <c r="C3405" s="40"/>
      <c r="D3405" s="40"/>
      <c r="F3405" s="40"/>
      <c r="G3405" s="40"/>
      <c r="H3405" s="42"/>
      <c r="I3405" s="42" t="str">
        <f t="shared" si="49"/>
        <v/>
      </c>
    </row>
    <row r="3406" spans="2:9" x14ac:dyDescent="0.25">
      <c r="B3406" s="39"/>
      <c r="C3406" s="40"/>
      <c r="D3406" s="40"/>
      <c r="F3406" s="40"/>
      <c r="G3406" s="40"/>
      <c r="H3406" s="42"/>
      <c r="I3406" s="42" t="str">
        <f t="shared" si="49"/>
        <v/>
      </c>
    </row>
    <row r="3407" spans="2:9" x14ac:dyDescent="0.25">
      <c r="B3407" s="39"/>
      <c r="C3407" s="40"/>
      <c r="D3407" s="40"/>
      <c r="F3407" s="40"/>
      <c r="G3407" s="40"/>
      <c r="H3407" s="42"/>
      <c r="I3407" s="42" t="str">
        <f t="shared" si="49"/>
        <v/>
      </c>
    </row>
    <row r="3408" spans="2:9" x14ac:dyDescent="0.25">
      <c r="B3408" s="39"/>
      <c r="C3408" s="40"/>
      <c r="D3408" s="40"/>
      <c r="F3408" s="40"/>
      <c r="G3408" s="40"/>
      <c r="H3408" s="42"/>
      <c r="I3408" s="42" t="str">
        <f t="shared" si="49"/>
        <v/>
      </c>
    </row>
    <row r="3409" spans="2:9" x14ac:dyDescent="0.25">
      <c r="B3409" s="39"/>
      <c r="C3409" s="40"/>
      <c r="D3409" s="40"/>
      <c r="F3409" s="40"/>
      <c r="G3409" s="40"/>
      <c r="H3409" s="42"/>
      <c r="I3409" s="42" t="str">
        <f t="shared" si="49"/>
        <v/>
      </c>
    </row>
    <row r="3410" spans="2:9" x14ac:dyDescent="0.25">
      <c r="B3410" s="39"/>
      <c r="C3410" s="40"/>
      <c r="D3410" s="40"/>
      <c r="F3410" s="40"/>
      <c r="G3410" s="40"/>
      <c r="H3410" s="42"/>
      <c r="I3410" s="42" t="str">
        <f t="shared" si="49"/>
        <v/>
      </c>
    </row>
    <row r="3411" spans="2:9" x14ac:dyDescent="0.25">
      <c r="B3411" s="39"/>
      <c r="C3411" s="40"/>
      <c r="D3411" s="40"/>
      <c r="F3411" s="40"/>
      <c r="G3411" s="40"/>
      <c r="H3411" s="42"/>
      <c r="I3411" s="42" t="str">
        <f t="shared" si="49"/>
        <v/>
      </c>
    </row>
    <row r="3412" spans="2:9" x14ac:dyDescent="0.25">
      <c r="B3412" s="39"/>
      <c r="C3412" s="40"/>
      <c r="D3412" s="40"/>
      <c r="F3412" s="40"/>
      <c r="G3412" s="40"/>
      <c r="H3412" s="42"/>
      <c r="I3412" s="42" t="str">
        <f t="shared" si="49"/>
        <v/>
      </c>
    </row>
    <row r="3413" spans="2:9" x14ac:dyDescent="0.25">
      <c r="B3413" s="39"/>
      <c r="C3413" s="40"/>
      <c r="D3413" s="40"/>
      <c r="F3413" s="40"/>
      <c r="G3413" s="40"/>
      <c r="H3413" s="42"/>
      <c r="I3413" s="42" t="str">
        <f t="shared" si="49"/>
        <v/>
      </c>
    </row>
    <row r="3414" spans="2:9" x14ac:dyDescent="0.25">
      <c r="B3414" s="39"/>
      <c r="C3414" s="40"/>
      <c r="D3414" s="40"/>
      <c r="F3414" s="40"/>
      <c r="G3414" s="40"/>
      <c r="H3414" s="42"/>
      <c r="I3414" s="42" t="str">
        <f t="shared" si="49"/>
        <v/>
      </c>
    </row>
    <row r="3415" spans="2:9" x14ac:dyDescent="0.25">
      <c r="B3415" s="39"/>
      <c r="C3415" s="40"/>
      <c r="D3415" s="40"/>
      <c r="F3415" s="40"/>
      <c r="G3415" s="40"/>
      <c r="H3415" s="42"/>
      <c r="I3415" s="42" t="str">
        <f t="shared" si="49"/>
        <v/>
      </c>
    </row>
    <row r="3416" spans="2:9" x14ac:dyDescent="0.25">
      <c r="B3416" s="39"/>
      <c r="C3416" s="40"/>
      <c r="D3416" s="40"/>
      <c r="F3416" s="40"/>
      <c r="G3416" s="40"/>
      <c r="H3416" s="42"/>
      <c r="I3416" s="42" t="str">
        <f t="shared" si="49"/>
        <v/>
      </c>
    </row>
    <row r="3417" spans="2:9" x14ac:dyDescent="0.25">
      <c r="B3417" s="39"/>
      <c r="C3417" s="40"/>
      <c r="D3417" s="40"/>
      <c r="F3417" s="40"/>
      <c r="G3417" s="40"/>
      <c r="H3417" s="42"/>
      <c r="I3417" s="42" t="str">
        <f t="shared" si="49"/>
        <v/>
      </c>
    </row>
    <row r="3418" spans="2:9" x14ac:dyDescent="0.25">
      <c r="B3418" s="39"/>
      <c r="C3418" s="40"/>
      <c r="D3418" s="40"/>
      <c r="F3418" s="40"/>
      <c r="G3418" s="40"/>
      <c r="H3418" s="42"/>
      <c r="I3418" s="42" t="str">
        <f t="shared" si="49"/>
        <v/>
      </c>
    </row>
    <row r="3419" spans="2:9" x14ac:dyDescent="0.25">
      <c r="B3419" s="39"/>
      <c r="C3419" s="40"/>
      <c r="D3419" s="40"/>
      <c r="F3419" s="40"/>
      <c r="G3419" s="40"/>
      <c r="H3419" s="42"/>
      <c r="I3419" s="42" t="str">
        <f t="shared" si="49"/>
        <v/>
      </c>
    </row>
    <row r="3420" spans="2:9" x14ac:dyDescent="0.25">
      <c r="B3420" s="39"/>
      <c r="C3420" s="40"/>
      <c r="D3420" s="40"/>
      <c r="F3420" s="40"/>
      <c r="G3420" s="40"/>
      <c r="H3420" s="42"/>
      <c r="I3420" s="42" t="str">
        <f t="shared" si="49"/>
        <v/>
      </c>
    </row>
    <row r="3421" spans="2:9" x14ac:dyDescent="0.25">
      <c r="B3421" s="39"/>
      <c r="C3421" s="40"/>
      <c r="D3421" s="40"/>
      <c r="F3421" s="40"/>
      <c r="G3421" s="40"/>
      <c r="H3421" s="42"/>
      <c r="I3421" s="42" t="str">
        <f t="shared" si="49"/>
        <v/>
      </c>
    </row>
    <row r="3422" spans="2:9" x14ac:dyDescent="0.25">
      <c r="B3422" s="39"/>
      <c r="C3422" s="40"/>
      <c r="D3422" s="40"/>
      <c r="F3422" s="40"/>
      <c r="G3422" s="40"/>
      <c r="H3422" s="42"/>
      <c r="I3422" s="42" t="str">
        <f t="shared" si="49"/>
        <v/>
      </c>
    </row>
    <row r="3423" spans="2:9" x14ac:dyDescent="0.25">
      <c r="B3423" s="39"/>
      <c r="C3423" s="40"/>
      <c r="D3423" s="40"/>
      <c r="F3423" s="40"/>
      <c r="G3423" s="40"/>
      <c r="H3423" s="42"/>
      <c r="I3423" s="42" t="str">
        <f t="shared" si="49"/>
        <v/>
      </c>
    </row>
    <row r="3424" spans="2:9" x14ac:dyDescent="0.25">
      <c r="B3424" s="39"/>
      <c r="C3424" s="40"/>
      <c r="D3424" s="40"/>
      <c r="F3424" s="40"/>
      <c r="G3424" s="40"/>
      <c r="H3424" s="42"/>
      <c r="I3424" s="42" t="str">
        <f t="shared" si="49"/>
        <v/>
      </c>
    </row>
    <row r="3425" spans="2:9" x14ac:dyDescent="0.25">
      <c r="B3425" s="39"/>
      <c r="C3425" s="40"/>
      <c r="D3425" s="40"/>
      <c r="F3425" s="40"/>
      <c r="G3425" s="40"/>
      <c r="H3425" s="42"/>
      <c r="I3425" s="42" t="str">
        <f t="shared" si="49"/>
        <v/>
      </c>
    </row>
    <row r="3426" spans="2:9" x14ac:dyDescent="0.25">
      <c r="B3426" s="39"/>
      <c r="C3426" s="40"/>
      <c r="D3426" s="40"/>
      <c r="F3426" s="40"/>
      <c r="G3426" s="40"/>
      <c r="H3426" s="42"/>
      <c r="I3426" s="42" t="str">
        <f t="shared" si="49"/>
        <v/>
      </c>
    </row>
    <row r="3427" spans="2:9" x14ac:dyDescent="0.25">
      <c r="B3427" s="39"/>
      <c r="C3427" s="40"/>
      <c r="D3427" s="40"/>
      <c r="F3427" s="40"/>
      <c r="G3427" s="40"/>
      <c r="H3427" s="42"/>
      <c r="I3427" s="42" t="str">
        <f t="shared" si="49"/>
        <v/>
      </c>
    </row>
    <row r="3428" spans="2:9" x14ac:dyDescent="0.25">
      <c r="B3428" s="39"/>
      <c r="C3428" s="40"/>
      <c r="D3428" s="40"/>
      <c r="F3428" s="40"/>
      <c r="G3428" s="40"/>
      <c r="H3428" s="42"/>
      <c r="I3428" s="42" t="str">
        <f t="shared" si="49"/>
        <v/>
      </c>
    </row>
    <row r="3429" spans="2:9" x14ac:dyDescent="0.25">
      <c r="B3429" s="39"/>
      <c r="C3429" s="40"/>
      <c r="D3429" s="40"/>
      <c r="F3429" s="40"/>
      <c r="G3429" s="40"/>
      <c r="H3429" s="42"/>
      <c r="I3429" s="42" t="str">
        <f t="shared" si="49"/>
        <v/>
      </c>
    </row>
    <row r="3430" spans="2:9" x14ac:dyDescent="0.25">
      <c r="B3430" s="39"/>
      <c r="C3430" s="40"/>
      <c r="D3430" s="40"/>
      <c r="F3430" s="40"/>
      <c r="G3430" s="40"/>
      <c r="H3430" s="42"/>
      <c r="I3430" s="42" t="str">
        <f t="shared" si="49"/>
        <v/>
      </c>
    </row>
    <row r="3431" spans="2:9" x14ac:dyDescent="0.25">
      <c r="B3431" s="39"/>
      <c r="C3431" s="40"/>
      <c r="D3431" s="40"/>
      <c r="F3431" s="40"/>
      <c r="G3431" s="40"/>
      <c r="H3431" s="42"/>
      <c r="I3431" s="42" t="str">
        <f t="shared" si="49"/>
        <v/>
      </c>
    </row>
    <row r="3432" spans="2:9" x14ac:dyDescent="0.25">
      <c r="B3432" s="39"/>
      <c r="C3432" s="40"/>
      <c r="D3432" s="40"/>
      <c r="F3432" s="40"/>
      <c r="G3432" s="40"/>
      <c r="H3432" s="42"/>
      <c r="I3432" s="42" t="str">
        <f t="shared" si="49"/>
        <v/>
      </c>
    </row>
    <row r="3433" spans="2:9" x14ac:dyDescent="0.25">
      <c r="B3433" s="39"/>
      <c r="C3433" s="40"/>
      <c r="D3433" s="40"/>
      <c r="F3433" s="40"/>
      <c r="G3433" s="40"/>
      <c r="H3433" s="42"/>
      <c r="I3433" s="42" t="str">
        <f t="shared" si="49"/>
        <v/>
      </c>
    </row>
    <row r="3434" spans="2:9" x14ac:dyDescent="0.25">
      <c r="B3434" s="39"/>
      <c r="C3434" s="40"/>
      <c r="D3434" s="40"/>
      <c r="F3434" s="40"/>
      <c r="G3434" s="40"/>
      <c r="H3434" s="42"/>
      <c r="I3434" s="42" t="str">
        <f t="shared" si="49"/>
        <v/>
      </c>
    </row>
    <row r="3435" spans="2:9" x14ac:dyDescent="0.25">
      <c r="B3435" s="39"/>
      <c r="C3435" s="40"/>
      <c r="D3435" s="40"/>
      <c r="F3435" s="40"/>
      <c r="G3435" s="40"/>
      <c r="H3435" s="42"/>
      <c r="I3435" s="42" t="str">
        <f t="shared" si="49"/>
        <v/>
      </c>
    </row>
    <row r="3436" spans="2:9" x14ac:dyDescent="0.25">
      <c r="B3436" s="39"/>
      <c r="C3436" s="40"/>
      <c r="D3436" s="40"/>
      <c r="F3436" s="40"/>
      <c r="G3436" s="40"/>
      <c r="H3436" s="42"/>
      <c r="I3436" s="42" t="str">
        <f t="shared" si="49"/>
        <v/>
      </c>
    </row>
    <row r="3437" spans="2:9" x14ac:dyDescent="0.25">
      <c r="B3437" s="39"/>
      <c r="C3437" s="40"/>
      <c r="D3437" s="40"/>
      <c r="F3437" s="40"/>
      <c r="G3437" s="40"/>
      <c r="H3437" s="42"/>
      <c r="I3437" s="42" t="str">
        <f t="shared" si="49"/>
        <v/>
      </c>
    </row>
    <row r="3438" spans="2:9" x14ac:dyDescent="0.25">
      <c r="B3438" s="39"/>
      <c r="C3438" s="40"/>
      <c r="D3438" s="40"/>
      <c r="F3438" s="40"/>
      <c r="G3438" s="40"/>
      <c r="H3438" s="42"/>
      <c r="I3438" s="42" t="str">
        <f t="shared" si="49"/>
        <v/>
      </c>
    </row>
    <row r="3439" spans="2:9" x14ac:dyDescent="0.25">
      <c r="B3439" s="39"/>
      <c r="C3439" s="40"/>
      <c r="D3439" s="40"/>
      <c r="F3439" s="40"/>
      <c r="G3439" s="40"/>
      <c r="H3439" s="42"/>
      <c r="I3439" s="42" t="str">
        <f t="shared" si="49"/>
        <v/>
      </c>
    </row>
    <row r="3440" spans="2:9" x14ac:dyDescent="0.25">
      <c r="B3440" s="39"/>
      <c r="C3440" s="40"/>
      <c r="D3440" s="40"/>
      <c r="F3440" s="40"/>
      <c r="G3440" s="40"/>
      <c r="H3440" s="42"/>
      <c r="I3440" s="42" t="str">
        <f t="shared" si="49"/>
        <v/>
      </c>
    </row>
    <row r="3441" spans="2:9" x14ac:dyDescent="0.25">
      <c r="B3441" s="39"/>
      <c r="C3441" s="40"/>
      <c r="D3441" s="40"/>
      <c r="F3441" s="40"/>
      <c r="G3441" s="40"/>
      <c r="H3441" s="42"/>
      <c r="I3441" s="42" t="str">
        <f t="shared" si="49"/>
        <v/>
      </c>
    </row>
    <row r="3442" spans="2:9" x14ac:dyDescent="0.25">
      <c r="B3442" s="39"/>
      <c r="C3442" s="40"/>
      <c r="D3442" s="40"/>
      <c r="F3442" s="40"/>
      <c r="G3442" s="40"/>
      <c r="H3442" s="42"/>
      <c r="I3442" s="42" t="str">
        <f t="shared" si="49"/>
        <v/>
      </c>
    </row>
    <row r="3443" spans="2:9" x14ac:dyDescent="0.25">
      <c r="B3443" s="39"/>
      <c r="C3443" s="40"/>
      <c r="D3443" s="40"/>
      <c r="F3443" s="40"/>
      <c r="G3443" s="40"/>
      <c r="H3443" s="42"/>
      <c r="I3443" s="42" t="str">
        <f t="shared" si="49"/>
        <v/>
      </c>
    </row>
    <row r="3444" spans="2:9" x14ac:dyDescent="0.25">
      <c r="B3444" s="39"/>
      <c r="C3444" s="40"/>
      <c r="D3444" s="40"/>
      <c r="F3444" s="40"/>
      <c r="G3444" s="40"/>
      <c r="H3444" s="42"/>
      <c r="I3444" s="42" t="str">
        <f t="shared" si="49"/>
        <v/>
      </c>
    </row>
    <row r="3445" spans="2:9" x14ac:dyDescent="0.25">
      <c r="B3445" s="39"/>
      <c r="C3445" s="40"/>
      <c r="D3445" s="40"/>
      <c r="F3445" s="40"/>
      <c r="G3445" s="40"/>
      <c r="H3445" s="42"/>
      <c r="I3445" s="42" t="str">
        <f t="shared" si="49"/>
        <v/>
      </c>
    </row>
    <row r="3446" spans="2:9" x14ac:dyDescent="0.25">
      <c r="B3446" s="39"/>
      <c r="C3446" s="40"/>
      <c r="D3446" s="40"/>
      <c r="F3446" s="40"/>
      <c r="G3446" s="40"/>
      <c r="H3446" s="42"/>
      <c r="I3446" s="42" t="str">
        <f t="shared" si="49"/>
        <v/>
      </c>
    </row>
    <row r="3447" spans="2:9" x14ac:dyDescent="0.25">
      <c r="B3447" s="39"/>
      <c r="C3447" s="40"/>
      <c r="D3447" s="40"/>
      <c r="F3447" s="40"/>
      <c r="G3447" s="40"/>
      <c r="H3447" s="42"/>
      <c r="I3447" s="42" t="str">
        <f t="shared" si="49"/>
        <v/>
      </c>
    </row>
    <row r="3448" spans="2:9" x14ac:dyDescent="0.25">
      <c r="B3448" s="39"/>
      <c r="C3448" s="40"/>
      <c r="D3448" s="40"/>
      <c r="F3448" s="40"/>
      <c r="G3448" s="40"/>
      <c r="H3448" s="42"/>
      <c r="I3448" s="42" t="str">
        <f t="shared" si="49"/>
        <v/>
      </c>
    </row>
    <row r="3449" spans="2:9" x14ac:dyDescent="0.25">
      <c r="B3449" s="39"/>
      <c r="C3449" s="40"/>
      <c r="D3449" s="40"/>
      <c r="F3449" s="40"/>
      <c r="G3449" s="40"/>
      <c r="H3449" s="42"/>
      <c r="I3449" s="42" t="str">
        <f t="shared" si="49"/>
        <v/>
      </c>
    </row>
    <row r="3450" spans="2:9" x14ac:dyDescent="0.25">
      <c r="B3450" s="39"/>
      <c r="C3450" s="40"/>
      <c r="D3450" s="40"/>
      <c r="F3450" s="40"/>
      <c r="G3450" s="40"/>
      <c r="H3450" s="42"/>
      <c r="I3450" s="42" t="str">
        <f t="shared" si="49"/>
        <v/>
      </c>
    </row>
    <row r="3451" spans="2:9" x14ac:dyDescent="0.25">
      <c r="B3451" s="39"/>
      <c r="C3451" s="40"/>
      <c r="D3451" s="40"/>
      <c r="F3451" s="40"/>
      <c r="G3451" s="40"/>
      <c r="H3451" s="42"/>
      <c r="I3451" s="42" t="str">
        <f t="shared" si="49"/>
        <v/>
      </c>
    </row>
    <row r="3452" spans="2:9" x14ac:dyDescent="0.25">
      <c r="B3452" s="39"/>
      <c r="C3452" s="40"/>
      <c r="D3452" s="40"/>
      <c r="F3452" s="40"/>
      <c r="G3452" s="40"/>
      <c r="H3452" s="42"/>
      <c r="I3452" s="42" t="str">
        <f t="shared" si="49"/>
        <v/>
      </c>
    </row>
    <row r="3453" spans="2:9" x14ac:dyDescent="0.25">
      <c r="B3453" s="39"/>
      <c r="C3453" s="40"/>
      <c r="D3453" s="40"/>
      <c r="F3453" s="40"/>
      <c r="G3453" s="40"/>
      <c r="H3453" s="42"/>
      <c r="I3453" s="42" t="str">
        <f t="shared" si="49"/>
        <v/>
      </c>
    </row>
    <row r="3454" spans="2:9" x14ac:dyDescent="0.25">
      <c r="B3454" s="39"/>
      <c r="C3454" s="40"/>
      <c r="D3454" s="40"/>
      <c r="F3454" s="40"/>
      <c r="G3454" s="40"/>
      <c r="H3454" s="42"/>
      <c r="I3454" s="42" t="str">
        <f t="shared" si="49"/>
        <v/>
      </c>
    </row>
    <row r="3455" spans="2:9" x14ac:dyDescent="0.25">
      <c r="B3455" s="39"/>
      <c r="C3455" s="40"/>
      <c r="D3455" s="40"/>
      <c r="F3455" s="40"/>
      <c r="G3455" s="40"/>
      <c r="H3455" s="42"/>
      <c r="I3455" s="42" t="str">
        <f t="shared" si="49"/>
        <v/>
      </c>
    </row>
    <row r="3456" spans="2:9" x14ac:dyDescent="0.25">
      <c r="B3456" s="39"/>
      <c r="C3456" s="40"/>
      <c r="D3456" s="40"/>
      <c r="F3456" s="40"/>
      <c r="G3456" s="40"/>
      <c r="H3456" s="42"/>
      <c r="I3456" s="42" t="str">
        <f t="shared" ref="I3456:I3519" si="50">IF(H3456&lt;&gt;"",H3456-H3455,"")</f>
        <v/>
      </c>
    </row>
    <row r="3457" spans="2:9" x14ac:dyDescent="0.25">
      <c r="B3457" s="39"/>
      <c r="C3457" s="40"/>
      <c r="D3457" s="40"/>
      <c r="F3457" s="40"/>
      <c r="G3457" s="40"/>
      <c r="H3457" s="42"/>
      <c r="I3457" s="42" t="str">
        <f t="shared" si="50"/>
        <v/>
      </c>
    </row>
    <row r="3458" spans="2:9" x14ac:dyDescent="0.25">
      <c r="B3458" s="39"/>
      <c r="C3458" s="40"/>
      <c r="D3458" s="40"/>
      <c r="F3458" s="40"/>
      <c r="G3458" s="40"/>
      <c r="H3458" s="42"/>
      <c r="I3458" s="42" t="str">
        <f t="shared" si="50"/>
        <v/>
      </c>
    </row>
    <row r="3459" spans="2:9" x14ac:dyDescent="0.25">
      <c r="B3459" s="39"/>
      <c r="C3459" s="40"/>
      <c r="D3459" s="40"/>
      <c r="F3459" s="40"/>
      <c r="G3459" s="40"/>
      <c r="H3459" s="42"/>
      <c r="I3459" s="42" t="str">
        <f t="shared" si="50"/>
        <v/>
      </c>
    </row>
    <row r="3460" spans="2:9" x14ac:dyDescent="0.25">
      <c r="B3460" s="39"/>
      <c r="C3460" s="40"/>
      <c r="D3460" s="40"/>
      <c r="F3460" s="40"/>
      <c r="G3460" s="40"/>
      <c r="H3460" s="42"/>
      <c r="I3460" s="42" t="str">
        <f t="shared" si="50"/>
        <v/>
      </c>
    </row>
    <row r="3461" spans="2:9" x14ac:dyDescent="0.25">
      <c r="B3461" s="39"/>
      <c r="C3461" s="40"/>
      <c r="D3461" s="40"/>
      <c r="F3461" s="40"/>
      <c r="G3461" s="40"/>
      <c r="H3461" s="42"/>
      <c r="I3461" s="42" t="str">
        <f t="shared" si="50"/>
        <v/>
      </c>
    </row>
    <row r="3462" spans="2:9" x14ac:dyDescent="0.25">
      <c r="B3462" s="39"/>
      <c r="C3462" s="40"/>
      <c r="D3462" s="40"/>
      <c r="F3462" s="40"/>
      <c r="G3462" s="40"/>
      <c r="H3462" s="42"/>
      <c r="I3462" s="42" t="str">
        <f t="shared" si="50"/>
        <v/>
      </c>
    </row>
    <row r="3463" spans="2:9" x14ac:dyDescent="0.25">
      <c r="B3463" s="39"/>
      <c r="C3463" s="40"/>
      <c r="D3463" s="40"/>
      <c r="F3463" s="40"/>
      <c r="G3463" s="40"/>
      <c r="H3463" s="42"/>
      <c r="I3463" s="42" t="str">
        <f t="shared" si="50"/>
        <v/>
      </c>
    </row>
    <row r="3464" spans="2:9" x14ac:dyDescent="0.25">
      <c r="B3464" s="39"/>
      <c r="C3464" s="40"/>
      <c r="D3464" s="40"/>
      <c r="F3464" s="40"/>
      <c r="G3464" s="40"/>
      <c r="H3464" s="42"/>
      <c r="I3464" s="42" t="str">
        <f t="shared" si="50"/>
        <v/>
      </c>
    </row>
    <row r="3465" spans="2:9" x14ac:dyDescent="0.25">
      <c r="B3465" s="39"/>
      <c r="C3465" s="40"/>
      <c r="D3465" s="40"/>
      <c r="F3465" s="40"/>
      <c r="G3465" s="40"/>
      <c r="H3465" s="42"/>
      <c r="I3465" s="42" t="str">
        <f t="shared" si="50"/>
        <v/>
      </c>
    </row>
    <row r="3466" spans="2:9" x14ac:dyDescent="0.25">
      <c r="B3466" s="39"/>
      <c r="C3466" s="40"/>
      <c r="D3466" s="40"/>
      <c r="F3466" s="40"/>
      <c r="G3466" s="40"/>
      <c r="H3466" s="42"/>
      <c r="I3466" s="42" t="str">
        <f t="shared" si="50"/>
        <v/>
      </c>
    </row>
    <row r="3467" spans="2:9" x14ac:dyDescent="0.25">
      <c r="B3467" s="39"/>
      <c r="C3467" s="40"/>
      <c r="D3467" s="40"/>
      <c r="F3467" s="40"/>
      <c r="G3467" s="40"/>
      <c r="H3467" s="42"/>
      <c r="I3467" s="42" t="str">
        <f t="shared" si="50"/>
        <v/>
      </c>
    </row>
    <row r="3468" spans="2:9" x14ac:dyDescent="0.25">
      <c r="B3468" s="39"/>
      <c r="C3468" s="40"/>
      <c r="D3468" s="40"/>
      <c r="F3468" s="40"/>
      <c r="G3468" s="40"/>
      <c r="H3468" s="42"/>
      <c r="I3468" s="42" t="str">
        <f t="shared" si="50"/>
        <v/>
      </c>
    </row>
    <row r="3469" spans="2:9" x14ac:dyDescent="0.25">
      <c r="B3469" s="39"/>
      <c r="C3469" s="40"/>
      <c r="D3469" s="40"/>
      <c r="F3469" s="40"/>
      <c r="G3469" s="40"/>
      <c r="H3469" s="42"/>
      <c r="I3469" s="42" t="str">
        <f t="shared" si="50"/>
        <v/>
      </c>
    </row>
    <row r="3470" spans="2:9" x14ac:dyDescent="0.25">
      <c r="B3470" s="39"/>
      <c r="C3470" s="40"/>
      <c r="D3470" s="40"/>
      <c r="F3470" s="40"/>
      <c r="G3470" s="40"/>
      <c r="H3470" s="42"/>
      <c r="I3470" s="42" t="str">
        <f t="shared" si="50"/>
        <v/>
      </c>
    </row>
    <row r="3471" spans="2:9" x14ac:dyDescent="0.25">
      <c r="B3471" s="39"/>
      <c r="C3471" s="40"/>
      <c r="D3471" s="40"/>
      <c r="F3471" s="40"/>
      <c r="G3471" s="40"/>
      <c r="H3471" s="42"/>
      <c r="I3471" s="42" t="str">
        <f t="shared" si="50"/>
        <v/>
      </c>
    </row>
    <row r="3472" spans="2:9" x14ac:dyDescent="0.25">
      <c r="B3472" s="39"/>
      <c r="C3472" s="40"/>
      <c r="D3472" s="40"/>
      <c r="F3472" s="40"/>
      <c r="G3472" s="40"/>
      <c r="H3472" s="42"/>
      <c r="I3472" s="42" t="str">
        <f t="shared" si="50"/>
        <v/>
      </c>
    </row>
    <row r="3473" spans="2:9" x14ac:dyDescent="0.25">
      <c r="B3473" s="39"/>
      <c r="C3473" s="40"/>
      <c r="D3473" s="40"/>
      <c r="F3473" s="40"/>
      <c r="G3473" s="40"/>
      <c r="H3473" s="42"/>
      <c r="I3473" s="42" t="str">
        <f t="shared" si="50"/>
        <v/>
      </c>
    </row>
    <row r="3474" spans="2:9" x14ac:dyDescent="0.25">
      <c r="B3474" s="39"/>
      <c r="C3474" s="40"/>
      <c r="D3474" s="40"/>
      <c r="F3474" s="40"/>
      <c r="G3474" s="40"/>
      <c r="H3474" s="42"/>
      <c r="I3474" s="42" t="str">
        <f t="shared" si="50"/>
        <v/>
      </c>
    </row>
    <row r="3475" spans="2:9" x14ac:dyDescent="0.25">
      <c r="B3475" s="39"/>
      <c r="C3475" s="40"/>
      <c r="D3475" s="40"/>
      <c r="F3475" s="40"/>
      <c r="G3475" s="40"/>
      <c r="H3475" s="42"/>
      <c r="I3475" s="42" t="str">
        <f t="shared" si="50"/>
        <v/>
      </c>
    </row>
    <row r="3476" spans="2:9" x14ac:dyDescent="0.25">
      <c r="B3476" s="39"/>
      <c r="C3476" s="40"/>
      <c r="D3476" s="40"/>
      <c r="F3476" s="40"/>
      <c r="G3476" s="40"/>
      <c r="H3476" s="42"/>
      <c r="I3476" s="42" t="str">
        <f t="shared" si="50"/>
        <v/>
      </c>
    </row>
    <row r="3477" spans="2:9" x14ac:dyDescent="0.25">
      <c r="B3477" s="39"/>
      <c r="C3477" s="40"/>
      <c r="D3477" s="40"/>
      <c r="F3477" s="40"/>
      <c r="G3477" s="40"/>
      <c r="H3477" s="42"/>
      <c r="I3477" s="42" t="str">
        <f t="shared" si="50"/>
        <v/>
      </c>
    </row>
    <row r="3478" spans="2:9" x14ac:dyDescent="0.25">
      <c r="B3478" s="39"/>
      <c r="C3478" s="40"/>
      <c r="D3478" s="40"/>
      <c r="F3478" s="40"/>
      <c r="G3478" s="40"/>
      <c r="H3478" s="42"/>
      <c r="I3478" s="42" t="str">
        <f t="shared" si="50"/>
        <v/>
      </c>
    </row>
    <row r="3479" spans="2:9" x14ac:dyDescent="0.25">
      <c r="B3479" s="39"/>
      <c r="C3479" s="40"/>
      <c r="D3479" s="40"/>
      <c r="F3479" s="40"/>
      <c r="G3479" s="40"/>
      <c r="H3479" s="42"/>
      <c r="I3479" s="42" t="str">
        <f t="shared" si="50"/>
        <v/>
      </c>
    </row>
    <row r="3480" spans="2:9" x14ac:dyDescent="0.25">
      <c r="B3480" s="39"/>
      <c r="C3480" s="40"/>
      <c r="D3480" s="40"/>
      <c r="F3480" s="40"/>
      <c r="G3480" s="40"/>
      <c r="H3480" s="42"/>
      <c r="I3480" s="42" t="str">
        <f t="shared" si="50"/>
        <v/>
      </c>
    </row>
    <row r="3481" spans="2:9" x14ac:dyDescent="0.25">
      <c r="B3481" s="39"/>
      <c r="C3481" s="40"/>
      <c r="D3481" s="40"/>
      <c r="F3481" s="40"/>
      <c r="G3481" s="40"/>
      <c r="H3481" s="42"/>
      <c r="I3481" s="42" t="str">
        <f t="shared" si="50"/>
        <v/>
      </c>
    </row>
    <row r="3482" spans="2:9" x14ac:dyDescent="0.25">
      <c r="B3482" s="39"/>
      <c r="C3482" s="40"/>
      <c r="D3482" s="40"/>
      <c r="F3482" s="40"/>
      <c r="G3482" s="40"/>
      <c r="H3482" s="42"/>
      <c r="I3482" s="42" t="str">
        <f t="shared" si="50"/>
        <v/>
      </c>
    </row>
    <row r="3483" spans="2:9" x14ac:dyDescent="0.25">
      <c r="B3483" s="39"/>
      <c r="C3483" s="40"/>
      <c r="D3483" s="40"/>
      <c r="F3483" s="40"/>
      <c r="G3483" s="40"/>
      <c r="H3483" s="42"/>
      <c r="I3483" s="42" t="str">
        <f t="shared" si="50"/>
        <v/>
      </c>
    </row>
    <row r="3484" spans="2:9" x14ac:dyDescent="0.25">
      <c r="B3484" s="39"/>
      <c r="C3484" s="40"/>
      <c r="D3484" s="40"/>
      <c r="F3484" s="40"/>
      <c r="G3484" s="40"/>
      <c r="H3484" s="42"/>
      <c r="I3484" s="42" t="str">
        <f t="shared" si="50"/>
        <v/>
      </c>
    </row>
    <row r="3485" spans="2:9" x14ac:dyDescent="0.25">
      <c r="B3485" s="39"/>
      <c r="C3485" s="40"/>
      <c r="D3485" s="40"/>
      <c r="F3485" s="40"/>
      <c r="G3485" s="40"/>
      <c r="H3485" s="42"/>
      <c r="I3485" s="42" t="str">
        <f t="shared" si="50"/>
        <v/>
      </c>
    </row>
    <row r="3486" spans="2:9" x14ac:dyDescent="0.25">
      <c r="B3486" s="39"/>
      <c r="C3486" s="40"/>
      <c r="D3486" s="40"/>
      <c r="F3486" s="40"/>
      <c r="G3486" s="40"/>
      <c r="H3486" s="42"/>
      <c r="I3486" s="42" t="str">
        <f t="shared" si="50"/>
        <v/>
      </c>
    </row>
    <row r="3487" spans="2:9" x14ac:dyDescent="0.25">
      <c r="B3487" s="39"/>
      <c r="C3487" s="40"/>
      <c r="D3487" s="40"/>
      <c r="F3487" s="40"/>
      <c r="G3487" s="40"/>
      <c r="H3487" s="42"/>
      <c r="I3487" s="42" t="str">
        <f t="shared" si="50"/>
        <v/>
      </c>
    </row>
    <row r="3488" spans="2:9" x14ac:dyDescent="0.25">
      <c r="B3488" s="39"/>
      <c r="C3488" s="40"/>
      <c r="D3488" s="40"/>
      <c r="F3488" s="40"/>
      <c r="G3488" s="40"/>
      <c r="H3488" s="42"/>
      <c r="I3488" s="42" t="str">
        <f t="shared" si="50"/>
        <v/>
      </c>
    </row>
    <row r="3489" spans="2:9" x14ac:dyDescent="0.25">
      <c r="B3489" s="39"/>
      <c r="C3489" s="40"/>
      <c r="D3489" s="40"/>
      <c r="F3489" s="40"/>
      <c r="G3489" s="40"/>
      <c r="H3489" s="42"/>
      <c r="I3489" s="42" t="str">
        <f t="shared" si="50"/>
        <v/>
      </c>
    </row>
    <row r="3490" spans="2:9" x14ac:dyDescent="0.25">
      <c r="B3490" s="39"/>
      <c r="C3490" s="40"/>
      <c r="D3490" s="40"/>
      <c r="F3490" s="40"/>
      <c r="G3490" s="40"/>
      <c r="H3490" s="42"/>
      <c r="I3490" s="42" t="str">
        <f t="shared" si="50"/>
        <v/>
      </c>
    </row>
    <row r="3491" spans="2:9" x14ac:dyDescent="0.25">
      <c r="B3491" s="39"/>
      <c r="C3491" s="40"/>
      <c r="D3491" s="40"/>
      <c r="F3491" s="40"/>
      <c r="G3491" s="40"/>
      <c r="H3491" s="42"/>
      <c r="I3491" s="42" t="str">
        <f t="shared" si="50"/>
        <v/>
      </c>
    </row>
    <row r="3492" spans="2:9" x14ac:dyDescent="0.25">
      <c r="B3492" s="39"/>
      <c r="C3492" s="40"/>
      <c r="D3492" s="40"/>
      <c r="F3492" s="40"/>
      <c r="G3492" s="40"/>
      <c r="H3492" s="42"/>
      <c r="I3492" s="42" t="str">
        <f t="shared" si="50"/>
        <v/>
      </c>
    </row>
    <row r="3493" spans="2:9" x14ac:dyDescent="0.25">
      <c r="B3493" s="39"/>
      <c r="C3493" s="40"/>
      <c r="D3493" s="40"/>
      <c r="F3493" s="40"/>
      <c r="G3493" s="40"/>
      <c r="H3493" s="42"/>
      <c r="I3493" s="42" t="str">
        <f t="shared" si="50"/>
        <v/>
      </c>
    </row>
    <row r="3494" spans="2:9" x14ac:dyDescent="0.25">
      <c r="B3494" s="39"/>
      <c r="C3494" s="40"/>
      <c r="D3494" s="40"/>
      <c r="F3494" s="40"/>
      <c r="G3494" s="40"/>
      <c r="H3494" s="42"/>
      <c r="I3494" s="42" t="str">
        <f t="shared" si="50"/>
        <v/>
      </c>
    </row>
    <row r="3495" spans="2:9" x14ac:dyDescent="0.25">
      <c r="B3495" s="39"/>
      <c r="C3495" s="40"/>
      <c r="D3495" s="40"/>
      <c r="F3495" s="40"/>
      <c r="G3495" s="40"/>
      <c r="H3495" s="42"/>
      <c r="I3495" s="42" t="str">
        <f t="shared" si="50"/>
        <v/>
      </c>
    </row>
    <row r="3496" spans="2:9" x14ac:dyDescent="0.25">
      <c r="B3496" s="39"/>
      <c r="C3496" s="40"/>
      <c r="D3496" s="40"/>
      <c r="F3496" s="40"/>
      <c r="G3496" s="40"/>
      <c r="H3496" s="42"/>
      <c r="I3496" s="42" t="str">
        <f t="shared" si="50"/>
        <v/>
      </c>
    </row>
    <row r="3497" spans="2:9" x14ac:dyDescent="0.25">
      <c r="B3497" s="39"/>
      <c r="C3497" s="40"/>
      <c r="D3497" s="40"/>
      <c r="F3497" s="40"/>
      <c r="G3497" s="40"/>
      <c r="H3497" s="42"/>
      <c r="I3497" s="42" t="str">
        <f t="shared" si="50"/>
        <v/>
      </c>
    </row>
    <row r="3498" spans="2:9" x14ac:dyDescent="0.25">
      <c r="B3498" s="39"/>
      <c r="C3498" s="40"/>
      <c r="D3498" s="40"/>
      <c r="F3498" s="40"/>
      <c r="G3498" s="40"/>
      <c r="H3498" s="42"/>
      <c r="I3498" s="42" t="str">
        <f t="shared" si="50"/>
        <v/>
      </c>
    </row>
    <row r="3499" spans="2:9" x14ac:dyDescent="0.25">
      <c r="B3499" s="39"/>
      <c r="C3499" s="40"/>
      <c r="D3499" s="40"/>
      <c r="F3499" s="40"/>
      <c r="G3499" s="40"/>
      <c r="H3499" s="42"/>
      <c r="I3499" s="42" t="str">
        <f t="shared" si="50"/>
        <v/>
      </c>
    </row>
    <row r="3500" spans="2:9" x14ac:dyDescent="0.25">
      <c r="B3500" s="39"/>
      <c r="C3500" s="40"/>
      <c r="D3500" s="40"/>
      <c r="F3500" s="40"/>
      <c r="G3500" s="40"/>
      <c r="H3500" s="42"/>
      <c r="I3500" s="42" t="str">
        <f t="shared" si="50"/>
        <v/>
      </c>
    </row>
    <row r="3501" spans="2:9" x14ac:dyDescent="0.25">
      <c r="B3501" s="39"/>
      <c r="C3501" s="40"/>
      <c r="D3501" s="40"/>
      <c r="F3501" s="40"/>
      <c r="G3501" s="40"/>
      <c r="H3501" s="42"/>
      <c r="I3501" s="42" t="str">
        <f t="shared" si="50"/>
        <v/>
      </c>
    </row>
    <row r="3502" spans="2:9" x14ac:dyDescent="0.25">
      <c r="B3502" s="39"/>
      <c r="C3502" s="40"/>
      <c r="D3502" s="40"/>
      <c r="F3502" s="40"/>
      <c r="G3502" s="40"/>
      <c r="H3502" s="42"/>
      <c r="I3502" s="42" t="str">
        <f t="shared" si="50"/>
        <v/>
      </c>
    </row>
    <row r="3503" spans="2:9" x14ac:dyDescent="0.25">
      <c r="B3503" s="39"/>
      <c r="C3503" s="40"/>
      <c r="D3503" s="40"/>
      <c r="F3503" s="40"/>
      <c r="G3503" s="40"/>
      <c r="H3503" s="42"/>
      <c r="I3503" s="42" t="str">
        <f t="shared" si="50"/>
        <v/>
      </c>
    </row>
    <row r="3504" spans="2:9" x14ac:dyDescent="0.25">
      <c r="B3504" s="39"/>
      <c r="C3504" s="40"/>
      <c r="D3504" s="40"/>
      <c r="F3504" s="40"/>
      <c r="G3504" s="40"/>
      <c r="H3504" s="42"/>
      <c r="I3504" s="42" t="str">
        <f t="shared" si="50"/>
        <v/>
      </c>
    </row>
    <row r="3505" spans="2:9" x14ac:dyDescent="0.25">
      <c r="B3505" s="39"/>
      <c r="C3505" s="40"/>
      <c r="D3505" s="40"/>
      <c r="F3505" s="40"/>
      <c r="G3505" s="40"/>
      <c r="H3505" s="42"/>
      <c r="I3505" s="42" t="str">
        <f t="shared" si="50"/>
        <v/>
      </c>
    </row>
    <row r="3506" spans="2:9" x14ac:dyDescent="0.25">
      <c r="B3506" s="39"/>
      <c r="C3506" s="40"/>
      <c r="D3506" s="40"/>
      <c r="F3506" s="40"/>
      <c r="G3506" s="40"/>
      <c r="H3506" s="42"/>
      <c r="I3506" s="42" t="str">
        <f t="shared" si="50"/>
        <v/>
      </c>
    </row>
    <row r="3507" spans="2:9" x14ac:dyDescent="0.25">
      <c r="B3507" s="39"/>
      <c r="C3507" s="40"/>
      <c r="D3507" s="40"/>
      <c r="F3507" s="40"/>
      <c r="G3507" s="40"/>
      <c r="H3507" s="42"/>
      <c r="I3507" s="42" t="str">
        <f t="shared" si="50"/>
        <v/>
      </c>
    </row>
    <row r="3508" spans="2:9" x14ac:dyDescent="0.25">
      <c r="B3508" s="39"/>
      <c r="C3508" s="40"/>
      <c r="D3508" s="40"/>
      <c r="F3508" s="40"/>
      <c r="G3508" s="40"/>
      <c r="H3508" s="42"/>
      <c r="I3508" s="42" t="str">
        <f t="shared" si="50"/>
        <v/>
      </c>
    </row>
    <row r="3509" spans="2:9" x14ac:dyDescent="0.25">
      <c r="B3509" s="39"/>
      <c r="C3509" s="40"/>
      <c r="D3509" s="40"/>
      <c r="F3509" s="40"/>
      <c r="G3509" s="40"/>
      <c r="H3509" s="42"/>
      <c r="I3509" s="42" t="str">
        <f t="shared" si="50"/>
        <v/>
      </c>
    </row>
    <row r="3510" spans="2:9" x14ac:dyDescent="0.25">
      <c r="B3510" s="39"/>
      <c r="C3510" s="40"/>
      <c r="D3510" s="40"/>
      <c r="F3510" s="40"/>
      <c r="G3510" s="40"/>
      <c r="H3510" s="42"/>
      <c r="I3510" s="42" t="str">
        <f t="shared" si="50"/>
        <v/>
      </c>
    </row>
    <row r="3511" spans="2:9" x14ac:dyDescent="0.25">
      <c r="B3511" s="39"/>
      <c r="C3511" s="40"/>
      <c r="D3511" s="40"/>
      <c r="F3511" s="40"/>
      <c r="G3511" s="40"/>
      <c r="H3511" s="42"/>
      <c r="I3511" s="42" t="str">
        <f t="shared" si="50"/>
        <v/>
      </c>
    </row>
    <row r="3512" spans="2:9" x14ac:dyDescent="0.25">
      <c r="B3512" s="39"/>
      <c r="C3512" s="40"/>
      <c r="D3512" s="40"/>
      <c r="F3512" s="40"/>
      <c r="G3512" s="40"/>
      <c r="H3512" s="42"/>
      <c r="I3512" s="42" t="str">
        <f t="shared" si="50"/>
        <v/>
      </c>
    </row>
    <row r="3513" spans="2:9" x14ac:dyDescent="0.25">
      <c r="B3513" s="39"/>
      <c r="C3513" s="40"/>
      <c r="D3513" s="40"/>
      <c r="F3513" s="40"/>
      <c r="G3513" s="40"/>
      <c r="H3513" s="42"/>
      <c r="I3513" s="42" t="str">
        <f t="shared" si="50"/>
        <v/>
      </c>
    </row>
    <row r="3514" spans="2:9" x14ac:dyDescent="0.25">
      <c r="B3514" s="39"/>
      <c r="C3514" s="40"/>
      <c r="D3514" s="40"/>
      <c r="F3514" s="40"/>
      <c r="G3514" s="40"/>
      <c r="H3514" s="42"/>
      <c r="I3514" s="42" t="str">
        <f t="shared" si="50"/>
        <v/>
      </c>
    </row>
    <row r="3515" spans="2:9" x14ac:dyDescent="0.25">
      <c r="B3515" s="39"/>
      <c r="C3515" s="40"/>
      <c r="D3515" s="40"/>
      <c r="F3515" s="40"/>
      <c r="G3515" s="40"/>
      <c r="H3515" s="42"/>
      <c r="I3515" s="42" t="str">
        <f t="shared" si="50"/>
        <v/>
      </c>
    </row>
    <row r="3516" spans="2:9" x14ac:dyDescent="0.25">
      <c r="B3516" s="39"/>
      <c r="C3516" s="40"/>
      <c r="D3516" s="40"/>
      <c r="F3516" s="40"/>
      <c r="G3516" s="40"/>
      <c r="H3516" s="42"/>
      <c r="I3516" s="42" t="str">
        <f t="shared" si="50"/>
        <v/>
      </c>
    </row>
    <row r="3517" spans="2:9" x14ac:dyDescent="0.25">
      <c r="B3517" s="39"/>
      <c r="C3517" s="40"/>
      <c r="D3517" s="40"/>
      <c r="F3517" s="40"/>
      <c r="G3517" s="40"/>
      <c r="H3517" s="42"/>
      <c r="I3517" s="42" t="str">
        <f t="shared" si="50"/>
        <v/>
      </c>
    </row>
    <row r="3518" spans="2:9" x14ac:dyDescent="0.25">
      <c r="B3518" s="39"/>
      <c r="C3518" s="40"/>
      <c r="D3518" s="40"/>
      <c r="F3518" s="40"/>
      <c r="G3518" s="40"/>
      <c r="H3518" s="42"/>
      <c r="I3518" s="42" t="str">
        <f t="shared" si="50"/>
        <v/>
      </c>
    </row>
    <row r="3519" spans="2:9" x14ac:dyDescent="0.25">
      <c r="B3519" s="39"/>
      <c r="C3519" s="40"/>
      <c r="D3519" s="40"/>
      <c r="F3519" s="40"/>
      <c r="G3519" s="40"/>
      <c r="H3519" s="42"/>
      <c r="I3519" s="42" t="str">
        <f t="shared" si="50"/>
        <v/>
      </c>
    </row>
    <row r="3520" spans="2:9" x14ac:dyDescent="0.25">
      <c r="B3520" s="39"/>
      <c r="C3520" s="40"/>
      <c r="D3520" s="40"/>
      <c r="F3520" s="40"/>
      <c r="G3520" s="40"/>
      <c r="H3520" s="42"/>
      <c r="I3520" s="42" t="str">
        <f t="shared" ref="I3520:I3583" si="51">IF(H3520&lt;&gt;"",H3520-H3519,"")</f>
        <v/>
      </c>
    </row>
    <row r="3521" spans="2:9" x14ac:dyDescent="0.25">
      <c r="B3521" s="39"/>
      <c r="C3521" s="40"/>
      <c r="D3521" s="40"/>
      <c r="F3521" s="40"/>
      <c r="G3521" s="40"/>
      <c r="H3521" s="42"/>
      <c r="I3521" s="42" t="str">
        <f t="shared" si="51"/>
        <v/>
      </c>
    </row>
    <row r="3522" spans="2:9" x14ac:dyDescent="0.25">
      <c r="B3522" s="39"/>
      <c r="C3522" s="40"/>
      <c r="D3522" s="40"/>
      <c r="F3522" s="40"/>
      <c r="G3522" s="40"/>
      <c r="H3522" s="42"/>
      <c r="I3522" s="42" t="str">
        <f t="shared" si="51"/>
        <v/>
      </c>
    </row>
    <row r="3523" spans="2:9" x14ac:dyDescent="0.25">
      <c r="B3523" s="39"/>
      <c r="C3523" s="40"/>
      <c r="D3523" s="40"/>
      <c r="F3523" s="40"/>
      <c r="G3523" s="40"/>
      <c r="H3523" s="42"/>
      <c r="I3523" s="42" t="str">
        <f t="shared" si="51"/>
        <v/>
      </c>
    </row>
    <row r="3524" spans="2:9" x14ac:dyDescent="0.25">
      <c r="B3524" s="39"/>
      <c r="C3524" s="40"/>
      <c r="D3524" s="40"/>
      <c r="F3524" s="40"/>
      <c r="G3524" s="40"/>
      <c r="H3524" s="42"/>
      <c r="I3524" s="42" t="str">
        <f t="shared" si="51"/>
        <v/>
      </c>
    </row>
    <row r="3525" spans="2:9" x14ac:dyDescent="0.25">
      <c r="B3525" s="39"/>
      <c r="C3525" s="40"/>
      <c r="D3525" s="40"/>
      <c r="F3525" s="40"/>
      <c r="G3525" s="40"/>
      <c r="H3525" s="42"/>
      <c r="I3525" s="42" t="str">
        <f t="shared" si="51"/>
        <v/>
      </c>
    </row>
    <row r="3526" spans="2:9" x14ac:dyDescent="0.25">
      <c r="B3526" s="39"/>
      <c r="C3526" s="40"/>
      <c r="D3526" s="40"/>
      <c r="F3526" s="40"/>
      <c r="G3526" s="40"/>
      <c r="H3526" s="42"/>
      <c r="I3526" s="42" t="str">
        <f t="shared" si="51"/>
        <v/>
      </c>
    </row>
    <row r="3527" spans="2:9" x14ac:dyDescent="0.25">
      <c r="B3527" s="39"/>
      <c r="C3527" s="40"/>
      <c r="D3527" s="40"/>
      <c r="F3527" s="40"/>
      <c r="G3527" s="40"/>
      <c r="H3527" s="42"/>
      <c r="I3527" s="42" t="str">
        <f t="shared" si="51"/>
        <v/>
      </c>
    </row>
    <row r="3528" spans="2:9" x14ac:dyDescent="0.25">
      <c r="B3528" s="39"/>
      <c r="C3528" s="40"/>
      <c r="D3528" s="40"/>
      <c r="F3528" s="40"/>
      <c r="G3528" s="40"/>
      <c r="H3528" s="42"/>
      <c r="I3528" s="42" t="str">
        <f t="shared" si="51"/>
        <v/>
      </c>
    </row>
    <row r="3529" spans="2:9" x14ac:dyDescent="0.25">
      <c r="B3529" s="39"/>
      <c r="C3529" s="40"/>
      <c r="D3529" s="40"/>
      <c r="F3529" s="40"/>
      <c r="G3529" s="40"/>
      <c r="H3529" s="42"/>
      <c r="I3529" s="42" t="str">
        <f t="shared" si="51"/>
        <v/>
      </c>
    </row>
    <row r="3530" spans="2:9" x14ac:dyDescent="0.25">
      <c r="B3530" s="39"/>
      <c r="C3530" s="40"/>
      <c r="D3530" s="40"/>
      <c r="F3530" s="40"/>
      <c r="G3530" s="40"/>
      <c r="H3530" s="42"/>
      <c r="I3530" s="42" t="str">
        <f t="shared" si="51"/>
        <v/>
      </c>
    </row>
    <row r="3531" spans="2:9" x14ac:dyDescent="0.25">
      <c r="B3531" s="39"/>
      <c r="C3531" s="40"/>
      <c r="D3531" s="40"/>
      <c r="F3531" s="40"/>
      <c r="G3531" s="40"/>
      <c r="H3531" s="42"/>
      <c r="I3531" s="42" t="str">
        <f t="shared" si="51"/>
        <v/>
      </c>
    </row>
    <row r="3532" spans="2:9" x14ac:dyDescent="0.25">
      <c r="B3532" s="39"/>
      <c r="C3532" s="40"/>
      <c r="D3532" s="40"/>
      <c r="F3532" s="40"/>
      <c r="G3532" s="40"/>
      <c r="H3532" s="42"/>
      <c r="I3532" s="42" t="str">
        <f t="shared" si="51"/>
        <v/>
      </c>
    </row>
    <row r="3533" spans="2:9" x14ac:dyDescent="0.25">
      <c r="B3533" s="39"/>
      <c r="C3533" s="40"/>
      <c r="D3533" s="40"/>
      <c r="F3533" s="40"/>
      <c r="G3533" s="40"/>
      <c r="H3533" s="42"/>
      <c r="I3533" s="42" t="str">
        <f t="shared" si="51"/>
        <v/>
      </c>
    </row>
    <row r="3534" spans="2:9" x14ac:dyDescent="0.25">
      <c r="B3534" s="39"/>
      <c r="C3534" s="40"/>
      <c r="D3534" s="40"/>
      <c r="F3534" s="40"/>
      <c r="G3534" s="40"/>
      <c r="H3534" s="42"/>
      <c r="I3534" s="42" t="str">
        <f t="shared" si="51"/>
        <v/>
      </c>
    </row>
    <row r="3535" spans="2:9" x14ac:dyDescent="0.25">
      <c r="B3535" s="39"/>
      <c r="C3535" s="40"/>
      <c r="D3535" s="40"/>
      <c r="F3535" s="40"/>
      <c r="G3535" s="40"/>
      <c r="H3535" s="42"/>
      <c r="I3535" s="42" t="str">
        <f t="shared" si="51"/>
        <v/>
      </c>
    </row>
    <row r="3536" spans="2:9" x14ac:dyDescent="0.25">
      <c r="B3536" s="39"/>
      <c r="C3536" s="40"/>
      <c r="D3536" s="40"/>
      <c r="F3536" s="40"/>
      <c r="G3536" s="40"/>
      <c r="H3536" s="42"/>
      <c r="I3536" s="42" t="str">
        <f t="shared" si="51"/>
        <v/>
      </c>
    </row>
    <row r="3537" spans="2:9" x14ac:dyDescent="0.25">
      <c r="B3537" s="39"/>
      <c r="C3537" s="40"/>
      <c r="D3537" s="40"/>
      <c r="F3537" s="40"/>
      <c r="G3537" s="40"/>
      <c r="H3537" s="42"/>
      <c r="I3537" s="42" t="str">
        <f t="shared" si="51"/>
        <v/>
      </c>
    </row>
    <row r="3538" spans="2:9" x14ac:dyDescent="0.25">
      <c r="B3538" s="39"/>
      <c r="C3538" s="40"/>
      <c r="D3538" s="40"/>
      <c r="F3538" s="40"/>
      <c r="G3538" s="40"/>
      <c r="H3538" s="42"/>
      <c r="I3538" s="42" t="str">
        <f t="shared" si="51"/>
        <v/>
      </c>
    </row>
    <row r="3539" spans="2:9" x14ac:dyDescent="0.25">
      <c r="B3539" s="39"/>
      <c r="C3539" s="40"/>
      <c r="D3539" s="40"/>
      <c r="F3539" s="40"/>
      <c r="G3539" s="40"/>
      <c r="H3539" s="42"/>
      <c r="I3539" s="42" t="str">
        <f t="shared" si="51"/>
        <v/>
      </c>
    </row>
    <row r="3540" spans="2:9" x14ac:dyDescent="0.25">
      <c r="B3540" s="39"/>
      <c r="C3540" s="40"/>
      <c r="D3540" s="40"/>
      <c r="F3540" s="40"/>
      <c r="G3540" s="40"/>
      <c r="H3540" s="42"/>
      <c r="I3540" s="42" t="str">
        <f t="shared" si="51"/>
        <v/>
      </c>
    </row>
    <row r="3541" spans="2:9" x14ac:dyDescent="0.25">
      <c r="B3541" s="39"/>
      <c r="C3541" s="40"/>
      <c r="D3541" s="40"/>
      <c r="F3541" s="40"/>
      <c r="G3541" s="40"/>
      <c r="H3541" s="42"/>
      <c r="I3541" s="42" t="str">
        <f t="shared" si="51"/>
        <v/>
      </c>
    </row>
    <row r="3542" spans="2:9" x14ac:dyDescent="0.25">
      <c r="B3542" s="39"/>
      <c r="C3542" s="40"/>
      <c r="D3542" s="40"/>
      <c r="F3542" s="40"/>
      <c r="G3542" s="40"/>
      <c r="H3542" s="42"/>
      <c r="I3542" s="42" t="str">
        <f t="shared" si="51"/>
        <v/>
      </c>
    </row>
    <row r="3543" spans="2:9" x14ac:dyDescent="0.25">
      <c r="B3543" s="39"/>
      <c r="C3543" s="40"/>
      <c r="D3543" s="40"/>
      <c r="F3543" s="40"/>
      <c r="G3543" s="40"/>
      <c r="H3543" s="42"/>
      <c r="I3543" s="42" t="str">
        <f t="shared" si="51"/>
        <v/>
      </c>
    </row>
    <row r="3544" spans="2:9" x14ac:dyDescent="0.25">
      <c r="B3544" s="39"/>
      <c r="C3544" s="40"/>
      <c r="D3544" s="40"/>
      <c r="F3544" s="40"/>
      <c r="G3544" s="40"/>
      <c r="H3544" s="42"/>
      <c r="I3544" s="42" t="str">
        <f t="shared" si="51"/>
        <v/>
      </c>
    </row>
    <row r="3545" spans="2:9" x14ac:dyDescent="0.25">
      <c r="B3545" s="39"/>
      <c r="C3545" s="40"/>
      <c r="D3545" s="40"/>
      <c r="F3545" s="40"/>
      <c r="G3545" s="40"/>
      <c r="H3545" s="42"/>
      <c r="I3545" s="42" t="str">
        <f t="shared" si="51"/>
        <v/>
      </c>
    </row>
    <row r="3546" spans="2:9" x14ac:dyDescent="0.25">
      <c r="B3546" s="39"/>
      <c r="C3546" s="40"/>
      <c r="D3546" s="40"/>
      <c r="F3546" s="40"/>
      <c r="G3546" s="40"/>
      <c r="H3546" s="42"/>
      <c r="I3546" s="42" t="str">
        <f t="shared" si="51"/>
        <v/>
      </c>
    </row>
    <row r="3547" spans="2:9" x14ac:dyDescent="0.25">
      <c r="B3547" s="39"/>
      <c r="C3547" s="40"/>
      <c r="D3547" s="40"/>
      <c r="F3547" s="40"/>
      <c r="G3547" s="40"/>
      <c r="H3547" s="42"/>
      <c r="I3547" s="42" t="str">
        <f t="shared" si="51"/>
        <v/>
      </c>
    </row>
    <row r="3548" spans="2:9" x14ac:dyDescent="0.25">
      <c r="B3548" s="39"/>
      <c r="C3548" s="40"/>
      <c r="D3548" s="40"/>
      <c r="F3548" s="40"/>
      <c r="G3548" s="40"/>
      <c r="H3548" s="42"/>
      <c r="I3548" s="42" t="str">
        <f t="shared" si="51"/>
        <v/>
      </c>
    </row>
    <row r="3549" spans="2:9" x14ac:dyDescent="0.25">
      <c r="B3549" s="39"/>
      <c r="C3549" s="40"/>
      <c r="D3549" s="40"/>
      <c r="F3549" s="40"/>
      <c r="G3549" s="40"/>
      <c r="H3549" s="42"/>
      <c r="I3549" s="42" t="str">
        <f t="shared" si="51"/>
        <v/>
      </c>
    </row>
    <row r="3550" spans="2:9" x14ac:dyDescent="0.25">
      <c r="B3550" s="39"/>
      <c r="C3550" s="40"/>
      <c r="D3550" s="40"/>
      <c r="F3550" s="40"/>
      <c r="G3550" s="40"/>
      <c r="H3550" s="42"/>
      <c r="I3550" s="42" t="str">
        <f t="shared" si="51"/>
        <v/>
      </c>
    </row>
    <row r="3551" spans="2:9" x14ac:dyDescent="0.25">
      <c r="B3551" s="39"/>
      <c r="C3551" s="40"/>
      <c r="D3551" s="40"/>
      <c r="F3551" s="40"/>
      <c r="G3551" s="40"/>
      <c r="H3551" s="42"/>
      <c r="I3551" s="42" t="str">
        <f t="shared" si="51"/>
        <v/>
      </c>
    </row>
    <row r="3552" spans="2:9" x14ac:dyDescent="0.25">
      <c r="B3552" s="39"/>
      <c r="C3552" s="40"/>
      <c r="D3552" s="40"/>
      <c r="F3552" s="40"/>
      <c r="G3552" s="40"/>
      <c r="H3552" s="42"/>
      <c r="I3552" s="42" t="str">
        <f t="shared" si="51"/>
        <v/>
      </c>
    </row>
    <row r="3553" spans="2:9" x14ac:dyDescent="0.25">
      <c r="B3553" s="39"/>
      <c r="C3553" s="40"/>
      <c r="D3553" s="40"/>
      <c r="F3553" s="40"/>
      <c r="G3553" s="40"/>
      <c r="H3553" s="42"/>
      <c r="I3553" s="42" t="str">
        <f t="shared" si="51"/>
        <v/>
      </c>
    </row>
    <row r="3554" spans="2:9" x14ac:dyDescent="0.25">
      <c r="B3554" s="39"/>
      <c r="C3554" s="40"/>
      <c r="D3554" s="40"/>
      <c r="F3554" s="40"/>
      <c r="G3554" s="40"/>
      <c r="H3554" s="42"/>
      <c r="I3554" s="42" t="str">
        <f t="shared" si="51"/>
        <v/>
      </c>
    </row>
    <row r="3555" spans="2:9" x14ac:dyDescent="0.25">
      <c r="B3555" s="39"/>
      <c r="C3555" s="40"/>
      <c r="D3555" s="40"/>
      <c r="F3555" s="40"/>
      <c r="G3555" s="40"/>
      <c r="H3555" s="42"/>
      <c r="I3555" s="42" t="str">
        <f t="shared" si="51"/>
        <v/>
      </c>
    </row>
    <row r="3556" spans="2:9" x14ac:dyDescent="0.25">
      <c r="B3556" s="39"/>
      <c r="C3556" s="40"/>
      <c r="D3556" s="40"/>
      <c r="F3556" s="40"/>
      <c r="G3556" s="40"/>
      <c r="H3556" s="42"/>
      <c r="I3556" s="42" t="str">
        <f t="shared" si="51"/>
        <v/>
      </c>
    </row>
    <row r="3557" spans="2:9" x14ac:dyDescent="0.25">
      <c r="B3557" s="39"/>
      <c r="C3557" s="40"/>
      <c r="D3557" s="40"/>
      <c r="F3557" s="40"/>
      <c r="G3557" s="40"/>
      <c r="H3557" s="42"/>
      <c r="I3557" s="42" t="str">
        <f t="shared" si="51"/>
        <v/>
      </c>
    </row>
    <row r="3558" spans="2:9" x14ac:dyDescent="0.25">
      <c r="B3558" s="39"/>
      <c r="C3558" s="40"/>
      <c r="D3558" s="40"/>
      <c r="F3558" s="40"/>
      <c r="G3558" s="40"/>
      <c r="H3558" s="42"/>
      <c r="I3558" s="42" t="str">
        <f t="shared" si="51"/>
        <v/>
      </c>
    </row>
    <row r="3559" spans="2:9" x14ac:dyDescent="0.25">
      <c r="B3559" s="39"/>
      <c r="C3559" s="40"/>
      <c r="D3559" s="40"/>
      <c r="F3559" s="40"/>
      <c r="G3559" s="40"/>
      <c r="H3559" s="42"/>
      <c r="I3559" s="42" t="str">
        <f t="shared" si="51"/>
        <v/>
      </c>
    </row>
    <row r="3560" spans="2:9" x14ac:dyDescent="0.25">
      <c r="B3560" s="39"/>
      <c r="C3560" s="40"/>
      <c r="D3560" s="40"/>
      <c r="F3560" s="40"/>
      <c r="G3560" s="40"/>
      <c r="H3560" s="42"/>
      <c r="I3560" s="42" t="str">
        <f t="shared" si="51"/>
        <v/>
      </c>
    </row>
    <row r="3561" spans="2:9" x14ac:dyDescent="0.25">
      <c r="B3561" s="39"/>
      <c r="C3561" s="40"/>
      <c r="D3561" s="40"/>
      <c r="F3561" s="40"/>
      <c r="G3561" s="40"/>
      <c r="H3561" s="42"/>
      <c r="I3561" s="42" t="str">
        <f t="shared" si="51"/>
        <v/>
      </c>
    </row>
    <row r="3562" spans="2:9" x14ac:dyDescent="0.25">
      <c r="B3562" s="39"/>
      <c r="C3562" s="40"/>
      <c r="D3562" s="40"/>
      <c r="F3562" s="40"/>
      <c r="G3562" s="40"/>
      <c r="H3562" s="42"/>
      <c r="I3562" s="42" t="str">
        <f t="shared" si="51"/>
        <v/>
      </c>
    </row>
    <row r="3563" spans="2:9" x14ac:dyDescent="0.25">
      <c r="B3563" s="39"/>
      <c r="C3563" s="40"/>
      <c r="D3563" s="40"/>
      <c r="F3563" s="40"/>
      <c r="G3563" s="40"/>
      <c r="H3563" s="42"/>
      <c r="I3563" s="42" t="str">
        <f t="shared" si="51"/>
        <v/>
      </c>
    </row>
    <row r="3564" spans="2:9" x14ac:dyDescent="0.25">
      <c r="B3564" s="39"/>
      <c r="C3564" s="40"/>
      <c r="D3564" s="40"/>
      <c r="F3564" s="40"/>
      <c r="G3564" s="40"/>
      <c r="H3564" s="42"/>
      <c r="I3564" s="42" t="str">
        <f t="shared" si="51"/>
        <v/>
      </c>
    </row>
    <row r="3565" spans="2:9" x14ac:dyDescent="0.25">
      <c r="B3565" s="39"/>
      <c r="C3565" s="40"/>
      <c r="D3565" s="40"/>
      <c r="F3565" s="40"/>
      <c r="G3565" s="40"/>
      <c r="H3565" s="42"/>
      <c r="I3565" s="42" t="str">
        <f t="shared" si="51"/>
        <v/>
      </c>
    </row>
    <row r="3566" spans="2:9" x14ac:dyDescent="0.25">
      <c r="B3566" s="39"/>
      <c r="C3566" s="40"/>
      <c r="D3566" s="40"/>
      <c r="F3566" s="40"/>
      <c r="G3566" s="40"/>
      <c r="H3566" s="42"/>
      <c r="I3566" s="42" t="str">
        <f t="shared" si="51"/>
        <v/>
      </c>
    </row>
    <row r="3567" spans="2:9" x14ac:dyDescent="0.25">
      <c r="B3567" s="39"/>
      <c r="C3567" s="40"/>
      <c r="D3567" s="40"/>
      <c r="F3567" s="40"/>
      <c r="G3567" s="40"/>
      <c r="H3567" s="42"/>
      <c r="I3567" s="42" t="str">
        <f t="shared" si="51"/>
        <v/>
      </c>
    </row>
    <row r="3568" spans="2:9" x14ac:dyDescent="0.25">
      <c r="B3568" s="39"/>
      <c r="C3568" s="40"/>
      <c r="D3568" s="40"/>
      <c r="F3568" s="40"/>
      <c r="G3568" s="40"/>
      <c r="H3568" s="42"/>
      <c r="I3568" s="42" t="str">
        <f t="shared" si="51"/>
        <v/>
      </c>
    </row>
    <row r="3569" spans="2:9" x14ac:dyDescent="0.25">
      <c r="B3569" s="39"/>
      <c r="C3569" s="40"/>
      <c r="D3569" s="40"/>
      <c r="F3569" s="40"/>
      <c r="G3569" s="40"/>
      <c r="H3569" s="42"/>
      <c r="I3569" s="42" t="str">
        <f t="shared" si="51"/>
        <v/>
      </c>
    </row>
    <row r="3570" spans="2:9" x14ac:dyDescent="0.25">
      <c r="B3570" s="39"/>
      <c r="C3570" s="40"/>
      <c r="D3570" s="40"/>
      <c r="F3570" s="40"/>
      <c r="G3570" s="40"/>
      <c r="H3570" s="42"/>
      <c r="I3570" s="42" t="str">
        <f t="shared" si="51"/>
        <v/>
      </c>
    </row>
    <row r="3571" spans="2:9" x14ac:dyDescent="0.25">
      <c r="B3571" s="39"/>
      <c r="C3571" s="40"/>
      <c r="D3571" s="40"/>
      <c r="F3571" s="40"/>
      <c r="G3571" s="40"/>
      <c r="H3571" s="42"/>
      <c r="I3571" s="42" t="str">
        <f t="shared" si="51"/>
        <v/>
      </c>
    </row>
    <row r="3572" spans="2:9" x14ac:dyDescent="0.25">
      <c r="B3572" s="39"/>
      <c r="C3572" s="40"/>
      <c r="D3572" s="40"/>
      <c r="F3572" s="40"/>
      <c r="G3572" s="40"/>
      <c r="H3572" s="42"/>
      <c r="I3572" s="42" t="str">
        <f t="shared" si="51"/>
        <v/>
      </c>
    </row>
    <row r="3573" spans="2:9" x14ac:dyDescent="0.25">
      <c r="B3573" s="39"/>
      <c r="C3573" s="40"/>
      <c r="D3573" s="40"/>
      <c r="F3573" s="40"/>
      <c r="G3573" s="40"/>
      <c r="H3573" s="42"/>
      <c r="I3573" s="42" t="str">
        <f t="shared" si="51"/>
        <v/>
      </c>
    </row>
    <row r="3574" spans="2:9" x14ac:dyDescent="0.25">
      <c r="B3574" s="39"/>
      <c r="C3574" s="40"/>
      <c r="D3574" s="40"/>
      <c r="F3574" s="40"/>
      <c r="G3574" s="40"/>
      <c r="H3574" s="42"/>
      <c r="I3574" s="42" t="str">
        <f t="shared" si="51"/>
        <v/>
      </c>
    </row>
    <row r="3575" spans="2:9" x14ac:dyDescent="0.25">
      <c r="B3575" s="39"/>
      <c r="C3575" s="40"/>
      <c r="D3575" s="40"/>
      <c r="F3575" s="40"/>
      <c r="G3575" s="40"/>
      <c r="H3575" s="42"/>
      <c r="I3575" s="42" t="str">
        <f t="shared" si="51"/>
        <v/>
      </c>
    </row>
    <row r="3576" spans="2:9" x14ac:dyDescent="0.25">
      <c r="B3576" s="39"/>
      <c r="C3576" s="40"/>
      <c r="D3576" s="40"/>
      <c r="F3576" s="40"/>
      <c r="G3576" s="40"/>
      <c r="H3576" s="42"/>
      <c r="I3576" s="42" t="str">
        <f t="shared" si="51"/>
        <v/>
      </c>
    </row>
    <row r="3577" spans="2:9" x14ac:dyDescent="0.25">
      <c r="B3577" s="39"/>
      <c r="C3577" s="40"/>
      <c r="D3577" s="40"/>
      <c r="F3577" s="40"/>
      <c r="G3577" s="40"/>
      <c r="H3577" s="42"/>
      <c r="I3577" s="42" t="str">
        <f t="shared" si="51"/>
        <v/>
      </c>
    </row>
    <row r="3578" spans="2:9" x14ac:dyDescent="0.25">
      <c r="B3578" s="39"/>
      <c r="C3578" s="40"/>
      <c r="D3578" s="40"/>
      <c r="F3578" s="40"/>
      <c r="G3578" s="40"/>
      <c r="H3578" s="42"/>
      <c r="I3578" s="42" t="str">
        <f t="shared" si="51"/>
        <v/>
      </c>
    </row>
    <row r="3579" spans="2:9" x14ac:dyDescent="0.25">
      <c r="B3579" s="39"/>
      <c r="C3579" s="40"/>
      <c r="D3579" s="40"/>
      <c r="F3579" s="40"/>
      <c r="G3579" s="40"/>
      <c r="H3579" s="42"/>
      <c r="I3579" s="42" t="str">
        <f t="shared" si="51"/>
        <v/>
      </c>
    </row>
    <row r="3580" spans="2:9" x14ac:dyDescent="0.25">
      <c r="B3580" s="39"/>
      <c r="C3580" s="40"/>
      <c r="D3580" s="40"/>
      <c r="F3580" s="40"/>
      <c r="G3580" s="40"/>
      <c r="H3580" s="42"/>
      <c r="I3580" s="42" t="str">
        <f t="shared" si="51"/>
        <v/>
      </c>
    </row>
    <row r="3581" spans="2:9" x14ac:dyDescent="0.25">
      <c r="B3581" s="39"/>
      <c r="C3581" s="40"/>
      <c r="D3581" s="40"/>
      <c r="F3581" s="40"/>
      <c r="G3581" s="40"/>
      <c r="H3581" s="42"/>
      <c r="I3581" s="42" t="str">
        <f t="shared" si="51"/>
        <v/>
      </c>
    </row>
    <row r="3582" spans="2:9" x14ac:dyDescent="0.25">
      <c r="B3582" s="39"/>
      <c r="C3582" s="40"/>
      <c r="D3582" s="40"/>
      <c r="F3582" s="40"/>
      <c r="G3582" s="40"/>
      <c r="H3582" s="42"/>
      <c r="I3582" s="42" t="str">
        <f t="shared" si="51"/>
        <v/>
      </c>
    </row>
    <row r="3583" spans="2:9" x14ac:dyDescent="0.25">
      <c r="B3583" s="39"/>
      <c r="C3583" s="40"/>
      <c r="D3583" s="40"/>
      <c r="F3583" s="40"/>
      <c r="G3583" s="40"/>
      <c r="H3583" s="42"/>
      <c r="I3583" s="42" t="str">
        <f t="shared" si="51"/>
        <v/>
      </c>
    </row>
    <row r="3584" spans="2:9" x14ac:dyDescent="0.25">
      <c r="B3584" s="39"/>
      <c r="C3584" s="40"/>
      <c r="D3584" s="40"/>
      <c r="F3584" s="40"/>
      <c r="G3584" s="40"/>
      <c r="H3584" s="42"/>
      <c r="I3584" s="42" t="str">
        <f t="shared" ref="I3584:I3647" si="52">IF(H3584&lt;&gt;"",H3584-H3583,"")</f>
        <v/>
      </c>
    </row>
    <row r="3585" spans="2:9" x14ac:dyDescent="0.25">
      <c r="B3585" s="39"/>
      <c r="C3585" s="40"/>
      <c r="D3585" s="40"/>
      <c r="F3585" s="40"/>
      <c r="G3585" s="40"/>
      <c r="H3585" s="42"/>
      <c r="I3585" s="42" t="str">
        <f t="shared" si="52"/>
        <v/>
      </c>
    </row>
    <row r="3586" spans="2:9" x14ac:dyDescent="0.25">
      <c r="B3586" s="39"/>
      <c r="C3586" s="40"/>
      <c r="D3586" s="40"/>
      <c r="F3586" s="40"/>
      <c r="G3586" s="40"/>
      <c r="H3586" s="42"/>
      <c r="I3586" s="42" t="str">
        <f t="shared" si="52"/>
        <v/>
      </c>
    </row>
    <row r="3587" spans="2:9" x14ac:dyDescent="0.25">
      <c r="B3587" s="39"/>
      <c r="C3587" s="40"/>
      <c r="D3587" s="40"/>
      <c r="F3587" s="40"/>
      <c r="G3587" s="40"/>
      <c r="H3587" s="42"/>
      <c r="I3587" s="42" t="str">
        <f t="shared" si="52"/>
        <v/>
      </c>
    </row>
    <row r="3588" spans="2:9" x14ac:dyDescent="0.25">
      <c r="B3588" s="39"/>
      <c r="C3588" s="40"/>
      <c r="D3588" s="40"/>
      <c r="F3588" s="40"/>
      <c r="G3588" s="40"/>
      <c r="H3588" s="42"/>
      <c r="I3588" s="42" t="str">
        <f t="shared" si="52"/>
        <v/>
      </c>
    </row>
    <row r="3589" spans="2:9" x14ac:dyDescent="0.25">
      <c r="B3589" s="39"/>
      <c r="C3589" s="40"/>
      <c r="D3589" s="40"/>
      <c r="F3589" s="40"/>
      <c r="G3589" s="40"/>
      <c r="H3589" s="42"/>
      <c r="I3589" s="42" t="str">
        <f t="shared" si="52"/>
        <v/>
      </c>
    </row>
    <row r="3590" spans="2:9" x14ac:dyDescent="0.25">
      <c r="B3590" s="39"/>
      <c r="C3590" s="40"/>
      <c r="D3590" s="40"/>
      <c r="F3590" s="40"/>
      <c r="G3590" s="40"/>
      <c r="H3590" s="42"/>
      <c r="I3590" s="42" t="str">
        <f t="shared" si="52"/>
        <v/>
      </c>
    </row>
    <row r="3591" spans="2:9" x14ac:dyDescent="0.25">
      <c r="B3591" s="39"/>
      <c r="C3591" s="40"/>
      <c r="D3591" s="40"/>
      <c r="F3591" s="40"/>
      <c r="G3591" s="40"/>
      <c r="H3591" s="42"/>
      <c r="I3591" s="42" t="str">
        <f t="shared" si="52"/>
        <v/>
      </c>
    </row>
    <row r="3592" spans="2:9" x14ac:dyDescent="0.25">
      <c r="B3592" s="39"/>
      <c r="C3592" s="40"/>
      <c r="D3592" s="40"/>
      <c r="F3592" s="40"/>
      <c r="G3592" s="40"/>
      <c r="H3592" s="42"/>
      <c r="I3592" s="42" t="str">
        <f t="shared" si="52"/>
        <v/>
      </c>
    </row>
    <row r="3593" spans="2:9" x14ac:dyDescent="0.25">
      <c r="B3593" s="39"/>
      <c r="C3593" s="40"/>
      <c r="D3593" s="40"/>
      <c r="F3593" s="40"/>
      <c r="G3593" s="40"/>
      <c r="H3593" s="42"/>
      <c r="I3593" s="42" t="str">
        <f t="shared" si="52"/>
        <v/>
      </c>
    </row>
    <row r="3594" spans="2:9" x14ac:dyDescent="0.25">
      <c r="B3594" s="39"/>
      <c r="C3594" s="40"/>
      <c r="D3594" s="40"/>
      <c r="F3594" s="40"/>
      <c r="G3594" s="40"/>
      <c r="H3594" s="42"/>
      <c r="I3594" s="42" t="str">
        <f t="shared" si="52"/>
        <v/>
      </c>
    </row>
    <row r="3595" spans="2:9" x14ac:dyDescent="0.25">
      <c r="B3595" s="39"/>
      <c r="C3595" s="40"/>
      <c r="D3595" s="40"/>
      <c r="F3595" s="40"/>
      <c r="G3595" s="40"/>
      <c r="H3595" s="42"/>
      <c r="I3595" s="42" t="str">
        <f t="shared" si="52"/>
        <v/>
      </c>
    </row>
    <row r="3596" spans="2:9" x14ac:dyDescent="0.25">
      <c r="B3596" s="39"/>
      <c r="C3596" s="40"/>
      <c r="D3596" s="40"/>
      <c r="F3596" s="40"/>
      <c r="G3596" s="40"/>
      <c r="H3596" s="42"/>
      <c r="I3596" s="42" t="str">
        <f t="shared" si="52"/>
        <v/>
      </c>
    </row>
    <row r="3597" spans="2:9" x14ac:dyDescent="0.25">
      <c r="B3597" s="39"/>
      <c r="C3597" s="40"/>
      <c r="D3597" s="40"/>
      <c r="F3597" s="40"/>
      <c r="G3597" s="40"/>
      <c r="H3597" s="42"/>
      <c r="I3597" s="42" t="str">
        <f t="shared" si="52"/>
        <v/>
      </c>
    </row>
    <row r="3598" spans="2:9" x14ac:dyDescent="0.25">
      <c r="B3598" s="39"/>
      <c r="C3598" s="40"/>
      <c r="D3598" s="40"/>
      <c r="F3598" s="40"/>
      <c r="G3598" s="40"/>
      <c r="H3598" s="42"/>
      <c r="I3598" s="42" t="str">
        <f t="shared" si="52"/>
        <v/>
      </c>
    </row>
    <row r="3599" spans="2:9" x14ac:dyDescent="0.25">
      <c r="B3599" s="39"/>
      <c r="C3599" s="40"/>
      <c r="D3599" s="40"/>
      <c r="F3599" s="40"/>
      <c r="G3599" s="40"/>
      <c r="H3599" s="42"/>
      <c r="I3599" s="42" t="str">
        <f t="shared" si="52"/>
        <v/>
      </c>
    </row>
    <row r="3600" spans="2:9" x14ac:dyDescent="0.25">
      <c r="B3600" s="39"/>
      <c r="C3600" s="40"/>
      <c r="D3600" s="40"/>
      <c r="F3600" s="40"/>
      <c r="G3600" s="40"/>
      <c r="H3600" s="42"/>
      <c r="I3600" s="42" t="str">
        <f t="shared" si="52"/>
        <v/>
      </c>
    </row>
    <row r="3601" spans="2:9" x14ac:dyDescent="0.25">
      <c r="B3601" s="39"/>
      <c r="C3601" s="40"/>
      <c r="D3601" s="40"/>
      <c r="F3601" s="40"/>
      <c r="G3601" s="40"/>
      <c r="H3601" s="42"/>
      <c r="I3601" s="42" t="str">
        <f t="shared" si="52"/>
        <v/>
      </c>
    </row>
    <row r="3602" spans="2:9" x14ac:dyDescent="0.25">
      <c r="B3602" s="39"/>
      <c r="C3602" s="40"/>
      <c r="D3602" s="40"/>
      <c r="F3602" s="40"/>
      <c r="G3602" s="40"/>
      <c r="H3602" s="42"/>
      <c r="I3602" s="42" t="str">
        <f t="shared" si="52"/>
        <v/>
      </c>
    </row>
    <row r="3603" spans="2:9" x14ac:dyDescent="0.25">
      <c r="B3603" s="39"/>
      <c r="C3603" s="40"/>
      <c r="D3603" s="40"/>
      <c r="F3603" s="40"/>
      <c r="G3603" s="40"/>
      <c r="H3603" s="42"/>
      <c r="I3603" s="42" t="str">
        <f t="shared" si="52"/>
        <v/>
      </c>
    </row>
    <row r="3604" spans="2:9" x14ac:dyDescent="0.25">
      <c r="B3604" s="39"/>
      <c r="C3604" s="40"/>
      <c r="D3604" s="40"/>
      <c r="F3604" s="40"/>
      <c r="G3604" s="40"/>
      <c r="H3604" s="42"/>
      <c r="I3604" s="42" t="str">
        <f t="shared" si="52"/>
        <v/>
      </c>
    </row>
    <row r="3605" spans="2:9" x14ac:dyDescent="0.25">
      <c r="B3605" s="39"/>
      <c r="C3605" s="40"/>
      <c r="D3605" s="40"/>
      <c r="F3605" s="40"/>
      <c r="G3605" s="40"/>
      <c r="H3605" s="42"/>
      <c r="I3605" s="42" t="str">
        <f t="shared" si="52"/>
        <v/>
      </c>
    </row>
    <row r="3606" spans="2:9" x14ac:dyDescent="0.25">
      <c r="B3606" s="39"/>
      <c r="C3606" s="40"/>
      <c r="D3606" s="40"/>
      <c r="F3606" s="40"/>
      <c r="G3606" s="40"/>
      <c r="H3606" s="42"/>
      <c r="I3606" s="42" t="str">
        <f t="shared" si="52"/>
        <v/>
      </c>
    </row>
    <row r="3607" spans="2:9" x14ac:dyDescent="0.25">
      <c r="B3607" s="39"/>
      <c r="C3607" s="40"/>
      <c r="D3607" s="40"/>
      <c r="F3607" s="40"/>
      <c r="G3607" s="40"/>
      <c r="H3607" s="42"/>
      <c r="I3607" s="42" t="str">
        <f t="shared" si="52"/>
        <v/>
      </c>
    </row>
    <row r="3608" spans="2:9" x14ac:dyDescent="0.25">
      <c r="B3608" s="39"/>
      <c r="C3608" s="40"/>
      <c r="D3608" s="40"/>
      <c r="F3608" s="40"/>
      <c r="G3608" s="40"/>
      <c r="H3608" s="42"/>
      <c r="I3608" s="42" t="str">
        <f t="shared" si="52"/>
        <v/>
      </c>
    </row>
    <row r="3609" spans="2:9" x14ac:dyDescent="0.25">
      <c r="B3609" s="39"/>
      <c r="C3609" s="40"/>
      <c r="D3609" s="40"/>
      <c r="F3609" s="40"/>
      <c r="G3609" s="40"/>
      <c r="H3609" s="42"/>
      <c r="I3609" s="42" t="str">
        <f t="shared" si="52"/>
        <v/>
      </c>
    </row>
    <row r="3610" spans="2:9" x14ac:dyDescent="0.25">
      <c r="B3610" s="39"/>
      <c r="C3610" s="40"/>
      <c r="D3610" s="40"/>
      <c r="F3610" s="40"/>
      <c r="G3610" s="40"/>
      <c r="H3610" s="42"/>
      <c r="I3610" s="42" t="str">
        <f t="shared" si="52"/>
        <v/>
      </c>
    </row>
    <row r="3611" spans="2:9" x14ac:dyDescent="0.25">
      <c r="B3611" s="39"/>
      <c r="C3611" s="40"/>
      <c r="D3611" s="40"/>
      <c r="F3611" s="40"/>
      <c r="G3611" s="40"/>
      <c r="H3611" s="42"/>
      <c r="I3611" s="42" t="str">
        <f t="shared" si="52"/>
        <v/>
      </c>
    </row>
    <row r="3612" spans="2:9" x14ac:dyDescent="0.25">
      <c r="B3612" s="39"/>
      <c r="C3612" s="40"/>
      <c r="D3612" s="40"/>
      <c r="F3612" s="40"/>
      <c r="G3612" s="40"/>
      <c r="H3612" s="42"/>
      <c r="I3612" s="42" t="str">
        <f t="shared" si="52"/>
        <v/>
      </c>
    </row>
    <row r="3613" spans="2:9" x14ac:dyDescent="0.25">
      <c r="B3613" s="39"/>
      <c r="C3613" s="40"/>
      <c r="D3613" s="40"/>
      <c r="F3613" s="40"/>
      <c r="G3613" s="40"/>
      <c r="H3613" s="42"/>
      <c r="I3613" s="42" t="str">
        <f t="shared" si="52"/>
        <v/>
      </c>
    </row>
    <row r="3614" spans="2:9" x14ac:dyDescent="0.25">
      <c r="B3614" s="39"/>
      <c r="C3614" s="40"/>
      <c r="D3614" s="40"/>
      <c r="F3614" s="40"/>
      <c r="G3614" s="40"/>
      <c r="H3614" s="42"/>
      <c r="I3614" s="42" t="str">
        <f t="shared" si="52"/>
        <v/>
      </c>
    </row>
    <row r="3615" spans="2:9" x14ac:dyDescent="0.25">
      <c r="B3615" s="39"/>
      <c r="C3615" s="40"/>
      <c r="D3615" s="40"/>
      <c r="F3615" s="40"/>
      <c r="G3615" s="40"/>
      <c r="H3615" s="42"/>
      <c r="I3615" s="42" t="str">
        <f t="shared" si="52"/>
        <v/>
      </c>
    </row>
    <row r="3616" spans="2:9" x14ac:dyDescent="0.25">
      <c r="B3616" s="39"/>
      <c r="C3616" s="40"/>
      <c r="D3616" s="40"/>
      <c r="F3616" s="40"/>
      <c r="G3616" s="40"/>
      <c r="H3616" s="42"/>
      <c r="I3616" s="42" t="str">
        <f t="shared" si="52"/>
        <v/>
      </c>
    </row>
    <row r="3617" spans="2:9" x14ac:dyDescent="0.25">
      <c r="B3617" s="39"/>
      <c r="C3617" s="40"/>
      <c r="D3617" s="40"/>
      <c r="F3617" s="40"/>
      <c r="G3617" s="40"/>
      <c r="H3617" s="42"/>
      <c r="I3617" s="42" t="str">
        <f t="shared" si="52"/>
        <v/>
      </c>
    </row>
    <row r="3618" spans="2:9" x14ac:dyDescent="0.25">
      <c r="B3618" s="39"/>
      <c r="C3618" s="40"/>
      <c r="D3618" s="40"/>
      <c r="F3618" s="40"/>
      <c r="G3618" s="40"/>
      <c r="H3618" s="42"/>
      <c r="I3618" s="42" t="str">
        <f t="shared" si="52"/>
        <v/>
      </c>
    </row>
    <row r="3619" spans="2:9" x14ac:dyDescent="0.25">
      <c r="B3619" s="39"/>
      <c r="C3619" s="40"/>
      <c r="D3619" s="40"/>
      <c r="F3619" s="40"/>
      <c r="G3619" s="40"/>
      <c r="H3619" s="42"/>
      <c r="I3619" s="42" t="str">
        <f t="shared" si="52"/>
        <v/>
      </c>
    </row>
    <row r="3620" spans="2:9" x14ac:dyDescent="0.25">
      <c r="B3620" s="39"/>
      <c r="C3620" s="40"/>
      <c r="D3620" s="40"/>
      <c r="F3620" s="40"/>
      <c r="G3620" s="40"/>
      <c r="H3620" s="42"/>
      <c r="I3620" s="42" t="str">
        <f t="shared" si="52"/>
        <v/>
      </c>
    </row>
    <row r="3621" spans="2:9" x14ac:dyDescent="0.25">
      <c r="B3621" s="39"/>
      <c r="C3621" s="40"/>
      <c r="D3621" s="40"/>
      <c r="F3621" s="40"/>
      <c r="G3621" s="40"/>
      <c r="H3621" s="42"/>
      <c r="I3621" s="42" t="str">
        <f t="shared" si="52"/>
        <v/>
      </c>
    </row>
    <row r="3622" spans="2:9" x14ac:dyDescent="0.25">
      <c r="B3622" s="39"/>
      <c r="C3622" s="40"/>
      <c r="D3622" s="40"/>
      <c r="F3622" s="40"/>
      <c r="G3622" s="40"/>
      <c r="H3622" s="42"/>
      <c r="I3622" s="42" t="str">
        <f t="shared" si="52"/>
        <v/>
      </c>
    </row>
    <row r="3623" spans="2:9" x14ac:dyDescent="0.25">
      <c r="B3623" s="39"/>
      <c r="C3623" s="40"/>
      <c r="D3623" s="40"/>
      <c r="F3623" s="40"/>
      <c r="G3623" s="40"/>
      <c r="H3623" s="42"/>
      <c r="I3623" s="42" t="str">
        <f t="shared" si="52"/>
        <v/>
      </c>
    </row>
    <row r="3624" spans="2:9" x14ac:dyDescent="0.25">
      <c r="B3624" s="39"/>
      <c r="C3624" s="40"/>
      <c r="D3624" s="40"/>
      <c r="F3624" s="40"/>
      <c r="G3624" s="40"/>
      <c r="H3624" s="42"/>
      <c r="I3624" s="42" t="str">
        <f t="shared" si="52"/>
        <v/>
      </c>
    </row>
    <row r="3625" spans="2:9" x14ac:dyDescent="0.25">
      <c r="B3625" s="39"/>
      <c r="C3625" s="40"/>
      <c r="D3625" s="40"/>
      <c r="F3625" s="40"/>
      <c r="G3625" s="40"/>
      <c r="H3625" s="42"/>
      <c r="I3625" s="42" t="str">
        <f t="shared" si="52"/>
        <v/>
      </c>
    </row>
    <row r="3626" spans="2:9" x14ac:dyDescent="0.25">
      <c r="B3626" s="39"/>
      <c r="C3626" s="40"/>
      <c r="D3626" s="40"/>
      <c r="F3626" s="40"/>
      <c r="G3626" s="40"/>
      <c r="H3626" s="42"/>
      <c r="I3626" s="42" t="str">
        <f t="shared" si="52"/>
        <v/>
      </c>
    </row>
    <row r="3627" spans="2:9" x14ac:dyDescent="0.25">
      <c r="B3627" s="39"/>
      <c r="C3627" s="40"/>
      <c r="D3627" s="40"/>
      <c r="F3627" s="40"/>
      <c r="G3627" s="40"/>
      <c r="H3627" s="42"/>
      <c r="I3627" s="42" t="str">
        <f t="shared" si="52"/>
        <v/>
      </c>
    </row>
    <row r="3628" spans="2:9" x14ac:dyDescent="0.25">
      <c r="B3628" s="39"/>
      <c r="C3628" s="40"/>
      <c r="D3628" s="40"/>
      <c r="F3628" s="40"/>
      <c r="G3628" s="40"/>
      <c r="H3628" s="42"/>
      <c r="I3628" s="42" t="str">
        <f t="shared" si="52"/>
        <v/>
      </c>
    </row>
    <row r="3629" spans="2:9" x14ac:dyDescent="0.25">
      <c r="B3629" s="39"/>
      <c r="C3629" s="40"/>
      <c r="D3629" s="40"/>
      <c r="F3629" s="40"/>
      <c r="G3629" s="40"/>
      <c r="H3629" s="42"/>
      <c r="I3629" s="42" t="str">
        <f t="shared" si="52"/>
        <v/>
      </c>
    </row>
    <row r="3630" spans="2:9" x14ac:dyDescent="0.25">
      <c r="B3630" s="39"/>
      <c r="C3630" s="40"/>
      <c r="D3630" s="40"/>
      <c r="F3630" s="40"/>
      <c r="G3630" s="40"/>
      <c r="H3630" s="42"/>
      <c r="I3630" s="42" t="str">
        <f t="shared" si="52"/>
        <v/>
      </c>
    </row>
    <row r="3631" spans="2:9" x14ac:dyDescent="0.25">
      <c r="B3631" s="39"/>
      <c r="C3631" s="40"/>
      <c r="D3631" s="40"/>
      <c r="F3631" s="40"/>
      <c r="G3631" s="40"/>
      <c r="H3631" s="42"/>
      <c r="I3631" s="42" t="str">
        <f t="shared" si="52"/>
        <v/>
      </c>
    </row>
    <row r="3632" spans="2:9" x14ac:dyDescent="0.25">
      <c r="B3632" s="39"/>
      <c r="C3632" s="40"/>
      <c r="D3632" s="40"/>
      <c r="F3632" s="40"/>
      <c r="G3632" s="40"/>
      <c r="H3632" s="42"/>
      <c r="I3632" s="42" t="str">
        <f t="shared" si="52"/>
        <v/>
      </c>
    </row>
    <row r="3633" spans="2:9" x14ac:dyDescent="0.25">
      <c r="B3633" s="39"/>
      <c r="C3633" s="40"/>
      <c r="D3633" s="40"/>
      <c r="F3633" s="40"/>
      <c r="G3633" s="40"/>
      <c r="H3633" s="42"/>
      <c r="I3633" s="42" t="str">
        <f t="shared" si="52"/>
        <v/>
      </c>
    </row>
    <row r="3634" spans="2:9" x14ac:dyDescent="0.25">
      <c r="B3634" s="39"/>
      <c r="C3634" s="40"/>
      <c r="D3634" s="40"/>
      <c r="F3634" s="40"/>
      <c r="G3634" s="40"/>
      <c r="H3634" s="42"/>
      <c r="I3634" s="42" t="str">
        <f t="shared" si="52"/>
        <v/>
      </c>
    </row>
    <row r="3635" spans="2:9" x14ac:dyDescent="0.25">
      <c r="B3635" s="39"/>
      <c r="C3635" s="40"/>
      <c r="D3635" s="40"/>
      <c r="F3635" s="40"/>
      <c r="G3635" s="40"/>
      <c r="H3635" s="42"/>
      <c r="I3635" s="42" t="str">
        <f t="shared" si="52"/>
        <v/>
      </c>
    </row>
    <row r="3636" spans="2:9" x14ac:dyDescent="0.25">
      <c r="B3636" s="39"/>
      <c r="C3636" s="40"/>
      <c r="D3636" s="40"/>
      <c r="F3636" s="40"/>
      <c r="G3636" s="40"/>
      <c r="H3636" s="42"/>
      <c r="I3636" s="42" t="str">
        <f t="shared" si="52"/>
        <v/>
      </c>
    </row>
    <row r="3637" spans="2:9" x14ac:dyDescent="0.25">
      <c r="B3637" s="39"/>
      <c r="C3637" s="40"/>
      <c r="D3637" s="40"/>
      <c r="F3637" s="40"/>
      <c r="G3637" s="40"/>
      <c r="H3637" s="42"/>
      <c r="I3637" s="42" t="str">
        <f t="shared" si="52"/>
        <v/>
      </c>
    </row>
    <row r="3638" spans="2:9" x14ac:dyDescent="0.25">
      <c r="B3638" s="39"/>
      <c r="C3638" s="40"/>
      <c r="D3638" s="40"/>
      <c r="F3638" s="40"/>
      <c r="G3638" s="40"/>
      <c r="H3638" s="42"/>
      <c r="I3638" s="42" t="str">
        <f t="shared" si="52"/>
        <v/>
      </c>
    </row>
    <row r="3639" spans="2:9" x14ac:dyDescent="0.25">
      <c r="B3639" s="39"/>
      <c r="C3639" s="40"/>
      <c r="D3639" s="40"/>
      <c r="F3639" s="40"/>
      <c r="G3639" s="40"/>
      <c r="H3639" s="42"/>
      <c r="I3639" s="42" t="str">
        <f t="shared" si="52"/>
        <v/>
      </c>
    </row>
    <row r="3640" spans="2:9" x14ac:dyDescent="0.25">
      <c r="B3640" s="39"/>
      <c r="C3640" s="40"/>
      <c r="D3640" s="40"/>
      <c r="F3640" s="40"/>
      <c r="G3640" s="40"/>
      <c r="H3640" s="42"/>
      <c r="I3640" s="42" t="str">
        <f t="shared" si="52"/>
        <v/>
      </c>
    </row>
    <row r="3641" spans="2:9" x14ac:dyDescent="0.25">
      <c r="B3641" s="39"/>
      <c r="C3641" s="40"/>
      <c r="D3641" s="40"/>
      <c r="F3641" s="40"/>
      <c r="G3641" s="40"/>
      <c r="H3641" s="42"/>
      <c r="I3641" s="42" t="str">
        <f t="shared" si="52"/>
        <v/>
      </c>
    </row>
    <row r="3642" spans="2:9" x14ac:dyDescent="0.25">
      <c r="B3642" s="39"/>
      <c r="C3642" s="40"/>
      <c r="D3642" s="40"/>
      <c r="F3642" s="40"/>
      <c r="G3642" s="40"/>
      <c r="H3642" s="42"/>
      <c r="I3642" s="42" t="str">
        <f t="shared" si="52"/>
        <v/>
      </c>
    </row>
    <row r="3643" spans="2:9" x14ac:dyDescent="0.25">
      <c r="B3643" s="39"/>
      <c r="C3643" s="40"/>
      <c r="D3643" s="40"/>
      <c r="F3643" s="40"/>
      <c r="G3643" s="40"/>
      <c r="H3643" s="42"/>
      <c r="I3643" s="42" t="str">
        <f t="shared" si="52"/>
        <v/>
      </c>
    </row>
    <row r="3644" spans="2:9" x14ac:dyDescent="0.25">
      <c r="B3644" s="39"/>
      <c r="C3644" s="40"/>
      <c r="D3644" s="40"/>
      <c r="F3644" s="40"/>
      <c r="G3644" s="40"/>
      <c r="H3644" s="42"/>
      <c r="I3644" s="42" t="str">
        <f t="shared" si="52"/>
        <v/>
      </c>
    </row>
    <row r="3645" spans="2:9" x14ac:dyDescent="0.25">
      <c r="B3645" s="39"/>
      <c r="C3645" s="40"/>
      <c r="D3645" s="40"/>
      <c r="F3645" s="40"/>
      <c r="G3645" s="40"/>
      <c r="H3645" s="42"/>
      <c r="I3645" s="42" t="str">
        <f t="shared" si="52"/>
        <v/>
      </c>
    </row>
    <row r="3646" spans="2:9" x14ac:dyDescent="0.25">
      <c r="B3646" s="39"/>
      <c r="C3646" s="40"/>
      <c r="D3646" s="40"/>
      <c r="F3646" s="40"/>
      <c r="G3646" s="40"/>
      <c r="H3646" s="42"/>
      <c r="I3646" s="42" t="str">
        <f t="shared" si="52"/>
        <v/>
      </c>
    </row>
    <row r="3647" spans="2:9" x14ac:dyDescent="0.25">
      <c r="B3647" s="39"/>
      <c r="C3647" s="40"/>
      <c r="D3647" s="40"/>
      <c r="F3647" s="40"/>
      <c r="G3647" s="40"/>
      <c r="H3647" s="42"/>
      <c r="I3647" s="42" t="str">
        <f t="shared" si="52"/>
        <v/>
      </c>
    </row>
    <row r="3648" spans="2:9" x14ac:dyDescent="0.25">
      <c r="B3648" s="39"/>
      <c r="C3648" s="40"/>
      <c r="D3648" s="40"/>
      <c r="F3648" s="40"/>
      <c r="G3648" s="40"/>
      <c r="H3648" s="42"/>
      <c r="I3648" s="42" t="str">
        <f t="shared" ref="I3648:I3711" si="53">IF(H3648&lt;&gt;"",H3648-H3647,"")</f>
        <v/>
      </c>
    </row>
    <row r="3649" spans="2:9" x14ac:dyDescent="0.25">
      <c r="B3649" s="39"/>
      <c r="C3649" s="40"/>
      <c r="D3649" s="40"/>
      <c r="F3649" s="40"/>
      <c r="G3649" s="40"/>
      <c r="H3649" s="42"/>
      <c r="I3649" s="42" t="str">
        <f t="shared" si="53"/>
        <v/>
      </c>
    </row>
    <row r="3650" spans="2:9" x14ac:dyDescent="0.25">
      <c r="B3650" s="39"/>
      <c r="C3650" s="40"/>
      <c r="D3650" s="40"/>
      <c r="F3650" s="40"/>
      <c r="G3650" s="40"/>
      <c r="H3650" s="42"/>
      <c r="I3650" s="42" t="str">
        <f t="shared" si="53"/>
        <v/>
      </c>
    </row>
    <row r="3651" spans="2:9" x14ac:dyDescent="0.25">
      <c r="B3651" s="39"/>
      <c r="C3651" s="40"/>
      <c r="D3651" s="40"/>
      <c r="F3651" s="40"/>
      <c r="G3651" s="40"/>
      <c r="H3651" s="42"/>
      <c r="I3651" s="42" t="str">
        <f t="shared" si="53"/>
        <v/>
      </c>
    </row>
    <row r="3652" spans="2:9" x14ac:dyDescent="0.25">
      <c r="B3652" s="39"/>
      <c r="C3652" s="40"/>
      <c r="D3652" s="40"/>
      <c r="F3652" s="40"/>
      <c r="G3652" s="40"/>
      <c r="H3652" s="42"/>
      <c r="I3652" s="42" t="str">
        <f t="shared" si="53"/>
        <v/>
      </c>
    </row>
    <row r="3653" spans="2:9" x14ac:dyDescent="0.25">
      <c r="B3653" s="39"/>
      <c r="C3653" s="40"/>
      <c r="D3653" s="40"/>
      <c r="F3653" s="40"/>
      <c r="G3653" s="40"/>
      <c r="H3653" s="42"/>
      <c r="I3653" s="42" t="str">
        <f t="shared" si="53"/>
        <v/>
      </c>
    </row>
    <row r="3654" spans="2:9" x14ac:dyDescent="0.25">
      <c r="B3654" s="39"/>
      <c r="C3654" s="40"/>
      <c r="D3654" s="40"/>
      <c r="F3654" s="40"/>
      <c r="G3654" s="40"/>
      <c r="H3654" s="42"/>
      <c r="I3654" s="42" t="str">
        <f t="shared" si="53"/>
        <v/>
      </c>
    </row>
    <row r="3655" spans="2:9" x14ac:dyDescent="0.25">
      <c r="B3655" s="39"/>
      <c r="C3655" s="40"/>
      <c r="D3655" s="40"/>
      <c r="F3655" s="40"/>
      <c r="G3655" s="40"/>
      <c r="H3655" s="42"/>
      <c r="I3655" s="42" t="str">
        <f t="shared" si="53"/>
        <v/>
      </c>
    </row>
    <row r="3656" spans="2:9" x14ac:dyDescent="0.25">
      <c r="B3656" s="39"/>
      <c r="C3656" s="40"/>
      <c r="D3656" s="40"/>
      <c r="F3656" s="40"/>
      <c r="G3656" s="40"/>
      <c r="H3656" s="42"/>
      <c r="I3656" s="42" t="str">
        <f t="shared" si="53"/>
        <v/>
      </c>
    </row>
    <row r="3657" spans="2:9" x14ac:dyDescent="0.25">
      <c r="B3657" s="39"/>
      <c r="C3657" s="40"/>
      <c r="D3657" s="40"/>
      <c r="F3657" s="40"/>
      <c r="G3657" s="40"/>
      <c r="H3657" s="42"/>
      <c r="I3657" s="42" t="str">
        <f t="shared" si="53"/>
        <v/>
      </c>
    </row>
    <row r="3658" spans="2:9" x14ac:dyDescent="0.25">
      <c r="B3658" s="39"/>
      <c r="C3658" s="40"/>
      <c r="D3658" s="40"/>
      <c r="F3658" s="40"/>
      <c r="G3658" s="40"/>
      <c r="H3658" s="42"/>
      <c r="I3658" s="42" t="str">
        <f t="shared" si="53"/>
        <v/>
      </c>
    </row>
    <row r="3659" spans="2:9" x14ac:dyDescent="0.25">
      <c r="B3659" s="39"/>
      <c r="C3659" s="40"/>
      <c r="D3659" s="40"/>
      <c r="F3659" s="40"/>
      <c r="G3659" s="40"/>
      <c r="H3659" s="42"/>
      <c r="I3659" s="42" t="str">
        <f t="shared" si="53"/>
        <v/>
      </c>
    </row>
    <row r="3660" spans="2:9" x14ac:dyDescent="0.25">
      <c r="B3660" s="39"/>
      <c r="C3660" s="40"/>
      <c r="D3660" s="40"/>
      <c r="F3660" s="40"/>
      <c r="G3660" s="40"/>
      <c r="H3660" s="42"/>
      <c r="I3660" s="42" t="str">
        <f t="shared" si="53"/>
        <v/>
      </c>
    </row>
    <row r="3661" spans="2:9" x14ac:dyDescent="0.25">
      <c r="B3661" s="39"/>
      <c r="C3661" s="40"/>
      <c r="D3661" s="40"/>
      <c r="F3661" s="40"/>
      <c r="G3661" s="40"/>
      <c r="H3661" s="42"/>
      <c r="I3661" s="42" t="str">
        <f t="shared" si="53"/>
        <v/>
      </c>
    </row>
    <row r="3662" spans="2:9" x14ac:dyDescent="0.25">
      <c r="B3662" s="39"/>
      <c r="C3662" s="40"/>
      <c r="D3662" s="40"/>
      <c r="F3662" s="40"/>
      <c r="G3662" s="40"/>
      <c r="H3662" s="42"/>
      <c r="I3662" s="42" t="str">
        <f t="shared" si="53"/>
        <v/>
      </c>
    </row>
    <row r="3663" spans="2:9" x14ac:dyDescent="0.25">
      <c r="B3663" s="39"/>
      <c r="C3663" s="40"/>
      <c r="D3663" s="40"/>
      <c r="F3663" s="40"/>
      <c r="G3663" s="40"/>
      <c r="H3663" s="42"/>
      <c r="I3663" s="42" t="str">
        <f t="shared" si="53"/>
        <v/>
      </c>
    </row>
    <row r="3664" spans="2:9" x14ac:dyDescent="0.25">
      <c r="B3664" s="39"/>
      <c r="C3664" s="40"/>
      <c r="D3664" s="40"/>
      <c r="F3664" s="40"/>
      <c r="G3664" s="40"/>
      <c r="H3664" s="42"/>
      <c r="I3664" s="42" t="str">
        <f t="shared" si="53"/>
        <v/>
      </c>
    </row>
    <row r="3665" spans="2:9" x14ac:dyDescent="0.25">
      <c r="B3665" s="39"/>
      <c r="C3665" s="40"/>
      <c r="D3665" s="40"/>
      <c r="F3665" s="40"/>
      <c r="G3665" s="40"/>
      <c r="H3665" s="42"/>
      <c r="I3665" s="42" t="str">
        <f t="shared" si="53"/>
        <v/>
      </c>
    </row>
    <row r="3666" spans="2:9" x14ac:dyDescent="0.25">
      <c r="B3666" s="39"/>
      <c r="C3666" s="40"/>
      <c r="D3666" s="40"/>
      <c r="F3666" s="40"/>
      <c r="G3666" s="40"/>
      <c r="H3666" s="42"/>
      <c r="I3666" s="42" t="str">
        <f t="shared" si="53"/>
        <v/>
      </c>
    </row>
    <row r="3667" spans="2:9" x14ac:dyDescent="0.25">
      <c r="B3667" s="39"/>
      <c r="C3667" s="40"/>
      <c r="D3667" s="40"/>
      <c r="F3667" s="40"/>
      <c r="G3667" s="40"/>
      <c r="H3667" s="42"/>
      <c r="I3667" s="42" t="str">
        <f t="shared" si="53"/>
        <v/>
      </c>
    </row>
    <row r="3668" spans="2:9" x14ac:dyDescent="0.25">
      <c r="B3668" s="39"/>
      <c r="C3668" s="40"/>
      <c r="D3668" s="40"/>
      <c r="F3668" s="40"/>
      <c r="G3668" s="40"/>
      <c r="H3668" s="42"/>
      <c r="I3668" s="42" t="str">
        <f t="shared" si="53"/>
        <v/>
      </c>
    </row>
    <row r="3669" spans="2:9" x14ac:dyDescent="0.25">
      <c r="B3669" s="39"/>
      <c r="C3669" s="40"/>
      <c r="D3669" s="40"/>
      <c r="F3669" s="40"/>
      <c r="G3669" s="40"/>
      <c r="H3669" s="42"/>
      <c r="I3669" s="42" t="str">
        <f t="shared" si="53"/>
        <v/>
      </c>
    </row>
    <row r="3670" spans="2:9" x14ac:dyDescent="0.25">
      <c r="B3670" s="39"/>
      <c r="C3670" s="40"/>
      <c r="D3670" s="40"/>
      <c r="F3670" s="40"/>
      <c r="G3670" s="40"/>
      <c r="H3670" s="42"/>
      <c r="I3670" s="42" t="str">
        <f t="shared" si="53"/>
        <v/>
      </c>
    </row>
    <row r="3671" spans="2:9" x14ac:dyDescent="0.25">
      <c r="B3671" s="39"/>
      <c r="C3671" s="40"/>
      <c r="D3671" s="40"/>
      <c r="F3671" s="40"/>
      <c r="G3671" s="40"/>
      <c r="H3671" s="42"/>
      <c r="I3671" s="42" t="str">
        <f t="shared" si="53"/>
        <v/>
      </c>
    </row>
    <row r="3672" spans="2:9" x14ac:dyDescent="0.25">
      <c r="B3672" s="39"/>
      <c r="C3672" s="40"/>
      <c r="D3672" s="40"/>
      <c r="F3672" s="40"/>
      <c r="G3672" s="40"/>
      <c r="H3672" s="42"/>
      <c r="I3672" s="42" t="str">
        <f t="shared" si="53"/>
        <v/>
      </c>
    </row>
    <row r="3673" spans="2:9" x14ac:dyDescent="0.25">
      <c r="B3673" s="39"/>
      <c r="C3673" s="40"/>
      <c r="D3673" s="40"/>
      <c r="F3673" s="40"/>
      <c r="G3673" s="40"/>
      <c r="H3673" s="42"/>
      <c r="I3673" s="42" t="str">
        <f t="shared" si="53"/>
        <v/>
      </c>
    </row>
    <row r="3674" spans="2:9" x14ac:dyDescent="0.25">
      <c r="B3674" s="39"/>
      <c r="C3674" s="40"/>
      <c r="D3674" s="40"/>
      <c r="F3674" s="40"/>
      <c r="G3674" s="40"/>
      <c r="H3674" s="42"/>
      <c r="I3674" s="42" t="str">
        <f t="shared" si="53"/>
        <v/>
      </c>
    </row>
    <row r="3675" spans="2:9" x14ac:dyDescent="0.25">
      <c r="B3675" s="39"/>
      <c r="C3675" s="40"/>
      <c r="D3675" s="40"/>
      <c r="F3675" s="40"/>
      <c r="G3675" s="40"/>
      <c r="H3675" s="42"/>
      <c r="I3675" s="42" t="str">
        <f t="shared" si="53"/>
        <v/>
      </c>
    </row>
    <row r="3676" spans="2:9" x14ac:dyDescent="0.25">
      <c r="B3676" s="39"/>
      <c r="C3676" s="40"/>
      <c r="D3676" s="40"/>
      <c r="F3676" s="40"/>
      <c r="G3676" s="40"/>
      <c r="H3676" s="42"/>
      <c r="I3676" s="42" t="str">
        <f t="shared" si="53"/>
        <v/>
      </c>
    </row>
    <row r="3677" spans="2:9" x14ac:dyDescent="0.25">
      <c r="B3677" s="39"/>
      <c r="C3677" s="40"/>
      <c r="D3677" s="40"/>
      <c r="F3677" s="40"/>
      <c r="G3677" s="40"/>
      <c r="H3677" s="42"/>
      <c r="I3677" s="42" t="str">
        <f t="shared" si="53"/>
        <v/>
      </c>
    </row>
    <row r="3678" spans="2:9" x14ac:dyDescent="0.25">
      <c r="B3678" s="39"/>
      <c r="C3678" s="40"/>
      <c r="D3678" s="40"/>
      <c r="F3678" s="40"/>
      <c r="G3678" s="40"/>
      <c r="H3678" s="42"/>
      <c r="I3678" s="42" t="str">
        <f t="shared" si="53"/>
        <v/>
      </c>
    </row>
    <row r="3679" spans="2:9" x14ac:dyDescent="0.25">
      <c r="B3679" s="39"/>
      <c r="C3679" s="40"/>
      <c r="D3679" s="40"/>
      <c r="F3679" s="40"/>
      <c r="G3679" s="40"/>
      <c r="H3679" s="42"/>
      <c r="I3679" s="42" t="str">
        <f t="shared" si="53"/>
        <v/>
      </c>
    </row>
    <row r="3680" spans="2:9" x14ac:dyDescent="0.25">
      <c r="B3680" s="39"/>
      <c r="C3680" s="40"/>
      <c r="D3680" s="40"/>
      <c r="F3680" s="40"/>
      <c r="G3680" s="40"/>
      <c r="H3680" s="42"/>
      <c r="I3680" s="42" t="str">
        <f t="shared" si="53"/>
        <v/>
      </c>
    </row>
    <row r="3681" spans="2:9" x14ac:dyDescent="0.25">
      <c r="B3681" s="39"/>
      <c r="C3681" s="40"/>
      <c r="D3681" s="40"/>
      <c r="F3681" s="40"/>
      <c r="G3681" s="40"/>
      <c r="H3681" s="42"/>
      <c r="I3681" s="42" t="str">
        <f t="shared" si="53"/>
        <v/>
      </c>
    </row>
    <row r="3682" spans="2:9" x14ac:dyDescent="0.25">
      <c r="B3682" s="39"/>
      <c r="C3682" s="40"/>
      <c r="D3682" s="40"/>
      <c r="F3682" s="40"/>
      <c r="G3682" s="40"/>
      <c r="H3682" s="42"/>
      <c r="I3682" s="42" t="str">
        <f t="shared" si="53"/>
        <v/>
      </c>
    </row>
    <row r="3683" spans="2:9" x14ac:dyDescent="0.25">
      <c r="B3683" s="39"/>
      <c r="C3683" s="40"/>
      <c r="D3683" s="40"/>
      <c r="F3683" s="40"/>
      <c r="G3683" s="40"/>
      <c r="H3683" s="42"/>
      <c r="I3683" s="42" t="str">
        <f t="shared" si="53"/>
        <v/>
      </c>
    </row>
    <row r="3684" spans="2:9" x14ac:dyDescent="0.25">
      <c r="B3684" s="39"/>
      <c r="C3684" s="40"/>
      <c r="D3684" s="40"/>
      <c r="F3684" s="40"/>
      <c r="G3684" s="40"/>
      <c r="H3684" s="42"/>
      <c r="I3684" s="42" t="str">
        <f t="shared" si="53"/>
        <v/>
      </c>
    </row>
    <row r="3685" spans="2:9" x14ac:dyDescent="0.25">
      <c r="B3685" s="39"/>
      <c r="C3685" s="40"/>
      <c r="D3685" s="40"/>
      <c r="F3685" s="40"/>
      <c r="G3685" s="40"/>
      <c r="H3685" s="42"/>
      <c r="I3685" s="42" t="str">
        <f t="shared" si="53"/>
        <v/>
      </c>
    </row>
    <row r="3686" spans="2:9" x14ac:dyDescent="0.25">
      <c r="B3686" s="39"/>
      <c r="C3686" s="40"/>
      <c r="D3686" s="40"/>
      <c r="F3686" s="40"/>
      <c r="G3686" s="40"/>
      <c r="H3686" s="42"/>
      <c r="I3686" s="42" t="str">
        <f t="shared" si="53"/>
        <v/>
      </c>
    </row>
    <row r="3687" spans="2:9" x14ac:dyDescent="0.25">
      <c r="B3687" s="39"/>
      <c r="C3687" s="40"/>
      <c r="D3687" s="40"/>
      <c r="F3687" s="40"/>
      <c r="G3687" s="40"/>
      <c r="H3687" s="42"/>
      <c r="I3687" s="42" t="str">
        <f t="shared" si="53"/>
        <v/>
      </c>
    </row>
    <row r="3688" spans="2:9" x14ac:dyDescent="0.25">
      <c r="B3688" s="39"/>
      <c r="C3688" s="40"/>
      <c r="D3688" s="40"/>
      <c r="F3688" s="40"/>
      <c r="G3688" s="40"/>
      <c r="H3688" s="42"/>
      <c r="I3688" s="42" t="str">
        <f t="shared" si="53"/>
        <v/>
      </c>
    </row>
    <row r="3689" spans="2:9" x14ac:dyDescent="0.25">
      <c r="B3689" s="39"/>
      <c r="C3689" s="40"/>
      <c r="D3689" s="40"/>
      <c r="F3689" s="40"/>
      <c r="G3689" s="40"/>
      <c r="H3689" s="42"/>
      <c r="I3689" s="42" t="str">
        <f t="shared" si="53"/>
        <v/>
      </c>
    </row>
    <row r="3690" spans="2:9" x14ac:dyDescent="0.25">
      <c r="B3690" s="39"/>
      <c r="C3690" s="40"/>
      <c r="D3690" s="40"/>
      <c r="F3690" s="40"/>
      <c r="G3690" s="40"/>
      <c r="H3690" s="42"/>
      <c r="I3690" s="42" t="str">
        <f t="shared" si="53"/>
        <v/>
      </c>
    </row>
    <row r="3691" spans="2:9" x14ac:dyDescent="0.25">
      <c r="B3691" s="39"/>
      <c r="C3691" s="40"/>
      <c r="D3691" s="40"/>
      <c r="F3691" s="40"/>
      <c r="G3691" s="40"/>
      <c r="H3691" s="42"/>
      <c r="I3691" s="42" t="str">
        <f t="shared" si="53"/>
        <v/>
      </c>
    </row>
    <row r="3692" spans="2:9" x14ac:dyDescent="0.25">
      <c r="B3692" s="39"/>
      <c r="C3692" s="40"/>
      <c r="D3692" s="40"/>
      <c r="F3692" s="40"/>
      <c r="G3692" s="40"/>
      <c r="H3692" s="42"/>
      <c r="I3692" s="42" t="str">
        <f t="shared" si="53"/>
        <v/>
      </c>
    </row>
    <row r="3693" spans="2:9" x14ac:dyDescent="0.25">
      <c r="B3693" s="39"/>
      <c r="C3693" s="40"/>
      <c r="D3693" s="40"/>
      <c r="F3693" s="40"/>
      <c r="G3693" s="40"/>
      <c r="H3693" s="42"/>
      <c r="I3693" s="42" t="str">
        <f t="shared" si="53"/>
        <v/>
      </c>
    </row>
    <row r="3694" spans="2:9" x14ac:dyDescent="0.25">
      <c r="B3694" s="39"/>
      <c r="C3694" s="40"/>
      <c r="D3694" s="40"/>
      <c r="F3694" s="40"/>
      <c r="G3694" s="40"/>
      <c r="H3694" s="42"/>
      <c r="I3694" s="42" t="str">
        <f t="shared" si="53"/>
        <v/>
      </c>
    </row>
    <row r="3695" spans="2:9" x14ac:dyDescent="0.25">
      <c r="B3695" s="39"/>
      <c r="C3695" s="40"/>
      <c r="D3695" s="40"/>
      <c r="F3695" s="40"/>
      <c r="G3695" s="40"/>
      <c r="H3695" s="42"/>
      <c r="I3695" s="42" t="str">
        <f t="shared" si="53"/>
        <v/>
      </c>
    </row>
    <row r="3696" spans="2:9" x14ac:dyDescent="0.25">
      <c r="B3696" s="39"/>
      <c r="C3696" s="40"/>
      <c r="D3696" s="40"/>
      <c r="F3696" s="40"/>
      <c r="G3696" s="40"/>
      <c r="H3696" s="42"/>
      <c r="I3696" s="42" t="str">
        <f t="shared" si="53"/>
        <v/>
      </c>
    </row>
    <row r="3697" spans="2:9" x14ac:dyDescent="0.25">
      <c r="B3697" s="39"/>
      <c r="C3697" s="40"/>
      <c r="D3697" s="40"/>
      <c r="F3697" s="40"/>
      <c r="G3697" s="40"/>
      <c r="H3697" s="42"/>
      <c r="I3697" s="42" t="str">
        <f t="shared" si="53"/>
        <v/>
      </c>
    </row>
    <row r="3698" spans="2:9" x14ac:dyDescent="0.25">
      <c r="B3698" s="39"/>
      <c r="C3698" s="40"/>
      <c r="D3698" s="40"/>
      <c r="F3698" s="40"/>
      <c r="G3698" s="40"/>
      <c r="H3698" s="42"/>
      <c r="I3698" s="42" t="str">
        <f t="shared" si="53"/>
        <v/>
      </c>
    </row>
    <row r="3699" spans="2:9" x14ac:dyDescent="0.25">
      <c r="B3699" s="39"/>
      <c r="C3699" s="40"/>
      <c r="D3699" s="40"/>
      <c r="F3699" s="40"/>
      <c r="G3699" s="40"/>
      <c r="H3699" s="42"/>
      <c r="I3699" s="42" t="str">
        <f t="shared" si="53"/>
        <v/>
      </c>
    </row>
    <row r="3700" spans="2:9" x14ac:dyDescent="0.25">
      <c r="B3700" s="39"/>
      <c r="C3700" s="40"/>
      <c r="D3700" s="40"/>
      <c r="F3700" s="40"/>
      <c r="G3700" s="40"/>
      <c r="H3700" s="42"/>
      <c r="I3700" s="42" t="str">
        <f t="shared" si="53"/>
        <v/>
      </c>
    </row>
    <row r="3701" spans="2:9" x14ac:dyDescent="0.25">
      <c r="B3701" s="39"/>
      <c r="C3701" s="40"/>
      <c r="D3701" s="40"/>
      <c r="F3701" s="40"/>
      <c r="G3701" s="40"/>
      <c r="H3701" s="42"/>
      <c r="I3701" s="42" t="str">
        <f t="shared" si="53"/>
        <v/>
      </c>
    </row>
    <row r="3702" spans="2:9" x14ac:dyDescent="0.25">
      <c r="B3702" s="39"/>
      <c r="C3702" s="40"/>
      <c r="D3702" s="40"/>
      <c r="F3702" s="40"/>
      <c r="G3702" s="40"/>
      <c r="H3702" s="42"/>
      <c r="I3702" s="42" t="str">
        <f t="shared" si="53"/>
        <v/>
      </c>
    </row>
    <row r="3703" spans="2:9" x14ac:dyDescent="0.25">
      <c r="B3703" s="39"/>
      <c r="C3703" s="40"/>
      <c r="D3703" s="40"/>
      <c r="F3703" s="40"/>
      <c r="G3703" s="40"/>
      <c r="H3703" s="42"/>
      <c r="I3703" s="42" t="str">
        <f t="shared" si="53"/>
        <v/>
      </c>
    </row>
    <row r="3704" spans="2:9" x14ac:dyDescent="0.25">
      <c r="B3704" s="39"/>
      <c r="C3704" s="40"/>
      <c r="D3704" s="40"/>
      <c r="F3704" s="40"/>
      <c r="G3704" s="40"/>
      <c r="H3704" s="42"/>
      <c r="I3704" s="42" t="str">
        <f t="shared" si="53"/>
        <v/>
      </c>
    </row>
    <row r="3705" spans="2:9" x14ac:dyDescent="0.25">
      <c r="B3705" s="39"/>
      <c r="C3705" s="40"/>
      <c r="D3705" s="40"/>
      <c r="F3705" s="40"/>
      <c r="G3705" s="40"/>
      <c r="H3705" s="42"/>
      <c r="I3705" s="42" t="str">
        <f t="shared" si="53"/>
        <v/>
      </c>
    </row>
    <row r="3706" spans="2:9" x14ac:dyDescent="0.25">
      <c r="B3706" s="39"/>
      <c r="C3706" s="40"/>
      <c r="D3706" s="40"/>
      <c r="F3706" s="40"/>
      <c r="G3706" s="40"/>
      <c r="H3706" s="42"/>
      <c r="I3706" s="42" t="str">
        <f t="shared" si="53"/>
        <v/>
      </c>
    </row>
    <row r="3707" spans="2:9" x14ac:dyDescent="0.25">
      <c r="B3707" s="39"/>
      <c r="C3707" s="40"/>
      <c r="D3707" s="40"/>
      <c r="F3707" s="40"/>
      <c r="G3707" s="40"/>
      <c r="H3707" s="42"/>
      <c r="I3707" s="42" t="str">
        <f t="shared" si="53"/>
        <v/>
      </c>
    </row>
    <row r="3708" spans="2:9" x14ac:dyDescent="0.25">
      <c r="B3708" s="39"/>
      <c r="C3708" s="40"/>
      <c r="D3708" s="40"/>
      <c r="F3708" s="40"/>
      <c r="G3708" s="40"/>
      <c r="H3708" s="42"/>
      <c r="I3708" s="42" t="str">
        <f t="shared" si="53"/>
        <v/>
      </c>
    </row>
    <row r="3709" spans="2:9" x14ac:dyDescent="0.25">
      <c r="B3709" s="39"/>
      <c r="C3709" s="40"/>
      <c r="D3709" s="40"/>
      <c r="F3709" s="40"/>
      <c r="G3709" s="40"/>
      <c r="H3709" s="42"/>
      <c r="I3709" s="42" t="str">
        <f t="shared" si="53"/>
        <v/>
      </c>
    </row>
    <row r="3710" spans="2:9" x14ac:dyDescent="0.25">
      <c r="B3710" s="39"/>
      <c r="C3710" s="40"/>
      <c r="D3710" s="40"/>
      <c r="F3710" s="40"/>
      <c r="G3710" s="40"/>
      <c r="H3710" s="42"/>
      <c r="I3710" s="42" t="str">
        <f t="shared" si="53"/>
        <v/>
      </c>
    </row>
    <row r="3711" spans="2:9" x14ac:dyDescent="0.25">
      <c r="B3711" s="39"/>
      <c r="C3711" s="40"/>
      <c r="D3711" s="40"/>
      <c r="F3711" s="40"/>
      <c r="G3711" s="40"/>
      <c r="H3711" s="42"/>
      <c r="I3711" s="42" t="str">
        <f t="shared" si="53"/>
        <v/>
      </c>
    </row>
    <row r="3712" spans="2:9" x14ac:dyDescent="0.25">
      <c r="B3712" s="39"/>
      <c r="C3712" s="40"/>
      <c r="D3712" s="40"/>
      <c r="F3712" s="40"/>
      <c r="G3712" s="40"/>
      <c r="H3712" s="42"/>
      <c r="I3712" s="42" t="str">
        <f t="shared" ref="I3712:I3775" si="54">IF(H3712&lt;&gt;"",H3712-H3711,"")</f>
        <v/>
      </c>
    </row>
    <row r="3713" spans="2:9" x14ac:dyDescent="0.25">
      <c r="B3713" s="39"/>
      <c r="C3713" s="40"/>
      <c r="D3713" s="40"/>
      <c r="F3713" s="40"/>
      <c r="G3713" s="40"/>
      <c r="H3713" s="42"/>
      <c r="I3713" s="42" t="str">
        <f t="shared" si="54"/>
        <v/>
      </c>
    </row>
    <row r="3714" spans="2:9" x14ac:dyDescent="0.25">
      <c r="B3714" s="39"/>
      <c r="C3714" s="40"/>
      <c r="D3714" s="40"/>
      <c r="F3714" s="40"/>
      <c r="G3714" s="40"/>
      <c r="H3714" s="42"/>
      <c r="I3714" s="42" t="str">
        <f t="shared" si="54"/>
        <v/>
      </c>
    </row>
    <row r="3715" spans="2:9" x14ac:dyDescent="0.25">
      <c r="B3715" s="39"/>
      <c r="C3715" s="40"/>
      <c r="D3715" s="40"/>
      <c r="F3715" s="40"/>
      <c r="G3715" s="40"/>
      <c r="H3715" s="42"/>
      <c r="I3715" s="42" t="str">
        <f t="shared" si="54"/>
        <v/>
      </c>
    </row>
    <row r="3716" spans="2:9" x14ac:dyDescent="0.25">
      <c r="B3716" s="39"/>
      <c r="C3716" s="40"/>
      <c r="D3716" s="40"/>
      <c r="F3716" s="40"/>
      <c r="G3716" s="40"/>
      <c r="H3716" s="42"/>
      <c r="I3716" s="42" t="str">
        <f t="shared" si="54"/>
        <v/>
      </c>
    </row>
    <row r="3717" spans="2:9" x14ac:dyDescent="0.25">
      <c r="B3717" s="39"/>
      <c r="C3717" s="40"/>
      <c r="D3717" s="40"/>
      <c r="F3717" s="40"/>
      <c r="G3717" s="40"/>
      <c r="H3717" s="42"/>
      <c r="I3717" s="42" t="str">
        <f t="shared" si="54"/>
        <v/>
      </c>
    </row>
    <row r="3718" spans="2:9" x14ac:dyDescent="0.25">
      <c r="B3718" s="39"/>
      <c r="C3718" s="40"/>
      <c r="D3718" s="40"/>
      <c r="F3718" s="40"/>
      <c r="G3718" s="40"/>
      <c r="H3718" s="42"/>
      <c r="I3718" s="42" t="str">
        <f t="shared" si="54"/>
        <v/>
      </c>
    </row>
    <row r="3719" spans="2:9" x14ac:dyDescent="0.25">
      <c r="B3719" s="39"/>
      <c r="C3719" s="40"/>
      <c r="D3719" s="40"/>
      <c r="F3719" s="40"/>
      <c r="G3719" s="40"/>
      <c r="H3719" s="42"/>
      <c r="I3719" s="42" t="str">
        <f t="shared" si="54"/>
        <v/>
      </c>
    </row>
    <row r="3720" spans="2:9" x14ac:dyDescent="0.25">
      <c r="B3720" s="39"/>
      <c r="C3720" s="40"/>
      <c r="D3720" s="40"/>
      <c r="F3720" s="40"/>
      <c r="G3720" s="40"/>
      <c r="H3720" s="42"/>
      <c r="I3720" s="42" t="str">
        <f t="shared" si="54"/>
        <v/>
      </c>
    </row>
    <row r="3721" spans="2:9" x14ac:dyDescent="0.25">
      <c r="B3721" s="39"/>
      <c r="C3721" s="40"/>
      <c r="D3721" s="40"/>
      <c r="F3721" s="40"/>
      <c r="G3721" s="40"/>
      <c r="H3721" s="42"/>
      <c r="I3721" s="42" t="str">
        <f t="shared" si="54"/>
        <v/>
      </c>
    </row>
    <row r="3722" spans="2:9" x14ac:dyDescent="0.25">
      <c r="B3722" s="39"/>
      <c r="C3722" s="40"/>
      <c r="D3722" s="40"/>
      <c r="F3722" s="40"/>
      <c r="G3722" s="40"/>
      <c r="H3722" s="42"/>
      <c r="I3722" s="42" t="str">
        <f t="shared" si="54"/>
        <v/>
      </c>
    </row>
    <row r="3723" spans="2:9" x14ac:dyDescent="0.25">
      <c r="B3723" s="39"/>
      <c r="C3723" s="40"/>
      <c r="D3723" s="40"/>
      <c r="F3723" s="40"/>
      <c r="G3723" s="40"/>
      <c r="H3723" s="42"/>
      <c r="I3723" s="42" t="str">
        <f t="shared" si="54"/>
        <v/>
      </c>
    </row>
    <row r="3724" spans="2:9" x14ac:dyDescent="0.25">
      <c r="B3724" s="39"/>
      <c r="C3724" s="40"/>
      <c r="D3724" s="40"/>
      <c r="F3724" s="40"/>
      <c r="G3724" s="40"/>
      <c r="H3724" s="42"/>
      <c r="I3724" s="42" t="str">
        <f t="shared" si="54"/>
        <v/>
      </c>
    </row>
    <row r="3725" spans="2:9" x14ac:dyDescent="0.25">
      <c r="B3725" s="39"/>
      <c r="C3725" s="40"/>
      <c r="D3725" s="40"/>
      <c r="F3725" s="40"/>
      <c r="G3725" s="40"/>
      <c r="H3725" s="42"/>
      <c r="I3725" s="42" t="str">
        <f t="shared" si="54"/>
        <v/>
      </c>
    </row>
    <row r="3726" spans="2:9" x14ac:dyDescent="0.25">
      <c r="B3726" s="39"/>
      <c r="C3726" s="40"/>
      <c r="D3726" s="40"/>
      <c r="F3726" s="40"/>
      <c r="G3726" s="40"/>
      <c r="H3726" s="42"/>
      <c r="I3726" s="42" t="str">
        <f t="shared" si="54"/>
        <v/>
      </c>
    </row>
    <row r="3727" spans="2:9" x14ac:dyDescent="0.25">
      <c r="B3727" s="39"/>
      <c r="C3727" s="40"/>
      <c r="D3727" s="40"/>
      <c r="F3727" s="40"/>
      <c r="G3727" s="40"/>
      <c r="H3727" s="42"/>
      <c r="I3727" s="42" t="str">
        <f t="shared" si="54"/>
        <v/>
      </c>
    </row>
    <row r="3728" spans="2:9" x14ac:dyDescent="0.25">
      <c r="B3728" s="39"/>
      <c r="C3728" s="40"/>
      <c r="D3728" s="40"/>
      <c r="F3728" s="40"/>
      <c r="G3728" s="40"/>
      <c r="H3728" s="42"/>
      <c r="I3728" s="42" t="str">
        <f t="shared" si="54"/>
        <v/>
      </c>
    </row>
    <row r="3729" spans="2:9" x14ac:dyDescent="0.25">
      <c r="B3729" s="39"/>
      <c r="C3729" s="40"/>
      <c r="D3729" s="40"/>
      <c r="F3729" s="40"/>
      <c r="G3729" s="40"/>
      <c r="H3729" s="42"/>
      <c r="I3729" s="42" t="str">
        <f t="shared" si="54"/>
        <v/>
      </c>
    </row>
    <row r="3730" spans="2:9" x14ac:dyDescent="0.25">
      <c r="B3730" s="39"/>
      <c r="C3730" s="40"/>
      <c r="D3730" s="40"/>
      <c r="F3730" s="40"/>
      <c r="G3730" s="40"/>
      <c r="H3730" s="42"/>
      <c r="I3730" s="42" t="str">
        <f t="shared" si="54"/>
        <v/>
      </c>
    </row>
    <row r="3731" spans="2:9" x14ac:dyDescent="0.25">
      <c r="B3731" s="39"/>
      <c r="C3731" s="40"/>
      <c r="D3731" s="40"/>
      <c r="F3731" s="40"/>
      <c r="G3731" s="40"/>
      <c r="H3731" s="42"/>
      <c r="I3731" s="42" t="str">
        <f t="shared" si="54"/>
        <v/>
      </c>
    </row>
    <row r="3732" spans="2:9" x14ac:dyDescent="0.25">
      <c r="B3732" s="39"/>
      <c r="C3732" s="40"/>
      <c r="D3732" s="40"/>
      <c r="F3732" s="40"/>
      <c r="G3732" s="40"/>
      <c r="H3732" s="42"/>
      <c r="I3732" s="42" t="str">
        <f t="shared" si="54"/>
        <v/>
      </c>
    </row>
    <row r="3733" spans="2:9" x14ac:dyDescent="0.25">
      <c r="B3733" s="39"/>
      <c r="C3733" s="40"/>
      <c r="D3733" s="40"/>
      <c r="F3733" s="40"/>
      <c r="G3733" s="40"/>
      <c r="H3733" s="42"/>
      <c r="I3733" s="42" t="str">
        <f t="shared" si="54"/>
        <v/>
      </c>
    </row>
    <row r="3734" spans="2:9" x14ac:dyDescent="0.25">
      <c r="B3734" s="39"/>
      <c r="C3734" s="40"/>
      <c r="D3734" s="40"/>
      <c r="F3734" s="40"/>
      <c r="G3734" s="40"/>
      <c r="H3734" s="42"/>
      <c r="I3734" s="42" t="str">
        <f t="shared" si="54"/>
        <v/>
      </c>
    </row>
    <row r="3735" spans="2:9" x14ac:dyDescent="0.25">
      <c r="B3735" s="39"/>
      <c r="C3735" s="40"/>
      <c r="D3735" s="40"/>
      <c r="F3735" s="40"/>
      <c r="G3735" s="40"/>
      <c r="H3735" s="42"/>
      <c r="I3735" s="42" t="str">
        <f t="shared" si="54"/>
        <v/>
      </c>
    </row>
    <row r="3736" spans="2:9" x14ac:dyDescent="0.25">
      <c r="B3736" s="39"/>
      <c r="C3736" s="40"/>
      <c r="D3736" s="40"/>
      <c r="F3736" s="40"/>
      <c r="G3736" s="40"/>
      <c r="H3736" s="42"/>
      <c r="I3736" s="42" t="str">
        <f t="shared" si="54"/>
        <v/>
      </c>
    </row>
    <row r="3737" spans="2:9" x14ac:dyDescent="0.25">
      <c r="B3737" s="39"/>
      <c r="C3737" s="40"/>
      <c r="D3737" s="40"/>
      <c r="F3737" s="40"/>
      <c r="G3737" s="40"/>
      <c r="H3737" s="42"/>
      <c r="I3737" s="42" t="str">
        <f t="shared" si="54"/>
        <v/>
      </c>
    </row>
    <row r="3738" spans="2:9" x14ac:dyDescent="0.25">
      <c r="B3738" s="39"/>
      <c r="C3738" s="40"/>
      <c r="D3738" s="40"/>
      <c r="F3738" s="40"/>
      <c r="G3738" s="40"/>
      <c r="H3738" s="42"/>
      <c r="I3738" s="42" t="str">
        <f t="shared" si="54"/>
        <v/>
      </c>
    </row>
    <row r="3739" spans="2:9" x14ac:dyDescent="0.25">
      <c r="B3739" s="39"/>
      <c r="C3739" s="40"/>
      <c r="D3739" s="40"/>
      <c r="F3739" s="40"/>
      <c r="G3739" s="40"/>
      <c r="H3739" s="42"/>
      <c r="I3739" s="42" t="str">
        <f t="shared" si="54"/>
        <v/>
      </c>
    </row>
    <row r="3740" spans="2:9" x14ac:dyDescent="0.25">
      <c r="B3740" s="39"/>
      <c r="C3740" s="40"/>
      <c r="D3740" s="40"/>
      <c r="F3740" s="40"/>
      <c r="G3740" s="40"/>
      <c r="H3740" s="42"/>
      <c r="I3740" s="42" t="str">
        <f t="shared" si="54"/>
        <v/>
      </c>
    </row>
    <row r="3741" spans="2:9" x14ac:dyDescent="0.25">
      <c r="B3741" s="39"/>
      <c r="C3741" s="40"/>
      <c r="D3741" s="40"/>
      <c r="F3741" s="40"/>
      <c r="G3741" s="40"/>
      <c r="H3741" s="42"/>
      <c r="I3741" s="42" t="str">
        <f t="shared" si="54"/>
        <v/>
      </c>
    </row>
    <row r="3742" spans="2:9" x14ac:dyDescent="0.25">
      <c r="B3742" s="39"/>
      <c r="C3742" s="40"/>
      <c r="D3742" s="40"/>
      <c r="F3742" s="40"/>
      <c r="G3742" s="40"/>
      <c r="H3742" s="42"/>
      <c r="I3742" s="42" t="str">
        <f t="shared" si="54"/>
        <v/>
      </c>
    </row>
    <row r="3743" spans="2:9" x14ac:dyDescent="0.25">
      <c r="B3743" s="39"/>
      <c r="C3743" s="40"/>
      <c r="D3743" s="40"/>
      <c r="F3743" s="40"/>
      <c r="G3743" s="40"/>
      <c r="H3743" s="42"/>
      <c r="I3743" s="42" t="str">
        <f t="shared" si="54"/>
        <v/>
      </c>
    </row>
    <row r="3744" spans="2:9" x14ac:dyDescent="0.25">
      <c r="B3744" s="39"/>
      <c r="C3744" s="40"/>
      <c r="D3744" s="40"/>
      <c r="F3744" s="40"/>
      <c r="G3744" s="40"/>
      <c r="H3744" s="42"/>
      <c r="I3744" s="42" t="str">
        <f t="shared" si="54"/>
        <v/>
      </c>
    </row>
    <row r="3745" spans="2:9" x14ac:dyDescent="0.25">
      <c r="B3745" s="39"/>
      <c r="C3745" s="40"/>
      <c r="D3745" s="40"/>
      <c r="F3745" s="40"/>
      <c r="G3745" s="40"/>
      <c r="H3745" s="42"/>
      <c r="I3745" s="42" t="str">
        <f t="shared" si="54"/>
        <v/>
      </c>
    </row>
    <row r="3746" spans="2:9" x14ac:dyDescent="0.25">
      <c r="B3746" s="39"/>
      <c r="C3746" s="40"/>
      <c r="D3746" s="40"/>
      <c r="F3746" s="40"/>
      <c r="G3746" s="40"/>
      <c r="H3746" s="42"/>
      <c r="I3746" s="42" t="str">
        <f t="shared" si="54"/>
        <v/>
      </c>
    </row>
    <row r="3747" spans="2:9" x14ac:dyDescent="0.25">
      <c r="B3747" s="39"/>
      <c r="C3747" s="40"/>
      <c r="D3747" s="40"/>
      <c r="F3747" s="40"/>
      <c r="G3747" s="40"/>
      <c r="H3747" s="42"/>
      <c r="I3747" s="42" t="str">
        <f t="shared" si="54"/>
        <v/>
      </c>
    </row>
    <row r="3748" spans="2:9" x14ac:dyDescent="0.25">
      <c r="B3748" s="39"/>
      <c r="C3748" s="40"/>
      <c r="D3748" s="40"/>
      <c r="F3748" s="40"/>
      <c r="G3748" s="40"/>
      <c r="H3748" s="42"/>
      <c r="I3748" s="42" t="str">
        <f t="shared" si="54"/>
        <v/>
      </c>
    </row>
    <row r="3749" spans="2:9" x14ac:dyDescent="0.25">
      <c r="B3749" s="39"/>
      <c r="C3749" s="40"/>
      <c r="D3749" s="40"/>
      <c r="F3749" s="40"/>
      <c r="G3749" s="40"/>
      <c r="H3749" s="42"/>
      <c r="I3749" s="42" t="str">
        <f t="shared" si="54"/>
        <v/>
      </c>
    </row>
    <row r="3750" spans="2:9" x14ac:dyDescent="0.25">
      <c r="B3750" s="39"/>
      <c r="C3750" s="40"/>
      <c r="D3750" s="40"/>
      <c r="F3750" s="40"/>
      <c r="G3750" s="40"/>
      <c r="H3750" s="42"/>
      <c r="I3750" s="42" t="str">
        <f t="shared" si="54"/>
        <v/>
      </c>
    </row>
    <row r="3751" spans="2:9" x14ac:dyDescent="0.25">
      <c r="B3751" s="39"/>
      <c r="C3751" s="40"/>
      <c r="D3751" s="40"/>
      <c r="F3751" s="40"/>
      <c r="G3751" s="40"/>
      <c r="H3751" s="42"/>
      <c r="I3751" s="42" t="str">
        <f t="shared" si="54"/>
        <v/>
      </c>
    </row>
    <row r="3752" spans="2:9" x14ac:dyDescent="0.25">
      <c r="B3752" s="39"/>
      <c r="C3752" s="40"/>
      <c r="D3752" s="40"/>
      <c r="F3752" s="40"/>
      <c r="G3752" s="40"/>
      <c r="H3752" s="42"/>
      <c r="I3752" s="42" t="str">
        <f t="shared" si="54"/>
        <v/>
      </c>
    </row>
    <row r="3753" spans="2:9" x14ac:dyDescent="0.25">
      <c r="B3753" s="39"/>
      <c r="C3753" s="40"/>
      <c r="D3753" s="40"/>
      <c r="F3753" s="40"/>
      <c r="G3753" s="40"/>
      <c r="H3753" s="42"/>
      <c r="I3753" s="42" t="str">
        <f t="shared" si="54"/>
        <v/>
      </c>
    </row>
    <row r="3754" spans="2:9" x14ac:dyDescent="0.25">
      <c r="B3754" s="39"/>
      <c r="C3754" s="40"/>
      <c r="D3754" s="40"/>
      <c r="F3754" s="40"/>
      <c r="G3754" s="40"/>
      <c r="H3754" s="42"/>
      <c r="I3754" s="42" t="str">
        <f t="shared" si="54"/>
        <v/>
      </c>
    </row>
    <row r="3755" spans="2:9" x14ac:dyDescent="0.25">
      <c r="B3755" s="39"/>
      <c r="C3755" s="40"/>
      <c r="D3755" s="40"/>
      <c r="F3755" s="40"/>
      <c r="G3755" s="40"/>
      <c r="H3755" s="42"/>
      <c r="I3755" s="42" t="str">
        <f t="shared" si="54"/>
        <v/>
      </c>
    </row>
    <row r="3756" spans="2:9" x14ac:dyDescent="0.25">
      <c r="B3756" s="39"/>
      <c r="C3756" s="40"/>
      <c r="D3756" s="40"/>
      <c r="F3756" s="40"/>
      <c r="G3756" s="40"/>
      <c r="H3756" s="42"/>
      <c r="I3756" s="42" t="str">
        <f t="shared" si="54"/>
        <v/>
      </c>
    </row>
    <row r="3757" spans="2:9" x14ac:dyDescent="0.25">
      <c r="B3757" s="39"/>
      <c r="C3757" s="40"/>
      <c r="D3757" s="40"/>
      <c r="F3757" s="40"/>
      <c r="G3757" s="40"/>
      <c r="H3757" s="42"/>
      <c r="I3757" s="42" t="str">
        <f t="shared" si="54"/>
        <v/>
      </c>
    </row>
    <row r="3758" spans="2:9" x14ac:dyDescent="0.25">
      <c r="B3758" s="39"/>
      <c r="C3758" s="40"/>
      <c r="D3758" s="40"/>
      <c r="F3758" s="40"/>
      <c r="G3758" s="40"/>
      <c r="H3758" s="42"/>
      <c r="I3758" s="42" t="str">
        <f t="shared" si="54"/>
        <v/>
      </c>
    </row>
    <row r="3759" spans="2:9" x14ac:dyDescent="0.25">
      <c r="B3759" s="39"/>
      <c r="C3759" s="40"/>
      <c r="D3759" s="40"/>
      <c r="F3759" s="40"/>
      <c r="G3759" s="40"/>
      <c r="H3759" s="42"/>
      <c r="I3759" s="42" t="str">
        <f t="shared" si="54"/>
        <v/>
      </c>
    </row>
    <row r="3760" spans="2:9" x14ac:dyDescent="0.25">
      <c r="B3760" s="39"/>
      <c r="C3760" s="40"/>
      <c r="D3760" s="40"/>
      <c r="F3760" s="40"/>
      <c r="G3760" s="40"/>
      <c r="H3760" s="42"/>
      <c r="I3760" s="42" t="str">
        <f t="shared" si="54"/>
        <v/>
      </c>
    </row>
    <row r="3761" spans="2:9" x14ac:dyDescent="0.25">
      <c r="B3761" s="39"/>
      <c r="C3761" s="40"/>
      <c r="D3761" s="40"/>
      <c r="F3761" s="40"/>
      <c r="G3761" s="40"/>
      <c r="H3761" s="42"/>
      <c r="I3761" s="42" t="str">
        <f t="shared" si="54"/>
        <v/>
      </c>
    </row>
    <row r="3762" spans="2:9" x14ac:dyDescent="0.25">
      <c r="B3762" s="39"/>
      <c r="C3762" s="40"/>
      <c r="D3762" s="40"/>
      <c r="F3762" s="40"/>
      <c r="G3762" s="40"/>
      <c r="H3762" s="42"/>
      <c r="I3762" s="42" t="str">
        <f t="shared" si="54"/>
        <v/>
      </c>
    </row>
    <row r="3763" spans="2:9" x14ac:dyDescent="0.25">
      <c r="B3763" s="39"/>
      <c r="C3763" s="40"/>
      <c r="D3763" s="40"/>
      <c r="F3763" s="40"/>
      <c r="G3763" s="40"/>
      <c r="H3763" s="42"/>
      <c r="I3763" s="42" t="str">
        <f t="shared" si="54"/>
        <v/>
      </c>
    </row>
    <row r="3764" spans="2:9" x14ac:dyDescent="0.25">
      <c r="B3764" s="39"/>
      <c r="C3764" s="40"/>
      <c r="D3764" s="40"/>
      <c r="F3764" s="40"/>
      <c r="G3764" s="40"/>
      <c r="H3764" s="42"/>
      <c r="I3764" s="42" t="str">
        <f t="shared" si="54"/>
        <v/>
      </c>
    </row>
    <row r="3765" spans="2:9" x14ac:dyDescent="0.25">
      <c r="B3765" s="39"/>
      <c r="C3765" s="40"/>
      <c r="D3765" s="40"/>
      <c r="F3765" s="40"/>
      <c r="G3765" s="40"/>
      <c r="H3765" s="42"/>
      <c r="I3765" s="42" t="str">
        <f t="shared" si="54"/>
        <v/>
      </c>
    </row>
    <row r="3766" spans="2:9" x14ac:dyDescent="0.25">
      <c r="B3766" s="39"/>
      <c r="C3766" s="40"/>
      <c r="D3766" s="40"/>
      <c r="F3766" s="40"/>
      <c r="G3766" s="40"/>
      <c r="H3766" s="42"/>
      <c r="I3766" s="42" t="str">
        <f t="shared" si="54"/>
        <v/>
      </c>
    </row>
    <row r="3767" spans="2:9" x14ac:dyDescent="0.25">
      <c r="B3767" s="39"/>
      <c r="C3767" s="40"/>
      <c r="D3767" s="40"/>
      <c r="F3767" s="40"/>
      <c r="G3767" s="40"/>
      <c r="H3767" s="42"/>
      <c r="I3767" s="42" t="str">
        <f t="shared" si="54"/>
        <v/>
      </c>
    </row>
    <row r="3768" spans="2:9" x14ac:dyDescent="0.25">
      <c r="B3768" s="39"/>
      <c r="C3768" s="40"/>
      <c r="D3768" s="40"/>
      <c r="F3768" s="40"/>
      <c r="G3768" s="40"/>
      <c r="H3768" s="42"/>
      <c r="I3768" s="42" t="str">
        <f t="shared" si="54"/>
        <v/>
      </c>
    </row>
    <row r="3769" spans="2:9" x14ac:dyDescent="0.25">
      <c r="B3769" s="39"/>
      <c r="C3769" s="40"/>
      <c r="D3769" s="40"/>
      <c r="F3769" s="40"/>
      <c r="G3769" s="40"/>
      <c r="H3769" s="42"/>
      <c r="I3769" s="42" t="str">
        <f t="shared" si="54"/>
        <v/>
      </c>
    </row>
    <row r="3770" spans="2:9" x14ac:dyDescent="0.25">
      <c r="B3770" s="39"/>
      <c r="C3770" s="40"/>
      <c r="D3770" s="40"/>
      <c r="F3770" s="40"/>
      <c r="G3770" s="40"/>
      <c r="H3770" s="42"/>
      <c r="I3770" s="42" t="str">
        <f t="shared" si="54"/>
        <v/>
      </c>
    </row>
    <row r="3771" spans="2:9" x14ac:dyDescent="0.25">
      <c r="B3771" s="39"/>
      <c r="C3771" s="40"/>
      <c r="D3771" s="40"/>
      <c r="F3771" s="40"/>
      <c r="G3771" s="40"/>
      <c r="H3771" s="42"/>
      <c r="I3771" s="42" t="str">
        <f t="shared" si="54"/>
        <v/>
      </c>
    </row>
    <row r="3772" spans="2:9" x14ac:dyDescent="0.25">
      <c r="B3772" s="39"/>
      <c r="C3772" s="40"/>
      <c r="D3772" s="40"/>
      <c r="F3772" s="40"/>
      <c r="G3772" s="40"/>
      <c r="H3772" s="42"/>
      <c r="I3772" s="42" t="str">
        <f t="shared" si="54"/>
        <v/>
      </c>
    </row>
    <row r="3773" spans="2:9" x14ac:dyDescent="0.25">
      <c r="B3773" s="39"/>
      <c r="C3773" s="40"/>
      <c r="D3773" s="40"/>
      <c r="F3773" s="40"/>
      <c r="G3773" s="40"/>
      <c r="H3773" s="42"/>
      <c r="I3773" s="42" t="str">
        <f t="shared" si="54"/>
        <v/>
      </c>
    </row>
    <row r="3774" spans="2:9" x14ac:dyDescent="0.25">
      <c r="B3774" s="39"/>
      <c r="C3774" s="40"/>
      <c r="D3774" s="40"/>
      <c r="F3774" s="40"/>
      <c r="G3774" s="40"/>
      <c r="H3774" s="42"/>
      <c r="I3774" s="42" t="str">
        <f t="shared" si="54"/>
        <v/>
      </c>
    </row>
    <row r="3775" spans="2:9" x14ac:dyDescent="0.25">
      <c r="B3775" s="39"/>
      <c r="C3775" s="40"/>
      <c r="D3775" s="40"/>
      <c r="F3775" s="40"/>
      <c r="G3775" s="40"/>
      <c r="H3775" s="42"/>
      <c r="I3775" s="42" t="str">
        <f t="shared" si="54"/>
        <v/>
      </c>
    </row>
    <row r="3776" spans="2:9" x14ac:dyDescent="0.25">
      <c r="B3776" s="39"/>
      <c r="C3776" s="40"/>
      <c r="D3776" s="40"/>
      <c r="F3776" s="40"/>
      <c r="G3776" s="40"/>
      <c r="H3776" s="42"/>
      <c r="I3776" s="42" t="str">
        <f t="shared" ref="I3776:I3839" si="55">IF(H3776&lt;&gt;"",H3776-H3775,"")</f>
        <v/>
      </c>
    </row>
    <row r="3777" spans="2:9" x14ac:dyDescent="0.25">
      <c r="B3777" s="39"/>
      <c r="C3777" s="40"/>
      <c r="D3777" s="40"/>
      <c r="F3777" s="40"/>
      <c r="G3777" s="40"/>
      <c r="H3777" s="42"/>
      <c r="I3777" s="42" t="str">
        <f t="shared" si="55"/>
        <v/>
      </c>
    </row>
    <row r="3778" spans="2:9" x14ac:dyDescent="0.25">
      <c r="B3778" s="39"/>
      <c r="C3778" s="40"/>
      <c r="D3778" s="40"/>
      <c r="F3778" s="40"/>
      <c r="G3778" s="40"/>
      <c r="H3778" s="42"/>
      <c r="I3778" s="42" t="str">
        <f t="shared" si="55"/>
        <v/>
      </c>
    </row>
    <row r="3779" spans="2:9" x14ac:dyDescent="0.25">
      <c r="B3779" s="39"/>
      <c r="C3779" s="40"/>
      <c r="D3779" s="40"/>
      <c r="F3779" s="40"/>
      <c r="G3779" s="40"/>
      <c r="H3779" s="42"/>
      <c r="I3779" s="42" t="str">
        <f t="shared" si="55"/>
        <v/>
      </c>
    </row>
    <row r="3780" spans="2:9" x14ac:dyDescent="0.25">
      <c r="B3780" s="39"/>
      <c r="C3780" s="40"/>
      <c r="D3780" s="40"/>
      <c r="F3780" s="40"/>
      <c r="G3780" s="40"/>
      <c r="H3780" s="42"/>
      <c r="I3780" s="42" t="str">
        <f t="shared" si="55"/>
        <v/>
      </c>
    </row>
    <row r="3781" spans="2:9" x14ac:dyDescent="0.25">
      <c r="B3781" s="39"/>
      <c r="C3781" s="40"/>
      <c r="D3781" s="40"/>
      <c r="F3781" s="40"/>
      <c r="G3781" s="40"/>
      <c r="H3781" s="42"/>
      <c r="I3781" s="42" t="str">
        <f t="shared" si="55"/>
        <v/>
      </c>
    </row>
    <row r="3782" spans="2:9" x14ac:dyDescent="0.25">
      <c r="B3782" s="39"/>
      <c r="C3782" s="40"/>
      <c r="D3782" s="40"/>
      <c r="F3782" s="40"/>
      <c r="G3782" s="40"/>
      <c r="H3782" s="42"/>
      <c r="I3782" s="42" t="str">
        <f t="shared" si="55"/>
        <v/>
      </c>
    </row>
    <row r="3783" spans="2:9" x14ac:dyDescent="0.25">
      <c r="B3783" s="39"/>
      <c r="C3783" s="40"/>
      <c r="D3783" s="40"/>
      <c r="F3783" s="40"/>
      <c r="G3783" s="40"/>
      <c r="H3783" s="42"/>
      <c r="I3783" s="42" t="str">
        <f t="shared" si="55"/>
        <v/>
      </c>
    </row>
    <row r="3784" spans="2:9" x14ac:dyDescent="0.25">
      <c r="B3784" s="39"/>
      <c r="C3784" s="40"/>
      <c r="D3784" s="40"/>
      <c r="F3784" s="40"/>
      <c r="G3784" s="40"/>
      <c r="H3784" s="42"/>
      <c r="I3784" s="42" t="str">
        <f t="shared" si="55"/>
        <v/>
      </c>
    </row>
    <row r="3785" spans="2:9" x14ac:dyDescent="0.25">
      <c r="B3785" s="39"/>
      <c r="C3785" s="40"/>
      <c r="D3785" s="40"/>
      <c r="F3785" s="40"/>
      <c r="G3785" s="40"/>
      <c r="H3785" s="42"/>
      <c r="I3785" s="42" t="str">
        <f t="shared" si="55"/>
        <v/>
      </c>
    </row>
    <row r="3786" spans="2:9" x14ac:dyDescent="0.25">
      <c r="B3786" s="39"/>
      <c r="C3786" s="40"/>
      <c r="D3786" s="40"/>
      <c r="F3786" s="40"/>
      <c r="G3786" s="40"/>
      <c r="H3786" s="42"/>
      <c r="I3786" s="42" t="str">
        <f t="shared" si="55"/>
        <v/>
      </c>
    </row>
    <row r="3787" spans="2:9" x14ac:dyDescent="0.25">
      <c r="B3787" s="39"/>
      <c r="C3787" s="40"/>
      <c r="D3787" s="40"/>
      <c r="F3787" s="40"/>
      <c r="G3787" s="40"/>
      <c r="H3787" s="42"/>
      <c r="I3787" s="42" t="str">
        <f t="shared" si="55"/>
        <v/>
      </c>
    </row>
    <row r="3788" spans="2:9" x14ac:dyDescent="0.25">
      <c r="B3788" s="39"/>
      <c r="C3788" s="40"/>
      <c r="D3788" s="40"/>
      <c r="F3788" s="40"/>
      <c r="G3788" s="40"/>
      <c r="H3788" s="42"/>
      <c r="I3788" s="42" t="str">
        <f t="shared" si="55"/>
        <v/>
      </c>
    </row>
    <row r="3789" spans="2:9" x14ac:dyDescent="0.25">
      <c r="B3789" s="39"/>
      <c r="C3789" s="40"/>
      <c r="D3789" s="40"/>
      <c r="F3789" s="40"/>
      <c r="G3789" s="40"/>
      <c r="H3789" s="42"/>
      <c r="I3789" s="42" t="str">
        <f t="shared" si="55"/>
        <v/>
      </c>
    </row>
    <row r="3790" spans="2:9" x14ac:dyDescent="0.25">
      <c r="B3790" s="39"/>
      <c r="C3790" s="40"/>
      <c r="D3790" s="40"/>
      <c r="F3790" s="40"/>
      <c r="G3790" s="40"/>
      <c r="H3790" s="42"/>
      <c r="I3790" s="42" t="str">
        <f t="shared" si="55"/>
        <v/>
      </c>
    </row>
    <row r="3791" spans="2:9" x14ac:dyDescent="0.25">
      <c r="B3791" s="39"/>
      <c r="C3791" s="40"/>
      <c r="D3791" s="40"/>
      <c r="F3791" s="40"/>
      <c r="G3791" s="40"/>
      <c r="H3791" s="42"/>
      <c r="I3791" s="42" t="str">
        <f t="shared" si="55"/>
        <v/>
      </c>
    </row>
    <row r="3792" spans="2:9" x14ac:dyDescent="0.25">
      <c r="B3792" s="39"/>
      <c r="C3792" s="40"/>
      <c r="D3792" s="40"/>
      <c r="F3792" s="40"/>
      <c r="G3792" s="40"/>
      <c r="H3792" s="42"/>
      <c r="I3792" s="42" t="str">
        <f t="shared" si="55"/>
        <v/>
      </c>
    </row>
    <row r="3793" spans="2:9" x14ac:dyDescent="0.25">
      <c r="B3793" s="39"/>
      <c r="C3793" s="40"/>
      <c r="D3793" s="40"/>
      <c r="F3793" s="40"/>
      <c r="G3793" s="40"/>
      <c r="H3793" s="42"/>
      <c r="I3793" s="42" t="str">
        <f t="shared" si="55"/>
        <v/>
      </c>
    </row>
    <row r="3794" spans="2:9" x14ac:dyDescent="0.25">
      <c r="B3794" s="39"/>
      <c r="C3794" s="40"/>
      <c r="D3794" s="40"/>
      <c r="F3794" s="40"/>
      <c r="G3794" s="40"/>
      <c r="H3794" s="42"/>
      <c r="I3794" s="42" t="str">
        <f t="shared" si="55"/>
        <v/>
      </c>
    </row>
    <row r="3795" spans="2:9" x14ac:dyDescent="0.25">
      <c r="B3795" s="39"/>
      <c r="C3795" s="40"/>
      <c r="D3795" s="40"/>
      <c r="F3795" s="40"/>
      <c r="G3795" s="40"/>
      <c r="H3795" s="42"/>
      <c r="I3795" s="42" t="str">
        <f t="shared" si="55"/>
        <v/>
      </c>
    </row>
    <row r="3796" spans="2:9" x14ac:dyDescent="0.25">
      <c r="B3796" s="39"/>
      <c r="C3796" s="40"/>
      <c r="D3796" s="40"/>
      <c r="F3796" s="40"/>
      <c r="G3796" s="40"/>
      <c r="H3796" s="42"/>
      <c r="I3796" s="42" t="str">
        <f t="shared" si="55"/>
        <v/>
      </c>
    </row>
    <row r="3797" spans="2:9" x14ac:dyDescent="0.25">
      <c r="B3797" s="39"/>
      <c r="C3797" s="40"/>
      <c r="D3797" s="40"/>
      <c r="F3797" s="40"/>
      <c r="G3797" s="40"/>
      <c r="H3797" s="42"/>
      <c r="I3797" s="42" t="str">
        <f t="shared" si="55"/>
        <v/>
      </c>
    </row>
    <row r="3798" spans="2:9" x14ac:dyDescent="0.25">
      <c r="B3798" s="39"/>
      <c r="C3798" s="40"/>
      <c r="D3798" s="40"/>
      <c r="F3798" s="40"/>
      <c r="G3798" s="40"/>
      <c r="H3798" s="42"/>
      <c r="I3798" s="42" t="str">
        <f t="shared" si="55"/>
        <v/>
      </c>
    </row>
    <row r="3799" spans="2:9" x14ac:dyDescent="0.25">
      <c r="B3799" s="39"/>
      <c r="C3799" s="40"/>
      <c r="D3799" s="40"/>
      <c r="F3799" s="40"/>
      <c r="G3799" s="40"/>
      <c r="H3799" s="42"/>
      <c r="I3799" s="42" t="str">
        <f t="shared" si="55"/>
        <v/>
      </c>
    </row>
    <row r="3800" spans="2:9" x14ac:dyDescent="0.25">
      <c r="B3800" s="39"/>
      <c r="C3800" s="40"/>
      <c r="D3800" s="40"/>
      <c r="F3800" s="40"/>
      <c r="G3800" s="40"/>
      <c r="H3800" s="42"/>
      <c r="I3800" s="42" t="str">
        <f t="shared" si="55"/>
        <v/>
      </c>
    </row>
    <row r="3801" spans="2:9" x14ac:dyDescent="0.25">
      <c r="B3801" s="39"/>
      <c r="C3801" s="40"/>
      <c r="D3801" s="40"/>
      <c r="F3801" s="40"/>
      <c r="G3801" s="40"/>
      <c r="H3801" s="42"/>
      <c r="I3801" s="42" t="str">
        <f t="shared" si="55"/>
        <v/>
      </c>
    </row>
    <row r="3802" spans="2:9" x14ac:dyDescent="0.25">
      <c r="B3802" s="39"/>
      <c r="C3802" s="40"/>
      <c r="D3802" s="40"/>
      <c r="F3802" s="40"/>
      <c r="G3802" s="40"/>
      <c r="H3802" s="42"/>
      <c r="I3802" s="42" t="str">
        <f t="shared" si="55"/>
        <v/>
      </c>
    </row>
    <row r="3803" spans="2:9" x14ac:dyDescent="0.25">
      <c r="B3803" s="39"/>
      <c r="C3803" s="40"/>
      <c r="D3803" s="40"/>
      <c r="F3803" s="40"/>
      <c r="G3803" s="40"/>
      <c r="H3803" s="42"/>
      <c r="I3803" s="42" t="str">
        <f t="shared" si="55"/>
        <v/>
      </c>
    </row>
    <row r="3804" spans="2:9" x14ac:dyDescent="0.25">
      <c r="B3804" s="39"/>
      <c r="C3804" s="40"/>
      <c r="D3804" s="40"/>
      <c r="F3804" s="40"/>
      <c r="G3804" s="40"/>
      <c r="H3804" s="42"/>
      <c r="I3804" s="42" t="str">
        <f t="shared" si="55"/>
        <v/>
      </c>
    </row>
    <row r="3805" spans="2:9" x14ac:dyDescent="0.25">
      <c r="B3805" s="39"/>
      <c r="C3805" s="40"/>
      <c r="D3805" s="40"/>
      <c r="F3805" s="40"/>
      <c r="G3805" s="40"/>
      <c r="H3805" s="42"/>
      <c r="I3805" s="42" t="str">
        <f t="shared" si="55"/>
        <v/>
      </c>
    </row>
    <row r="3806" spans="2:9" x14ac:dyDescent="0.25">
      <c r="B3806" s="39"/>
      <c r="C3806" s="40"/>
      <c r="D3806" s="40"/>
      <c r="F3806" s="40"/>
      <c r="G3806" s="40"/>
      <c r="H3806" s="42"/>
      <c r="I3806" s="42" t="str">
        <f t="shared" si="55"/>
        <v/>
      </c>
    </row>
    <row r="3807" spans="2:9" x14ac:dyDescent="0.25">
      <c r="B3807" s="39"/>
      <c r="C3807" s="40"/>
      <c r="D3807" s="40"/>
      <c r="F3807" s="40"/>
      <c r="G3807" s="40"/>
      <c r="H3807" s="42"/>
      <c r="I3807" s="42" t="str">
        <f t="shared" si="55"/>
        <v/>
      </c>
    </row>
    <row r="3808" spans="2:9" x14ac:dyDescent="0.25">
      <c r="B3808" s="39"/>
      <c r="C3808" s="40"/>
      <c r="D3808" s="40"/>
      <c r="F3808" s="40"/>
      <c r="G3808" s="40"/>
      <c r="H3808" s="42"/>
      <c r="I3808" s="42" t="str">
        <f t="shared" si="55"/>
        <v/>
      </c>
    </row>
    <row r="3809" spans="2:9" x14ac:dyDescent="0.25">
      <c r="B3809" s="39"/>
      <c r="C3809" s="40"/>
      <c r="D3809" s="40"/>
      <c r="F3809" s="40"/>
      <c r="G3809" s="40"/>
      <c r="H3809" s="42"/>
      <c r="I3809" s="42" t="str">
        <f t="shared" si="55"/>
        <v/>
      </c>
    </row>
    <row r="3810" spans="2:9" x14ac:dyDescent="0.25">
      <c r="B3810" s="39"/>
      <c r="C3810" s="40"/>
      <c r="D3810" s="40"/>
      <c r="F3810" s="40"/>
      <c r="G3810" s="40"/>
      <c r="H3810" s="42"/>
      <c r="I3810" s="42" t="str">
        <f t="shared" si="55"/>
        <v/>
      </c>
    </row>
    <row r="3811" spans="2:9" x14ac:dyDescent="0.25">
      <c r="B3811" s="39"/>
      <c r="C3811" s="40"/>
      <c r="D3811" s="40"/>
      <c r="F3811" s="40"/>
      <c r="G3811" s="40"/>
      <c r="H3811" s="42"/>
      <c r="I3811" s="42" t="str">
        <f t="shared" si="55"/>
        <v/>
      </c>
    </row>
    <row r="3812" spans="2:9" x14ac:dyDescent="0.25">
      <c r="B3812" s="39"/>
      <c r="C3812" s="40"/>
      <c r="D3812" s="40"/>
      <c r="F3812" s="40"/>
      <c r="G3812" s="40"/>
      <c r="H3812" s="42"/>
      <c r="I3812" s="42" t="str">
        <f t="shared" si="55"/>
        <v/>
      </c>
    </row>
    <row r="3813" spans="2:9" x14ac:dyDescent="0.25">
      <c r="B3813" s="39"/>
      <c r="C3813" s="40"/>
      <c r="D3813" s="40"/>
      <c r="F3813" s="40"/>
      <c r="G3813" s="40"/>
      <c r="H3813" s="42"/>
      <c r="I3813" s="42" t="str">
        <f t="shared" si="55"/>
        <v/>
      </c>
    </row>
    <row r="3814" spans="2:9" x14ac:dyDescent="0.25">
      <c r="B3814" s="39"/>
      <c r="C3814" s="40"/>
      <c r="D3814" s="40"/>
      <c r="F3814" s="40"/>
      <c r="G3814" s="40"/>
      <c r="H3814" s="42"/>
      <c r="I3814" s="42" t="str">
        <f t="shared" si="55"/>
        <v/>
      </c>
    </row>
    <row r="3815" spans="2:9" x14ac:dyDescent="0.25">
      <c r="B3815" s="39"/>
      <c r="C3815" s="40"/>
      <c r="D3815" s="40"/>
      <c r="F3815" s="40"/>
      <c r="G3815" s="40"/>
      <c r="H3815" s="42"/>
      <c r="I3815" s="42" t="str">
        <f t="shared" si="55"/>
        <v/>
      </c>
    </row>
    <row r="3816" spans="2:9" x14ac:dyDescent="0.25">
      <c r="B3816" s="39"/>
      <c r="C3816" s="40"/>
      <c r="D3816" s="40"/>
      <c r="F3816" s="40"/>
      <c r="G3816" s="40"/>
      <c r="H3816" s="42"/>
      <c r="I3816" s="42" t="str">
        <f t="shared" si="55"/>
        <v/>
      </c>
    </row>
    <row r="3817" spans="2:9" x14ac:dyDescent="0.25">
      <c r="B3817" s="39"/>
      <c r="C3817" s="40"/>
      <c r="D3817" s="40"/>
      <c r="F3817" s="40"/>
      <c r="G3817" s="40"/>
      <c r="H3817" s="42"/>
      <c r="I3817" s="42" t="str">
        <f t="shared" si="55"/>
        <v/>
      </c>
    </row>
    <row r="3818" spans="2:9" x14ac:dyDescent="0.25">
      <c r="B3818" s="39"/>
      <c r="C3818" s="40"/>
      <c r="D3818" s="40"/>
      <c r="F3818" s="40"/>
      <c r="G3818" s="40"/>
      <c r="H3818" s="42"/>
      <c r="I3818" s="42" t="str">
        <f t="shared" si="55"/>
        <v/>
      </c>
    </row>
    <row r="3819" spans="2:9" x14ac:dyDescent="0.25">
      <c r="B3819" s="39"/>
      <c r="C3819" s="40"/>
      <c r="D3819" s="40"/>
      <c r="F3819" s="40"/>
      <c r="G3819" s="40"/>
      <c r="H3819" s="42"/>
      <c r="I3819" s="42" t="str">
        <f t="shared" si="55"/>
        <v/>
      </c>
    </row>
    <row r="3820" spans="2:9" x14ac:dyDescent="0.25">
      <c r="B3820" s="39"/>
      <c r="C3820" s="40"/>
      <c r="D3820" s="40"/>
      <c r="F3820" s="40"/>
      <c r="G3820" s="40"/>
      <c r="H3820" s="42"/>
      <c r="I3820" s="42" t="str">
        <f t="shared" si="55"/>
        <v/>
      </c>
    </row>
    <row r="3821" spans="2:9" x14ac:dyDescent="0.25">
      <c r="B3821" s="39"/>
      <c r="C3821" s="40"/>
      <c r="D3821" s="40"/>
      <c r="F3821" s="40"/>
      <c r="G3821" s="40"/>
      <c r="H3821" s="42"/>
      <c r="I3821" s="42" t="str">
        <f t="shared" si="55"/>
        <v/>
      </c>
    </row>
    <row r="3822" spans="2:9" x14ac:dyDescent="0.25">
      <c r="B3822" s="39"/>
      <c r="C3822" s="40"/>
      <c r="D3822" s="40"/>
      <c r="F3822" s="40"/>
      <c r="G3822" s="40"/>
      <c r="H3822" s="42"/>
      <c r="I3822" s="42" t="str">
        <f t="shared" si="55"/>
        <v/>
      </c>
    </row>
    <row r="3823" spans="2:9" x14ac:dyDescent="0.25">
      <c r="B3823" s="39"/>
      <c r="C3823" s="40"/>
      <c r="D3823" s="40"/>
      <c r="F3823" s="40"/>
      <c r="G3823" s="40"/>
      <c r="H3823" s="42"/>
      <c r="I3823" s="42" t="str">
        <f t="shared" si="55"/>
        <v/>
      </c>
    </row>
    <row r="3824" spans="2:9" x14ac:dyDescent="0.25">
      <c r="B3824" s="39"/>
      <c r="C3824" s="40"/>
      <c r="D3824" s="40"/>
      <c r="F3824" s="40"/>
      <c r="G3824" s="40"/>
      <c r="H3824" s="42"/>
      <c r="I3824" s="42" t="str">
        <f t="shared" si="55"/>
        <v/>
      </c>
    </row>
    <row r="3825" spans="2:9" x14ac:dyDescent="0.25">
      <c r="B3825" s="39"/>
      <c r="C3825" s="40"/>
      <c r="D3825" s="40"/>
      <c r="F3825" s="40"/>
      <c r="G3825" s="40"/>
      <c r="H3825" s="42"/>
      <c r="I3825" s="42" t="str">
        <f t="shared" si="55"/>
        <v/>
      </c>
    </row>
    <row r="3826" spans="2:9" x14ac:dyDescent="0.25">
      <c r="B3826" s="39"/>
      <c r="C3826" s="40"/>
      <c r="D3826" s="40"/>
      <c r="F3826" s="40"/>
      <c r="G3826" s="40"/>
      <c r="H3826" s="42"/>
      <c r="I3826" s="42" t="str">
        <f t="shared" si="55"/>
        <v/>
      </c>
    </row>
    <row r="3827" spans="2:9" x14ac:dyDescent="0.25">
      <c r="B3827" s="39"/>
      <c r="C3827" s="40"/>
      <c r="D3827" s="40"/>
      <c r="F3827" s="40"/>
      <c r="G3827" s="40"/>
      <c r="H3827" s="42"/>
      <c r="I3827" s="42" t="str">
        <f t="shared" si="55"/>
        <v/>
      </c>
    </row>
    <row r="3828" spans="2:9" x14ac:dyDescent="0.25">
      <c r="B3828" s="39"/>
      <c r="C3828" s="40"/>
      <c r="D3828" s="40"/>
      <c r="F3828" s="40"/>
      <c r="G3828" s="40"/>
      <c r="H3828" s="42"/>
      <c r="I3828" s="42" t="str">
        <f t="shared" si="55"/>
        <v/>
      </c>
    </row>
    <row r="3829" spans="2:9" x14ac:dyDescent="0.25">
      <c r="B3829" s="39"/>
      <c r="C3829" s="40"/>
      <c r="D3829" s="40"/>
      <c r="F3829" s="40"/>
      <c r="G3829" s="40"/>
      <c r="H3829" s="42"/>
      <c r="I3829" s="42" t="str">
        <f t="shared" si="55"/>
        <v/>
      </c>
    </row>
    <row r="3830" spans="2:9" x14ac:dyDescent="0.25">
      <c r="B3830" s="39"/>
      <c r="C3830" s="40"/>
      <c r="D3830" s="40"/>
      <c r="F3830" s="40"/>
      <c r="G3830" s="40"/>
      <c r="H3830" s="42"/>
      <c r="I3830" s="42" t="str">
        <f t="shared" si="55"/>
        <v/>
      </c>
    </row>
    <row r="3831" spans="2:9" x14ac:dyDescent="0.25">
      <c r="B3831" s="39"/>
      <c r="C3831" s="40"/>
      <c r="D3831" s="40"/>
      <c r="F3831" s="40"/>
      <c r="G3831" s="40"/>
      <c r="H3831" s="42"/>
      <c r="I3831" s="42" t="str">
        <f t="shared" si="55"/>
        <v/>
      </c>
    </row>
    <row r="3832" spans="2:9" x14ac:dyDescent="0.25">
      <c r="B3832" s="39"/>
      <c r="C3832" s="40"/>
      <c r="D3832" s="40"/>
      <c r="F3832" s="40"/>
      <c r="G3832" s="40"/>
      <c r="H3832" s="42"/>
      <c r="I3832" s="42" t="str">
        <f t="shared" si="55"/>
        <v/>
      </c>
    </row>
    <row r="3833" spans="2:9" x14ac:dyDescent="0.25">
      <c r="B3833" s="39"/>
      <c r="C3833" s="40"/>
      <c r="D3833" s="40"/>
      <c r="F3833" s="40"/>
      <c r="G3833" s="40"/>
      <c r="H3833" s="42"/>
      <c r="I3833" s="42" t="str">
        <f t="shared" si="55"/>
        <v/>
      </c>
    </row>
    <row r="3834" spans="2:9" x14ac:dyDescent="0.25">
      <c r="B3834" s="39"/>
      <c r="C3834" s="40"/>
      <c r="D3834" s="40"/>
      <c r="F3834" s="40"/>
      <c r="G3834" s="40"/>
      <c r="H3834" s="42"/>
      <c r="I3834" s="42" t="str">
        <f t="shared" si="55"/>
        <v/>
      </c>
    </row>
    <row r="3835" spans="2:9" x14ac:dyDescent="0.25">
      <c r="B3835" s="39"/>
      <c r="C3835" s="40"/>
      <c r="D3835" s="40"/>
      <c r="F3835" s="40"/>
      <c r="G3835" s="40"/>
      <c r="H3835" s="42"/>
      <c r="I3835" s="42" t="str">
        <f t="shared" si="55"/>
        <v/>
      </c>
    </row>
    <row r="3836" spans="2:9" x14ac:dyDescent="0.25">
      <c r="B3836" s="39"/>
      <c r="C3836" s="40"/>
      <c r="D3836" s="40"/>
      <c r="F3836" s="40"/>
      <c r="G3836" s="40"/>
      <c r="H3836" s="42"/>
      <c r="I3836" s="42" t="str">
        <f t="shared" si="55"/>
        <v/>
      </c>
    </row>
    <row r="3837" spans="2:9" x14ac:dyDescent="0.25">
      <c r="B3837" s="39"/>
      <c r="C3837" s="40"/>
      <c r="D3837" s="40"/>
      <c r="F3837" s="40"/>
      <c r="G3837" s="40"/>
      <c r="H3837" s="42"/>
      <c r="I3837" s="42" t="str">
        <f t="shared" si="55"/>
        <v/>
      </c>
    </row>
    <row r="3838" spans="2:9" x14ac:dyDescent="0.25">
      <c r="B3838" s="39"/>
      <c r="C3838" s="40"/>
      <c r="D3838" s="40"/>
      <c r="F3838" s="40"/>
      <c r="G3838" s="40"/>
      <c r="H3838" s="42"/>
      <c r="I3838" s="42" t="str">
        <f t="shared" si="55"/>
        <v/>
      </c>
    </row>
    <row r="3839" spans="2:9" x14ac:dyDescent="0.25">
      <c r="B3839" s="39"/>
      <c r="C3839" s="40"/>
      <c r="D3839" s="40"/>
      <c r="F3839" s="40"/>
      <c r="G3839" s="40"/>
      <c r="H3839" s="42"/>
      <c r="I3839" s="42" t="str">
        <f t="shared" si="55"/>
        <v/>
      </c>
    </row>
    <row r="3840" spans="2:9" x14ac:dyDescent="0.25">
      <c r="B3840" s="39"/>
      <c r="C3840" s="40"/>
      <c r="D3840" s="40"/>
      <c r="F3840" s="40"/>
      <c r="G3840" s="40"/>
      <c r="H3840" s="42"/>
      <c r="I3840" s="42" t="str">
        <f t="shared" ref="I3840:I3903" si="56">IF(H3840&lt;&gt;"",H3840-H3839,"")</f>
        <v/>
      </c>
    </row>
    <row r="3841" spans="2:9" x14ac:dyDescent="0.25">
      <c r="B3841" s="39"/>
      <c r="C3841" s="40"/>
      <c r="D3841" s="40"/>
      <c r="F3841" s="40"/>
      <c r="G3841" s="40"/>
      <c r="H3841" s="42"/>
      <c r="I3841" s="42" t="str">
        <f t="shared" si="56"/>
        <v/>
      </c>
    </row>
    <row r="3842" spans="2:9" x14ac:dyDescent="0.25">
      <c r="B3842" s="39"/>
      <c r="C3842" s="40"/>
      <c r="D3842" s="40"/>
      <c r="F3842" s="40"/>
      <c r="G3842" s="40"/>
      <c r="H3842" s="42"/>
      <c r="I3842" s="42" t="str">
        <f t="shared" si="56"/>
        <v/>
      </c>
    </row>
    <row r="3843" spans="2:9" x14ac:dyDescent="0.25">
      <c r="B3843" s="39"/>
      <c r="C3843" s="40"/>
      <c r="D3843" s="40"/>
      <c r="F3843" s="40"/>
      <c r="G3843" s="40"/>
      <c r="H3843" s="42"/>
      <c r="I3843" s="42" t="str">
        <f t="shared" si="56"/>
        <v/>
      </c>
    </row>
    <row r="3844" spans="2:9" x14ac:dyDescent="0.25">
      <c r="B3844" s="39"/>
      <c r="C3844" s="40"/>
      <c r="D3844" s="40"/>
      <c r="F3844" s="40"/>
      <c r="G3844" s="40"/>
      <c r="H3844" s="42"/>
      <c r="I3844" s="42" t="str">
        <f t="shared" si="56"/>
        <v/>
      </c>
    </row>
    <row r="3845" spans="2:9" x14ac:dyDescent="0.25">
      <c r="B3845" s="39"/>
      <c r="C3845" s="40"/>
      <c r="D3845" s="40"/>
      <c r="F3845" s="40"/>
      <c r="G3845" s="40"/>
      <c r="H3845" s="42"/>
      <c r="I3845" s="42" t="str">
        <f t="shared" si="56"/>
        <v/>
      </c>
    </row>
    <row r="3846" spans="2:9" x14ac:dyDescent="0.25">
      <c r="B3846" s="39"/>
      <c r="C3846" s="40"/>
      <c r="D3846" s="40"/>
      <c r="F3846" s="40"/>
      <c r="G3846" s="40"/>
      <c r="H3846" s="42"/>
      <c r="I3846" s="42" t="str">
        <f t="shared" si="56"/>
        <v/>
      </c>
    </row>
    <row r="3847" spans="2:9" x14ac:dyDescent="0.25">
      <c r="B3847" s="39"/>
      <c r="C3847" s="40"/>
      <c r="D3847" s="40"/>
      <c r="F3847" s="40"/>
      <c r="G3847" s="40"/>
      <c r="H3847" s="42"/>
      <c r="I3847" s="42" t="str">
        <f t="shared" si="56"/>
        <v/>
      </c>
    </row>
    <row r="3848" spans="2:9" x14ac:dyDescent="0.25">
      <c r="B3848" s="39"/>
      <c r="C3848" s="40"/>
      <c r="D3848" s="40"/>
      <c r="F3848" s="40"/>
      <c r="G3848" s="40"/>
      <c r="H3848" s="42"/>
      <c r="I3848" s="42" t="str">
        <f t="shared" si="56"/>
        <v/>
      </c>
    </row>
    <row r="3849" spans="2:9" x14ac:dyDescent="0.25">
      <c r="B3849" s="39"/>
      <c r="C3849" s="40"/>
      <c r="D3849" s="40"/>
      <c r="F3849" s="40"/>
      <c r="G3849" s="40"/>
      <c r="H3849" s="42"/>
      <c r="I3849" s="42" t="str">
        <f t="shared" si="56"/>
        <v/>
      </c>
    </row>
    <row r="3850" spans="2:9" x14ac:dyDescent="0.25">
      <c r="B3850" s="39"/>
      <c r="C3850" s="40"/>
      <c r="D3850" s="40"/>
      <c r="F3850" s="40"/>
      <c r="G3850" s="40"/>
      <c r="H3850" s="42"/>
      <c r="I3850" s="42" t="str">
        <f t="shared" si="56"/>
        <v/>
      </c>
    </row>
    <row r="3851" spans="2:9" x14ac:dyDescent="0.25">
      <c r="B3851" s="39"/>
      <c r="C3851" s="40"/>
      <c r="D3851" s="40"/>
      <c r="F3851" s="40"/>
      <c r="G3851" s="40"/>
      <c r="H3851" s="42"/>
      <c r="I3851" s="42" t="str">
        <f t="shared" si="56"/>
        <v/>
      </c>
    </row>
    <row r="3852" spans="2:9" x14ac:dyDescent="0.25">
      <c r="B3852" s="39"/>
      <c r="C3852" s="40"/>
      <c r="D3852" s="40"/>
      <c r="F3852" s="40"/>
      <c r="G3852" s="40"/>
      <c r="H3852" s="42"/>
      <c r="I3852" s="42" t="str">
        <f t="shared" si="56"/>
        <v/>
      </c>
    </row>
    <row r="3853" spans="2:9" x14ac:dyDescent="0.25">
      <c r="B3853" s="39"/>
      <c r="C3853" s="40"/>
      <c r="D3853" s="40"/>
      <c r="F3853" s="40"/>
      <c r="G3853" s="40"/>
      <c r="H3853" s="42"/>
      <c r="I3853" s="42" t="str">
        <f t="shared" si="56"/>
        <v/>
      </c>
    </row>
    <row r="3854" spans="2:9" x14ac:dyDescent="0.25">
      <c r="B3854" s="39"/>
      <c r="C3854" s="40"/>
      <c r="D3854" s="40"/>
      <c r="F3854" s="40"/>
      <c r="G3854" s="40"/>
      <c r="H3854" s="42"/>
      <c r="I3854" s="42" t="str">
        <f t="shared" si="56"/>
        <v/>
      </c>
    </row>
    <row r="3855" spans="2:9" x14ac:dyDescent="0.25">
      <c r="B3855" s="39"/>
      <c r="C3855" s="40"/>
      <c r="D3855" s="40"/>
      <c r="F3855" s="40"/>
      <c r="G3855" s="40"/>
      <c r="H3855" s="42"/>
      <c r="I3855" s="42" t="str">
        <f t="shared" si="56"/>
        <v/>
      </c>
    </row>
    <row r="3856" spans="2:9" x14ac:dyDescent="0.25">
      <c r="B3856" s="39"/>
      <c r="C3856" s="40"/>
      <c r="D3856" s="40"/>
      <c r="F3856" s="40"/>
      <c r="G3856" s="40"/>
      <c r="H3856" s="42"/>
      <c r="I3856" s="42" t="str">
        <f t="shared" si="56"/>
        <v/>
      </c>
    </row>
    <row r="3857" spans="2:9" x14ac:dyDescent="0.25">
      <c r="B3857" s="39"/>
      <c r="C3857" s="40"/>
      <c r="D3857" s="40"/>
      <c r="F3857" s="40"/>
      <c r="G3857" s="40"/>
      <c r="H3857" s="42"/>
      <c r="I3857" s="42" t="str">
        <f t="shared" si="56"/>
        <v/>
      </c>
    </row>
    <row r="3858" spans="2:9" x14ac:dyDescent="0.25">
      <c r="B3858" s="39"/>
      <c r="C3858" s="40"/>
      <c r="D3858" s="40"/>
      <c r="F3858" s="40"/>
      <c r="G3858" s="40"/>
      <c r="H3858" s="42"/>
      <c r="I3858" s="42" t="str">
        <f t="shared" si="56"/>
        <v/>
      </c>
    </row>
    <row r="3859" spans="2:9" x14ac:dyDescent="0.25">
      <c r="B3859" s="39"/>
      <c r="C3859" s="40"/>
      <c r="D3859" s="40"/>
      <c r="F3859" s="40"/>
      <c r="G3859" s="40"/>
      <c r="H3859" s="42"/>
      <c r="I3859" s="42" t="str">
        <f t="shared" si="56"/>
        <v/>
      </c>
    </row>
    <row r="3860" spans="2:9" x14ac:dyDescent="0.25">
      <c r="B3860" s="39"/>
      <c r="C3860" s="40"/>
      <c r="D3860" s="40"/>
      <c r="F3860" s="40"/>
      <c r="G3860" s="40"/>
      <c r="H3860" s="42"/>
      <c r="I3860" s="42" t="str">
        <f t="shared" si="56"/>
        <v/>
      </c>
    </row>
    <row r="3861" spans="2:9" x14ac:dyDescent="0.25">
      <c r="B3861" s="39"/>
      <c r="C3861" s="40"/>
      <c r="D3861" s="40"/>
      <c r="F3861" s="40"/>
      <c r="G3861" s="40"/>
      <c r="H3861" s="42"/>
      <c r="I3861" s="42" t="str">
        <f t="shared" si="56"/>
        <v/>
      </c>
    </row>
    <row r="3862" spans="2:9" x14ac:dyDescent="0.25">
      <c r="B3862" s="39"/>
      <c r="C3862" s="40"/>
      <c r="D3862" s="40"/>
      <c r="F3862" s="40"/>
      <c r="G3862" s="40"/>
      <c r="H3862" s="42"/>
      <c r="I3862" s="42" t="str">
        <f t="shared" si="56"/>
        <v/>
      </c>
    </row>
    <row r="3863" spans="2:9" x14ac:dyDescent="0.25">
      <c r="B3863" s="39"/>
      <c r="C3863" s="40"/>
      <c r="D3863" s="40"/>
      <c r="F3863" s="40"/>
      <c r="G3863" s="40"/>
      <c r="H3863" s="42"/>
      <c r="I3863" s="42" t="str">
        <f t="shared" si="56"/>
        <v/>
      </c>
    </row>
    <row r="3864" spans="2:9" x14ac:dyDescent="0.25">
      <c r="B3864" s="39"/>
      <c r="C3864" s="40"/>
      <c r="D3864" s="40"/>
      <c r="F3864" s="40"/>
      <c r="G3864" s="40"/>
      <c r="H3864" s="42"/>
      <c r="I3864" s="42" t="str">
        <f t="shared" si="56"/>
        <v/>
      </c>
    </row>
    <row r="3865" spans="2:9" x14ac:dyDescent="0.25">
      <c r="B3865" s="39"/>
      <c r="C3865" s="40"/>
      <c r="D3865" s="40"/>
      <c r="F3865" s="40"/>
      <c r="G3865" s="40"/>
      <c r="H3865" s="42"/>
      <c r="I3865" s="42" t="str">
        <f t="shared" si="56"/>
        <v/>
      </c>
    </row>
    <row r="3866" spans="2:9" x14ac:dyDescent="0.25">
      <c r="B3866" s="39"/>
      <c r="C3866" s="40"/>
      <c r="D3866" s="40"/>
      <c r="F3866" s="40"/>
      <c r="G3866" s="40"/>
      <c r="H3866" s="42"/>
      <c r="I3866" s="42" t="str">
        <f t="shared" si="56"/>
        <v/>
      </c>
    </row>
    <row r="3867" spans="2:9" x14ac:dyDescent="0.25">
      <c r="B3867" s="39"/>
      <c r="C3867" s="40"/>
      <c r="D3867" s="40"/>
      <c r="F3867" s="40"/>
      <c r="G3867" s="40"/>
      <c r="H3867" s="42"/>
      <c r="I3867" s="42" t="str">
        <f t="shared" si="56"/>
        <v/>
      </c>
    </row>
    <row r="3868" spans="2:9" x14ac:dyDescent="0.25">
      <c r="B3868" s="39"/>
      <c r="C3868" s="40"/>
      <c r="D3868" s="40"/>
      <c r="F3868" s="40"/>
      <c r="G3868" s="40"/>
      <c r="H3868" s="42"/>
      <c r="I3868" s="42" t="str">
        <f t="shared" si="56"/>
        <v/>
      </c>
    </row>
    <row r="3869" spans="2:9" x14ac:dyDescent="0.25">
      <c r="B3869" s="39"/>
      <c r="C3869" s="40"/>
      <c r="D3869" s="40"/>
      <c r="F3869" s="40"/>
      <c r="G3869" s="40"/>
      <c r="H3869" s="42"/>
      <c r="I3869" s="42" t="str">
        <f t="shared" si="56"/>
        <v/>
      </c>
    </row>
    <row r="3870" spans="2:9" x14ac:dyDescent="0.25">
      <c r="B3870" s="39"/>
      <c r="C3870" s="40"/>
      <c r="D3870" s="40"/>
      <c r="F3870" s="40"/>
      <c r="G3870" s="40"/>
      <c r="H3870" s="42"/>
      <c r="I3870" s="42" t="str">
        <f t="shared" si="56"/>
        <v/>
      </c>
    </row>
    <row r="3871" spans="2:9" x14ac:dyDescent="0.25">
      <c r="B3871" s="39"/>
      <c r="C3871" s="40"/>
      <c r="D3871" s="40"/>
      <c r="F3871" s="40"/>
      <c r="G3871" s="40"/>
      <c r="H3871" s="42"/>
      <c r="I3871" s="42" t="str">
        <f t="shared" si="56"/>
        <v/>
      </c>
    </row>
    <row r="3872" spans="2:9" x14ac:dyDescent="0.25">
      <c r="B3872" s="39"/>
      <c r="C3872" s="40"/>
      <c r="D3872" s="40"/>
      <c r="F3872" s="40"/>
      <c r="G3872" s="40"/>
      <c r="H3872" s="42"/>
      <c r="I3872" s="42" t="str">
        <f t="shared" si="56"/>
        <v/>
      </c>
    </row>
    <row r="3873" spans="2:9" x14ac:dyDescent="0.25">
      <c r="B3873" s="39"/>
      <c r="C3873" s="40"/>
      <c r="D3873" s="40"/>
      <c r="F3873" s="40"/>
      <c r="G3873" s="40"/>
      <c r="H3873" s="42"/>
      <c r="I3873" s="42" t="str">
        <f t="shared" si="56"/>
        <v/>
      </c>
    </row>
    <row r="3874" spans="2:9" x14ac:dyDescent="0.25">
      <c r="B3874" s="39"/>
      <c r="C3874" s="40"/>
      <c r="D3874" s="40"/>
      <c r="F3874" s="40"/>
      <c r="G3874" s="40"/>
      <c r="H3874" s="42"/>
      <c r="I3874" s="42" t="str">
        <f t="shared" si="56"/>
        <v/>
      </c>
    </row>
    <row r="3875" spans="2:9" x14ac:dyDescent="0.25">
      <c r="B3875" s="39"/>
      <c r="C3875" s="40"/>
      <c r="D3875" s="40"/>
      <c r="F3875" s="40"/>
      <c r="G3875" s="40"/>
      <c r="H3875" s="42"/>
      <c r="I3875" s="42" t="str">
        <f t="shared" si="56"/>
        <v/>
      </c>
    </row>
    <row r="3876" spans="2:9" x14ac:dyDescent="0.25">
      <c r="B3876" s="39"/>
      <c r="C3876" s="40"/>
      <c r="D3876" s="40"/>
      <c r="F3876" s="40"/>
      <c r="G3876" s="40"/>
      <c r="H3876" s="42"/>
      <c r="I3876" s="42" t="str">
        <f t="shared" si="56"/>
        <v/>
      </c>
    </row>
    <row r="3877" spans="2:9" x14ac:dyDescent="0.25">
      <c r="B3877" s="39"/>
      <c r="C3877" s="40"/>
      <c r="D3877" s="40"/>
      <c r="F3877" s="40"/>
      <c r="G3877" s="40"/>
      <c r="H3877" s="42"/>
      <c r="I3877" s="42" t="str">
        <f t="shared" si="56"/>
        <v/>
      </c>
    </row>
    <row r="3878" spans="2:9" x14ac:dyDescent="0.25">
      <c r="B3878" s="39"/>
      <c r="C3878" s="40"/>
      <c r="D3878" s="40"/>
      <c r="F3878" s="40"/>
      <c r="G3878" s="40"/>
      <c r="H3878" s="42"/>
      <c r="I3878" s="42" t="str">
        <f t="shared" si="56"/>
        <v/>
      </c>
    </row>
    <row r="3879" spans="2:9" x14ac:dyDescent="0.25">
      <c r="B3879" s="39"/>
      <c r="C3879" s="40"/>
      <c r="D3879" s="40"/>
      <c r="F3879" s="40"/>
      <c r="G3879" s="40"/>
      <c r="H3879" s="42"/>
      <c r="I3879" s="42" t="str">
        <f t="shared" si="56"/>
        <v/>
      </c>
    </row>
    <row r="3880" spans="2:9" x14ac:dyDescent="0.25">
      <c r="B3880" s="39"/>
      <c r="C3880" s="40"/>
      <c r="D3880" s="40"/>
      <c r="F3880" s="40"/>
      <c r="G3880" s="40"/>
      <c r="H3880" s="42"/>
      <c r="I3880" s="42" t="str">
        <f t="shared" si="56"/>
        <v/>
      </c>
    </row>
    <row r="3881" spans="2:9" x14ac:dyDescent="0.25">
      <c r="B3881" s="39"/>
      <c r="C3881" s="40"/>
      <c r="D3881" s="40"/>
      <c r="F3881" s="40"/>
      <c r="G3881" s="40"/>
      <c r="H3881" s="42"/>
      <c r="I3881" s="42" t="str">
        <f t="shared" si="56"/>
        <v/>
      </c>
    </row>
    <row r="3882" spans="2:9" x14ac:dyDescent="0.25">
      <c r="B3882" s="39"/>
      <c r="C3882" s="40"/>
      <c r="D3882" s="40"/>
      <c r="F3882" s="40"/>
      <c r="G3882" s="40"/>
      <c r="H3882" s="42"/>
      <c r="I3882" s="42" t="str">
        <f t="shared" si="56"/>
        <v/>
      </c>
    </row>
    <row r="3883" spans="2:9" x14ac:dyDescent="0.25">
      <c r="B3883" s="39"/>
      <c r="C3883" s="40"/>
      <c r="D3883" s="40"/>
      <c r="F3883" s="40"/>
      <c r="G3883" s="40"/>
      <c r="H3883" s="42"/>
      <c r="I3883" s="42" t="str">
        <f t="shared" si="56"/>
        <v/>
      </c>
    </row>
    <row r="3884" spans="2:9" x14ac:dyDescent="0.25">
      <c r="B3884" s="39"/>
      <c r="C3884" s="40"/>
      <c r="D3884" s="40"/>
      <c r="F3884" s="40"/>
      <c r="G3884" s="40"/>
      <c r="H3884" s="42"/>
      <c r="I3884" s="42" t="str">
        <f t="shared" si="56"/>
        <v/>
      </c>
    </row>
    <row r="3885" spans="2:9" x14ac:dyDescent="0.25">
      <c r="B3885" s="39"/>
      <c r="C3885" s="40"/>
      <c r="D3885" s="40"/>
      <c r="F3885" s="40"/>
      <c r="G3885" s="40"/>
      <c r="H3885" s="42"/>
      <c r="I3885" s="42" t="str">
        <f t="shared" si="56"/>
        <v/>
      </c>
    </row>
    <row r="3886" spans="2:9" x14ac:dyDescent="0.25">
      <c r="B3886" s="39"/>
      <c r="C3886" s="40"/>
      <c r="D3886" s="40"/>
      <c r="F3886" s="40"/>
      <c r="G3886" s="40"/>
      <c r="H3886" s="42"/>
      <c r="I3886" s="42" t="str">
        <f t="shared" si="56"/>
        <v/>
      </c>
    </row>
    <row r="3887" spans="2:9" x14ac:dyDescent="0.25">
      <c r="B3887" s="39"/>
      <c r="C3887" s="40"/>
      <c r="D3887" s="40"/>
      <c r="F3887" s="40"/>
      <c r="G3887" s="40"/>
      <c r="H3887" s="42"/>
      <c r="I3887" s="42" t="str">
        <f t="shared" si="56"/>
        <v/>
      </c>
    </row>
    <row r="3888" spans="2:9" x14ac:dyDescent="0.25">
      <c r="B3888" s="39"/>
      <c r="C3888" s="40"/>
      <c r="D3888" s="40"/>
      <c r="F3888" s="40"/>
      <c r="G3888" s="40"/>
      <c r="H3888" s="42"/>
      <c r="I3888" s="42" t="str">
        <f t="shared" si="56"/>
        <v/>
      </c>
    </row>
    <row r="3889" spans="2:9" x14ac:dyDescent="0.25">
      <c r="B3889" s="39"/>
      <c r="C3889" s="40"/>
      <c r="D3889" s="40"/>
      <c r="F3889" s="40"/>
      <c r="G3889" s="40"/>
      <c r="H3889" s="42"/>
      <c r="I3889" s="42" t="str">
        <f t="shared" si="56"/>
        <v/>
      </c>
    </row>
    <row r="3890" spans="2:9" x14ac:dyDescent="0.25">
      <c r="B3890" s="39"/>
      <c r="C3890" s="40"/>
      <c r="D3890" s="40"/>
      <c r="F3890" s="40"/>
      <c r="G3890" s="40"/>
      <c r="H3890" s="42"/>
      <c r="I3890" s="42" t="str">
        <f t="shared" si="56"/>
        <v/>
      </c>
    </row>
    <row r="3891" spans="2:9" x14ac:dyDescent="0.25">
      <c r="B3891" s="39"/>
      <c r="C3891" s="40"/>
      <c r="D3891" s="40"/>
      <c r="F3891" s="40"/>
      <c r="G3891" s="40"/>
      <c r="H3891" s="42"/>
      <c r="I3891" s="42" t="str">
        <f t="shared" si="56"/>
        <v/>
      </c>
    </row>
    <row r="3892" spans="2:9" x14ac:dyDescent="0.25">
      <c r="B3892" s="39"/>
      <c r="C3892" s="40"/>
      <c r="D3892" s="40"/>
      <c r="F3892" s="40"/>
      <c r="G3892" s="40"/>
      <c r="H3892" s="42"/>
      <c r="I3892" s="42" t="str">
        <f t="shared" si="56"/>
        <v/>
      </c>
    </row>
    <row r="3893" spans="2:9" x14ac:dyDescent="0.25">
      <c r="B3893" s="39"/>
      <c r="C3893" s="40"/>
      <c r="D3893" s="40"/>
      <c r="F3893" s="40"/>
      <c r="G3893" s="40"/>
      <c r="H3893" s="42"/>
      <c r="I3893" s="42" t="str">
        <f t="shared" si="56"/>
        <v/>
      </c>
    </row>
    <row r="3894" spans="2:9" x14ac:dyDescent="0.25">
      <c r="B3894" s="39"/>
      <c r="C3894" s="40"/>
      <c r="D3894" s="40"/>
      <c r="F3894" s="40"/>
      <c r="G3894" s="40"/>
      <c r="H3894" s="42"/>
      <c r="I3894" s="42" t="str">
        <f t="shared" si="56"/>
        <v/>
      </c>
    </row>
    <row r="3895" spans="2:9" x14ac:dyDescent="0.25">
      <c r="B3895" s="39"/>
      <c r="C3895" s="40"/>
      <c r="D3895" s="40"/>
      <c r="F3895" s="40"/>
      <c r="G3895" s="40"/>
      <c r="H3895" s="42"/>
      <c r="I3895" s="42" t="str">
        <f t="shared" si="56"/>
        <v/>
      </c>
    </row>
    <row r="3896" spans="2:9" x14ac:dyDescent="0.25">
      <c r="B3896" s="39"/>
      <c r="C3896" s="40"/>
      <c r="D3896" s="40"/>
      <c r="F3896" s="40"/>
      <c r="G3896" s="40"/>
      <c r="H3896" s="42"/>
      <c r="I3896" s="42" t="str">
        <f t="shared" si="56"/>
        <v/>
      </c>
    </row>
    <row r="3897" spans="2:9" x14ac:dyDescent="0.25">
      <c r="B3897" s="39"/>
      <c r="C3897" s="40"/>
      <c r="D3897" s="40"/>
      <c r="F3897" s="40"/>
      <c r="G3897" s="40"/>
      <c r="H3897" s="42"/>
      <c r="I3897" s="42" t="str">
        <f t="shared" si="56"/>
        <v/>
      </c>
    </row>
    <row r="3898" spans="2:9" x14ac:dyDescent="0.25">
      <c r="B3898" s="39"/>
      <c r="C3898" s="40"/>
      <c r="D3898" s="40"/>
      <c r="F3898" s="40"/>
      <c r="G3898" s="40"/>
      <c r="H3898" s="42"/>
      <c r="I3898" s="42" t="str">
        <f t="shared" si="56"/>
        <v/>
      </c>
    </row>
    <row r="3899" spans="2:9" x14ac:dyDescent="0.25">
      <c r="B3899" s="39"/>
      <c r="C3899" s="40"/>
      <c r="D3899" s="40"/>
      <c r="F3899" s="40"/>
      <c r="G3899" s="40"/>
      <c r="H3899" s="42"/>
      <c r="I3899" s="42" t="str">
        <f t="shared" si="56"/>
        <v/>
      </c>
    </row>
    <row r="3900" spans="2:9" x14ac:dyDescent="0.25">
      <c r="B3900" s="39"/>
      <c r="C3900" s="40"/>
      <c r="D3900" s="40"/>
      <c r="F3900" s="40"/>
      <c r="G3900" s="40"/>
      <c r="H3900" s="42"/>
      <c r="I3900" s="42" t="str">
        <f t="shared" si="56"/>
        <v/>
      </c>
    </row>
    <row r="3901" spans="2:9" x14ac:dyDescent="0.25">
      <c r="B3901" s="39"/>
      <c r="C3901" s="40"/>
      <c r="D3901" s="40"/>
      <c r="F3901" s="40"/>
      <c r="G3901" s="40"/>
      <c r="H3901" s="42"/>
      <c r="I3901" s="42" t="str">
        <f t="shared" si="56"/>
        <v/>
      </c>
    </row>
    <row r="3902" spans="2:9" x14ac:dyDescent="0.25">
      <c r="B3902" s="39"/>
      <c r="C3902" s="40"/>
      <c r="D3902" s="40"/>
      <c r="F3902" s="40"/>
      <c r="G3902" s="40"/>
      <c r="H3902" s="42"/>
      <c r="I3902" s="42" t="str">
        <f t="shared" si="56"/>
        <v/>
      </c>
    </row>
    <row r="3903" spans="2:9" x14ac:dyDescent="0.25">
      <c r="B3903" s="39"/>
      <c r="C3903" s="40"/>
      <c r="D3903" s="40"/>
      <c r="F3903" s="40"/>
      <c r="G3903" s="40"/>
      <c r="H3903" s="42"/>
      <c r="I3903" s="42" t="str">
        <f t="shared" si="56"/>
        <v/>
      </c>
    </row>
    <row r="3904" spans="2:9" x14ac:dyDescent="0.25">
      <c r="B3904" s="39"/>
      <c r="C3904" s="40"/>
      <c r="D3904" s="40"/>
      <c r="F3904" s="40"/>
      <c r="G3904" s="40"/>
      <c r="H3904" s="42"/>
      <c r="I3904" s="42" t="str">
        <f t="shared" ref="I3904:I3967" si="57">IF(H3904&lt;&gt;"",H3904-H3903,"")</f>
        <v/>
      </c>
    </row>
    <row r="3905" spans="2:9" x14ac:dyDescent="0.25">
      <c r="B3905" s="39"/>
      <c r="C3905" s="40"/>
      <c r="D3905" s="40"/>
      <c r="F3905" s="40"/>
      <c r="G3905" s="40"/>
      <c r="H3905" s="42"/>
      <c r="I3905" s="42" t="str">
        <f t="shared" si="57"/>
        <v/>
      </c>
    </row>
    <row r="3906" spans="2:9" x14ac:dyDescent="0.25">
      <c r="B3906" s="39"/>
      <c r="C3906" s="40"/>
      <c r="D3906" s="40"/>
      <c r="F3906" s="40"/>
      <c r="G3906" s="40"/>
      <c r="H3906" s="42"/>
      <c r="I3906" s="42" t="str">
        <f t="shared" si="57"/>
        <v/>
      </c>
    </row>
    <row r="3907" spans="2:9" x14ac:dyDescent="0.25">
      <c r="B3907" s="39"/>
      <c r="C3907" s="40"/>
      <c r="D3907" s="40"/>
      <c r="F3907" s="40"/>
      <c r="G3907" s="40"/>
      <c r="H3907" s="42"/>
      <c r="I3907" s="42" t="str">
        <f t="shared" si="57"/>
        <v/>
      </c>
    </row>
    <row r="3908" spans="2:9" x14ac:dyDescent="0.25">
      <c r="B3908" s="39"/>
      <c r="C3908" s="40"/>
      <c r="D3908" s="40"/>
      <c r="F3908" s="40"/>
      <c r="G3908" s="40"/>
      <c r="H3908" s="42"/>
      <c r="I3908" s="42" t="str">
        <f t="shared" si="57"/>
        <v/>
      </c>
    </row>
    <row r="3909" spans="2:9" x14ac:dyDescent="0.25">
      <c r="B3909" s="39"/>
      <c r="C3909" s="40"/>
      <c r="D3909" s="40"/>
      <c r="F3909" s="40"/>
      <c r="G3909" s="40"/>
      <c r="H3909" s="42"/>
      <c r="I3909" s="42" t="str">
        <f t="shared" si="57"/>
        <v/>
      </c>
    </row>
    <row r="3910" spans="2:9" x14ac:dyDescent="0.25">
      <c r="B3910" s="39"/>
      <c r="C3910" s="40"/>
      <c r="D3910" s="40"/>
      <c r="F3910" s="40"/>
      <c r="G3910" s="40"/>
      <c r="H3910" s="42"/>
      <c r="I3910" s="42" t="str">
        <f t="shared" si="57"/>
        <v/>
      </c>
    </row>
    <row r="3911" spans="2:9" x14ac:dyDescent="0.25">
      <c r="B3911" s="39"/>
      <c r="C3911" s="40"/>
      <c r="D3911" s="40"/>
      <c r="F3911" s="40"/>
      <c r="G3911" s="40"/>
      <c r="H3911" s="42"/>
      <c r="I3911" s="42" t="str">
        <f t="shared" si="57"/>
        <v/>
      </c>
    </row>
    <row r="3912" spans="2:9" x14ac:dyDescent="0.25">
      <c r="B3912" s="39"/>
      <c r="C3912" s="40"/>
      <c r="D3912" s="40"/>
      <c r="F3912" s="40"/>
      <c r="G3912" s="40"/>
      <c r="H3912" s="42"/>
      <c r="I3912" s="42" t="str">
        <f t="shared" si="57"/>
        <v/>
      </c>
    </row>
    <row r="3913" spans="2:9" x14ac:dyDescent="0.25">
      <c r="B3913" s="39"/>
      <c r="C3913" s="40"/>
      <c r="D3913" s="40"/>
      <c r="F3913" s="40"/>
      <c r="G3913" s="40"/>
      <c r="H3913" s="42"/>
      <c r="I3913" s="42" t="str">
        <f t="shared" si="57"/>
        <v/>
      </c>
    </row>
    <row r="3914" spans="2:9" x14ac:dyDescent="0.25">
      <c r="B3914" s="39"/>
      <c r="C3914" s="40"/>
      <c r="D3914" s="40"/>
      <c r="F3914" s="40"/>
      <c r="G3914" s="40"/>
      <c r="H3914" s="42"/>
      <c r="I3914" s="42" t="str">
        <f t="shared" si="57"/>
        <v/>
      </c>
    </row>
    <row r="3915" spans="2:9" x14ac:dyDescent="0.25">
      <c r="B3915" s="39"/>
      <c r="C3915" s="40"/>
      <c r="D3915" s="40"/>
      <c r="F3915" s="40"/>
      <c r="G3915" s="40"/>
      <c r="H3915" s="42"/>
      <c r="I3915" s="42" t="str">
        <f t="shared" si="57"/>
        <v/>
      </c>
    </row>
    <row r="3916" spans="2:9" x14ac:dyDescent="0.25">
      <c r="B3916" s="39"/>
      <c r="C3916" s="40"/>
      <c r="D3916" s="40"/>
      <c r="F3916" s="40"/>
      <c r="G3916" s="40"/>
      <c r="H3916" s="42"/>
      <c r="I3916" s="42" t="str">
        <f t="shared" si="57"/>
        <v/>
      </c>
    </row>
    <row r="3917" spans="2:9" x14ac:dyDescent="0.25">
      <c r="B3917" s="39"/>
      <c r="C3917" s="40"/>
      <c r="D3917" s="40"/>
      <c r="F3917" s="40"/>
      <c r="G3917" s="40"/>
      <c r="H3917" s="42"/>
      <c r="I3917" s="42" t="str">
        <f t="shared" si="57"/>
        <v/>
      </c>
    </row>
    <row r="3918" spans="2:9" x14ac:dyDescent="0.25">
      <c r="B3918" s="39"/>
      <c r="C3918" s="40"/>
      <c r="D3918" s="40"/>
      <c r="F3918" s="40"/>
      <c r="G3918" s="40"/>
      <c r="H3918" s="42"/>
      <c r="I3918" s="42" t="str">
        <f t="shared" si="57"/>
        <v/>
      </c>
    </row>
    <row r="3919" spans="2:9" x14ac:dyDescent="0.25">
      <c r="B3919" s="39"/>
      <c r="C3919" s="40"/>
      <c r="D3919" s="40"/>
      <c r="F3919" s="40"/>
      <c r="G3919" s="40"/>
      <c r="H3919" s="42"/>
      <c r="I3919" s="42" t="str">
        <f t="shared" si="57"/>
        <v/>
      </c>
    </row>
    <row r="3920" spans="2:9" x14ac:dyDescent="0.25">
      <c r="B3920" s="39"/>
      <c r="C3920" s="40"/>
      <c r="D3920" s="40"/>
      <c r="F3920" s="40"/>
      <c r="G3920" s="40"/>
      <c r="H3920" s="42"/>
      <c r="I3920" s="42" t="str">
        <f t="shared" si="57"/>
        <v/>
      </c>
    </row>
    <row r="3921" spans="2:9" x14ac:dyDescent="0.25">
      <c r="B3921" s="39"/>
      <c r="C3921" s="40"/>
      <c r="D3921" s="40"/>
      <c r="F3921" s="40"/>
      <c r="G3921" s="40"/>
      <c r="H3921" s="42"/>
      <c r="I3921" s="42" t="str">
        <f t="shared" si="57"/>
        <v/>
      </c>
    </row>
    <row r="3922" spans="2:9" x14ac:dyDescent="0.25">
      <c r="B3922" s="39"/>
      <c r="C3922" s="40"/>
      <c r="D3922" s="40"/>
      <c r="F3922" s="40"/>
      <c r="G3922" s="40"/>
      <c r="H3922" s="42"/>
      <c r="I3922" s="42" t="str">
        <f t="shared" si="57"/>
        <v/>
      </c>
    </row>
    <row r="3923" spans="2:9" x14ac:dyDescent="0.25">
      <c r="B3923" s="39"/>
      <c r="C3923" s="40"/>
      <c r="D3923" s="40"/>
      <c r="F3923" s="40"/>
      <c r="G3923" s="40"/>
      <c r="H3923" s="42"/>
      <c r="I3923" s="42" t="str">
        <f t="shared" si="57"/>
        <v/>
      </c>
    </row>
    <row r="3924" spans="2:9" x14ac:dyDescent="0.25">
      <c r="B3924" s="39"/>
      <c r="C3924" s="40"/>
      <c r="D3924" s="40"/>
      <c r="F3924" s="40"/>
      <c r="G3924" s="40"/>
      <c r="H3924" s="42"/>
      <c r="I3924" s="42" t="str">
        <f t="shared" si="57"/>
        <v/>
      </c>
    </row>
    <row r="3925" spans="2:9" x14ac:dyDescent="0.25">
      <c r="B3925" s="39"/>
      <c r="C3925" s="40"/>
      <c r="D3925" s="40"/>
      <c r="F3925" s="40"/>
      <c r="G3925" s="40"/>
      <c r="H3925" s="42"/>
      <c r="I3925" s="42" t="str">
        <f t="shared" si="57"/>
        <v/>
      </c>
    </row>
    <row r="3926" spans="2:9" x14ac:dyDescent="0.25">
      <c r="B3926" s="39"/>
      <c r="C3926" s="40"/>
      <c r="D3926" s="40"/>
      <c r="F3926" s="40"/>
      <c r="G3926" s="40"/>
      <c r="H3926" s="42"/>
      <c r="I3926" s="42" t="str">
        <f t="shared" si="57"/>
        <v/>
      </c>
    </row>
    <row r="3927" spans="2:9" x14ac:dyDescent="0.25">
      <c r="B3927" s="39"/>
      <c r="C3927" s="40"/>
      <c r="D3927" s="40"/>
      <c r="F3927" s="40"/>
      <c r="G3927" s="40"/>
      <c r="H3927" s="42"/>
      <c r="I3927" s="42" t="str">
        <f t="shared" si="57"/>
        <v/>
      </c>
    </row>
    <row r="3928" spans="2:9" x14ac:dyDescent="0.25">
      <c r="B3928" s="39"/>
      <c r="C3928" s="40"/>
      <c r="D3928" s="40"/>
      <c r="F3928" s="40"/>
      <c r="G3928" s="40"/>
      <c r="H3928" s="42"/>
      <c r="I3928" s="42" t="str">
        <f t="shared" si="57"/>
        <v/>
      </c>
    </row>
    <row r="3929" spans="2:9" x14ac:dyDescent="0.25">
      <c r="B3929" s="39"/>
      <c r="C3929" s="40"/>
      <c r="D3929" s="40"/>
      <c r="F3929" s="40"/>
      <c r="G3929" s="40"/>
      <c r="H3929" s="42"/>
      <c r="I3929" s="42" t="str">
        <f t="shared" si="57"/>
        <v/>
      </c>
    </row>
    <row r="3930" spans="2:9" x14ac:dyDescent="0.25">
      <c r="B3930" s="39"/>
      <c r="C3930" s="40"/>
      <c r="D3930" s="40"/>
      <c r="F3930" s="40"/>
      <c r="G3930" s="40"/>
      <c r="H3930" s="42"/>
      <c r="I3930" s="42" t="str">
        <f t="shared" si="57"/>
        <v/>
      </c>
    </row>
    <row r="3931" spans="2:9" x14ac:dyDescent="0.25">
      <c r="B3931" s="39"/>
      <c r="C3931" s="40"/>
      <c r="D3931" s="40"/>
      <c r="F3931" s="40"/>
      <c r="G3931" s="40"/>
      <c r="H3931" s="42"/>
      <c r="I3931" s="42" t="str">
        <f t="shared" si="57"/>
        <v/>
      </c>
    </row>
    <row r="3932" spans="2:9" x14ac:dyDescent="0.25">
      <c r="B3932" s="39"/>
      <c r="C3932" s="40"/>
      <c r="D3932" s="40"/>
      <c r="F3932" s="40"/>
      <c r="G3932" s="40"/>
      <c r="H3932" s="42"/>
      <c r="I3932" s="42" t="str">
        <f t="shared" si="57"/>
        <v/>
      </c>
    </row>
    <row r="3933" spans="2:9" x14ac:dyDescent="0.25">
      <c r="B3933" s="39"/>
      <c r="C3933" s="40"/>
      <c r="D3933" s="40"/>
      <c r="F3933" s="40"/>
      <c r="G3933" s="40"/>
      <c r="H3933" s="42"/>
      <c r="I3933" s="42" t="str">
        <f t="shared" si="57"/>
        <v/>
      </c>
    </row>
    <row r="3934" spans="2:9" x14ac:dyDescent="0.25">
      <c r="B3934" s="39"/>
      <c r="C3934" s="40"/>
      <c r="D3934" s="40"/>
      <c r="F3934" s="40"/>
      <c r="G3934" s="40"/>
      <c r="H3934" s="42"/>
      <c r="I3934" s="42" t="str">
        <f t="shared" si="57"/>
        <v/>
      </c>
    </row>
    <row r="3935" spans="2:9" x14ac:dyDescent="0.25">
      <c r="B3935" s="39"/>
      <c r="C3935" s="40"/>
      <c r="D3935" s="40"/>
      <c r="F3935" s="40"/>
      <c r="G3935" s="40"/>
      <c r="H3935" s="42"/>
      <c r="I3935" s="42" t="str">
        <f t="shared" si="57"/>
        <v/>
      </c>
    </row>
    <row r="3936" spans="2:9" x14ac:dyDescent="0.25">
      <c r="B3936" s="39"/>
      <c r="C3936" s="40"/>
      <c r="D3936" s="40"/>
      <c r="F3936" s="40"/>
      <c r="G3936" s="40"/>
      <c r="H3936" s="42"/>
      <c r="I3936" s="42" t="str">
        <f t="shared" si="57"/>
        <v/>
      </c>
    </row>
    <row r="3937" spans="2:9" x14ac:dyDescent="0.25">
      <c r="B3937" s="39"/>
      <c r="C3937" s="40"/>
      <c r="D3937" s="40"/>
      <c r="F3937" s="40"/>
      <c r="G3937" s="40"/>
      <c r="H3937" s="42"/>
      <c r="I3937" s="42" t="str">
        <f t="shared" si="57"/>
        <v/>
      </c>
    </row>
    <row r="3938" spans="2:9" x14ac:dyDescent="0.25">
      <c r="B3938" s="39"/>
      <c r="C3938" s="40"/>
      <c r="D3938" s="40"/>
      <c r="F3938" s="40"/>
      <c r="G3938" s="40"/>
      <c r="H3938" s="42"/>
      <c r="I3938" s="42" t="str">
        <f t="shared" si="57"/>
        <v/>
      </c>
    </row>
    <row r="3939" spans="2:9" x14ac:dyDescent="0.25">
      <c r="B3939" s="39"/>
      <c r="C3939" s="40"/>
      <c r="D3939" s="40"/>
      <c r="F3939" s="40"/>
      <c r="G3939" s="40"/>
      <c r="H3939" s="42"/>
      <c r="I3939" s="42" t="str">
        <f t="shared" si="57"/>
        <v/>
      </c>
    </row>
    <row r="3940" spans="2:9" x14ac:dyDescent="0.25">
      <c r="B3940" s="39"/>
      <c r="C3940" s="40"/>
      <c r="D3940" s="40"/>
      <c r="F3940" s="40"/>
      <c r="G3940" s="40"/>
      <c r="H3940" s="42"/>
      <c r="I3940" s="42" t="str">
        <f t="shared" si="57"/>
        <v/>
      </c>
    </row>
    <row r="3941" spans="2:9" x14ac:dyDescent="0.25">
      <c r="B3941" s="39"/>
      <c r="C3941" s="40"/>
      <c r="D3941" s="40"/>
      <c r="F3941" s="40"/>
      <c r="G3941" s="40"/>
      <c r="H3941" s="42"/>
      <c r="I3941" s="42" t="str">
        <f t="shared" si="57"/>
        <v/>
      </c>
    </row>
    <row r="3942" spans="2:9" x14ac:dyDescent="0.25">
      <c r="B3942" s="39"/>
      <c r="C3942" s="40"/>
      <c r="D3942" s="40"/>
      <c r="F3942" s="40"/>
      <c r="G3942" s="40"/>
      <c r="H3942" s="42"/>
      <c r="I3942" s="42" t="str">
        <f t="shared" si="57"/>
        <v/>
      </c>
    </row>
    <row r="3943" spans="2:9" x14ac:dyDescent="0.25">
      <c r="B3943" s="39"/>
      <c r="C3943" s="40"/>
      <c r="D3943" s="40"/>
      <c r="F3943" s="40"/>
      <c r="G3943" s="40"/>
      <c r="H3943" s="42"/>
      <c r="I3943" s="42" t="str">
        <f t="shared" si="57"/>
        <v/>
      </c>
    </row>
    <row r="3944" spans="2:9" x14ac:dyDescent="0.25">
      <c r="B3944" s="39"/>
      <c r="C3944" s="40"/>
      <c r="D3944" s="40"/>
      <c r="F3944" s="40"/>
      <c r="G3944" s="40"/>
      <c r="H3944" s="42"/>
      <c r="I3944" s="42" t="str">
        <f t="shared" si="57"/>
        <v/>
      </c>
    </row>
    <row r="3945" spans="2:9" x14ac:dyDescent="0.25">
      <c r="B3945" s="39"/>
      <c r="C3945" s="40"/>
      <c r="D3945" s="40"/>
      <c r="F3945" s="40"/>
      <c r="G3945" s="40"/>
      <c r="H3945" s="42"/>
      <c r="I3945" s="42" t="str">
        <f t="shared" si="57"/>
        <v/>
      </c>
    </row>
    <row r="3946" spans="2:9" x14ac:dyDescent="0.25">
      <c r="B3946" s="39"/>
      <c r="C3946" s="40"/>
      <c r="D3946" s="40"/>
      <c r="F3946" s="40"/>
      <c r="G3946" s="40"/>
      <c r="H3946" s="42"/>
      <c r="I3946" s="42" t="str">
        <f t="shared" si="57"/>
        <v/>
      </c>
    </row>
    <row r="3947" spans="2:9" x14ac:dyDescent="0.25">
      <c r="B3947" s="39"/>
      <c r="C3947" s="40"/>
      <c r="D3947" s="40"/>
      <c r="F3947" s="40"/>
      <c r="G3947" s="40"/>
      <c r="H3947" s="42"/>
      <c r="I3947" s="42" t="str">
        <f t="shared" si="57"/>
        <v/>
      </c>
    </row>
    <row r="3948" spans="2:9" x14ac:dyDescent="0.25">
      <c r="B3948" s="39"/>
      <c r="C3948" s="40"/>
      <c r="D3948" s="40"/>
      <c r="F3948" s="40"/>
      <c r="G3948" s="40"/>
      <c r="H3948" s="42"/>
      <c r="I3948" s="42" t="str">
        <f t="shared" si="57"/>
        <v/>
      </c>
    </row>
    <row r="3949" spans="2:9" x14ac:dyDescent="0.25">
      <c r="B3949" s="39"/>
      <c r="C3949" s="40"/>
      <c r="D3949" s="40"/>
      <c r="F3949" s="40"/>
      <c r="G3949" s="40"/>
      <c r="H3949" s="42"/>
      <c r="I3949" s="42" t="str">
        <f t="shared" si="57"/>
        <v/>
      </c>
    </row>
    <row r="3950" spans="2:9" x14ac:dyDescent="0.25">
      <c r="B3950" s="39"/>
      <c r="C3950" s="40"/>
      <c r="D3950" s="40"/>
      <c r="F3950" s="40"/>
      <c r="G3950" s="40"/>
      <c r="H3950" s="42"/>
      <c r="I3950" s="42" t="str">
        <f t="shared" si="57"/>
        <v/>
      </c>
    </row>
    <row r="3951" spans="2:9" x14ac:dyDescent="0.25">
      <c r="B3951" s="39"/>
      <c r="C3951" s="40"/>
      <c r="D3951" s="40"/>
      <c r="F3951" s="40"/>
      <c r="G3951" s="40"/>
      <c r="H3951" s="42"/>
      <c r="I3951" s="42" t="str">
        <f t="shared" si="57"/>
        <v/>
      </c>
    </row>
    <row r="3952" spans="2:9" x14ac:dyDescent="0.25">
      <c r="B3952" s="39"/>
      <c r="C3952" s="40"/>
      <c r="D3952" s="40"/>
      <c r="F3952" s="40"/>
      <c r="G3952" s="40"/>
      <c r="H3952" s="42"/>
      <c r="I3952" s="42" t="str">
        <f t="shared" si="57"/>
        <v/>
      </c>
    </row>
    <row r="3953" spans="2:9" x14ac:dyDescent="0.25">
      <c r="B3953" s="39"/>
      <c r="C3953" s="40"/>
      <c r="D3953" s="40"/>
      <c r="F3953" s="40"/>
      <c r="G3953" s="40"/>
      <c r="H3953" s="42"/>
      <c r="I3953" s="42" t="str">
        <f t="shared" si="57"/>
        <v/>
      </c>
    </row>
    <row r="3954" spans="2:9" x14ac:dyDescent="0.25">
      <c r="B3954" s="39"/>
      <c r="C3954" s="40"/>
      <c r="D3954" s="40"/>
      <c r="F3954" s="40"/>
      <c r="G3954" s="40"/>
      <c r="H3954" s="42"/>
      <c r="I3954" s="42" t="str">
        <f t="shared" si="57"/>
        <v/>
      </c>
    </row>
    <row r="3955" spans="2:9" x14ac:dyDescent="0.25">
      <c r="B3955" s="39"/>
      <c r="C3955" s="40"/>
      <c r="D3955" s="40"/>
      <c r="F3955" s="40"/>
      <c r="G3955" s="40"/>
      <c r="H3955" s="42"/>
      <c r="I3955" s="42" t="str">
        <f t="shared" si="57"/>
        <v/>
      </c>
    </row>
    <row r="3956" spans="2:9" x14ac:dyDescent="0.25">
      <c r="B3956" s="39"/>
      <c r="C3956" s="40"/>
      <c r="D3956" s="40"/>
      <c r="F3956" s="40"/>
      <c r="G3956" s="40"/>
      <c r="H3956" s="42"/>
      <c r="I3956" s="42" t="str">
        <f t="shared" si="57"/>
        <v/>
      </c>
    </row>
    <row r="3957" spans="2:9" x14ac:dyDescent="0.25">
      <c r="B3957" s="39"/>
      <c r="C3957" s="40"/>
      <c r="D3957" s="40"/>
      <c r="F3957" s="40"/>
      <c r="G3957" s="40"/>
      <c r="H3957" s="42"/>
      <c r="I3957" s="42" t="str">
        <f t="shared" si="57"/>
        <v/>
      </c>
    </row>
    <row r="3958" spans="2:9" x14ac:dyDescent="0.25">
      <c r="B3958" s="39"/>
      <c r="C3958" s="40"/>
      <c r="D3958" s="40"/>
      <c r="F3958" s="40"/>
      <c r="G3958" s="40"/>
      <c r="H3958" s="42"/>
      <c r="I3958" s="42" t="str">
        <f t="shared" si="57"/>
        <v/>
      </c>
    </row>
    <row r="3959" spans="2:9" x14ac:dyDescent="0.25">
      <c r="B3959" s="39"/>
      <c r="C3959" s="40"/>
      <c r="D3959" s="40"/>
      <c r="F3959" s="40"/>
      <c r="G3959" s="40"/>
      <c r="H3959" s="42"/>
      <c r="I3959" s="42" t="str">
        <f t="shared" si="57"/>
        <v/>
      </c>
    </row>
    <row r="3960" spans="2:9" x14ac:dyDescent="0.25">
      <c r="B3960" s="39"/>
      <c r="C3960" s="40"/>
      <c r="D3960" s="40"/>
      <c r="F3960" s="40"/>
      <c r="G3960" s="40"/>
      <c r="H3960" s="42"/>
      <c r="I3960" s="42" t="str">
        <f t="shared" si="57"/>
        <v/>
      </c>
    </row>
    <row r="3961" spans="2:9" x14ac:dyDescent="0.25">
      <c r="B3961" s="39"/>
      <c r="C3961" s="40"/>
      <c r="D3961" s="40"/>
      <c r="F3961" s="40"/>
      <c r="G3961" s="40"/>
      <c r="H3961" s="42"/>
      <c r="I3961" s="42" t="str">
        <f t="shared" si="57"/>
        <v/>
      </c>
    </row>
    <row r="3962" spans="2:9" x14ac:dyDescent="0.25">
      <c r="B3962" s="39"/>
      <c r="C3962" s="40"/>
      <c r="D3962" s="40"/>
      <c r="F3962" s="40"/>
      <c r="G3962" s="40"/>
      <c r="H3962" s="42"/>
      <c r="I3962" s="42" t="str">
        <f t="shared" si="57"/>
        <v/>
      </c>
    </row>
    <row r="3963" spans="2:9" x14ac:dyDescent="0.25">
      <c r="B3963" s="39"/>
      <c r="C3963" s="40"/>
      <c r="D3963" s="40"/>
      <c r="F3963" s="40"/>
      <c r="G3963" s="40"/>
      <c r="H3963" s="42"/>
      <c r="I3963" s="42" t="str">
        <f t="shared" si="57"/>
        <v/>
      </c>
    </row>
    <row r="3964" spans="2:9" x14ac:dyDescent="0.25">
      <c r="B3964" s="39"/>
      <c r="C3964" s="40"/>
      <c r="D3964" s="40"/>
      <c r="F3964" s="40"/>
      <c r="G3964" s="40"/>
      <c r="H3964" s="42"/>
      <c r="I3964" s="42" t="str">
        <f t="shared" si="57"/>
        <v/>
      </c>
    </row>
    <row r="3965" spans="2:9" x14ac:dyDescent="0.25">
      <c r="B3965" s="39"/>
      <c r="C3965" s="40"/>
      <c r="D3965" s="40"/>
      <c r="F3965" s="40"/>
      <c r="G3965" s="40"/>
      <c r="H3965" s="42"/>
      <c r="I3965" s="42" t="str">
        <f t="shared" si="57"/>
        <v/>
      </c>
    </row>
    <row r="3966" spans="2:9" x14ac:dyDescent="0.25">
      <c r="B3966" s="39"/>
      <c r="C3966" s="40"/>
      <c r="D3966" s="40"/>
      <c r="F3966" s="40"/>
      <c r="G3966" s="40"/>
      <c r="H3966" s="42"/>
      <c r="I3966" s="42" t="str">
        <f t="shared" si="57"/>
        <v/>
      </c>
    </row>
    <row r="3967" spans="2:9" x14ac:dyDescent="0.25">
      <c r="B3967" s="39"/>
      <c r="C3967" s="40"/>
      <c r="D3967" s="40"/>
      <c r="F3967" s="40"/>
      <c r="G3967" s="40"/>
      <c r="H3967" s="42"/>
      <c r="I3967" s="42" t="str">
        <f t="shared" si="57"/>
        <v/>
      </c>
    </row>
    <row r="3968" spans="2:9" x14ac:dyDescent="0.25">
      <c r="B3968" s="39"/>
      <c r="C3968" s="40"/>
      <c r="D3968" s="40"/>
      <c r="F3968" s="40"/>
      <c r="G3968" s="40"/>
      <c r="H3968" s="42"/>
      <c r="I3968" s="42" t="str">
        <f t="shared" ref="I3968:I4031" si="58">IF(H3968&lt;&gt;"",H3968-H3967,"")</f>
        <v/>
      </c>
    </row>
    <row r="3969" spans="2:9" x14ac:dyDescent="0.25">
      <c r="B3969" s="39"/>
      <c r="C3969" s="40"/>
      <c r="D3969" s="40"/>
      <c r="F3969" s="40"/>
      <c r="G3969" s="40"/>
      <c r="H3969" s="42"/>
      <c r="I3969" s="42" t="str">
        <f t="shared" si="58"/>
        <v/>
      </c>
    </row>
    <row r="3970" spans="2:9" x14ac:dyDescent="0.25">
      <c r="B3970" s="39"/>
      <c r="C3970" s="40"/>
      <c r="D3970" s="40"/>
      <c r="F3970" s="40"/>
      <c r="G3970" s="40"/>
      <c r="H3970" s="42"/>
      <c r="I3970" s="42" t="str">
        <f t="shared" si="58"/>
        <v/>
      </c>
    </row>
    <row r="3971" spans="2:9" x14ac:dyDescent="0.25">
      <c r="B3971" s="39"/>
      <c r="C3971" s="40"/>
      <c r="D3971" s="40"/>
      <c r="F3971" s="40"/>
      <c r="G3971" s="40"/>
      <c r="H3971" s="42"/>
      <c r="I3971" s="42" t="str">
        <f t="shared" si="58"/>
        <v/>
      </c>
    </row>
    <row r="3972" spans="2:9" x14ac:dyDescent="0.25">
      <c r="B3972" s="39"/>
      <c r="C3972" s="40"/>
      <c r="D3972" s="40"/>
      <c r="F3972" s="40"/>
      <c r="G3972" s="40"/>
      <c r="H3972" s="42"/>
      <c r="I3972" s="42" t="str">
        <f t="shared" si="58"/>
        <v/>
      </c>
    </row>
    <row r="3973" spans="2:9" x14ac:dyDescent="0.25">
      <c r="B3973" s="39"/>
      <c r="C3973" s="40"/>
      <c r="D3973" s="40"/>
      <c r="F3973" s="40"/>
      <c r="G3973" s="40"/>
      <c r="H3973" s="42"/>
      <c r="I3973" s="42" t="str">
        <f t="shared" si="58"/>
        <v/>
      </c>
    </row>
    <row r="3974" spans="2:9" x14ac:dyDescent="0.25">
      <c r="B3974" s="39"/>
      <c r="C3974" s="40"/>
      <c r="D3974" s="40"/>
      <c r="F3974" s="40"/>
      <c r="G3974" s="40"/>
      <c r="H3974" s="42"/>
      <c r="I3974" s="42" t="str">
        <f t="shared" si="58"/>
        <v/>
      </c>
    </row>
    <row r="3975" spans="2:9" x14ac:dyDescent="0.25">
      <c r="B3975" s="39"/>
      <c r="C3975" s="40"/>
      <c r="D3975" s="40"/>
      <c r="F3975" s="40"/>
      <c r="G3975" s="40"/>
      <c r="H3975" s="42"/>
      <c r="I3975" s="42" t="str">
        <f t="shared" si="58"/>
        <v/>
      </c>
    </row>
    <row r="3976" spans="2:9" x14ac:dyDescent="0.25">
      <c r="B3976" s="39"/>
      <c r="C3976" s="40"/>
      <c r="D3976" s="40"/>
      <c r="F3976" s="40"/>
      <c r="G3976" s="40"/>
      <c r="H3976" s="42"/>
      <c r="I3976" s="42" t="str">
        <f t="shared" si="58"/>
        <v/>
      </c>
    </row>
    <row r="3977" spans="2:9" x14ac:dyDescent="0.25">
      <c r="B3977" s="39"/>
      <c r="C3977" s="40"/>
      <c r="D3977" s="40"/>
      <c r="F3977" s="40"/>
      <c r="G3977" s="40"/>
      <c r="H3977" s="42"/>
      <c r="I3977" s="42" t="str">
        <f t="shared" si="58"/>
        <v/>
      </c>
    </row>
    <row r="3978" spans="2:9" x14ac:dyDescent="0.25">
      <c r="B3978" s="39"/>
      <c r="C3978" s="40"/>
      <c r="D3978" s="40"/>
      <c r="F3978" s="40"/>
      <c r="G3978" s="40"/>
      <c r="H3978" s="42"/>
      <c r="I3978" s="42" t="str">
        <f t="shared" si="58"/>
        <v/>
      </c>
    </row>
    <row r="3979" spans="2:9" x14ac:dyDescent="0.25">
      <c r="B3979" s="39"/>
      <c r="C3979" s="40"/>
      <c r="D3979" s="40"/>
      <c r="F3979" s="40"/>
      <c r="G3979" s="40"/>
      <c r="H3979" s="42"/>
      <c r="I3979" s="42" t="str">
        <f t="shared" si="58"/>
        <v/>
      </c>
    </row>
    <row r="3980" spans="2:9" x14ac:dyDescent="0.25">
      <c r="B3980" s="39"/>
      <c r="C3980" s="40"/>
      <c r="D3980" s="40"/>
      <c r="F3980" s="40"/>
      <c r="G3980" s="40"/>
      <c r="H3980" s="42"/>
      <c r="I3980" s="42" t="str">
        <f t="shared" si="58"/>
        <v/>
      </c>
    </row>
    <row r="3981" spans="2:9" x14ac:dyDescent="0.25">
      <c r="B3981" s="39"/>
      <c r="C3981" s="40"/>
      <c r="D3981" s="40"/>
      <c r="F3981" s="40"/>
      <c r="G3981" s="40"/>
      <c r="H3981" s="42"/>
      <c r="I3981" s="42" t="str">
        <f t="shared" si="58"/>
        <v/>
      </c>
    </row>
    <row r="3982" spans="2:9" x14ac:dyDescent="0.25">
      <c r="B3982" s="39"/>
      <c r="C3982" s="40"/>
      <c r="D3982" s="40"/>
      <c r="F3982" s="40"/>
      <c r="G3982" s="40"/>
      <c r="H3982" s="42"/>
      <c r="I3982" s="42" t="str">
        <f t="shared" si="58"/>
        <v/>
      </c>
    </row>
    <row r="3983" spans="2:9" x14ac:dyDescent="0.25">
      <c r="B3983" s="39"/>
      <c r="C3983" s="40"/>
      <c r="D3983" s="40"/>
      <c r="F3983" s="40"/>
      <c r="G3983" s="40"/>
      <c r="H3983" s="42"/>
      <c r="I3983" s="42" t="str">
        <f t="shared" si="58"/>
        <v/>
      </c>
    </row>
    <row r="3984" spans="2:9" x14ac:dyDescent="0.25">
      <c r="B3984" s="39"/>
      <c r="C3984" s="40"/>
      <c r="D3984" s="40"/>
      <c r="F3984" s="40"/>
      <c r="G3984" s="40"/>
      <c r="H3984" s="42"/>
      <c r="I3984" s="42" t="str">
        <f t="shared" si="58"/>
        <v/>
      </c>
    </row>
    <row r="3985" spans="2:9" x14ac:dyDescent="0.25">
      <c r="B3985" s="39"/>
      <c r="C3985" s="40"/>
      <c r="D3985" s="40"/>
      <c r="F3985" s="40"/>
      <c r="G3985" s="40"/>
      <c r="H3985" s="42"/>
      <c r="I3985" s="42" t="str">
        <f t="shared" si="58"/>
        <v/>
      </c>
    </row>
    <row r="3986" spans="2:9" x14ac:dyDescent="0.25">
      <c r="B3986" s="39"/>
      <c r="C3986" s="40"/>
      <c r="D3986" s="40"/>
      <c r="F3986" s="40"/>
      <c r="G3986" s="40"/>
      <c r="H3986" s="42"/>
      <c r="I3986" s="42" t="str">
        <f t="shared" si="58"/>
        <v/>
      </c>
    </row>
    <row r="3987" spans="2:9" x14ac:dyDescent="0.25">
      <c r="B3987" s="39"/>
      <c r="C3987" s="40"/>
      <c r="D3987" s="40"/>
      <c r="F3987" s="40"/>
      <c r="G3987" s="40"/>
      <c r="H3987" s="42"/>
      <c r="I3987" s="42" t="str">
        <f t="shared" si="58"/>
        <v/>
      </c>
    </row>
    <row r="3988" spans="2:9" x14ac:dyDescent="0.25">
      <c r="B3988" s="39"/>
      <c r="C3988" s="40"/>
      <c r="D3988" s="40"/>
      <c r="F3988" s="40"/>
      <c r="G3988" s="40"/>
      <c r="H3988" s="42"/>
      <c r="I3988" s="42" t="str">
        <f t="shared" si="58"/>
        <v/>
      </c>
    </row>
    <row r="3989" spans="2:9" x14ac:dyDescent="0.25">
      <c r="B3989" s="39"/>
      <c r="C3989" s="40"/>
      <c r="D3989" s="40"/>
      <c r="F3989" s="40"/>
      <c r="G3989" s="40"/>
      <c r="H3989" s="42"/>
      <c r="I3989" s="42" t="str">
        <f t="shared" si="58"/>
        <v/>
      </c>
    </row>
    <row r="3990" spans="2:9" x14ac:dyDescent="0.25">
      <c r="B3990" s="39"/>
      <c r="C3990" s="40"/>
      <c r="D3990" s="40"/>
      <c r="F3990" s="40"/>
      <c r="G3990" s="40"/>
      <c r="H3990" s="42"/>
      <c r="I3990" s="42" t="str">
        <f t="shared" si="58"/>
        <v/>
      </c>
    </row>
    <row r="3991" spans="2:9" x14ac:dyDescent="0.25">
      <c r="B3991" s="39"/>
      <c r="C3991" s="40"/>
      <c r="D3991" s="40"/>
      <c r="F3991" s="40"/>
      <c r="G3991" s="40"/>
      <c r="H3991" s="42"/>
      <c r="I3991" s="42" t="str">
        <f t="shared" si="58"/>
        <v/>
      </c>
    </row>
    <row r="3992" spans="2:9" x14ac:dyDescent="0.25">
      <c r="B3992" s="39"/>
      <c r="C3992" s="40"/>
      <c r="D3992" s="40"/>
      <c r="F3992" s="40"/>
      <c r="G3992" s="40"/>
      <c r="H3992" s="42"/>
      <c r="I3992" s="42" t="str">
        <f t="shared" si="58"/>
        <v/>
      </c>
    </row>
    <row r="3993" spans="2:9" x14ac:dyDescent="0.25">
      <c r="B3993" s="39"/>
      <c r="C3993" s="40"/>
      <c r="D3993" s="40"/>
      <c r="F3993" s="40"/>
      <c r="G3993" s="40"/>
      <c r="H3993" s="42"/>
      <c r="I3993" s="42" t="str">
        <f t="shared" si="58"/>
        <v/>
      </c>
    </row>
    <row r="3994" spans="2:9" x14ac:dyDescent="0.25">
      <c r="B3994" s="39"/>
      <c r="C3994" s="40"/>
      <c r="D3994" s="40"/>
      <c r="F3994" s="40"/>
      <c r="G3994" s="40"/>
      <c r="H3994" s="42"/>
      <c r="I3994" s="42" t="str">
        <f t="shared" si="58"/>
        <v/>
      </c>
    </row>
    <row r="3995" spans="2:9" x14ac:dyDescent="0.25">
      <c r="B3995" s="39"/>
      <c r="C3995" s="40"/>
      <c r="D3995" s="40"/>
      <c r="F3995" s="40"/>
      <c r="G3995" s="40"/>
      <c r="H3995" s="42"/>
      <c r="I3995" s="42" t="str">
        <f t="shared" si="58"/>
        <v/>
      </c>
    </row>
    <row r="3996" spans="2:9" x14ac:dyDescent="0.25">
      <c r="B3996" s="39"/>
      <c r="C3996" s="40"/>
      <c r="D3996" s="40"/>
      <c r="F3996" s="40"/>
      <c r="G3996" s="40"/>
      <c r="H3996" s="42"/>
      <c r="I3996" s="42" t="str">
        <f t="shared" si="58"/>
        <v/>
      </c>
    </row>
    <row r="3997" spans="2:9" x14ac:dyDescent="0.25">
      <c r="B3997" s="39"/>
      <c r="C3997" s="40"/>
      <c r="D3997" s="40"/>
      <c r="F3997" s="40"/>
      <c r="G3997" s="40"/>
      <c r="H3997" s="42"/>
      <c r="I3997" s="42" t="str">
        <f t="shared" si="58"/>
        <v/>
      </c>
    </row>
    <row r="3998" spans="2:9" x14ac:dyDescent="0.25">
      <c r="B3998" s="39"/>
      <c r="C3998" s="40"/>
      <c r="D3998" s="40"/>
      <c r="F3998" s="40"/>
      <c r="G3998" s="40"/>
      <c r="H3998" s="42"/>
      <c r="I3998" s="42" t="str">
        <f t="shared" si="58"/>
        <v/>
      </c>
    </row>
    <row r="3999" spans="2:9" x14ac:dyDescent="0.25">
      <c r="B3999" s="39"/>
      <c r="C3999" s="40"/>
      <c r="D3999" s="40"/>
      <c r="F3999" s="40"/>
      <c r="G3999" s="40"/>
      <c r="H3999" s="42"/>
      <c r="I3999" s="42" t="str">
        <f t="shared" si="58"/>
        <v/>
      </c>
    </row>
    <row r="4000" spans="2:9" x14ac:dyDescent="0.25">
      <c r="B4000" s="39"/>
      <c r="C4000" s="40"/>
      <c r="D4000" s="40"/>
      <c r="F4000" s="40"/>
      <c r="G4000" s="40"/>
      <c r="H4000" s="42"/>
      <c r="I4000" s="42" t="str">
        <f t="shared" si="58"/>
        <v/>
      </c>
    </row>
    <row r="4001" spans="2:9" x14ac:dyDescent="0.25">
      <c r="B4001" s="39"/>
      <c r="C4001" s="40"/>
      <c r="D4001" s="40"/>
      <c r="F4001" s="40"/>
      <c r="G4001" s="40"/>
      <c r="H4001" s="42"/>
      <c r="I4001" s="42" t="str">
        <f t="shared" si="58"/>
        <v/>
      </c>
    </row>
    <row r="4002" spans="2:9" x14ac:dyDescent="0.25">
      <c r="B4002" s="39"/>
      <c r="C4002" s="40"/>
      <c r="D4002" s="40"/>
      <c r="F4002" s="40"/>
      <c r="G4002" s="40"/>
      <c r="H4002" s="42"/>
      <c r="I4002" s="42" t="str">
        <f t="shared" si="58"/>
        <v/>
      </c>
    </row>
    <row r="4003" spans="2:9" x14ac:dyDescent="0.25">
      <c r="B4003" s="39"/>
      <c r="C4003" s="40"/>
      <c r="D4003" s="40"/>
      <c r="F4003" s="40"/>
      <c r="G4003" s="40"/>
      <c r="H4003" s="42"/>
      <c r="I4003" s="42" t="str">
        <f t="shared" si="58"/>
        <v/>
      </c>
    </row>
    <row r="4004" spans="2:9" x14ac:dyDescent="0.25">
      <c r="B4004" s="39"/>
      <c r="C4004" s="40"/>
      <c r="D4004" s="40"/>
      <c r="F4004" s="40"/>
      <c r="G4004" s="40"/>
      <c r="H4004" s="42"/>
      <c r="I4004" s="42" t="str">
        <f t="shared" si="58"/>
        <v/>
      </c>
    </row>
    <row r="4005" spans="2:9" x14ac:dyDescent="0.25">
      <c r="B4005" s="39"/>
      <c r="C4005" s="40"/>
      <c r="D4005" s="40"/>
      <c r="F4005" s="40"/>
      <c r="G4005" s="40"/>
      <c r="H4005" s="42"/>
      <c r="I4005" s="42" t="str">
        <f t="shared" si="58"/>
        <v/>
      </c>
    </row>
    <row r="4006" spans="2:9" x14ac:dyDescent="0.25">
      <c r="B4006" s="39"/>
      <c r="C4006" s="40"/>
      <c r="D4006" s="40"/>
      <c r="F4006" s="40"/>
      <c r="G4006" s="40"/>
      <c r="H4006" s="42"/>
      <c r="I4006" s="42" t="str">
        <f t="shared" si="58"/>
        <v/>
      </c>
    </row>
    <row r="4007" spans="2:9" x14ac:dyDescent="0.25">
      <c r="B4007" s="39"/>
      <c r="C4007" s="40"/>
      <c r="D4007" s="40"/>
      <c r="F4007" s="40"/>
      <c r="G4007" s="40"/>
      <c r="H4007" s="42"/>
      <c r="I4007" s="42" t="str">
        <f t="shared" si="58"/>
        <v/>
      </c>
    </row>
    <row r="4008" spans="2:9" x14ac:dyDescent="0.25">
      <c r="I4008" s="42" t="str">
        <f t="shared" si="58"/>
        <v/>
      </c>
    </row>
    <row r="4009" spans="2:9" x14ac:dyDescent="0.25">
      <c r="I4009" s="42" t="str">
        <f t="shared" si="58"/>
        <v/>
      </c>
    </row>
    <row r="4010" spans="2:9" x14ac:dyDescent="0.25">
      <c r="I4010" s="42" t="str">
        <f t="shared" si="58"/>
        <v/>
      </c>
    </row>
    <row r="4011" spans="2:9" x14ac:dyDescent="0.25">
      <c r="I4011" s="42" t="str">
        <f t="shared" si="58"/>
        <v/>
      </c>
    </row>
    <row r="4012" spans="2:9" x14ac:dyDescent="0.25">
      <c r="I4012" s="42" t="str">
        <f t="shared" si="58"/>
        <v/>
      </c>
    </row>
    <row r="4013" spans="2:9" x14ac:dyDescent="0.25">
      <c r="I4013" s="42" t="str">
        <f t="shared" si="58"/>
        <v/>
      </c>
    </row>
    <row r="4014" spans="2:9" x14ac:dyDescent="0.25">
      <c r="I4014" s="42" t="str">
        <f t="shared" si="58"/>
        <v/>
      </c>
    </row>
    <row r="4015" spans="2:9" x14ac:dyDescent="0.25">
      <c r="I4015" s="42" t="str">
        <f t="shared" si="58"/>
        <v/>
      </c>
    </row>
    <row r="4016" spans="2:9" x14ac:dyDescent="0.25">
      <c r="I4016" s="42" t="str">
        <f t="shared" si="58"/>
        <v/>
      </c>
    </row>
    <row r="4017" spans="9:9" x14ac:dyDescent="0.25">
      <c r="I4017" s="42" t="str">
        <f t="shared" si="58"/>
        <v/>
      </c>
    </row>
    <row r="4018" spans="9:9" x14ac:dyDescent="0.25">
      <c r="I4018" s="42" t="str">
        <f t="shared" si="58"/>
        <v/>
      </c>
    </row>
    <row r="4019" spans="9:9" x14ac:dyDescent="0.25">
      <c r="I4019" s="42" t="str">
        <f t="shared" si="58"/>
        <v/>
      </c>
    </row>
    <row r="4020" spans="9:9" x14ac:dyDescent="0.25">
      <c r="I4020" s="42" t="str">
        <f t="shared" si="58"/>
        <v/>
      </c>
    </row>
    <row r="4021" spans="9:9" x14ac:dyDescent="0.25">
      <c r="I4021" s="42" t="str">
        <f t="shared" si="58"/>
        <v/>
      </c>
    </row>
    <row r="4022" spans="9:9" x14ac:dyDescent="0.25">
      <c r="I4022" s="42" t="str">
        <f t="shared" si="58"/>
        <v/>
      </c>
    </row>
    <row r="4023" spans="9:9" x14ac:dyDescent="0.25">
      <c r="I4023" s="42" t="str">
        <f t="shared" si="58"/>
        <v/>
      </c>
    </row>
    <row r="4024" spans="9:9" x14ac:dyDescent="0.25">
      <c r="I4024" s="42" t="str">
        <f t="shared" si="58"/>
        <v/>
      </c>
    </row>
    <row r="4025" spans="9:9" x14ac:dyDescent="0.25">
      <c r="I4025" s="42" t="str">
        <f t="shared" si="58"/>
        <v/>
      </c>
    </row>
    <row r="4026" spans="9:9" x14ac:dyDescent="0.25">
      <c r="I4026" s="42" t="str">
        <f t="shared" si="58"/>
        <v/>
      </c>
    </row>
    <row r="4027" spans="9:9" x14ac:dyDescent="0.25">
      <c r="I4027" s="42" t="str">
        <f t="shared" si="58"/>
        <v/>
      </c>
    </row>
    <row r="4028" spans="9:9" x14ac:dyDescent="0.25">
      <c r="I4028" s="42" t="str">
        <f t="shared" si="58"/>
        <v/>
      </c>
    </row>
    <row r="4029" spans="9:9" x14ac:dyDescent="0.25">
      <c r="I4029" s="42" t="str">
        <f t="shared" si="58"/>
        <v/>
      </c>
    </row>
    <row r="4030" spans="9:9" x14ac:dyDescent="0.25">
      <c r="I4030" s="42" t="str">
        <f t="shared" si="58"/>
        <v/>
      </c>
    </row>
    <row r="4031" spans="9:9" x14ac:dyDescent="0.25">
      <c r="I4031" s="42" t="str">
        <f t="shared" si="58"/>
        <v/>
      </c>
    </row>
    <row r="4032" spans="9:9" x14ac:dyDescent="0.25">
      <c r="I4032" s="42" t="str">
        <f t="shared" ref="I4032:I4095" si="59">IF(H4032&lt;&gt;"",H4032-H4031,"")</f>
        <v/>
      </c>
    </row>
    <row r="4033" spans="9:9" x14ac:dyDescent="0.25">
      <c r="I4033" s="42" t="str">
        <f t="shared" si="59"/>
        <v/>
      </c>
    </row>
    <row r="4034" spans="9:9" x14ac:dyDescent="0.25">
      <c r="I4034" s="42" t="str">
        <f t="shared" si="59"/>
        <v/>
      </c>
    </row>
    <row r="4035" spans="9:9" x14ac:dyDescent="0.25">
      <c r="I4035" s="42" t="str">
        <f t="shared" si="59"/>
        <v/>
      </c>
    </row>
    <row r="4036" spans="9:9" x14ac:dyDescent="0.25">
      <c r="I4036" s="42" t="str">
        <f t="shared" si="59"/>
        <v/>
      </c>
    </row>
    <row r="4037" spans="9:9" x14ac:dyDescent="0.25">
      <c r="I4037" s="42" t="str">
        <f t="shared" si="59"/>
        <v/>
      </c>
    </row>
    <row r="4038" spans="9:9" x14ac:dyDescent="0.25">
      <c r="I4038" s="42" t="str">
        <f t="shared" si="59"/>
        <v/>
      </c>
    </row>
    <row r="4039" spans="9:9" x14ac:dyDescent="0.25">
      <c r="I4039" s="42" t="str">
        <f t="shared" si="59"/>
        <v/>
      </c>
    </row>
    <row r="4040" spans="9:9" x14ac:dyDescent="0.25">
      <c r="I4040" s="42" t="str">
        <f t="shared" si="59"/>
        <v/>
      </c>
    </row>
    <row r="4041" spans="9:9" x14ac:dyDescent="0.25">
      <c r="I4041" s="42" t="str">
        <f t="shared" si="59"/>
        <v/>
      </c>
    </row>
    <row r="4042" spans="9:9" x14ac:dyDescent="0.25">
      <c r="I4042" s="42" t="str">
        <f t="shared" si="59"/>
        <v/>
      </c>
    </row>
    <row r="4043" spans="9:9" x14ac:dyDescent="0.25">
      <c r="I4043" s="42" t="str">
        <f t="shared" si="59"/>
        <v/>
      </c>
    </row>
    <row r="4044" spans="9:9" x14ac:dyDescent="0.25">
      <c r="I4044" s="42" t="str">
        <f t="shared" si="59"/>
        <v/>
      </c>
    </row>
    <row r="4045" spans="9:9" x14ac:dyDescent="0.25">
      <c r="I4045" s="42" t="str">
        <f t="shared" si="59"/>
        <v/>
      </c>
    </row>
    <row r="4046" spans="9:9" x14ac:dyDescent="0.25">
      <c r="I4046" s="42" t="str">
        <f t="shared" si="59"/>
        <v/>
      </c>
    </row>
    <row r="4047" spans="9:9" x14ac:dyDescent="0.25">
      <c r="I4047" s="42" t="str">
        <f t="shared" si="59"/>
        <v/>
      </c>
    </row>
    <row r="4048" spans="9:9" x14ac:dyDescent="0.25">
      <c r="I4048" s="42" t="str">
        <f t="shared" si="59"/>
        <v/>
      </c>
    </row>
    <row r="4049" spans="9:9" x14ac:dyDescent="0.25">
      <c r="I4049" s="42" t="str">
        <f t="shared" si="59"/>
        <v/>
      </c>
    </row>
    <row r="4050" spans="9:9" x14ac:dyDescent="0.25">
      <c r="I4050" s="42" t="str">
        <f t="shared" si="59"/>
        <v/>
      </c>
    </row>
    <row r="4051" spans="9:9" x14ac:dyDescent="0.25">
      <c r="I4051" s="42" t="str">
        <f t="shared" si="59"/>
        <v/>
      </c>
    </row>
    <row r="4052" spans="9:9" x14ac:dyDescent="0.25">
      <c r="I4052" s="42" t="str">
        <f t="shared" si="59"/>
        <v/>
      </c>
    </row>
    <row r="4053" spans="9:9" x14ac:dyDescent="0.25">
      <c r="I4053" s="42" t="str">
        <f t="shared" si="59"/>
        <v/>
      </c>
    </row>
    <row r="4054" spans="9:9" x14ac:dyDescent="0.25">
      <c r="I4054" s="42" t="str">
        <f t="shared" si="59"/>
        <v/>
      </c>
    </row>
    <row r="4055" spans="9:9" x14ac:dyDescent="0.25">
      <c r="I4055" s="42" t="str">
        <f t="shared" si="59"/>
        <v/>
      </c>
    </row>
    <row r="4056" spans="9:9" x14ac:dyDescent="0.25">
      <c r="I4056" s="42" t="str">
        <f t="shared" si="59"/>
        <v/>
      </c>
    </row>
    <row r="4057" spans="9:9" x14ac:dyDescent="0.25">
      <c r="I4057" s="42" t="str">
        <f t="shared" si="59"/>
        <v/>
      </c>
    </row>
    <row r="4058" spans="9:9" x14ac:dyDescent="0.25">
      <c r="I4058" s="42" t="str">
        <f t="shared" si="59"/>
        <v/>
      </c>
    </row>
    <row r="4059" spans="9:9" x14ac:dyDescent="0.25">
      <c r="I4059" s="42" t="str">
        <f t="shared" si="59"/>
        <v/>
      </c>
    </row>
    <row r="4060" spans="9:9" x14ac:dyDescent="0.25">
      <c r="I4060" s="42" t="str">
        <f t="shared" si="59"/>
        <v/>
      </c>
    </row>
    <row r="4061" spans="9:9" x14ac:dyDescent="0.25">
      <c r="I4061" s="42" t="str">
        <f t="shared" si="59"/>
        <v/>
      </c>
    </row>
    <row r="4062" spans="9:9" x14ac:dyDescent="0.25">
      <c r="I4062" s="42" t="str">
        <f t="shared" si="59"/>
        <v/>
      </c>
    </row>
    <row r="4063" spans="9:9" x14ac:dyDescent="0.25">
      <c r="I4063" s="42" t="str">
        <f t="shared" si="59"/>
        <v/>
      </c>
    </row>
    <row r="4064" spans="9:9" x14ac:dyDescent="0.25">
      <c r="I4064" s="42" t="str">
        <f t="shared" si="59"/>
        <v/>
      </c>
    </row>
    <row r="4065" spans="9:9" x14ac:dyDescent="0.25">
      <c r="I4065" s="42" t="str">
        <f t="shared" si="59"/>
        <v/>
      </c>
    </row>
    <row r="4066" spans="9:9" x14ac:dyDescent="0.25">
      <c r="I4066" s="42" t="str">
        <f t="shared" si="59"/>
        <v/>
      </c>
    </row>
    <row r="4067" spans="9:9" x14ac:dyDescent="0.25">
      <c r="I4067" s="42" t="str">
        <f t="shared" si="59"/>
        <v/>
      </c>
    </row>
    <row r="4068" spans="9:9" x14ac:dyDescent="0.25">
      <c r="I4068" s="42" t="str">
        <f t="shared" si="59"/>
        <v/>
      </c>
    </row>
    <row r="4069" spans="9:9" x14ac:dyDescent="0.25">
      <c r="I4069" s="42" t="str">
        <f t="shared" si="59"/>
        <v/>
      </c>
    </row>
    <row r="4070" spans="9:9" x14ac:dyDescent="0.25">
      <c r="I4070" s="42" t="str">
        <f t="shared" si="59"/>
        <v/>
      </c>
    </row>
    <row r="4071" spans="9:9" x14ac:dyDescent="0.25">
      <c r="I4071" s="42" t="str">
        <f t="shared" si="59"/>
        <v/>
      </c>
    </row>
    <row r="4072" spans="9:9" x14ac:dyDescent="0.25">
      <c r="I4072" s="42" t="str">
        <f t="shared" si="59"/>
        <v/>
      </c>
    </row>
    <row r="4073" spans="9:9" x14ac:dyDescent="0.25">
      <c r="I4073" s="42" t="str">
        <f t="shared" si="59"/>
        <v/>
      </c>
    </row>
    <row r="4074" spans="9:9" x14ac:dyDescent="0.25">
      <c r="I4074" s="42" t="str">
        <f t="shared" si="59"/>
        <v/>
      </c>
    </row>
    <row r="4075" spans="9:9" x14ac:dyDescent="0.25">
      <c r="I4075" s="42" t="str">
        <f t="shared" si="59"/>
        <v/>
      </c>
    </row>
    <row r="4076" spans="9:9" x14ac:dyDescent="0.25">
      <c r="I4076" s="42" t="str">
        <f t="shared" si="59"/>
        <v/>
      </c>
    </row>
    <row r="4077" spans="9:9" x14ac:dyDescent="0.25">
      <c r="I4077" s="42" t="str">
        <f t="shared" si="59"/>
        <v/>
      </c>
    </row>
    <row r="4078" spans="9:9" x14ac:dyDescent="0.25">
      <c r="I4078" s="42" t="str">
        <f t="shared" si="59"/>
        <v/>
      </c>
    </row>
    <row r="4079" spans="9:9" x14ac:dyDescent="0.25">
      <c r="I4079" s="42" t="str">
        <f t="shared" si="59"/>
        <v/>
      </c>
    </row>
    <row r="4080" spans="9:9" x14ac:dyDescent="0.25">
      <c r="I4080" s="42" t="str">
        <f t="shared" si="59"/>
        <v/>
      </c>
    </row>
    <row r="4081" spans="9:9" x14ac:dyDescent="0.25">
      <c r="I4081" s="42" t="str">
        <f t="shared" si="59"/>
        <v/>
      </c>
    </row>
    <row r="4082" spans="9:9" x14ac:dyDescent="0.25">
      <c r="I4082" s="42" t="str">
        <f t="shared" si="59"/>
        <v/>
      </c>
    </row>
    <row r="4083" spans="9:9" x14ac:dyDescent="0.25">
      <c r="I4083" s="42" t="str">
        <f t="shared" si="59"/>
        <v/>
      </c>
    </row>
    <row r="4084" spans="9:9" x14ac:dyDescent="0.25">
      <c r="I4084" s="42" t="str">
        <f t="shared" si="59"/>
        <v/>
      </c>
    </row>
    <row r="4085" spans="9:9" x14ac:dyDescent="0.25">
      <c r="I4085" s="42" t="str">
        <f t="shared" si="59"/>
        <v/>
      </c>
    </row>
    <row r="4086" spans="9:9" x14ac:dyDescent="0.25">
      <c r="I4086" s="42" t="str">
        <f t="shared" si="59"/>
        <v/>
      </c>
    </row>
    <row r="4087" spans="9:9" x14ac:dyDescent="0.25">
      <c r="I4087" s="42" t="str">
        <f t="shared" si="59"/>
        <v/>
      </c>
    </row>
    <row r="4088" spans="9:9" x14ac:dyDescent="0.25">
      <c r="I4088" s="42" t="str">
        <f t="shared" si="59"/>
        <v/>
      </c>
    </row>
    <row r="4089" spans="9:9" x14ac:dyDescent="0.25">
      <c r="I4089" s="42" t="str">
        <f t="shared" si="59"/>
        <v/>
      </c>
    </row>
    <row r="4090" spans="9:9" x14ac:dyDescent="0.25">
      <c r="I4090" s="42" t="str">
        <f t="shared" si="59"/>
        <v/>
      </c>
    </row>
    <row r="4091" spans="9:9" x14ac:dyDescent="0.25">
      <c r="I4091" s="42" t="str">
        <f t="shared" si="59"/>
        <v/>
      </c>
    </row>
    <row r="4092" spans="9:9" x14ac:dyDescent="0.25">
      <c r="I4092" s="42" t="str">
        <f t="shared" si="59"/>
        <v/>
      </c>
    </row>
    <row r="4093" spans="9:9" x14ac:dyDescent="0.25">
      <c r="I4093" s="42" t="str">
        <f t="shared" si="59"/>
        <v/>
      </c>
    </row>
    <row r="4094" spans="9:9" x14ac:dyDescent="0.25">
      <c r="I4094" s="42" t="str">
        <f t="shared" si="59"/>
        <v/>
      </c>
    </row>
    <row r="4095" spans="9:9" x14ac:dyDescent="0.25">
      <c r="I4095" s="42" t="str">
        <f t="shared" si="59"/>
        <v/>
      </c>
    </row>
    <row r="4096" spans="9:9" x14ac:dyDescent="0.25">
      <c r="I4096" s="42" t="str">
        <f t="shared" ref="I4096:I4159" si="60">IF(H4096&lt;&gt;"",H4096-H4095,"")</f>
        <v/>
      </c>
    </row>
    <row r="4097" spans="9:9" x14ac:dyDescent="0.25">
      <c r="I4097" s="42" t="str">
        <f t="shared" si="60"/>
        <v/>
      </c>
    </row>
    <row r="4098" spans="9:9" x14ac:dyDescent="0.25">
      <c r="I4098" s="42" t="str">
        <f t="shared" si="60"/>
        <v/>
      </c>
    </row>
    <row r="4099" spans="9:9" x14ac:dyDescent="0.25">
      <c r="I4099" s="42" t="str">
        <f t="shared" si="60"/>
        <v/>
      </c>
    </row>
    <row r="4100" spans="9:9" x14ac:dyDescent="0.25">
      <c r="I4100" s="42" t="str">
        <f t="shared" si="60"/>
        <v/>
      </c>
    </row>
    <row r="4101" spans="9:9" x14ac:dyDescent="0.25">
      <c r="I4101" s="42" t="str">
        <f t="shared" si="60"/>
        <v/>
      </c>
    </row>
    <row r="4102" spans="9:9" x14ac:dyDescent="0.25">
      <c r="I4102" s="42" t="str">
        <f t="shared" si="60"/>
        <v/>
      </c>
    </row>
    <row r="4103" spans="9:9" x14ac:dyDescent="0.25">
      <c r="I4103" s="42" t="str">
        <f t="shared" si="60"/>
        <v/>
      </c>
    </row>
    <row r="4104" spans="9:9" x14ac:dyDescent="0.25">
      <c r="I4104" s="42" t="str">
        <f t="shared" si="60"/>
        <v/>
      </c>
    </row>
    <row r="4105" spans="9:9" x14ac:dyDescent="0.25">
      <c r="I4105" s="42" t="str">
        <f t="shared" si="60"/>
        <v/>
      </c>
    </row>
    <row r="4106" spans="9:9" x14ac:dyDescent="0.25">
      <c r="I4106" s="42" t="str">
        <f t="shared" si="60"/>
        <v/>
      </c>
    </row>
    <row r="4107" spans="9:9" x14ac:dyDescent="0.25">
      <c r="I4107" s="42" t="str">
        <f t="shared" si="60"/>
        <v/>
      </c>
    </row>
    <row r="4108" spans="9:9" x14ac:dyDescent="0.25">
      <c r="I4108" s="42" t="str">
        <f t="shared" si="60"/>
        <v/>
      </c>
    </row>
    <row r="4109" spans="9:9" x14ac:dyDescent="0.25">
      <c r="I4109" s="42" t="str">
        <f t="shared" si="60"/>
        <v/>
      </c>
    </row>
    <row r="4110" spans="9:9" x14ac:dyDescent="0.25">
      <c r="I4110" s="42" t="str">
        <f t="shared" si="60"/>
        <v/>
      </c>
    </row>
    <row r="4111" spans="9:9" x14ac:dyDescent="0.25">
      <c r="I4111" s="42" t="str">
        <f t="shared" si="60"/>
        <v/>
      </c>
    </row>
    <row r="4112" spans="9:9" x14ac:dyDescent="0.25">
      <c r="I4112" s="42" t="str">
        <f t="shared" si="60"/>
        <v/>
      </c>
    </row>
    <row r="4113" spans="9:9" x14ac:dyDescent="0.25">
      <c r="I4113" s="42" t="str">
        <f t="shared" si="60"/>
        <v/>
      </c>
    </row>
    <row r="4114" spans="9:9" x14ac:dyDescent="0.25">
      <c r="I4114" s="42" t="str">
        <f t="shared" si="60"/>
        <v/>
      </c>
    </row>
    <row r="4115" spans="9:9" x14ac:dyDescent="0.25">
      <c r="I4115" s="42" t="str">
        <f t="shared" si="60"/>
        <v/>
      </c>
    </row>
    <row r="4116" spans="9:9" x14ac:dyDescent="0.25">
      <c r="I4116" s="42" t="str">
        <f t="shared" si="60"/>
        <v/>
      </c>
    </row>
    <row r="4117" spans="9:9" x14ac:dyDescent="0.25">
      <c r="I4117" s="42" t="str">
        <f t="shared" si="60"/>
        <v/>
      </c>
    </row>
    <row r="4118" spans="9:9" x14ac:dyDescent="0.25">
      <c r="I4118" s="42" t="str">
        <f t="shared" si="60"/>
        <v/>
      </c>
    </row>
    <row r="4119" spans="9:9" x14ac:dyDescent="0.25">
      <c r="I4119" s="42" t="str">
        <f t="shared" si="60"/>
        <v/>
      </c>
    </row>
    <row r="4120" spans="9:9" x14ac:dyDescent="0.25">
      <c r="I4120" s="42" t="str">
        <f t="shared" si="60"/>
        <v/>
      </c>
    </row>
    <row r="4121" spans="9:9" x14ac:dyDescent="0.25">
      <c r="I4121" s="42" t="str">
        <f t="shared" si="60"/>
        <v/>
      </c>
    </row>
    <row r="4122" spans="9:9" x14ac:dyDescent="0.25">
      <c r="I4122" s="42" t="str">
        <f t="shared" si="60"/>
        <v/>
      </c>
    </row>
    <row r="4123" spans="9:9" x14ac:dyDescent="0.25">
      <c r="I4123" s="42" t="str">
        <f t="shared" si="60"/>
        <v/>
      </c>
    </row>
    <row r="4124" spans="9:9" x14ac:dyDescent="0.25">
      <c r="I4124" s="42" t="str">
        <f t="shared" si="60"/>
        <v/>
      </c>
    </row>
    <row r="4125" spans="9:9" x14ac:dyDescent="0.25">
      <c r="I4125" s="42" t="str">
        <f t="shared" si="60"/>
        <v/>
      </c>
    </row>
    <row r="4126" spans="9:9" x14ac:dyDescent="0.25">
      <c r="I4126" s="42" t="str">
        <f t="shared" si="60"/>
        <v/>
      </c>
    </row>
    <row r="4127" spans="9:9" x14ac:dyDescent="0.25">
      <c r="I4127" s="42" t="str">
        <f t="shared" si="60"/>
        <v/>
      </c>
    </row>
    <row r="4128" spans="9:9" x14ac:dyDescent="0.25">
      <c r="I4128" s="42" t="str">
        <f t="shared" si="60"/>
        <v/>
      </c>
    </row>
    <row r="4129" spans="9:9" x14ac:dyDescent="0.25">
      <c r="I4129" s="42" t="str">
        <f t="shared" si="60"/>
        <v/>
      </c>
    </row>
    <row r="4130" spans="9:9" x14ac:dyDescent="0.25">
      <c r="I4130" s="42" t="str">
        <f t="shared" si="60"/>
        <v/>
      </c>
    </row>
    <row r="4131" spans="9:9" x14ac:dyDescent="0.25">
      <c r="I4131" s="42" t="str">
        <f t="shared" si="60"/>
        <v/>
      </c>
    </row>
    <row r="4132" spans="9:9" x14ac:dyDescent="0.25">
      <c r="I4132" s="42" t="str">
        <f t="shared" si="60"/>
        <v/>
      </c>
    </row>
    <row r="4133" spans="9:9" x14ac:dyDescent="0.25">
      <c r="I4133" s="42" t="str">
        <f t="shared" si="60"/>
        <v/>
      </c>
    </row>
    <row r="4134" spans="9:9" x14ac:dyDescent="0.25">
      <c r="I4134" s="42" t="str">
        <f t="shared" si="60"/>
        <v/>
      </c>
    </row>
    <row r="4135" spans="9:9" x14ac:dyDescent="0.25">
      <c r="I4135" s="42" t="str">
        <f t="shared" si="60"/>
        <v/>
      </c>
    </row>
    <row r="4136" spans="9:9" x14ac:dyDescent="0.25">
      <c r="I4136" s="42" t="str">
        <f t="shared" si="60"/>
        <v/>
      </c>
    </row>
    <row r="4137" spans="9:9" x14ac:dyDescent="0.25">
      <c r="I4137" s="42" t="str">
        <f t="shared" si="60"/>
        <v/>
      </c>
    </row>
    <row r="4138" spans="9:9" x14ac:dyDescent="0.25">
      <c r="I4138" s="42" t="str">
        <f t="shared" si="60"/>
        <v/>
      </c>
    </row>
    <row r="4139" spans="9:9" x14ac:dyDescent="0.25">
      <c r="I4139" s="42" t="str">
        <f t="shared" si="60"/>
        <v/>
      </c>
    </row>
    <row r="4140" spans="9:9" x14ac:dyDescent="0.25">
      <c r="I4140" s="42" t="str">
        <f t="shared" si="60"/>
        <v/>
      </c>
    </row>
    <row r="4141" spans="9:9" x14ac:dyDescent="0.25">
      <c r="I4141" s="42" t="str">
        <f t="shared" si="60"/>
        <v/>
      </c>
    </row>
    <row r="4142" spans="9:9" x14ac:dyDescent="0.25">
      <c r="I4142" s="42" t="str">
        <f t="shared" si="60"/>
        <v/>
      </c>
    </row>
    <row r="4143" spans="9:9" x14ac:dyDescent="0.25">
      <c r="I4143" s="42" t="str">
        <f t="shared" si="60"/>
        <v/>
      </c>
    </row>
    <row r="4144" spans="9:9" x14ac:dyDescent="0.25">
      <c r="I4144" s="42" t="str">
        <f t="shared" si="60"/>
        <v/>
      </c>
    </row>
    <row r="4145" spans="9:9" x14ac:dyDescent="0.25">
      <c r="I4145" s="42" t="str">
        <f t="shared" si="60"/>
        <v/>
      </c>
    </row>
    <row r="4146" spans="9:9" x14ac:dyDescent="0.25">
      <c r="I4146" s="42" t="str">
        <f t="shared" si="60"/>
        <v/>
      </c>
    </row>
    <row r="4147" spans="9:9" x14ac:dyDescent="0.25">
      <c r="I4147" s="42" t="str">
        <f t="shared" si="60"/>
        <v/>
      </c>
    </row>
    <row r="4148" spans="9:9" x14ac:dyDescent="0.25">
      <c r="I4148" s="42" t="str">
        <f t="shared" si="60"/>
        <v/>
      </c>
    </row>
    <row r="4149" spans="9:9" x14ac:dyDescent="0.25">
      <c r="I4149" s="42" t="str">
        <f t="shared" si="60"/>
        <v/>
      </c>
    </row>
    <row r="4150" spans="9:9" x14ac:dyDescent="0.25">
      <c r="I4150" s="42" t="str">
        <f t="shared" si="60"/>
        <v/>
      </c>
    </row>
    <row r="4151" spans="9:9" x14ac:dyDescent="0.25">
      <c r="I4151" s="42" t="str">
        <f t="shared" si="60"/>
        <v/>
      </c>
    </row>
    <row r="4152" spans="9:9" x14ac:dyDescent="0.25">
      <c r="I4152" s="42" t="str">
        <f t="shared" si="60"/>
        <v/>
      </c>
    </row>
    <row r="4153" spans="9:9" x14ac:dyDescent="0.25">
      <c r="I4153" s="42" t="str">
        <f t="shared" si="60"/>
        <v/>
      </c>
    </row>
    <row r="4154" spans="9:9" x14ac:dyDescent="0.25">
      <c r="I4154" s="42" t="str">
        <f t="shared" si="60"/>
        <v/>
      </c>
    </row>
    <row r="4155" spans="9:9" x14ac:dyDescent="0.25">
      <c r="I4155" s="42" t="str">
        <f t="shared" si="60"/>
        <v/>
      </c>
    </row>
    <row r="4156" spans="9:9" x14ac:dyDescent="0.25">
      <c r="I4156" s="42" t="str">
        <f t="shared" si="60"/>
        <v/>
      </c>
    </row>
    <row r="4157" spans="9:9" x14ac:dyDescent="0.25">
      <c r="I4157" s="42" t="str">
        <f t="shared" si="60"/>
        <v/>
      </c>
    </row>
    <row r="4158" spans="9:9" x14ac:dyDescent="0.25">
      <c r="I4158" s="42" t="str">
        <f t="shared" si="60"/>
        <v/>
      </c>
    </row>
    <row r="4159" spans="9:9" x14ac:dyDescent="0.25">
      <c r="I4159" s="42" t="str">
        <f t="shared" si="60"/>
        <v/>
      </c>
    </row>
    <row r="4160" spans="9:9" x14ac:dyDescent="0.25">
      <c r="I4160" s="42" t="str">
        <f t="shared" ref="I4160:I4223" si="61">IF(H4160&lt;&gt;"",H4160-H4159,"")</f>
        <v/>
      </c>
    </row>
    <row r="4161" spans="9:9" x14ac:dyDescent="0.25">
      <c r="I4161" s="42" t="str">
        <f t="shared" si="61"/>
        <v/>
      </c>
    </row>
    <row r="4162" spans="9:9" x14ac:dyDescent="0.25">
      <c r="I4162" s="42" t="str">
        <f t="shared" si="61"/>
        <v/>
      </c>
    </row>
    <row r="4163" spans="9:9" x14ac:dyDescent="0.25">
      <c r="I4163" s="42" t="str">
        <f t="shared" si="61"/>
        <v/>
      </c>
    </row>
    <row r="4164" spans="9:9" x14ac:dyDescent="0.25">
      <c r="I4164" s="42" t="str">
        <f t="shared" si="61"/>
        <v/>
      </c>
    </row>
    <row r="4165" spans="9:9" x14ac:dyDescent="0.25">
      <c r="I4165" s="42" t="str">
        <f t="shared" si="61"/>
        <v/>
      </c>
    </row>
    <row r="4166" spans="9:9" x14ac:dyDescent="0.25">
      <c r="I4166" s="42" t="str">
        <f t="shared" si="61"/>
        <v/>
      </c>
    </row>
    <row r="4167" spans="9:9" x14ac:dyDescent="0.25">
      <c r="I4167" s="42" t="str">
        <f t="shared" si="61"/>
        <v/>
      </c>
    </row>
    <row r="4168" spans="9:9" x14ac:dyDescent="0.25">
      <c r="I4168" s="42" t="str">
        <f t="shared" si="61"/>
        <v/>
      </c>
    </row>
    <row r="4169" spans="9:9" x14ac:dyDescent="0.25">
      <c r="I4169" s="42" t="str">
        <f t="shared" si="61"/>
        <v/>
      </c>
    </row>
    <row r="4170" spans="9:9" x14ac:dyDescent="0.25">
      <c r="I4170" s="42" t="str">
        <f t="shared" si="61"/>
        <v/>
      </c>
    </row>
    <row r="4171" spans="9:9" x14ac:dyDescent="0.25">
      <c r="I4171" s="42" t="str">
        <f t="shared" si="61"/>
        <v/>
      </c>
    </row>
    <row r="4172" spans="9:9" x14ac:dyDescent="0.25">
      <c r="I4172" s="42" t="str">
        <f t="shared" si="61"/>
        <v/>
      </c>
    </row>
    <row r="4173" spans="9:9" x14ac:dyDescent="0.25">
      <c r="I4173" s="42" t="str">
        <f t="shared" si="61"/>
        <v/>
      </c>
    </row>
    <row r="4174" spans="9:9" x14ac:dyDescent="0.25">
      <c r="I4174" s="42" t="str">
        <f t="shared" si="61"/>
        <v/>
      </c>
    </row>
    <row r="4175" spans="9:9" x14ac:dyDescent="0.25">
      <c r="I4175" s="42" t="str">
        <f t="shared" si="61"/>
        <v/>
      </c>
    </row>
    <row r="4176" spans="9:9" x14ac:dyDescent="0.25">
      <c r="I4176" s="42" t="str">
        <f t="shared" si="61"/>
        <v/>
      </c>
    </row>
    <row r="4177" spans="9:9" x14ac:dyDescent="0.25">
      <c r="I4177" s="42" t="str">
        <f t="shared" si="61"/>
        <v/>
      </c>
    </row>
    <row r="4178" spans="9:9" x14ac:dyDescent="0.25">
      <c r="I4178" s="42" t="str">
        <f t="shared" si="61"/>
        <v/>
      </c>
    </row>
    <row r="4179" spans="9:9" x14ac:dyDescent="0.25">
      <c r="I4179" s="42" t="str">
        <f t="shared" si="61"/>
        <v/>
      </c>
    </row>
    <row r="4180" spans="9:9" x14ac:dyDescent="0.25">
      <c r="I4180" s="42" t="str">
        <f t="shared" si="61"/>
        <v/>
      </c>
    </row>
    <row r="4181" spans="9:9" x14ac:dyDescent="0.25">
      <c r="I4181" s="42" t="str">
        <f t="shared" si="61"/>
        <v/>
      </c>
    </row>
    <row r="4182" spans="9:9" x14ac:dyDescent="0.25">
      <c r="I4182" s="42" t="str">
        <f t="shared" si="61"/>
        <v/>
      </c>
    </row>
    <row r="4183" spans="9:9" x14ac:dyDescent="0.25">
      <c r="I4183" s="42" t="str">
        <f t="shared" si="61"/>
        <v/>
      </c>
    </row>
    <row r="4184" spans="9:9" x14ac:dyDescent="0.25">
      <c r="I4184" s="42" t="str">
        <f t="shared" si="61"/>
        <v/>
      </c>
    </row>
    <row r="4185" spans="9:9" x14ac:dyDescent="0.25">
      <c r="I4185" s="42" t="str">
        <f t="shared" si="61"/>
        <v/>
      </c>
    </row>
    <row r="4186" spans="9:9" x14ac:dyDescent="0.25">
      <c r="I4186" s="42" t="str">
        <f t="shared" si="61"/>
        <v/>
      </c>
    </row>
    <row r="4187" spans="9:9" x14ac:dyDescent="0.25">
      <c r="I4187" s="42" t="str">
        <f t="shared" si="61"/>
        <v/>
      </c>
    </row>
    <row r="4188" spans="9:9" x14ac:dyDescent="0.25">
      <c r="I4188" s="42" t="str">
        <f t="shared" si="61"/>
        <v/>
      </c>
    </row>
    <row r="4189" spans="9:9" x14ac:dyDescent="0.25">
      <c r="I4189" s="42" t="str">
        <f t="shared" si="61"/>
        <v/>
      </c>
    </row>
    <row r="4190" spans="9:9" x14ac:dyDescent="0.25">
      <c r="I4190" s="42" t="str">
        <f t="shared" si="61"/>
        <v/>
      </c>
    </row>
    <row r="4191" spans="9:9" x14ac:dyDescent="0.25">
      <c r="I4191" s="42" t="str">
        <f t="shared" si="61"/>
        <v/>
      </c>
    </row>
    <row r="4192" spans="9:9" x14ac:dyDescent="0.25">
      <c r="I4192" s="42" t="str">
        <f t="shared" si="61"/>
        <v/>
      </c>
    </row>
    <row r="4193" spans="9:9" x14ac:dyDescent="0.25">
      <c r="I4193" s="42" t="str">
        <f t="shared" si="61"/>
        <v/>
      </c>
    </row>
    <row r="4194" spans="9:9" x14ac:dyDescent="0.25">
      <c r="I4194" s="42" t="str">
        <f t="shared" si="61"/>
        <v/>
      </c>
    </row>
    <row r="4195" spans="9:9" x14ac:dyDescent="0.25">
      <c r="I4195" s="42" t="str">
        <f t="shared" si="61"/>
        <v/>
      </c>
    </row>
    <row r="4196" spans="9:9" x14ac:dyDescent="0.25">
      <c r="I4196" s="42" t="str">
        <f t="shared" si="61"/>
        <v/>
      </c>
    </row>
    <row r="4197" spans="9:9" x14ac:dyDescent="0.25">
      <c r="I4197" s="42" t="str">
        <f t="shared" si="61"/>
        <v/>
      </c>
    </row>
    <row r="4198" spans="9:9" x14ac:dyDescent="0.25">
      <c r="I4198" s="42" t="str">
        <f t="shared" si="61"/>
        <v/>
      </c>
    </row>
    <row r="4199" spans="9:9" x14ac:dyDescent="0.25">
      <c r="I4199" s="42" t="str">
        <f t="shared" si="61"/>
        <v/>
      </c>
    </row>
    <row r="4200" spans="9:9" x14ac:dyDescent="0.25">
      <c r="I4200" s="42" t="str">
        <f t="shared" si="61"/>
        <v/>
      </c>
    </row>
    <row r="4201" spans="9:9" x14ac:dyDescent="0.25">
      <c r="I4201" s="42" t="str">
        <f t="shared" si="61"/>
        <v/>
      </c>
    </row>
    <row r="4202" spans="9:9" x14ac:dyDescent="0.25">
      <c r="I4202" s="42" t="str">
        <f t="shared" si="61"/>
        <v/>
      </c>
    </row>
    <row r="4203" spans="9:9" x14ac:dyDescent="0.25">
      <c r="I4203" s="42" t="str">
        <f t="shared" si="61"/>
        <v/>
      </c>
    </row>
    <row r="4204" spans="9:9" x14ac:dyDescent="0.25">
      <c r="I4204" s="42" t="str">
        <f t="shared" si="61"/>
        <v/>
      </c>
    </row>
    <row r="4205" spans="9:9" x14ac:dyDescent="0.25">
      <c r="I4205" s="42" t="str">
        <f t="shared" si="61"/>
        <v/>
      </c>
    </row>
    <row r="4206" spans="9:9" x14ac:dyDescent="0.25">
      <c r="I4206" s="42" t="str">
        <f t="shared" si="61"/>
        <v/>
      </c>
    </row>
    <row r="4207" spans="9:9" x14ac:dyDescent="0.25">
      <c r="I4207" s="42" t="str">
        <f t="shared" si="61"/>
        <v/>
      </c>
    </row>
    <row r="4208" spans="9:9" x14ac:dyDescent="0.25">
      <c r="I4208" s="42" t="str">
        <f t="shared" si="61"/>
        <v/>
      </c>
    </row>
    <row r="4209" spans="9:9" x14ac:dyDescent="0.25">
      <c r="I4209" s="42" t="str">
        <f t="shared" si="61"/>
        <v/>
      </c>
    </row>
    <row r="4210" spans="9:9" x14ac:dyDescent="0.25">
      <c r="I4210" s="42" t="str">
        <f t="shared" si="61"/>
        <v/>
      </c>
    </row>
    <row r="4211" spans="9:9" x14ac:dyDescent="0.25">
      <c r="I4211" s="42" t="str">
        <f t="shared" si="61"/>
        <v/>
      </c>
    </row>
    <row r="4212" spans="9:9" x14ac:dyDescent="0.25">
      <c r="I4212" s="42" t="str">
        <f t="shared" si="61"/>
        <v/>
      </c>
    </row>
    <row r="4213" spans="9:9" x14ac:dyDescent="0.25">
      <c r="I4213" s="42" t="str">
        <f t="shared" si="61"/>
        <v/>
      </c>
    </row>
    <row r="4214" spans="9:9" x14ac:dyDescent="0.25">
      <c r="I4214" s="42" t="str">
        <f t="shared" si="61"/>
        <v/>
      </c>
    </row>
    <row r="4215" spans="9:9" x14ac:dyDescent="0.25">
      <c r="I4215" s="42" t="str">
        <f t="shared" si="61"/>
        <v/>
      </c>
    </row>
    <row r="4216" spans="9:9" x14ac:dyDescent="0.25">
      <c r="I4216" s="42" t="str">
        <f t="shared" si="61"/>
        <v/>
      </c>
    </row>
    <row r="4217" spans="9:9" x14ac:dyDescent="0.25">
      <c r="I4217" s="42" t="str">
        <f t="shared" si="61"/>
        <v/>
      </c>
    </row>
    <row r="4218" spans="9:9" x14ac:dyDescent="0.25">
      <c r="I4218" s="42" t="str">
        <f t="shared" si="61"/>
        <v/>
      </c>
    </row>
    <row r="4219" spans="9:9" x14ac:dyDescent="0.25">
      <c r="I4219" s="42" t="str">
        <f t="shared" si="61"/>
        <v/>
      </c>
    </row>
    <row r="4220" spans="9:9" x14ac:dyDescent="0.25">
      <c r="I4220" s="42" t="str">
        <f t="shared" si="61"/>
        <v/>
      </c>
    </row>
    <row r="4221" spans="9:9" x14ac:dyDescent="0.25">
      <c r="I4221" s="42" t="str">
        <f t="shared" si="61"/>
        <v/>
      </c>
    </row>
    <row r="4222" spans="9:9" x14ac:dyDescent="0.25">
      <c r="I4222" s="42" t="str">
        <f t="shared" si="61"/>
        <v/>
      </c>
    </row>
    <row r="4223" spans="9:9" x14ac:dyDescent="0.25">
      <c r="I4223" s="42" t="str">
        <f t="shared" si="61"/>
        <v/>
      </c>
    </row>
    <row r="4224" spans="9:9" x14ac:dyDescent="0.25">
      <c r="I4224" s="42" t="str">
        <f t="shared" ref="I4224:I4287" si="62">IF(H4224&lt;&gt;"",H4224-H4223,"")</f>
        <v/>
      </c>
    </row>
    <row r="4225" spans="9:9" x14ac:dyDescent="0.25">
      <c r="I4225" s="42" t="str">
        <f t="shared" si="62"/>
        <v/>
      </c>
    </row>
    <row r="4226" spans="9:9" x14ac:dyDescent="0.25">
      <c r="I4226" s="42" t="str">
        <f t="shared" si="62"/>
        <v/>
      </c>
    </row>
    <row r="4227" spans="9:9" x14ac:dyDescent="0.25">
      <c r="I4227" s="42" t="str">
        <f t="shared" si="62"/>
        <v/>
      </c>
    </row>
    <row r="4228" spans="9:9" x14ac:dyDescent="0.25">
      <c r="I4228" s="42" t="str">
        <f t="shared" si="62"/>
        <v/>
      </c>
    </row>
    <row r="4229" spans="9:9" x14ac:dyDescent="0.25">
      <c r="I4229" s="42" t="str">
        <f t="shared" si="62"/>
        <v/>
      </c>
    </row>
    <row r="4230" spans="9:9" x14ac:dyDescent="0.25">
      <c r="I4230" s="42" t="str">
        <f t="shared" si="62"/>
        <v/>
      </c>
    </row>
    <row r="4231" spans="9:9" x14ac:dyDescent="0.25">
      <c r="I4231" s="42" t="str">
        <f t="shared" si="62"/>
        <v/>
      </c>
    </row>
    <row r="4232" spans="9:9" x14ac:dyDescent="0.25">
      <c r="I4232" s="42" t="str">
        <f t="shared" si="62"/>
        <v/>
      </c>
    </row>
    <row r="4233" spans="9:9" x14ac:dyDescent="0.25">
      <c r="I4233" s="42" t="str">
        <f t="shared" si="62"/>
        <v/>
      </c>
    </row>
    <row r="4234" spans="9:9" x14ac:dyDescent="0.25">
      <c r="I4234" s="42" t="str">
        <f t="shared" si="62"/>
        <v/>
      </c>
    </row>
    <row r="4235" spans="9:9" x14ac:dyDescent="0.25">
      <c r="I4235" s="42" t="str">
        <f t="shared" si="62"/>
        <v/>
      </c>
    </row>
    <row r="4236" spans="9:9" x14ac:dyDescent="0.25">
      <c r="I4236" s="42" t="str">
        <f t="shared" si="62"/>
        <v/>
      </c>
    </row>
    <row r="4237" spans="9:9" x14ac:dyDescent="0.25">
      <c r="I4237" s="42" t="str">
        <f t="shared" si="62"/>
        <v/>
      </c>
    </row>
    <row r="4238" spans="9:9" x14ac:dyDescent="0.25">
      <c r="I4238" s="42" t="str">
        <f t="shared" si="62"/>
        <v/>
      </c>
    </row>
    <row r="4239" spans="9:9" x14ac:dyDescent="0.25">
      <c r="I4239" s="42" t="str">
        <f t="shared" si="62"/>
        <v/>
      </c>
    </row>
    <row r="4240" spans="9:9" x14ac:dyDescent="0.25">
      <c r="I4240" s="42" t="str">
        <f t="shared" si="62"/>
        <v/>
      </c>
    </row>
    <row r="4241" spans="9:9" x14ac:dyDescent="0.25">
      <c r="I4241" s="42" t="str">
        <f t="shared" si="62"/>
        <v/>
      </c>
    </row>
    <row r="4242" spans="9:9" x14ac:dyDescent="0.25">
      <c r="I4242" s="42" t="str">
        <f t="shared" si="62"/>
        <v/>
      </c>
    </row>
    <row r="4243" spans="9:9" x14ac:dyDescent="0.25">
      <c r="I4243" s="42" t="str">
        <f t="shared" si="62"/>
        <v/>
      </c>
    </row>
    <row r="4244" spans="9:9" x14ac:dyDescent="0.25">
      <c r="I4244" s="42" t="str">
        <f t="shared" si="62"/>
        <v/>
      </c>
    </row>
    <row r="4245" spans="9:9" x14ac:dyDescent="0.25">
      <c r="I4245" s="42" t="str">
        <f t="shared" si="62"/>
        <v/>
      </c>
    </row>
    <row r="4246" spans="9:9" x14ac:dyDescent="0.25">
      <c r="I4246" s="42" t="str">
        <f t="shared" si="62"/>
        <v/>
      </c>
    </row>
    <row r="4247" spans="9:9" x14ac:dyDescent="0.25">
      <c r="I4247" s="42" t="str">
        <f t="shared" si="62"/>
        <v/>
      </c>
    </row>
    <row r="4248" spans="9:9" x14ac:dyDescent="0.25">
      <c r="I4248" s="42" t="str">
        <f t="shared" si="62"/>
        <v/>
      </c>
    </row>
    <row r="4249" spans="9:9" x14ac:dyDescent="0.25">
      <c r="I4249" s="42" t="str">
        <f t="shared" si="62"/>
        <v/>
      </c>
    </row>
    <row r="4250" spans="9:9" x14ac:dyDescent="0.25">
      <c r="I4250" s="42" t="str">
        <f t="shared" si="62"/>
        <v/>
      </c>
    </row>
    <row r="4251" spans="9:9" x14ac:dyDescent="0.25">
      <c r="I4251" s="42" t="str">
        <f t="shared" si="62"/>
        <v/>
      </c>
    </row>
    <row r="4252" spans="9:9" x14ac:dyDescent="0.25">
      <c r="I4252" s="42" t="str">
        <f t="shared" si="62"/>
        <v/>
      </c>
    </row>
    <row r="4253" spans="9:9" x14ac:dyDescent="0.25">
      <c r="I4253" s="42" t="str">
        <f t="shared" si="62"/>
        <v/>
      </c>
    </row>
    <row r="4254" spans="9:9" x14ac:dyDescent="0.25">
      <c r="I4254" s="42" t="str">
        <f t="shared" si="62"/>
        <v/>
      </c>
    </row>
    <row r="4255" spans="9:9" x14ac:dyDescent="0.25">
      <c r="I4255" s="42" t="str">
        <f t="shared" si="62"/>
        <v/>
      </c>
    </row>
    <row r="4256" spans="9:9" x14ac:dyDescent="0.25">
      <c r="I4256" s="42" t="str">
        <f t="shared" si="62"/>
        <v/>
      </c>
    </row>
    <row r="4257" spans="9:9" x14ac:dyDescent="0.25">
      <c r="I4257" s="42" t="str">
        <f t="shared" si="62"/>
        <v/>
      </c>
    </row>
    <row r="4258" spans="9:9" x14ac:dyDescent="0.25">
      <c r="I4258" s="42" t="str">
        <f t="shared" si="62"/>
        <v/>
      </c>
    </row>
    <row r="4259" spans="9:9" x14ac:dyDescent="0.25">
      <c r="I4259" s="42" t="str">
        <f t="shared" si="62"/>
        <v/>
      </c>
    </row>
    <row r="4260" spans="9:9" x14ac:dyDescent="0.25">
      <c r="I4260" s="42" t="str">
        <f t="shared" si="62"/>
        <v/>
      </c>
    </row>
    <row r="4261" spans="9:9" x14ac:dyDescent="0.25">
      <c r="I4261" s="42" t="str">
        <f t="shared" si="62"/>
        <v/>
      </c>
    </row>
    <row r="4262" spans="9:9" x14ac:dyDescent="0.25">
      <c r="I4262" s="42" t="str">
        <f t="shared" si="62"/>
        <v/>
      </c>
    </row>
    <row r="4263" spans="9:9" x14ac:dyDescent="0.25">
      <c r="I4263" s="42" t="str">
        <f t="shared" si="62"/>
        <v/>
      </c>
    </row>
    <row r="4264" spans="9:9" x14ac:dyDescent="0.25">
      <c r="I4264" s="42" t="str">
        <f t="shared" si="62"/>
        <v/>
      </c>
    </row>
    <row r="4265" spans="9:9" x14ac:dyDescent="0.25">
      <c r="I4265" s="42" t="str">
        <f t="shared" si="62"/>
        <v/>
      </c>
    </row>
    <row r="4266" spans="9:9" x14ac:dyDescent="0.25">
      <c r="I4266" s="42" t="str">
        <f t="shared" si="62"/>
        <v/>
      </c>
    </row>
    <row r="4267" spans="9:9" x14ac:dyDescent="0.25">
      <c r="I4267" s="42" t="str">
        <f t="shared" si="62"/>
        <v/>
      </c>
    </row>
    <row r="4268" spans="9:9" x14ac:dyDescent="0.25">
      <c r="I4268" s="42" t="str">
        <f t="shared" si="62"/>
        <v/>
      </c>
    </row>
    <row r="4269" spans="9:9" x14ac:dyDescent="0.25">
      <c r="I4269" s="42" t="str">
        <f t="shared" si="62"/>
        <v/>
      </c>
    </row>
    <row r="4270" spans="9:9" x14ac:dyDescent="0.25">
      <c r="I4270" s="42" t="str">
        <f t="shared" si="62"/>
        <v/>
      </c>
    </row>
    <row r="4271" spans="9:9" x14ac:dyDescent="0.25">
      <c r="I4271" s="42" t="str">
        <f t="shared" si="62"/>
        <v/>
      </c>
    </row>
    <row r="4272" spans="9:9" x14ac:dyDescent="0.25">
      <c r="I4272" s="42" t="str">
        <f t="shared" si="62"/>
        <v/>
      </c>
    </row>
    <row r="4273" spans="9:9" x14ac:dyDescent="0.25">
      <c r="I4273" s="42" t="str">
        <f t="shared" si="62"/>
        <v/>
      </c>
    </row>
    <row r="4274" spans="9:9" x14ac:dyDescent="0.25">
      <c r="I4274" s="42" t="str">
        <f t="shared" si="62"/>
        <v/>
      </c>
    </row>
    <row r="4275" spans="9:9" x14ac:dyDescent="0.25">
      <c r="I4275" s="42" t="str">
        <f t="shared" si="62"/>
        <v/>
      </c>
    </row>
    <row r="4276" spans="9:9" x14ac:dyDescent="0.25">
      <c r="I4276" s="42" t="str">
        <f t="shared" si="62"/>
        <v/>
      </c>
    </row>
    <row r="4277" spans="9:9" x14ac:dyDescent="0.25">
      <c r="I4277" s="42" t="str">
        <f t="shared" si="62"/>
        <v/>
      </c>
    </row>
    <row r="4278" spans="9:9" x14ac:dyDescent="0.25">
      <c r="I4278" s="42" t="str">
        <f t="shared" si="62"/>
        <v/>
      </c>
    </row>
    <row r="4279" spans="9:9" x14ac:dyDescent="0.25">
      <c r="I4279" s="42" t="str">
        <f t="shared" si="62"/>
        <v/>
      </c>
    </row>
    <row r="4280" spans="9:9" x14ac:dyDescent="0.25">
      <c r="I4280" s="42" t="str">
        <f t="shared" si="62"/>
        <v/>
      </c>
    </row>
    <row r="4281" spans="9:9" x14ac:dyDescent="0.25">
      <c r="I4281" s="42" t="str">
        <f t="shared" si="62"/>
        <v/>
      </c>
    </row>
    <row r="4282" spans="9:9" x14ac:dyDescent="0.25">
      <c r="I4282" s="42" t="str">
        <f t="shared" si="62"/>
        <v/>
      </c>
    </row>
    <row r="4283" spans="9:9" x14ac:dyDescent="0.25">
      <c r="I4283" s="42" t="str">
        <f t="shared" si="62"/>
        <v/>
      </c>
    </row>
    <row r="4284" spans="9:9" x14ac:dyDescent="0.25">
      <c r="I4284" s="42" t="str">
        <f t="shared" si="62"/>
        <v/>
      </c>
    </row>
    <row r="4285" spans="9:9" x14ac:dyDescent="0.25">
      <c r="I4285" s="42" t="str">
        <f t="shared" si="62"/>
        <v/>
      </c>
    </row>
    <row r="4286" spans="9:9" x14ac:dyDescent="0.25">
      <c r="I4286" s="42" t="str">
        <f t="shared" si="62"/>
        <v/>
      </c>
    </row>
    <row r="4287" spans="9:9" x14ac:dyDescent="0.25">
      <c r="I4287" s="42" t="str">
        <f t="shared" si="62"/>
        <v/>
      </c>
    </row>
    <row r="4288" spans="9:9" x14ac:dyDescent="0.25">
      <c r="I4288" s="42" t="str">
        <f t="shared" ref="I4288:I4351" si="63">IF(H4288&lt;&gt;"",H4288-H4287,"")</f>
        <v/>
      </c>
    </row>
    <row r="4289" spans="9:9" x14ac:dyDescent="0.25">
      <c r="I4289" s="42" t="str">
        <f t="shared" si="63"/>
        <v/>
      </c>
    </row>
    <row r="4290" spans="9:9" x14ac:dyDescent="0.25">
      <c r="I4290" s="42" t="str">
        <f t="shared" si="63"/>
        <v/>
      </c>
    </row>
    <row r="4291" spans="9:9" x14ac:dyDescent="0.25">
      <c r="I4291" s="42" t="str">
        <f t="shared" si="63"/>
        <v/>
      </c>
    </row>
    <row r="4292" spans="9:9" x14ac:dyDescent="0.25">
      <c r="I4292" s="42" t="str">
        <f t="shared" si="63"/>
        <v/>
      </c>
    </row>
    <row r="4293" spans="9:9" x14ac:dyDescent="0.25">
      <c r="I4293" s="42" t="str">
        <f t="shared" si="63"/>
        <v/>
      </c>
    </row>
    <row r="4294" spans="9:9" x14ac:dyDescent="0.25">
      <c r="I4294" s="42" t="str">
        <f t="shared" si="63"/>
        <v/>
      </c>
    </row>
    <row r="4295" spans="9:9" x14ac:dyDescent="0.25">
      <c r="I4295" s="42" t="str">
        <f t="shared" si="63"/>
        <v/>
      </c>
    </row>
    <row r="4296" spans="9:9" x14ac:dyDescent="0.25">
      <c r="I4296" s="42" t="str">
        <f t="shared" si="63"/>
        <v/>
      </c>
    </row>
    <row r="4297" spans="9:9" x14ac:dyDescent="0.25">
      <c r="I4297" s="42" t="str">
        <f t="shared" si="63"/>
        <v/>
      </c>
    </row>
    <row r="4298" spans="9:9" x14ac:dyDescent="0.25">
      <c r="I4298" s="42" t="str">
        <f t="shared" si="63"/>
        <v/>
      </c>
    </row>
    <row r="4299" spans="9:9" x14ac:dyDescent="0.25">
      <c r="I4299" s="42" t="str">
        <f t="shared" si="63"/>
        <v/>
      </c>
    </row>
    <row r="4300" spans="9:9" x14ac:dyDescent="0.25">
      <c r="I4300" s="42" t="str">
        <f t="shared" si="63"/>
        <v/>
      </c>
    </row>
    <row r="4301" spans="9:9" x14ac:dyDescent="0.25">
      <c r="I4301" s="42" t="str">
        <f t="shared" si="63"/>
        <v/>
      </c>
    </row>
    <row r="4302" spans="9:9" x14ac:dyDescent="0.25">
      <c r="I4302" s="42" t="str">
        <f t="shared" si="63"/>
        <v/>
      </c>
    </row>
    <row r="4303" spans="9:9" x14ac:dyDescent="0.25">
      <c r="I4303" s="42" t="str">
        <f t="shared" si="63"/>
        <v/>
      </c>
    </row>
    <row r="4304" spans="9:9" x14ac:dyDescent="0.25">
      <c r="I4304" s="42" t="str">
        <f t="shared" si="63"/>
        <v/>
      </c>
    </row>
    <row r="4305" spans="9:9" x14ac:dyDescent="0.25">
      <c r="I4305" s="42" t="str">
        <f t="shared" si="63"/>
        <v/>
      </c>
    </row>
    <row r="4306" spans="9:9" x14ac:dyDescent="0.25">
      <c r="I4306" s="42" t="str">
        <f t="shared" si="63"/>
        <v/>
      </c>
    </row>
    <row r="4307" spans="9:9" x14ac:dyDescent="0.25">
      <c r="I4307" s="42" t="str">
        <f t="shared" si="63"/>
        <v/>
      </c>
    </row>
    <row r="4308" spans="9:9" x14ac:dyDescent="0.25">
      <c r="I4308" s="42" t="str">
        <f t="shared" si="63"/>
        <v/>
      </c>
    </row>
    <row r="4309" spans="9:9" x14ac:dyDescent="0.25">
      <c r="I4309" s="42" t="str">
        <f t="shared" si="63"/>
        <v/>
      </c>
    </row>
    <row r="4310" spans="9:9" x14ac:dyDescent="0.25">
      <c r="I4310" s="42" t="str">
        <f t="shared" si="63"/>
        <v/>
      </c>
    </row>
    <row r="4311" spans="9:9" x14ac:dyDescent="0.25">
      <c r="I4311" s="42" t="str">
        <f t="shared" si="63"/>
        <v/>
      </c>
    </row>
    <row r="4312" spans="9:9" x14ac:dyDescent="0.25">
      <c r="I4312" s="42" t="str">
        <f t="shared" si="63"/>
        <v/>
      </c>
    </row>
    <row r="4313" spans="9:9" x14ac:dyDescent="0.25">
      <c r="I4313" s="42" t="str">
        <f t="shared" si="63"/>
        <v/>
      </c>
    </row>
    <row r="4314" spans="9:9" x14ac:dyDescent="0.25">
      <c r="I4314" s="42" t="str">
        <f t="shared" si="63"/>
        <v/>
      </c>
    </row>
    <row r="4315" spans="9:9" x14ac:dyDescent="0.25">
      <c r="I4315" s="42" t="str">
        <f t="shared" si="63"/>
        <v/>
      </c>
    </row>
    <row r="4316" spans="9:9" x14ac:dyDescent="0.25">
      <c r="I4316" s="42" t="str">
        <f t="shared" si="63"/>
        <v/>
      </c>
    </row>
    <row r="4317" spans="9:9" x14ac:dyDescent="0.25">
      <c r="I4317" s="42" t="str">
        <f t="shared" si="63"/>
        <v/>
      </c>
    </row>
    <row r="4318" spans="9:9" x14ac:dyDescent="0.25">
      <c r="I4318" s="42" t="str">
        <f t="shared" si="63"/>
        <v/>
      </c>
    </row>
    <row r="4319" spans="9:9" x14ac:dyDescent="0.25">
      <c r="I4319" s="42" t="str">
        <f t="shared" si="63"/>
        <v/>
      </c>
    </row>
    <row r="4320" spans="9:9" x14ac:dyDescent="0.25">
      <c r="I4320" s="42" t="str">
        <f t="shared" si="63"/>
        <v/>
      </c>
    </row>
    <row r="4321" spans="9:9" x14ac:dyDescent="0.25">
      <c r="I4321" s="42" t="str">
        <f t="shared" si="63"/>
        <v/>
      </c>
    </row>
    <row r="4322" spans="9:9" x14ac:dyDescent="0.25">
      <c r="I4322" s="42" t="str">
        <f t="shared" si="63"/>
        <v/>
      </c>
    </row>
    <row r="4323" spans="9:9" x14ac:dyDescent="0.25">
      <c r="I4323" s="42" t="str">
        <f t="shared" si="63"/>
        <v/>
      </c>
    </row>
    <row r="4324" spans="9:9" x14ac:dyDescent="0.25">
      <c r="I4324" s="42" t="str">
        <f t="shared" si="63"/>
        <v/>
      </c>
    </row>
    <row r="4325" spans="9:9" x14ac:dyDescent="0.25">
      <c r="I4325" s="42" t="str">
        <f t="shared" si="63"/>
        <v/>
      </c>
    </row>
    <row r="4326" spans="9:9" x14ac:dyDescent="0.25">
      <c r="I4326" s="42" t="str">
        <f t="shared" si="63"/>
        <v/>
      </c>
    </row>
    <row r="4327" spans="9:9" x14ac:dyDescent="0.25">
      <c r="I4327" s="42" t="str">
        <f t="shared" si="63"/>
        <v/>
      </c>
    </row>
    <row r="4328" spans="9:9" x14ac:dyDescent="0.25">
      <c r="I4328" s="42" t="str">
        <f t="shared" si="63"/>
        <v/>
      </c>
    </row>
    <row r="4329" spans="9:9" x14ac:dyDescent="0.25">
      <c r="I4329" s="42" t="str">
        <f t="shared" si="63"/>
        <v/>
      </c>
    </row>
    <row r="4330" spans="9:9" x14ac:dyDescent="0.25">
      <c r="I4330" s="42" t="str">
        <f t="shared" si="63"/>
        <v/>
      </c>
    </row>
    <row r="4331" spans="9:9" x14ac:dyDescent="0.25">
      <c r="I4331" s="42" t="str">
        <f t="shared" si="63"/>
        <v/>
      </c>
    </row>
    <row r="4332" spans="9:9" x14ac:dyDescent="0.25">
      <c r="I4332" s="42" t="str">
        <f t="shared" si="63"/>
        <v/>
      </c>
    </row>
    <row r="4333" spans="9:9" x14ac:dyDescent="0.25">
      <c r="I4333" s="42" t="str">
        <f t="shared" si="63"/>
        <v/>
      </c>
    </row>
    <row r="4334" spans="9:9" x14ac:dyDescent="0.25">
      <c r="I4334" s="42" t="str">
        <f t="shared" si="63"/>
        <v/>
      </c>
    </row>
    <row r="4335" spans="9:9" x14ac:dyDescent="0.25">
      <c r="I4335" s="42" t="str">
        <f t="shared" si="63"/>
        <v/>
      </c>
    </row>
    <row r="4336" spans="9:9" x14ac:dyDescent="0.25">
      <c r="I4336" s="42" t="str">
        <f t="shared" si="63"/>
        <v/>
      </c>
    </row>
    <row r="4337" spans="9:9" x14ac:dyDescent="0.25">
      <c r="I4337" s="42" t="str">
        <f t="shared" si="63"/>
        <v/>
      </c>
    </row>
    <row r="4338" spans="9:9" x14ac:dyDescent="0.25">
      <c r="I4338" s="42" t="str">
        <f t="shared" si="63"/>
        <v/>
      </c>
    </row>
    <row r="4339" spans="9:9" x14ac:dyDescent="0.25">
      <c r="I4339" s="42" t="str">
        <f t="shared" si="63"/>
        <v/>
      </c>
    </row>
    <row r="4340" spans="9:9" x14ac:dyDescent="0.25">
      <c r="I4340" s="42" t="str">
        <f t="shared" si="63"/>
        <v/>
      </c>
    </row>
    <row r="4341" spans="9:9" x14ac:dyDescent="0.25">
      <c r="I4341" s="42" t="str">
        <f t="shared" si="63"/>
        <v/>
      </c>
    </row>
    <row r="4342" spans="9:9" x14ac:dyDescent="0.25">
      <c r="I4342" s="42" t="str">
        <f t="shared" si="63"/>
        <v/>
      </c>
    </row>
    <row r="4343" spans="9:9" x14ac:dyDescent="0.25">
      <c r="I4343" s="42" t="str">
        <f t="shared" si="63"/>
        <v/>
      </c>
    </row>
    <row r="4344" spans="9:9" x14ac:dyDescent="0.25">
      <c r="I4344" s="42" t="str">
        <f t="shared" si="63"/>
        <v/>
      </c>
    </row>
    <row r="4345" spans="9:9" x14ac:dyDescent="0.25">
      <c r="I4345" s="42" t="str">
        <f t="shared" si="63"/>
        <v/>
      </c>
    </row>
    <row r="4346" spans="9:9" x14ac:dyDescent="0.25">
      <c r="I4346" s="42" t="str">
        <f t="shared" si="63"/>
        <v/>
      </c>
    </row>
    <row r="4347" spans="9:9" x14ac:dyDescent="0.25">
      <c r="I4347" s="42" t="str">
        <f t="shared" si="63"/>
        <v/>
      </c>
    </row>
    <row r="4348" spans="9:9" x14ac:dyDescent="0.25">
      <c r="I4348" s="42" t="str">
        <f t="shared" si="63"/>
        <v/>
      </c>
    </row>
    <row r="4349" spans="9:9" x14ac:dyDescent="0.25">
      <c r="I4349" s="42" t="str">
        <f t="shared" si="63"/>
        <v/>
      </c>
    </row>
    <row r="4350" spans="9:9" x14ac:dyDescent="0.25">
      <c r="I4350" s="42" t="str">
        <f t="shared" si="63"/>
        <v/>
      </c>
    </row>
    <row r="4351" spans="9:9" x14ac:dyDescent="0.25">
      <c r="I4351" s="42" t="str">
        <f t="shared" si="63"/>
        <v/>
      </c>
    </row>
    <row r="4352" spans="9:9" x14ac:dyDescent="0.25">
      <c r="I4352" s="42" t="str">
        <f t="shared" ref="I4352:I4415" si="64">IF(H4352&lt;&gt;"",H4352-H4351,"")</f>
        <v/>
      </c>
    </row>
    <row r="4353" spans="9:9" x14ac:dyDescent="0.25">
      <c r="I4353" s="42" t="str">
        <f t="shared" si="64"/>
        <v/>
      </c>
    </row>
    <row r="4354" spans="9:9" x14ac:dyDescent="0.25">
      <c r="I4354" s="42" t="str">
        <f t="shared" si="64"/>
        <v/>
      </c>
    </row>
    <row r="4355" spans="9:9" x14ac:dyDescent="0.25">
      <c r="I4355" s="42" t="str">
        <f t="shared" si="64"/>
        <v/>
      </c>
    </row>
    <row r="4356" spans="9:9" x14ac:dyDescent="0.25">
      <c r="I4356" s="42" t="str">
        <f t="shared" si="64"/>
        <v/>
      </c>
    </row>
    <row r="4357" spans="9:9" x14ac:dyDescent="0.25">
      <c r="I4357" s="42" t="str">
        <f t="shared" si="64"/>
        <v/>
      </c>
    </row>
    <row r="4358" spans="9:9" x14ac:dyDescent="0.25">
      <c r="I4358" s="42" t="str">
        <f t="shared" si="64"/>
        <v/>
      </c>
    </row>
    <row r="4359" spans="9:9" x14ac:dyDescent="0.25">
      <c r="I4359" s="42" t="str">
        <f t="shared" si="64"/>
        <v/>
      </c>
    </row>
    <row r="4360" spans="9:9" x14ac:dyDescent="0.25">
      <c r="I4360" s="42" t="str">
        <f t="shared" si="64"/>
        <v/>
      </c>
    </row>
    <row r="4361" spans="9:9" x14ac:dyDescent="0.25">
      <c r="I4361" s="42" t="str">
        <f t="shared" si="64"/>
        <v/>
      </c>
    </row>
    <row r="4362" spans="9:9" x14ac:dyDescent="0.25">
      <c r="I4362" s="42" t="str">
        <f t="shared" si="64"/>
        <v/>
      </c>
    </row>
    <row r="4363" spans="9:9" x14ac:dyDescent="0.25">
      <c r="I4363" s="42" t="str">
        <f t="shared" si="64"/>
        <v/>
      </c>
    </row>
    <row r="4364" spans="9:9" x14ac:dyDescent="0.25">
      <c r="I4364" s="42" t="str">
        <f t="shared" si="64"/>
        <v/>
      </c>
    </row>
    <row r="4365" spans="9:9" x14ac:dyDescent="0.25">
      <c r="I4365" s="42" t="str">
        <f t="shared" si="64"/>
        <v/>
      </c>
    </row>
    <row r="4366" spans="9:9" x14ac:dyDescent="0.25">
      <c r="I4366" s="42" t="str">
        <f t="shared" si="64"/>
        <v/>
      </c>
    </row>
    <row r="4367" spans="9:9" x14ac:dyDescent="0.25">
      <c r="I4367" s="42" t="str">
        <f t="shared" si="64"/>
        <v/>
      </c>
    </row>
    <row r="4368" spans="9:9" x14ac:dyDescent="0.25">
      <c r="I4368" s="42" t="str">
        <f t="shared" si="64"/>
        <v/>
      </c>
    </row>
    <row r="4369" spans="9:9" x14ac:dyDescent="0.25">
      <c r="I4369" s="42" t="str">
        <f t="shared" si="64"/>
        <v/>
      </c>
    </row>
    <row r="4370" spans="9:9" x14ac:dyDescent="0.25">
      <c r="I4370" s="42" t="str">
        <f t="shared" si="64"/>
        <v/>
      </c>
    </row>
    <row r="4371" spans="9:9" x14ac:dyDescent="0.25">
      <c r="I4371" s="42" t="str">
        <f t="shared" si="64"/>
        <v/>
      </c>
    </row>
    <row r="4372" spans="9:9" x14ac:dyDescent="0.25">
      <c r="I4372" s="42" t="str">
        <f t="shared" si="64"/>
        <v/>
      </c>
    </row>
    <row r="4373" spans="9:9" x14ac:dyDescent="0.25">
      <c r="I4373" s="42" t="str">
        <f t="shared" si="64"/>
        <v/>
      </c>
    </row>
    <row r="4374" spans="9:9" x14ac:dyDescent="0.25">
      <c r="I4374" s="42" t="str">
        <f t="shared" si="64"/>
        <v/>
      </c>
    </row>
    <row r="4375" spans="9:9" x14ac:dyDescent="0.25">
      <c r="I4375" s="42" t="str">
        <f t="shared" si="64"/>
        <v/>
      </c>
    </row>
    <row r="4376" spans="9:9" x14ac:dyDescent="0.25">
      <c r="I4376" s="42" t="str">
        <f t="shared" si="64"/>
        <v/>
      </c>
    </row>
    <row r="4377" spans="9:9" x14ac:dyDescent="0.25">
      <c r="I4377" s="42" t="str">
        <f t="shared" si="64"/>
        <v/>
      </c>
    </row>
    <row r="4378" spans="9:9" x14ac:dyDescent="0.25">
      <c r="I4378" s="42" t="str">
        <f t="shared" si="64"/>
        <v/>
      </c>
    </row>
    <row r="4379" spans="9:9" x14ac:dyDescent="0.25">
      <c r="I4379" s="42" t="str">
        <f t="shared" si="64"/>
        <v/>
      </c>
    </row>
    <row r="4380" spans="9:9" x14ac:dyDescent="0.25">
      <c r="I4380" s="42" t="str">
        <f t="shared" si="64"/>
        <v/>
      </c>
    </row>
    <row r="4381" spans="9:9" x14ac:dyDescent="0.25">
      <c r="I4381" s="42" t="str">
        <f t="shared" si="64"/>
        <v/>
      </c>
    </row>
    <row r="4382" spans="9:9" x14ac:dyDescent="0.25">
      <c r="I4382" s="42" t="str">
        <f t="shared" si="64"/>
        <v/>
      </c>
    </row>
    <row r="4383" spans="9:9" x14ac:dyDescent="0.25">
      <c r="I4383" s="42" t="str">
        <f t="shared" si="64"/>
        <v/>
      </c>
    </row>
    <row r="4384" spans="9:9" x14ac:dyDescent="0.25">
      <c r="I4384" s="42" t="str">
        <f t="shared" si="64"/>
        <v/>
      </c>
    </row>
    <row r="4385" spans="9:9" x14ac:dyDescent="0.25">
      <c r="I4385" s="42" t="str">
        <f t="shared" si="64"/>
        <v/>
      </c>
    </row>
    <row r="4386" spans="9:9" x14ac:dyDescent="0.25">
      <c r="I4386" s="42" t="str">
        <f t="shared" si="64"/>
        <v/>
      </c>
    </row>
    <row r="4387" spans="9:9" x14ac:dyDescent="0.25">
      <c r="I4387" s="42" t="str">
        <f t="shared" si="64"/>
        <v/>
      </c>
    </row>
    <row r="4388" spans="9:9" x14ac:dyDescent="0.25">
      <c r="I4388" s="42" t="str">
        <f t="shared" si="64"/>
        <v/>
      </c>
    </row>
    <row r="4389" spans="9:9" x14ac:dyDescent="0.25">
      <c r="I4389" s="42" t="str">
        <f t="shared" si="64"/>
        <v/>
      </c>
    </row>
    <row r="4390" spans="9:9" x14ac:dyDescent="0.25">
      <c r="I4390" s="42" t="str">
        <f t="shared" si="64"/>
        <v/>
      </c>
    </row>
    <row r="4391" spans="9:9" x14ac:dyDescent="0.25">
      <c r="I4391" s="42" t="str">
        <f t="shared" si="64"/>
        <v/>
      </c>
    </row>
    <row r="4392" spans="9:9" x14ac:dyDescent="0.25">
      <c r="I4392" s="42" t="str">
        <f t="shared" si="64"/>
        <v/>
      </c>
    </row>
    <row r="4393" spans="9:9" x14ac:dyDescent="0.25">
      <c r="I4393" s="42" t="str">
        <f t="shared" si="64"/>
        <v/>
      </c>
    </row>
    <row r="4394" spans="9:9" x14ac:dyDescent="0.25">
      <c r="I4394" s="42" t="str">
        <f t="shared" si="64"/>
        <v/>
      </c>
    </row>
    <row r="4395" spans="9:9" x14ac:dyDescent="0.25">
      <c r="I4395" s="42" t="str">
        <f t="shared" si="64"/>
        <v/>
      </c>
    </row>
    <row r="4396" spans="9:9" x14ac:dyDescent="0.25">
      <c r="I4396" s="42" t="str">
        <f t="shared" si="64"/>
        <v/>
      </c>
    </row>
    <row r="4397" spans="9:9" x14ac:dyDescent="0.25">
      <c r="I4397" s="42" t="str">
        <f t="shared" si="64"/>
        <v/>
      </c>
    </row>
    <row r="4398" spans="9:9" x14ac:dyDescent="0.25">
      <c r="I4398" s="42" t="str">
        <f t="shared" si="64"/>
        <v/>
      </c>
    </row>
    <row r="4399" spans="9:9" x14ac:dyDescent="0.25">
      <c r="I4399" s="42" t="str">
        <f t="shared" si="64"/>
        <v/>
      </c>
    </row>
    <row r="4400" spans="9:9" x14ac:dyDescent="0.25">
      <c r="I4400" s="42" t="str">
        <f t="shared" si="64"/>
        <v/>
      </c>
    </row>
    <row r="4401" spans="9:9" x14ac:dyDescent="0.25">
      <c r="I4401" s="42" t="str">
        <f t="shared" si="64"/>
        <v/>
      </c>
    </row>
    <row r="4402" spans="9:9" x14ac:dyDescent="0.25">
      <c r="I4402" s="42" t="str">
        <f t="shared" si="64"/>
        <v/>
      </c>
    </row>
    <row r="4403" spans="9:9" x14ac:dyDescent="0.25">
      <c r="I4403" s="42" t="str">
        <f t="shared" si="64"/>
        <v/>
      </c>
    </row>
    <row r="4404" spans="9:9" x14ac:dyDescent="0.25">
      <c r="I4404" s="42" t="str">
        <f t="shared" si="64"/>
        <v/>
      </c>
    </row>
    <row r="4405" spans="9:9" x14ac:dyDescent="0.25">
      <c r="I4405" s="42" t="str">
        <f t="shared" si="64"/>
        <v/>
      </c>
    </row>
    <row r="4406" spans="9:9" x14ac:dyDescent="0.25">
      <c r="I4406" s="42" t="str">
        <f t="shared" si="64"/>
        <v/>
      </c>
    </row>
    <row r="4407" spans="9:9" x14ac:dyDescent="0.25">
      <c r="I4407" s="42" t="str">
        <f t="shared" si="64"/>
        <v/>
      </c>
    </row>
    <row r="4408" spans="9:9" x14ac:dyDescent="0.25">
      <c r="I4408" s="42" t="str">
        <f t="shared" si="64"/>
        <v/>
      </c>
    </row>
    <row r="4409" spans="9:9" x14ac:dyDescent="0.25">
      <c r="I4409" s="42" t="str">
        <f t="shared" si="64"/>
        <v/>
      </c>
    </row>
    <row r="4410" spans="9:9" x14ac:dyDescent="0.25">
      <c r="I4410" s="42" t="str">
        <f t="shared" si="64"/>
        <v/>
      </c>
    </row>
    <row r="4411" spans="9:9" x14ac:dyDescent="0.25">
      <c r="I4411" s="42" t="str">
        <f t="shared" si="64"/>
        <v/>
      </c>
    </row>
    <row r="4412" spans="9:9" x14ac:dyDescent="0.25">
      <c r="I4412" s="42" t="str">
        <f t="shared" si="64"/>
        <v/>
      </c>
    </row>
    <row r="4413" spans="9:9" x14ac:dyDescent="0.25">
      <c r="I4413" s="42" t="str">
        <f t="shared" si="64"/>
        <v/>
      </c>
    </row>
    <row r="4414" spans="9:9" x14ac:dyDescent="0.25">
      <c r="I4414" s="42" t="str">
        <f t="shared" si="64"/>
        <v/>
      </c>
    </row>
    <row r="4415" spans="9:9" x14ac:dyDescent="0.25">
      <c r="I4415" s="42" t="str">
        <f t="shared" si="64"/>
        <v/>
      </c>
    </row>
    <row r="4416" spans="9:9" x14ac:dyDescent="0.25">
      <c r="I4416" s="42" t="str">
        <f t="shared" ref="I4416:I4479" si="65">IF(H4416&lt;&gt;"",H4416-H4415,"")</f>
        <v/>
      </c>
    </row>
    <row r="4417" spans="9:9" x14ac:dyDescent="0.25">
      <c r="I4417" s="42" t="str">
        <f t="shared" si="65"/>
        <v/>
      </c>
    </row>
    <row r="4418" spans="9:9" x14ac:dyDescent="0.25">
      <c r="I4418" s="42" t="str">
        <f t="shared" si="65"/>
        <v/>
      </c>
    </row>
    <row r="4419" spans="9:9" x14ac:dyDescent="0.25">
      <c r="I4419" s="42" t="str">
        <f t="shared" si="65"/>
        <v/>
      </c>
    </row>
    <row r="4420" spans="9:9" x14ac:dyDescent="0.25">
      <c r="I4420" s="42" t="str">
        <f t="shared" si="65"/>
        <v/>
      </c>
    </row>
    <row r="4421" spans="9:9" x14ac:dyDescent="0.25">
      <c r="I4421" s="42" t="str">
        <f t="shared" si="65"/>
        <v/>
      </c>
    </row>
    <row r="4422" spans="9:9" x14ac:dyDescent="0.25">
      <c r="I4422" s="42" t="str">
        <f t="shared" si="65"/>
        <v/>
      </c>
    </row>
    <row r="4423" spans="9:9" x14ac:dyDescent="0.25">
      <c r="I4423" s="42" t="str">
        <f t="shared" si="65"/>
        <v/>
      </c>
    </row>
    <row r="4424" spans="9:9" x14ac:dyDescent="0.25">
      <c r="I4424" s="42" t="str">
        <f t="shared" si="65"/>
        <v/>
      </c>
    </row>
    <row r="4425" spans="9:9" x14ac:dyDescent="0.25">
      <c r="I4425" s="42" t="str">
        <f t="shared" si="65"/>
        <v/>
      </c>
    </row>
    <row r="4426" spans="9:9" x14ac:dyDescent="0.25">
      <c r="I4426" s="42" t="str">
        <f t="shared" si="65"/>
        <v/>
      </c>
    </row>
    <row r="4427" spans="9:9" x14ac:dyDescent="0.25">
      <c r="I4427" s="42" t="str">
        <f t="shared" si="65"/>
        <v/>
      </c>
    </row>
    <row r="4428" spans="9:9" x14ac:dyDescent="0.25">
      <c r="I4428" s="42" t="str">
        <f t="shared" si="65"/>
        <v/>
      </c>
    </row>
    <row r="4429" spans="9:9" x14ac:dyDescent="0.25">
      <c r="I4429" s="42" t="str">
        <f t="shared" si="65"/>
        <v/>
      </c>
    </row>
    <row r="4430" spans="9:9" x14ac:dyDescent="0.25">
      <c r="I4430" s="42" t="str">
        <f t="shared" si="65"/>
        <v/>
      </c>
    </row>
    <row r="4431" spans="9:9" x14ac:dyDescent="0.25">
      <c r="I4431" s="42" t="str">
        <f t="shared" si="65"/>
        <v/>
      </c>
    </row>
    <row r="4432" spans="9:9" x14ac:dyDescent="0.25">
      <c r="I4432" s="42" t="str">
        <f t="shared" si="65"/>
        <v/>
      </c>
    </row>
    <row r="4433" spans="9:9" x14ac:dyDescent="0.25">
      <c r="I4433" s="42" t="str">
        <f t="shared" si="65"/>
        <v/>
      </c>
    </row>
    <row r="4434" spans="9:9" x14ac:dyDescent="0.25">
      <c r="I4434" s="42" t="str">
        <f t="shared" si="65"/>
        <v/>
      </c>
    </row>
    <row r="4435" spans="9:9" x14ac:dyDescent="0.25">
      <c r="I4435" s="42" t="str">
        <f t="shared" si="65"/>
        <v/>
      </c>
    </row>
    <row r="4436" spans="9:9" x14ac:dyDescent="0.25">
      <c r="I4436" s="42" t="str">
        <f t="shared" si="65"/>
        <v/>
      </c>
    </row>
    <row r="4437" spans="9:9" x14ac:dyDescent="0.25">
      <c r="I4437" s="42" t="str">
        <f t="shared" si="65"/>
        <v/>
      </c>
    </row>
    <row r="4438" spans="9:9" x14ac:dyDescent="0.25">
      <c r="I4438" s="42" t="str">
        <f t="shared" si="65"/>
        <v/>
      </c>
    </row>
    <row r="4439" spans="9:9" x14ac:dyDescent="0.25">
      <c r="I4439" s="42" t="str">
        <f t="shared" si="65"/>
        <v/>
      </c>
    </row>
    <row r="4440" spans="9:9" x14ac:dyDescent="0.25">
      <c r="I4440" s="42" t="str">
        <f t="shared" si="65"/>
        <v/>
      </c>
    </row>
    <row r="4441" spans="9:9" x14ac:dyDescent="0.25">
      <c r="I4441" s="42" t="str">
        <f t="shared" si="65"/>
        <v/>
      </c>
    </row>
    <row r="4442" spans="9:9" x14ac:dyDescent="0.25">
      <c r="I4442" s="42" t="str">
        <f t="shared" si="65"/>
        <v/>
      </c>
    </row>
    <row r="4443" spans="9:9" x14ac:dyDescent="0.25">
      <c r="I4443" s="42" t="str">
        <f t="shared" si="65"/>
        <v/>
      </c>
    </row>
    <row r="4444" spans="9:9" x14ac:dyDescent="0.25">
      <c r="I4444" s="42" t="str">
        <f t="shared" si="65"/>
        <v/>
      </c>
    </row>
    <row r="4445" spans="9:9" x14ac:dyDescent="0.25">
      <c r="I4445" s="42" t="str">
        <f t="shared" si="65"/>
        <v/>
      </c>
    </row>
    <row r="4446" spans="9:9" x14ac:dyDescent="0.25">
      <c r="I4446" s="42" t="str">
        <f t="shared" si="65"/>
        <v/>
      </c>
    </row>
    <row r="4447" spans="9:9" x14ac:dyDescent="0.25">
      <c r="I4447" s="42" t="str">
        <f t="shared" si="65"/>
        <v/>
      </c>
    </row>
    <row r="4448" spans="9:9" x14ac:dyDescent="0.25">
      <c r="I4448" s="42" t="str">
        <f t="shared" si="65"/>
        <v/>
      </c>
    </row>
    <row r="4449" spans="9:9" x14ac:dyDescent="0.25">
      <c r="I4449" s="42" t="str">
        <f t="shared" si="65"/>
        <v/>
      </c>
    </row>
    <row r="4450" spans="9:9" x14ac:dyDescent="0.25">
      <c r="I4450" s="42" t="str">
        <f t="shared" si="65"/>
        <v/>
      </c>
    </row>
    <row r="4451" spans="9:9" x14ac:dyDescent="0.25">
      <c r="I4451" s="42" t="str">
        <f t="shared" si="65"/>
        <v/>
      </c>
    </row>
    <row r="4452" spans="9:9" x14ac:dyDescent="0.25">
      <c r="I4452" s="42" t="str">
        <f t="shared" si="65"/>
        <v/>
      </c>
    </row>
    <row r="4453" spans="9:9" x14ac:dyDescent="0.25">
      <c r="I4453" s="42" t="str">
        <f t="shared" si="65"/>
        <v/>
      </c>
    </row>
    <row r="4454" spans="9:9" x14ac:dyDescent="0.25">
      <c r="I4454" s="42" t="str">
        <f t="shared" si="65"/>
        <v/>
      </c>
    </row>
    <row r="4455" spans="9:9" x14ac:dyDescent="0.25">
      <c r="I4455" s="42" t="str">
        <f t="shared" si="65"/>
        <v/>
      </c>
    </row>
    <row r="4456" spans="9:9" x14ac:dyDescent="0.25">
      <c r="I4456" s="42" t="str">
        <f t="shared" si="65"/>
        <v/>
      </c>
    </row>
    <row r="4457" spans="9:9" x14ac:dyDescent="0.25">
      <c r="I4457" s="42" t="str">
        <f t="shared" si="65"/>
        <v/>
      </c>
    </row>
    <row r="4458" spans="9:9" x14ac:dyDescent="0.25">
      <c r="I4458" s="42" t="str">
        <f t="shared" si="65"/>
        <v/>
      </c>
    </row>
    <row r="4459" spans="9:9" x14ac:dyDescent="0.25">
      <c r="I4459" s="42" t="str">
        <f t="shared" si="65"/>
        <v/>
      </c>
    </row>
    <row r="4460" spans="9:9" x14ac:dyDescent="0.25">
      <c r="I4460" s="42" t="str">
        <f t="shared" si="65"/>
        <v/>
      </c>
    </row>
    <row r="4461" spans="9:9" x14ac:dyDescent="0.25">
      <c r="I4461" s="42" t="str">
        <f t="shared" si="65"/>
        <v/>
      </c>
    </row>
    <row r="4462" spans="9:9" x14ac:dyDescent="0.25">
      <c r="I4462" s="42" t="str">
        <f t="shared" si="65"/>
        <v/>
      </c>
    </row>
    <row r="4463" spans="9:9" x14ac:dyDescent="0.25">
      <c r="I4463" s="42" t="str">
        <f t="shared" si="65"/>
        <v/>
      </c>
    </row>
    <row r="4464" spans="9:9" x14ac:dyDescent="0.25">
      <c r="I4464" s="42" t="str">
        <f t="shared" si="65"/>
        <v/>
      </c>
    </row>
    <row r="4465" spans="9:9" x14ac:dyDescent="0.25">
      <c r="I4465" s="42" t="str">
        <f t="shared" si="65"/>
        <v/>
      </c>
    </row>
    <row r="4466" spans="9:9" x14ac:dyDescent="0.25">
      <c r="I4466" s="42" t="str">
        <f t="shared" si="65"/>
        <v/>
      </c>
    </row>
    <row r="4467" spans="9:9" x14ac:dyDescent="0.25">
      <c r="I4467" s="42" t="str">
        <f t="shared" si="65"/>
        <v/>
      </c>
    </row>
    <row r="4468" spans="9:9" x14ac:dyDescent="0.25">
      <c r="I4468" s="42" t="str">
        <f t="shared" si="65"/>
        <v/>
      </c>
    </row>
    <row r="4469" spans="9:9" x14ac:dyDescent="0.25">
      <c r="I4469" s="42" t="str">
        <f t="shared" si="65"/>
        <v/>
      </c>
    </row>
    <row r="4470" spans="9:9" x14ac:dyDescent="0.25">
      <c r="I4470" s="42" t="str">
        <f t="shared" si="65"/>
        <v/>
      </c>
    </row>
    <row r="4471" spans="9:9" x14ac:dyDescent="0.25">
      <c r="I4471" s="42" t="str">
        <f t="shared" si="65"/>
        <v/>
      </c>
    </row>
    <row r="4472" spans="9:9" x14ac:dyDescent="0.25">
      <c r="I4472" s="42" t="str">
        <f t="shared" si="65"/>
        <v/>
      </c>
    </row>
    <row r="4473" spans="9:9" x14ac:dyDescent="0.25">
      <c r="I4473" s="42" t="str">
        <f t="shared" si="65"/>
        <v/>
      </c>
    </row>
    <row r="4474" spans="9:9" x14ac:dyDescent="0.25">
      <c r="I4474" s="42" t="str">
        <f t="shared" si="65"/>
        <v/>
      </c>
    </row>
    <row r="4475" spans="9:9" x14ac:dyDescent="0.25">
      <c r="I4475" s="42" t="str">
        <f t="shared" si="65"/>
        <v/>
      </c>
    </row>
    <row r="4476" spans="9:9" x14ac:dyDescent="0.25">
      <c r="I4476" s="42" t="str">
        <f t="shared" si="65"/>
        <v/>
      </c>
    </row>
    <row r="4477" spans="9:9" x14ac:dyDescent="0.25">
      <c r="I4477" s="42" t="str">
        <f t="shared" si="65"/>
        <v/>
      </c>
    </row>
    <row r="4478" spans="9:9" x14ac:dyDescent="0.25">
      <c r="I4478" s="42" t="str">
        <f t="shared" si="65"/>
        <v/>
      </c>
    </row>
    <row r="4479" spans="9:9" x14ac:dyDescent="0.25">
      <c r="I4479" s="42" t="str">
        <f t="shared" si="65"/>
        <v/>
      </c>
    </row>
    <row r="4480" spans="9:9" x14ac:dyDescent="0.25">
      <c r="I4480" s="42" t="str">
        <f t="shared" ref="I4480:I4543" si="66">IF(H4480&lt;&gt;"",H4480-H4479,"")</f>
        <v/>
      </c>
    </row>
    <row r="4481" spans="9:9" x14ac:dyDescent="0.25">
      <c r="I4481" s="42" t="str">
        <f t="shared" si="66"/>
        <v/>
      </c>
    </row>
    <row r="4482" spans="9:9" x14ac:dyDescent="0.25">
      <c r="I4482" s="42" t="str">
        <f t="shared" si="66"/>
        <v/>
      </c>
    </row>
    <row r="4483" spans="9:9" x14ac:dyDescent="0.25">
      <c r="I4483" s="42" t="str">
        <f t="shared" si="66"/>
        <v/>
      </c>
    </row>
    <row r="4484" spans="9:9" x14ac:dyDescent="0.25">
      <c r="I4484" s="42" t="str">
        <f t="shared" si="66"/>
        <v/>
      </c>
    </row>
    <row r="4485" spans="9:9" x14ac:dyDescent="0.25">
      <c r="I4485" s="42" t="str">
        <f t="shared" si="66"/>
        <v/>
      </c>
    </row>
    <row r="4486" spans="9:9" x14ac:dyDescent="0.25">
      <c r="I4486" s="42" t="str">
        <f t="shared" si="66"/>
        <v/>
      </c>
    </row>
    <row r="4487" spans="9:9" x14ac:dyDescent="0.25">
      <c r="I4487" s="42" t="str">
        <f t="shared" si="66"/>
        <v/>
      </c>
    </row>
    <row r="4488" spans="9:9" x14ac:dyDescent="0.25">
      <c r="I4488" s="42" t="str">
        <f t="shared" si="66"/>
        <v/>
      </c>
    </row>
    <row r="4489" spans="9:9" x14ac:dyDescent="0.25">
      <c r="I4489" s="42" t="str">
        <f t="shared" si="66"/>
        <v/>
      </c>
    </row>
    <row r="4490" spans="9:9" x14ac:dyDescent="0.25">
      <c r="I4490" s="42" t="str">
        <f t="shared" si="66"/>
        <v/>
      </c>
    </row>
    <row r="4491" spans="9:9" x14ac:dyDescent="0.25">
      <c r="I4491" s="42" t="str">
        <f t="shared" si="66"/>
        <v/>
      </c>
    </row>
    <row r="4492" spans="9:9" x14ac:dyDescent="0.25">
      <c r="I4492" s="42" t="str">
        <f t="shared" si="66"/>
        <v/>
      </c>
    </row>
    <row r="4493" spans="9:9" x14ac:dyDescent="0.25">
      <c r="I4493" s="42" t="str">
        <f t="shared" si="66"/>
        <v/>
      </c>
    </row>
    <row r="4494" spans="9:9" x14ac:dyDescent="0.25">
      <c r="I4494" s="42" t="str">
        <f t="shared" si="66"/>
        <v/>
      </c>
    </row>
    <row r="4495" spans="9:9" x14ac:dyDescent="0.25">
      <c r="I4495" s="42" t="str">
        <f t="shared" si="66"/>
        <v/>
      </c>
    </row>
    <row r="4496" spans="9:9" x14ac:dyDescent="0.25">
      <c r="I4496" s="42" t="str">
        <f t="shared" si="66"/>
        <v/>
      </c>
    </row>
    <row r="4497" spans="9:9" x14ac:dyDescent="0.25">
      <c r="I4497" s="42" t="str">
        <f t="shared" si="66"/>
        <v/>
      </c>
    </row>
    <row r="4498" spans="9:9" x14ac:dyDescent="0.25">
      <c r="I4498" s="42" t="str">
        <f t="shared" si="66"/>
        <v/>
      </c>
    </row>
    <row r="4499" spans="9:9" x14ac:dyDescent="0.25">
      <c r="I4499" s="42" t="str">
        <f t="shared" si="66"/>
        <v/>
      </c>
    </row>
    <row r="4500" spans="9:9" x14ac:dyDescent="0.25">
      <c r="I4500" s="42" t="str">
        <f t="shared" si="66"/>
        <v/>
      </c>
    </row>
    <row r="4501" spans="9:9" x14ac:dyDescent="0.25">
      <c r="I4501" s="42" t="str">
        <f t="shared" si="66"/>
        <v/>
      </c>
    </row>
    <row r="4502" spans="9:9" x14ac:dyDescent="0.25">
      <c r="I4502" s="42" t="str">
        <f t="shared" si="66"/>
        <v/>
      </c>
    </row>
    <row r="4503" spans="9:9" x14ac:dyDescent="0.25">
      <c r="I4503" s="42" t="str">
        <f t="shared" si="66"/>
        <v/>
      </c>
    </row>
    <row r="4504" spans="9:9" x14ac:dyDescent="0.25">
      <c r="I4504" s="42" t="str">
        <f t="shared" si="66"/>
        <v/>
      </c>
    </row>
    <row r="4505" spans="9:9" x14ac:dyDescent="0.25">
      <c r="I4505" s="42" t="str">
        <f t="shared" si="66"/>
        <v/>
      </c>
    </row>
    <row r="4506" spans="9:9" x14ac:dyDescent="0.25">
      <c r="I4506" s="42" t="str">
        <f t="shared" si="66"/>
        <v/>
      </c>
    </row>
    <row r="4507" spans="9:9" x14ac:dyDescent="0.25">
      <c r="I4507" s="42" t="str">
        <f t="shared" si="66"/>
        <v/>
      </c>
    </row>
    <row r="4508" spans="9:9" x14ac:dyDescent="0.25">
      <c r="I4508" s="42" t="str">
        <f t="shared" si="66"/>
        <v/>
      </c>
    </row>
    <row r="4509" spans="9:9" x14ac:dyDescent="0.25">
      <c r="I4509" s="42" t="str">
        <f t="shared" si="66"/>
        <v/>
      </c>
    </row>
    <row r="4510" spans="9:9" x14ac:dyDescent="0.25">
      <c r="I4510" s="42" t="str">
        <f t="shared" si="66"/>
        <v/>
      </c>
    </row>
    <row r="4511" spans="9:9" x14ac:dyDescent="0.25">
      <c r="I4511" s="42" t="str">
        <f t="shared" si="66"/>
        <v/>
      </c>
    </row>
    <row r="4512" spans="9:9" x14ac:dyDescent="0.25">
      <c r="I4512" s="42" t="str">
        <f t="shared" si="66"/>
        <v/>
      </c>
    </row>
    <row r="4513" spans="9:9" x14ac:dyDescent="0.25">
      <c r="I4513" s="42" t="str">
        <f t="shared" si="66"/>
        <v/>
      </c>
    </row>
    <row r="4514" spans="9:9" x14ac:dyDescent="0.25">
      <c r="I4514" s="42" t="str">
        <f t="shared" si="66"/>
        <v/>
      </c>
    </row>
    <row r="4515" spans="9:9" x14ac:dyDescent="0.25">
      <c r="I4515" s="42" t="str">
        <f t="shared" si="66"/>
        <v/>
      </c>
    </row>
    <row r="4516" spans="9:9" x14ac:dyDescent="0.25">
      <c r="I4516" s="42" t="str">
        <f t="shared" si="66"/>
        <v/>
      </c>
    </row>
    <row r="4517" spans="9:9" x14ac:dyDescent="0.25">
      <c r="I4517" s="42" t="str">
        <f t="shared" si="66"/>
        <v/>
      </c>
    </row>
    <row r="4518" spans="9:9" x14ac:dyDescent="0.25">
      <c r="I4518" s="42" t="str">
        <f t="shared" si="66"/>
        <v/>
      </c>
    </row>
    <row r="4519" spans="9:9" x14ac:dyDescent="0.25">
      <c r="I4519" s="42" t="str">
        <f t="shared" si="66"/>
        <v/>
      </c>
    </row>
    <row r="4520" spans="9:9" x14ac:dyDescent="0.25">
      <c r="I4520" s="42" t="str">
        <f t="shared" si="66"/>
        <v/>
      </c>
    </row>
    <row r="4521" spans="9:9" x14ac:dyDescent="0.25">
      <c r="I4521" s="42" t="str">
        <f t="shared" si="66"/>
        <v/>
      </c>
    </row>
    <row r="4522" spans="9:9" x14ac:dyDescent="0.25">
      <c r="I4522" s="42" t="str">
        <f t="shared" si="66"/>
        <v/>
      </c>
    </row>
    <row r="4523" spans="9:9" x14ac:dyDescent="0.25">
      <c r="I4523" s="42" t="str">
        <f t="shared" si="66"/>
        <v/>
      </c>
    </row>
    <row r="4524" spans="9:9" x14ac:dyDescent="0.25">
      <c r="I4524" s="42" t="str">
        <f t="shared" si="66"/>
        <v/>
      </c>
    </row>
    <row r="4525" spans="9:9" x14ac:dyDescent="0.25">
      <c r="I4525" s="42" t="str">
        <f t="shared" si="66"/>
        <v/>
      </c>
    </row>
    <row r="4526" spans="9:9" x14ac:dyDescent="0.25">
      <c r="I4526" s="42" t="str">
        <f t="shared" si="66"/>
        <v/>
      </c>
    </row>
    <row r="4527" spans="9:9" x14ac:dyDescent="0.25">
      <c r="I4527" s="42" t="str">
        <f t="shared" si="66"/>
        <v/>
      </c>
    </row>
    <row r="4528" spans="9:9" x14ac:dyDescent="0.25">
      <c r="I4528" s="42" t="str">
        <f t="shared" si="66"/>
        <v/>
      </c>
    </row>
    <row r="4529" spans="9:9" x14ac:dyDescent="0.25">
      <c r="I4529" s="42" t="str">
        <f t="shared" si="66"/>
        <v/>
      </c>
    </row>
    <row r="4530" spans="9:9" x14ac:dyDescent="0.25">
      <c r="I4530" s="42" t="str">
        <f t="shared" si="66"/>
        <v/>
      </c>
    </row>
    <row r="4531" spans="9:9" x14ac:dyDescent="0.25">
      <c r="I4531" s="42" t="str">
        <f t="shared" si="66"/>
        <v/>
      </c>
    </row>
    <row r="4532" spans="9:9" x14ac:dyDescent="0.25">
      <c r="I4532" s="42" t="str">
        <f t="shared" si="66"/>
        <v/>
      </c>
    </row>
    <row r="4533" spans="9:9" x14ac:dyDescent="0.25">
      <c r="I4533" s="42" t="str">
        <f t="shared" si="66"/>
        <v/>
      </c>
    </row>
    <row r="4534" spans="9:9" x14ac:dyDescent="0.25">
      <c r="I4534" s="42" t="str">
        <f t="shared" si="66"/>
        <v/>
      </c>
    </row>
    <row r="4535" spans="9:9" x14ac:dyDescent="0.25">
      <c r="I4535" s="42" t="str">
        <f t="shared" si="66"/>
        <v/>
      </c>
    </row>
    <row r="4536" spans="9:9" x14ac:dyDescent="0.25">
      <c r="I4536" s="42" t="str">
        <f t="shared" si="66"/>
        <v/>
      </c>
    </row>
    <row r="4537" spans="9:9" x14ac:dyDescent="0.25">
      <c r="I4537" s="42" t="str">
        <f t="shared" si="66"/>
        <v/>
      </c>
    </row>
    <row r="4538" spans="9:9" x14ac:dyDescent="0.25">
      <c r="I4538" s="42" t="str">
        <f t="shared" si="66"/>
        <v/>
      </c>
    </row>
    <row r="4539" spans="9:9" x14ac:dyDescent="0.25">
      <c r="I4539" s="42" t="str">
        <f t="shared" si="66"/>
        <v/>
      </c>
    </row>
    <row r="4540" spans="9:9" x14ac:dyDescent="0.25">
      <c r="I4540" s="42" t="str">
        <f t="shared" si="66"/>
        <v/>
      </c>
    </row>
    <row r="4541" spans="9:9" x14ac:dyDescent="0.25">
      <c r="I4541" s="42" t="str">
        <f t="shared" si="66"/>
        <v/>
      </c>
    </row>
    <row r="4542" spans="9:9" x14ac:dyDescent="0.25">
      <c r="I4542" s="42" t="str">
        <f t="shared" si="66"/>
        <v/>
      </c>
    </row>
    <row r="4543" spans="9:9" x14ac:dyDescent="0.25">
      <c r="I4543" s="42" t="str">
        <f t="shared" si="66"/>
        <v/>
      </c>
    </row>
    <row r="4544" spans="9:9" x14ac:dyDescent="0.25">
      <c r="I4544" s="42" t="str">
        <f t="shared" ref="I4544:I4607" si="67">IF(H4544&lt;&gt;"",H4544-H4543,"")</f>
        <v/>
      </c>
    </row>
    <row r="4545" spans="9:9" x14ac:dyDescent="0.25">
      <c r="I4545" s="42" t="str">
        <f t="shared" si="67"/>
        <v/>
      </c>
    </row>
    <row r="4546" spans="9:9" x14ac:dyDescent="0.25">
      <c r="I4546" s="42" t="str">
        <f t="shared" si="67"/>
        <v/>
      </c>
    </row>
    <row r="4547" spans="9:9" x14ac:dyDescent="0.25">
      <c r="I4547" s="42" t="str">
        <f t="shared" si="67"/>
        <v/>
      </c>
    </row>
    <row r="4548" spans="9:9" x14ac:dyDescent="0.25">
      <c r="I4548" s="42" t="str">
        <f t="shared" si="67"/>
        <v/>
      </c>
    </row>
    <row r="4549" spans="9:9" x14ac:dyDescent="0.25">
      <c r="I4549" s="42" t="str">
        <f t="shared" si="67"/>
        <v/>
      </c>
    </row>
    <row r="4550" spans="9:9" x14ac:dyDescent="0.25">
      <c r="I4550" s="42" t="str">
        <f t="shared" si="67"/>
        <v/>
      </c>
    </row>
    <row r="4551" spans="9:9" x14ac:dyDescent="0.25">
      <c r="I4551" s="42" t="str">
        <f t="shared" si="67"/>
        <v/>
      </c>
    </row>
    <row r="4552" spans="9:9" x14ac:dyDescent="0.25">
      <c r="I4552" s="42" t="str">
        <f t="shared" si="67"/>
        <v/>
      </c>
    </row>
    <row r="4553" spans="9:9" x14ac:dyDescent="0.25">
      <c r="I4553" s="42" t="str">
        <f t="shared" si="67"/>
        <v/>
      </c>
    </row>
    <row r="4554" spans="9:9" x14ac:dyDescent="0.25">
      <c r="I4554" s="42" t="str">
        <f t="shared" si="67"/>
        <v/>
      </c>
    </row>
    <row r="4555" spans="9:9" x14ac:dyDescent="0.25">
      <c r="I4555" s="42" t="str">
        <f t="shared" si="67"/>
        <v/>
      </c>
    </row>
    <row r="4556" spans="9:9" x14ac:dyDescent="0.25">
      <c r="I4556" s="42" t="str">
        <f t="shared" si="67"/>
        <v/>
      </c>
    </row>
    <row r="4557" spans="9:9" x14ac:dyDescent="0.25">
      <c r="I4557" s="42" t="str">
        <f t="shared" si="67"/>
        <v/>
      </c>
    </row>
    <row r="4558" spans="9:9" x14ac:dyDescent="0.25">
      <c r="I4558" s="42" t="str">
        <f t="shared" si="67"/>
        <v/>
      </c>
    </row>
    <row r="4559" spans="9:9" x14ac:dyDescent="0.25">
      <c r="I4559" s="42" t="str">
        <f t="shared" si="67"/>
        <v/>
      </c>
    </row>
    <row r="4560" spans="9:9" x14ac:dyDescent="0.25">
      <c r="I4560" s="42" t="str">
        <f t="shared" si="67"/>
        <v/>
      </c>
    </row>
    <row r="4561" spans="9:9" x14ac:dyDescent="0.25">
      <c r="I4561" s="42" t="str">
        <f t="shared" si="67"/>
        <v/>
      </c>
    </row>
    <row r="4562" spans="9:9" x14ac:dyDescent="0.25">
      <c r="I4562" s="42" t="str">
        <f t="shared" si="67"/>
        <v/>
      </c>
    </row>
    <row r="4563" spans="9:9" x14ac:dyDescent="0.25">
      <c r="I4563" s="42" t="str">
        <f t="shared" si="67"/>
        <v/>
      </c>
    </row>
    <row r="4564" spans="9:9" x14ac:dyDescent="0.25">
      <c r="I4564" s="42" t="str">
        <f t="shared" si="67"/>
        <v/>
      </c>
    </row>
    <row r="4565" spans="9:9" x14ac:dyDescent="0.25">
      <c r="I4565" s="42" t="str">
        <f t="shared" si="67"/>
        <v/>
      </c>
    </row>
    <row r="4566" spans="9:9" x14ac:dyDescent="0.25">
      <c r="I4566" s="42" t="str">
        <f t="shared" si="67"/>
        <v/>
      </c>
    </row>
    <row r="4567" spans="9:9" x14ac:dyDescent="0.25">
      <c r="I4567" s="42" t="str">
        <f t="shared" si="67"/>
        <v/>
      </c>
    </row>
    <row r="4568" spans="9:9" x14ac:dyDescent="0.25">
      <c r="I4568" s="42" t="str">
        <f t="shared" si="67"/>
        <v/>
      </c>
    </row>
    <row r="4569" spans="9:9" x14ac:dyDescent="0.25">
      <c r="I4569" s="42" t="str">
        <f t="shared" si="67"/>
        <v/>
      </c>
    </row>
    <row r="4570" spans="9:9" x14ac:dyDescent="0.25">
      <c r="I4570" s="42" t="str">
        <f t="shared" si="67"/>
        <v/>
      </c>
    </row>
    <row r="4571" spans="9:9" x14ac:dyDescent="0.25">
      <c r="I4571" s="42" t="str">
        <f t="shared" si="67"/>
        <v/>
      </c>
    </row>
    <row r="4572" spans="9:9" x14ac:dyDescent="0.25">
      <c r="I4572" s="42" t="str">
        <f t="shared" si="67"/>
        <v/>
      </c>
    </row>
    <row r="4573" spans="9:9" x14ac:dyDescent="0.25">
      <c r="I4573" s="42" t="str">
        <f t="shared" si="67"/>
        <v/>
      </c>
    </row>
    <row r="4574" spans="9:9" x14ac:dyDescent="0.25">
      <c r="I4574" s="42" t="str">
        <f t="shared" si="67"/>
        <v/>
      </c>
    </row>
    <row r="4575" spans="9:9" x14ac:dyDescent="0.25">
      <c r="I4575" s="42" t="str">
        <f t="shared" si="67"/>
        <v/>
      </c>
    </row>
    <row r="4576" spans="9:9" x14ac:dyDescent="0.25">
      <c r="I4576" s="42" t="str">
        <f t="shared" si="67"/>
        <v/>
      </c>
    </row>
    <row r="4577" spans="9:9" x14ac:dyDescent="0.25">
      <c r="I4577" s="42" t="str">
        <f t="shared" si="67"/>
        <v/>
      </c>
    </row>
    <row r="4578" spans="9:9" x14ac:dyDescent="0.25">
      <c r="I4578" s="42" t="str">
        <f t="shared" si="67"/>
        <v/>
      </c>
    </row>
    <row r="4579" spans="9:9" x14ac:dyDescent="0.25">
      <c r="I4579" s="42" t="str">
        <f t="shared" si="67"/>
        <v/>
      </c>
    </row>
    <row r="4580" spans="9:9" x14ac:dyDescent="0.25">
      <c r="I4580" s="42" t="str">
        <f t="shared" si="67"/>
        <v/>
      </c>
    </row>
    <row r="4581" spans="9:9" x14ac:dyDescent="0.25">
      <c r="I4581" s="42" t="str">
        <f t="shared" si="67"/>
        <v/>
      </c>
    </row>
    <row r="4582" spans="9:9" x14ac:dyDescent="0.25">
      <c r="I4582" s="42" t="str">
        <f t="shared" si="67"/>
        <v/>
      </c>
    </row>
    <row r="4583" spans="9:9" x14ac:dyDescent="0.25">
      <c r="I4583" s="42" t="str">
        <f t="shared" si="67"/>
        <v/>
      </c>
    </row>
    <row r="4584" spans="9:9" x14ac:dyDescent="0.25">
      <c r="I4584" s="42" t="str">
        <f t="shared" si="67"/>
        <v/>
      </c>
    </row>
    <row r="4585" spans="9:9" x14ac:dyDescent="0.25">
      <c r="I4585" s="42" t="str">
        <f t="shared" si="67"/>
        <v/>
      </c>
    </row>
    <row r="4586" spans="9:9" x14ac:dyDescent="0.25">
      <c r="I4586" s="42" t="str">
        <f t="shared" si="67"/>
        <v/>
      </c>
    </row>
    <row r="4587" spans="9:9" x14ac:dyDescent="0.25">
      <c r="I4587" s="42" t="str">
        <f t="shared" si="67"/>
        <v/>
      </c>
    </row>
    <row r="4588" spans="9:9" x14ac:dyDescent="0.25">
      <c r="I4588" s="42" t="str">
        <f t="shared" si="67"/>
        <v/>
      </c>
    </row>
    <row r="4589" spans="9:9" x14ac:dyDescent="0.25">
      <c r="I4589" s="42" t="str">
        <f t="shared" si="67"/>
        <v/>
      </c>
    </row>
    <row r="4590" spans="9:9" x14ac:dyDescent="0.25">
      <c r="I4590" s="42" t="str">
        <f t="shared" si="67"/>
        <v/>
      </c>
    </row>
    <row r="4591" spans="9:9" x14ac:dyDescent="0.25">
      <c r="I4591" s="42" t="str">
        <f t="shared" si="67"/>
        <v/>
      </c>
    </row>
    <row r="4592" spans="9:9" x14ac:dyDescent="0.25">
      <c r="I4592" s="42" t="str">
        <f t="shared" si="67"/>
        <v/>
      </c>
    </row>
    <row r="4593" spans="9:9" x14ac:dyDescent="0.25">
      <c r="I4593" s="42" t="str">
        <f t="shared" si="67"/>
        <v/>
      </c>
    </row>
    <row r="4594" spans="9:9" x14ac:dyDescent="0.25">
      <c r="I4594" s="42" t="str">
        <f t="shared" si="67"/>
        <v/>
      </c>
    </row>
    <row r="4595" spans="9:9" x14ac:dyDescent="0.25">
      <c r="I4595" s="42" t="str">
        <f t="shared" si="67"/>
        <v/>
      </c>
    </row>
    <row r="4596" spans="9:9" x14ac:dyDescent="0.25">
      <c r="I4596" s="42" t="str">
        <f t="shared" si="67"/>
        <v/>
      </c>
    </row>
    <row r="4597" spans="9:9" x14ac:dyDescent="0.25">
      <c r="I4597" s="42" t="str">
        <f t="shared" si="67"/>
        <v/>
      </c>
    </row>
    <row r="4598" spans="9:9" x14ac:dyDescent="0.25">
      <c r="I4598" s="42" t="str">
        <f t="shared" si="67"/>
        <v/>
      </c>
    </row>
    <row r="4599" spans="9:9" x14ac:dyDescent="0.25">
      <c r="I4599" s="42" t="str">
        <f t="shared" si="67"/>
        <v/>
      </c>
    </row>
    <row r="4600" spans="9:9" x14ac:dyDescent="0.25">
      <c r="I4600" s="42" t="str">
        <f t="shared" si="67"/>
        <v/>
      </c>
    </row>
    <row r="4601" spans="9:9" x14ac:dyDescent="0.25">
      <c r="I4601" s="42" t="str">
        <f t="shared" si="67"/>
        <v/>
      </c>
    </row>
    <row r="4602" spans="9:9" x14ac:dyDescent="0.25">
      <c r="I4602" s="42" t="str">
        <f t="shared" si="67"/>
        <v/>
      </c>
    </row>
    <row r="4603" spans="9:9" x14ac:dyDescent="0.25">
      <c r="I4603" s="42" t="str">
        <f t="shared" si="67"/>
        <v/>
      </c>
    </row>
    <row r="4604" spans="9:9" x14ac:dyDescent="0.25">
      <c r="I4604" s="42" t="str">
        <f t="shared" si="67"/>
        <v/>
      </c>
    </row>
    <row r="4605" spans="9:9" x14ac:dyDescent="0.25">
      <c r="I4605" s="42" t="str">
        <f t="shared" si="67"/>
        <v/>
      </c>
    </row>
    <row r="4606" spans="9:9" x14ac:dyDescent="0.25">
      <c r="I4606" s="42" t="str">
        <f t="shared" si="67"/>
        <v/>
      </c>
    </row>
    <row r="4607" spans="9:9" x14ac:dyDescent="0.25">
      <c r="I4607" s="42" t="str">
        <f t="shared" si="67"/>
        <v/>
      </c>
    </row>
    <row r="4608" spans="9:9" x14ac:dyDescent="0.25">
      <c r="I4608" s="42" t="str">
        <f t="shared" ref="I4608:I4671" si="68">IF(H4608&lt;&gt;"",H4608-H4607,"")</f>
        <v/>
      </c>
    </row>
    <row r="4609" spans="9:9" x14ac:dyDescent="0.25">
      <c r="I4609" s="42" t="str">
        <f t="shared" si="68"/>
        <v/>
      </c>
    </row>
    <row r="4610" spans="9:9" x14ac:dyDescent="0.25">
      <c r="I4610" s="42" t="str">
        <f t="shared" si="68"/>
        <v/>
      </c>
    </row>
    <row r="4611" spans="9:9" x14ac:dyDescent="0.25">
      <c r="I4611" s="42" t="str">
        <f t="shared" si="68"/>
        <v/>
      </c>
    </row>
    <row r="4612" spans="9:9" x14ac:dyDescent="0.25">
      <c r="I4612" s="42" t="str">
        <f t="shared" si="68"/>
        <v/>
      </c>
    </row>
    <row r="4613" spans="9:9" x14ac:dyDescent="0.25">
      <c r="I4613" s="42" t="str">
        <f t="shared" si="68"/>
        <v/>
      </c>
    </row>
    <row r="4614" spans="9:9" x14ac:dyDescent="0.25">
      <c r="I4614" s="42" t="str">
        <f t="shared" si="68"/>
        <v/>
      </c>
    </row>
    <row r="4615" spans="9:9" x14ac:dyDescent="0.25">
      <c r="I4615" s="42" t="str">
        <f t="shared" si="68"/>
        <v/>
      </c>
    </row>
    <row r="4616" spans="9:9" x14ac:dyDescent="0.25">
      <c r="I4616" s="42" t="str">
        <f t="shared" si="68"/>
        <v/>
      </c>
    </row>
    <row r="4617" spans="9:9" x14ac:dyDescent="0.25">
      <c r="I4617" s="42" t="str">
        <f t="shared" si="68"/>
        <v/>
      </c>
    </row>
    <row r="4618" spans="9:9" x14ac:dyDescent="0.25">
      <c r="I4618" s="42" t="str">
        <f t="shared" si="68"/>
        <v/>
      </c>
    </row>
    <row r="4619" spans="9:9" x14ac:dyDescent="0.25">
      <c r="I4619" s="42" t="str">
        <f t="shared" si="68"/>
        <v/>
      </c>
    </row>
    <row r="4620" spans="9:9" x14ac:dyDescent="0.25">
      <c r="I4620" s="42" t="str">
        <f t="shared" si="68"/>
        <v/>
      </c>
    </row>
    <row r="4621" spans="9:9" x14ac:dyDescent="0.25">
      <c r="I4621" s="42" t="str">
        <f t="shared" si="68"/>
        <v/>
      </c>
    </row>
    <row r="4622" spans="9:9" x14ac:dyDescent="0.25">
      <c r="I4622" s="42" t="str">
        <f t="shared" si="68"/>
        <v/>
      </c>
    </row>
    <row r="4623" spans="9:9" x14ac:dyDescent="0.25">
      <c r="I4623" s="42" t="str">
        <f t="shared" si="68"/>
        <v/>
      </c>
    </row>
    <row r="4624" spans="9:9" x14ac:dyDescent="0.25">
      <c r="I4624" s="42" t="str">
        <f t="shared" si="68"/>
        <v/>
      </c>
    </row>
    <row r="4625" spans="9:9" x14ac:dyDescent="0.25">
      <c r="I4625" s="42" t="str">
        <f t="shared" si="68"/>
        <v/>
      </c>
    </row>
    <row r="4626" spans="9:9" x14ac:dyDescent="0.25">
      <c r="I4626" s="42" t="str">
        <f t="shared" si="68"/>
        <v/>
      </c>
    </row>
    <row r="4627" spans="9:9" x14ac:dyDescent="0.25">
      <c r="I4627" s="42" t="str">
        <f t="shared" si="68"/>
        <v/>
      </c>
    </row>
    <row r="4628" spans="9:9" x14ac:dyDescent="0.25">
      <c r="I4628" s="42" t="str">
        <f t="shared" si="68"/>
        <v/>
      </c>
    </row>
    <row r="4629" spans="9:9" x14ac:dyDescent="0.25">
      <c r="I4629" s="42" t="str">
        <f t="shared" si="68"/>
        <v/>
      </c>
    </row>
    <row r="4630" spans="9:9" x14ac:dyDescent="0.25">
      <c r="I4630" s="42" t="str">
        <f t="shared" si="68"/>
        <v/>
      </c>
    </row>
    <row r="4631" spans="9:9" x14ac:dyDescent="0.25">
      <c r="I4631" s="42" t="str">
        <f t="shared" si="68"/>
        <v/>
      </c>
    </row>
    <row r="4632" spans="9:9" x14ac:dyDescent="0.25">
      <c r="I4632" s="42" t="str">
        <f t="shared" si="68"/>
        <v/>
      </c>
    </row>
    <row r="4633" spans="9:9" x14ac:dyDescent="0.25">
      <c r="I4633" s="42" t="str">
        <f t="shared" si="68"/>
        <v/>
      </c>
    </row>
    <row r="4634" spans="9:9" x14ac:dyDescent="0.25">
      <c r="I4634" s="42" t="str">
        <f t="shared" si="68"/>
        <v/>
      </c>
    </row>
    <row r="4635" spans="9:9" x14ac:dyDescent="0.25">
      <c r="I4635" s="42" t="str">
        <f t="shared" si="68"/>
        <v/>
      </c>
    </row>
    <row r="4636" spans="9:9" x14ac:dyDescent="0.25">
      <c r="I4636" s="42" t="str">
        <f t="shared" si="68"/>
        <v/>
      </c>
    </row>
    <row r="4637" spans="9:9" x14ac:dyDescent="0.25">
      <c r="I4637" s="42" t="str">
        <f t="shared" si="68"/>
        <v/>
      </c>
    </row>
    <row r="4638" spans="9:9" x14ac:dyDescent="0.25">
      <c r="I4638" s="42" t="str">
        <f t="shared" si="68"/>
        <v/>
      </c>
    </row>
    <row r="4639" spans="9:9" x14ac:dyDescent="0.25">
      <c r="I4639" s="42" t="str">
        <f t="shared" si="68"/>
        <v/>
      </c>
    </row>
    <row r="4640" spans="9:9" x14ac:dyDescent="0.25">
      <c r="I4640" s="42" t="str">
        <f t="shared" si="68"/>
        <v/>
      </c>
    </row>
    <row r="4641" spans="9:9" x14ac:dyDescent="0.25">
      <c r="I4641" s="42" t="str">
        <f t="shared" si="68"/>
        <v/>
      </c>
    </row>
    <row r="4642" spans="9:9" x14ac:dyDescent="0.25">
      <c r="I4642" s="42" t="str">
        <f t="shared" si="68"/>
        <v/>
      </c>
    </row>
    <row r="4643" spans="9:9" x14ac:dyDescent="0.25">
      <c r="I4643" s="42" t="str">
        <f t="shared" si="68"/>
        <v/>
      </c>
    </row>
    <row r="4644" spans="9:9" x14ac:dyDescent="0.25">
      <c r="I4644" s="42" t="str">
        <f t="shared" si="68"/>
        <v/>
      </c>
    </row>
    <row r="4645" spans="9:9" x14ac:dyDescent="0.25">
      <c r="I4645" s="42" t="str">
        <f t="shared" si="68"/>
        <v/>
      </c>
    </row>
    <row r="4646" spans="9:9" x14ac:dyDescent="0.25">
      <c r="I4646" s="42" t="str">
        <f t="shared" si="68"/>
        <v/>
      </c>
    </row>
    <row r="4647" spans="9:9" x14ac:dyDescent="0.25">
      <c r="I4647" s="42" t="str">
        <f t="shared" si="68"/>
        <v/>
      </c>
    </row>
    <row r="4648" spans="9:9" x14ac:dyDescent="0.25">
      <c r="I4648" s="42" t="str">
        <f t="shared" si="68"/>
        <v/>
      </c>
    </row>
    <row r="4649" spans="9:9" x14ac:dyDescent="0.25">
      <c r="I4649" s="42" t="str">
        <f t="shared" si="68"/>
        <v/>
      </c>
    </row>
    <row r="4650" spans="9:9" x14ac:dyDescent="0.25">
      <c r="I4650" s="42" t="str">
        <f t="shared" si="68"/>
        <v/>
      </c>
    </row>
    <row r="4651" spans="9:9" x14ac:dyDescent="0.25">
      <c r="I4651" s="42" t="str">
        <f t="shared" si="68"/>
        <v/>
      </c>
    </row>
    <row r="4652" spans="9:9" x14ac:dyDescent="0.25">
      <c r="I4652" s="42" t="str">
        <f t="shared" si="68"/>
        <v/>
      </c>
    </row>
    <row r="4653" spans="9:9" x14ac:dyDescent="0.25">
      <c r="I4653" s="42" t="str">
        <f t="shared" si="68"/>
        <v/>
      </c>
    </row>
    <row r="4654" spans="9:9" x14ac:dyDescent="0.25">
      <c r="I4654" s="42" t="str">
        <f t="shared" si="68"/>
        <v/>
      </c>
    </row>
    <row r="4655" spans="9:9" x14ac:dyDescent="0.25">
      <c r="I4655" s="42" t="str">
        <f t="shared" si="68"/>
        <v/>
      </c>
    </row>
    <row r="4656" spans="9:9" x14ac:dyDescent="0.25">
      <c r="I4656" s="42" t="str">
        <f t="shared" si="68"/>
        <v/>
      </c>
    </row>
    <row r="4657" spans="9:9" x14ac:dyDescent="0.25">
      <c r="I4657" s="42" t="str">
        <f t="shared" si="68"/>
        <v/>
      </c>
    </row>
    <row r="4658" spans="9:9" x14ac:dyDescent="0.25">
      <c r="I4658" s="42" t="str">
        <f t="shared" si="68"/>
        <v/>
      </c>
    </row>
    <row r="4659" spans="9:9" x14ac:dyDescent="0.25">
      <c r="I4659" s="42" t="str">
        <f t="shared" si="68"/>
        <v/>
      </c>
    </row>
    <row r="4660" spans="9:9" x14ac:dyDescent="0.25">
      <c r="I4660" s="42" t="str">
        <f t="shared" si="68"/>
        <v/>
      </c>
    </row>
    <row r="4661" spans="9:9" x14ac:dyDescent="0.25">
      <c r="I4661" s="42" t="str">
        <f t="shared" si="68"/>
        <v/>
      </c>
    </row>
    <row r="4662" spans="9:9" x14ac:dyDescent="0.25">
      <c r="I4662" s="42" t="str">
        <f t="shared" si="68"/>
        <v/>
      </c>
    </row>
    <row r="4663" spans="9:9" x14ac:dyDescent="0.25">
      <c r="I4663" s="42" t="str">
        <f t="shared" si="68"/>
        <v/>
      </c>
    </row>
    <row r="4664" spans="9:9" x14ac:dyDescent="0.25">
      <c r="I4664" s="42" t="str">
        <f t="shared" si="68"/>
        <v/>
      </c>
    </row>
    <row r="4665" spans="9:9" x14ac:dyDescent="0.25">
      <c r="I4665" s="42" t="str">
        <f t="shared" si="68"/>
        <v/>
      </c>
    </row>
    <row r="4666" spans="9:9" x14ac:dyDescent="0.25">
      <c r="I4666" s="42" t="str">
        <f t="shared" si="68"/>
        <v/>
      </c>
    </row>
    <row r="4667" spans="9:9" x14ac:dyDescent="0.25">
      <c r="I4667" s="42" t="str">
        <f t="shared" si="68"/>
        <v/>
      </c>
    </row>
    <row r="4668" spans="9:9" x14ac:dyDescent="0.25">
      <c r="I4668" s="42" t="str">
        <f t="shared" si="68"/>
        <v/>
      </c>
    </row>
    <row r="4669" spans="9:9" x14ac:dyDescent="0.25">
      <c r="I4669" s="42" t="str">
        <f t="shared" si="68"/>
        <v/>
      </c>
    </row>
    <row r="4670" spans="9:9" x14ac:dyDescent="0.25">
      <c r="I4670" s="42" t="str">
        <f t="shared" si="68"/>
        <v/>
      </c>
    </row>
    <row r="4671" spans="9:9" x14ac:dyDescent="0.25">
      <c r="I4671" s="42" t="str">
        <f t="shared" si="68"/>
        <v/>
      </c>
    </row>
    <row r="4672" spans="9:9" x14ac:dyDescent="0.25">
      <c r="I4672" s="42" t="str">
        <f t="shared" ref="I4672:I4735" si="69">IF(H4672&lt;&gt;"",H4672-H4671,"")</f>
        <v/>
      </c>
    </row>
    <row r="4673" spans="9:9" x14ac:dyDescent="0.25">
      <c r="I4673" s="42" t="str">
        <f t="shared" si="69"/>
        <v/>
      </c>
    </row>
    <row r="4674" spans="9:9" x14ac:dyDescent="0.25">
      <c r="I4674" s="42" t="str">
        <f t="shared" si="69"/>
        <v/>
      </c>
    </row>
    <row r="4675" spans="9:9" x14ac:dyDescent="0.25">
      <c r="I4675" s="42" t="str">
        <f t="shared" si="69"/>
        <v/>
      </c>
    </row>
    <row r="4676" spans="9:9" x14ac:dyDescent="0.25">
      <c r="I4676" s="42" t="str">
        <f t="shared" si="69"/>
        <v/>
      </c>
    </row>
    <row r="4677" spans="9:9" x14ac:dyDescent="0.25">
      <c r="I4677" s="42" t="str">
        <f t="shared" si="69"/>
        <v/>
      </c>
    </row>
    <row r="4678" spans="9:9" x14ac:dyDescent="0.25">
      <c r="I4678" s="42" t="str">
        <f t="shared" si="69"/>
        <v/>
      </c>
    </row>
    <row r="4679" spans="9:9" x14ac:dyDescent="0.25">
      <c r="I4679" s="42" t="str">
        <f t="shared" si="69"/>
        <v/>
      </c>
    </row>
    <row r="4680" spans="9:9" x14ac:dyDescent="0.25">
      <c r="I4680" s="42" t="str">
        <f t="shared" si="69"/>
        <v/>
      </c>
    </row>
    <row r="4681" spans="9:9" x14ac:dyDescent="0.25">
      <c r="I4681" s="42" t="str">
        <f t="shared" si="69"/>
        <v/>
      </c>
    </row>
    <row r="4682" spans="9:9" x14ac:dyDescent="0.25">
      <c r="I4682" s="42" t="str">
        <f t="shared" si="69"/>
        <v/>
      </c>
    </row>
    <row r="4683" spans="9:9" x14ac:dyDescent="0.25">
      <c r="I4683" s="42" t="str">
        <f t="shared" si="69"/>
        <v/>
      </c>
    </row>
    <row r="4684" spans="9:9" x14ac:dyDescent="0.25">
      <c r="I4684" s="42" t="str">
        <f t="shared" si="69"/>
        <v/>
      </c>
    </row>
    <row r="4685" spans="9:9" x14ac:dyDescent="0.25">
      <c r="I4685" s="42" t="str">
        <f t="shared" si="69"/>
        <v/>
      </c>
    </row>
    <row r="4686" spans="9:9" x14ac:dyDescent="0.25">
      <c r="I4686" s="42" t="str">
        <f t="shared" si="69"/>
        <v/>
      </c>
    </row>
    <row r="4687" spans="9:9" x14ac:dyDescent="0.25">
      <c r="I4687" s="42" t="str">
        <f t="shared" si="69"/>
        <v/>
      </c>
    </row>
    <row r="4688" spans="9:9" x14ac:dyDescent="0.25">
      <c r="I4688" s="42" t="str">
        <f t="shared" si="69"/>
        <v/>
      </c>
    </row>
    <row r="4689" spans="9:9" x14ac:dyDescent="0.25">
      <c r="I4689" s="42" t="str">
        <f t="shared" si="69"/>
        <v/>
      </c>
    </row>
    <row r="4690" spans="9:9" x14ac:dyDescent="0.25">
      <c r="I4690" s="42" t="str">
        <f t="shared" si="69"/>
        <v/>
      </c>
    </row>
    <row r="4691" spans="9:9" x14ac:dyDescent="0.25">
      <c r="I4691" s="42" t="str">
        <f t="shared" si="69"/>
        <v/>
      </c>
    </row>
    <row r="4692" spans="9:9" x14ac:dyDescent="0.25">
      <c r="I4692" s="42" t="str">
        <f t="shared" si="69"/>
        <v/>
      </c>
    </row>
    <row r="4693" spans="9:9" x14ac:dyDescent="0.25">
      <c r="I4693" s="42" t="str">
        <f t="shared" si="69"/>
        <v/>
      </c>
    </row>
    <row r="4694" spans="9:9" x14ac:dyDescent="0.25">
      <c r="I4694" s="42" t="str">
        <f t="shared" si="69"/>
        <v/>
      </c>
    </row>
    <row r="4695" spans="9:9" x14ac:dyDescent="0.25">
      <c r="I4695" s="42" t="str">
        <f t="shared" si="69"/>
        <v/>
      </c>
    </row>
    <row r="4696" spans="9:9" x14ac:dyDescent="0.25">
      <c r="I4696" s="42" t="str">
        <f t="shared" si="69"/>
        <v/>
      </c>
    </row>
    <row r="4697" spans="9:9" x14ac:dyDescent="0.25">
      <c r="I4697" s="42" t="str">
        <f t="shared" si="69"/>
        <v/>
      </c>
    </row>
    <row r="4698" spans="9:9" x14ac:dyDescent="0.25">
      <c r="I4698" s="42" t="str">
        <f t="shared" si="69"/>
        <v/>
      </c>
    </row>
    <row r="4699" spans="9:9" x14ac:dyDescent="0.25">
      <c r="I4699" s="42" t="str">
        <f t="shared" si="69"/>
        <v/>
      </c>
    </row>
    <row r="4700" spans="9:9" x14ac:dyDescent="0.25">
      <c r="I4700" s="42" t="str">
        <f t="shared" si="69"/>
        <v/>
      </c>
    </row>
    <row r="4701" spans="9:9" x14ac:dyDescent="0.25">
      <c r="I4701" s="42" t="str">
        <f t="shared" si="69"/>
        <v/>
      </c>
    </row>
    <row r="4702" spans="9:9" x14ac:dyDescent="0.25">
      <c r="I4702" s="42" t="str">
        <f t="shared" si="69"/>
        <v/>
      </c>
    </row>
    <row r="4703" spans="9:9" x14ac:dyDescent="0.25">
      <c r="I4703" s="42" t="str">
        <f t="shared" si="69"/>
        <v/>
      </c>
    </row>
    <row r="4704" spans="9:9" x14ac:dyDescent="0.25">
      <c r="I4704" s="42" t="str">
        <f t="shared" si="69"/>
        <v/>
      </c>
    </row>
    <row r="4705" spans="9:9" x14ac:dyDescent="0.25">
      <c r="I4705" s="42" t="str">
        <f t="shared" si="69"/>
        <v/>
      </c>
    </row>
    <row r="4706" spans="9:9" x14ac:dyDescent="0.25">
      <c r="I4706" s="42" t="str">
        <f t="shared" si="69"/>
        <v/>
      </c>
    </row>
    <row r="4707" spans="9:9" x14ac:dyDescent="0.25">
      <c r="I4707" s="42" t="str">
        <f t="shared" si="69"/>
        <v/>
      </c>
    </row>
    <row r="4708" spans="9:9" x14ac:dyDescent="0.25">
      <c r="I4708" s="42" t="str">
        <f t="shared" si="69"/>
        <v/>
      </c>
    </row>
    <row r="4709" spans="9:9" x14ac:dyDescent="0.25">
      <c r="I4709" s="42" t="str">
        <f t="shared" si="69"/>
        <v/>
      </c>
    </row>
    <row r="4710" spans="9:9" x14ac:dyDescent="0.25">
      <c r="I4710" s="42" t="str">
        <f t="shared" si="69"/>
        <v/>
      </c>
    </row>
    <row r="4711" spans="9:9" x14ac:dyDescent="0.25">
      <c r="I4711" s="42" t="str">
        <f t="shared" si="69"/>
        <v/>
      </c>
    </row>
    <row r="4712" spans="9:9" x14ac:dyDescent="0.25">
      <c r="I4712" s="42" t="str">
        <f t="shared" si="69"/>
        <v/>
      </c>
    </row>
    <row r="4713" spans="9:9" x14ac:dyDescent="0.25">
      <c r="I4713" s="42" t="str">
        <f t="shared" si="69"/>
        <v/>
      </c>
    </row>
    <row r="4714" spans="9:9" x14ac:dyDescent="0.25">
      <c r="I4714" s="42" t="str">
        <f t="shared" si="69"/>
        <v/>
      </c>
    </row>
    <row r="4715" spans="9:9" x14ac:dyDescent="0.25">
      <c r="I4715" s="42" t="str">
        <f t="shared" si="69"/>
        <v/>
      </c>
    </row>
    <row r="4716" spans="9:9" x14ac:dyDescent="0.25">
      <c r="I4716" s="42" t="str">
        <f t="shared" si="69"/>
        <v/>
      </c>
    </row>
    <row r="4717" spans="9:9" x14ac:dyDescent="0.25">
      <c r="I4717" s="42" t="str">
        <f t="shared" si="69"/>
        <v/>
      </c>
    </row>
    <row r="4718" spans="9:9" x14ac:dyDescent="0.25">
      <c r="I4718" s="42" t="str">
        <f t="shared" si="69"/>
        <v/>
      </c>
    </row>
    <row r="4719" spans="9:9" x14ac:dyDescent="0.25">
      <c r="I4719" s="42" t="str">
        <f t="shared" si="69"/>
        <v/>
      </c>
    </row>
    <row r="4720" spans="9:9" x14ac:dyDescent="0.25">
      <c r="I4720" s="42" t="str">
        <f t="shared" si="69"/>
        <v/>
      </c>
    </row>
    <row r="4721" spans="9:9" x14ac:dyDescent="0.25">
      <c r="I4721" s="42" t="str">
        <f t="shared" si="69"/>
        <v/>
      </c>
    </row>
    <row r="4722" spans="9:9" x14ac:dyDescent="0.25">
      <c r="I4722" s="42" t="str">
        <f t="shared" si="69"/>
        <v/>
      </c>
    </row>
    <row r="4723" spans="9:9" x14ac:dyDescent="0.25">
      <c r="I4723" s="42" t="str">
        <f t="shared" si="69"/>
        <v/>
      </c>
    </row>
    <row r="4724" spans="9:9" x14ac:dyDescent="0.25">
      <c r="I4724" s="42" t="str">
        <f t="shared" si="69"/>
        <v/>
      </c>
    </row>
    <row r="4725" spans="9:9" x14ac:dyDescent="0.25">
      <c r="I4725" s="42" t="str">
        <f t="shared" si="69"/>
        <v/>
      </c>
    </row>
    <row r="4726" spans="9:9" x14ac:dyDescent="0.25">
      <c r="I4726" s="42" t="str">
        <f t="shared" si="69"/>
        <v/>
      </c>
    </row>
    <row r="4727" spans="9:9" x14ac:dyDescent="0.25">
      <c r="I4727" s="42" t="str">
        <f t="shared" si="69"/>
        <v/>
      </c>
    </row>
    <row r="4728" spans="9:9" x14ac:dyDescent="0.25">
      <c r="I4728" s="42" t="str">
        <f t="shared" si="69"/>
        <v/>
      </c>
    </row>
    <row r="4729" spans="9:9" x14ac:dyDescent="0.25">
      <c r="I4729" s="42" t="str">
        <f t="shared" si="69"/>
        <v/>
      </c>
    </row>
    <row r="4730" spans="9:9" x14ac:dyDescent="0.25">
      <c r="I4730" s="42" t="str">
        <f t="shared" si="69"/>
        <v/>
      </c>
    </row>
    <row r="4731" spans="9:9" x14ac:dyDescent="0.25">
      <c r="I4731" s="42" t="str">
        <f t="shared" si="69"/>
        <v/>
      </c>
    </row>
    <row r="4732" spans="9:9" x14ac:dyDescent="0.25">
      <c r="I4732" s="42" t="str">
        <f t="shared" si="69"/>
        <v/>
      </c>
    </row>
    <row r="4733" spans="9:9" x14ac:dyDescent="0.25">
      <c r="I4733" s="42" t="str">
        <f t="shared" si="69"/>
        <v/>
      </c>
    </row>
    <row r="4734" spans="9:9" x14ac:dyDescent="0.25">
      <c r="I4734" s="42" t="str">
        <f t="shared" si="69"/>
        <v/>
      </c>
    </row>
    <row r="4735" spans="9:9" x14ac:dyDescent="0.25">
      <c r="I4735" s="42" t="str">
        <f t="shared" si="69"/>
        <v/>
      </c>
    </row>
    <row r="4736" spans="9:9" x14ac:dyDescent="0.25">
      <c r="I4736" s="42" t="str">
        <f t="shared" ref="I4736:I4799" si="70">IF(H4736&lt;&gt;"",H4736-H4735,"")</f>
        <v/>
      </c>
    </row>
    <row r="4737" spans="9:9" x14ac:dyDescent="0.25">
      <c r="I4737" s="42" t="str">
        <f t="shared" si="70"/>
        <v/>
      </c>
    </row>
    <row r="4738" spans="9:9" x14ac:dyDescent="0.25">
      <c r="I4738" s="42" t="str">
        <f t="shared" si="70"/>
        <v/>
      </c>
    </row>
    <row r="4739" spans="9:9" x14ac:dyDescent="0.25">
      <c r="I4739" s="42" t="str">
        <f t="shared" si="70"/>
        <v/>
      </c>
    </row>
    <row r="4740" spans="9:9" x14ac:dyDescent="0.25">
      <c r="I4740" s="42" t="str">
        <f t="shared" si="70"/>
        <v/>
      </c>
    </row>
    <row r="4741" spans="9:9" x14ac:dyDescent="0.25">
      <c r="I4741" s="42" t="str">
        <f t="shared" si="70"/>
        <v/>
      </c>
    </row>
    <row r="4742" spans="9:9" x14ac:dyDescent="0.25">
      <c r="I4742" s="42" t="str">
        <f t="shared" si="70"/>
        <v/>
      </c>
    </row>
    <row r="4743" spans="9:9" x14ac:dyDescent="0.25">
      <c r="I4743" s="42" t="str">
        <f t="shared" si="70"/>
        <v/>
      </c>
    </row>
    <row r="4744" spans="9:9" x14ac:dyDescent="0.25">
      <c r="I4744" s="42" t="str">
        <f t="shared" si="70"/>
        <v/>
      </c>
    </row>
    <row r="4745" spans="9:9" x14ac:dyDescent="0.25">
      <c r="I4745" s="42" t="str">
        <f t="shared" si="70"/>
        <v/>
      </c>
    </row>
    <row r="4746" spans="9:9" x14ac:dyDescent="0.25">
      <c r="I4746" s="42" t="str">
        <f t="shared" si="70"/>
        <v/>
      </c>
    </row>
    <row r="4747" spans="9:9" x14ac:dyDescent="0.25">
      <c r="I4747" s="42" t="str">
        <f t="shared" si="70"/>
        <v/>
      </c>
    </row>
    <row r="4748" spans="9:9" x14ac:dyDescent="0.25">
      <c r="I4748" s="42" t="str">
        <f t="shared" si="70"/>
        <v/>
      </c>
    </row>
    <row r="4749" spans="9:9" x14ac:dyDescent="0.25">
      <c r="I4749" s="42" t="str">
        <f t="shared" si="70"/>
        <v/>
      </c>
    </row>
    <row r="4750" spans="9:9" x14ac:dyDescent="0.25">
      <c r="I4750" s="42" t="str">
        <f t="shared" si="70"/>
        <v/>
      </c>
    </row>
    <row r="4751" spans="9:9" x14ac:dyDescent="0.25">
      <c r="I4751" s="42" t="str">
        <f t="shared" si="70"/>
        <v/>
      </c>
    </row>
    <row r="4752" spans="9:9" x14ac:dyDescent="0.25">
      <c r="I4752" s="42" t="str">
        <f t="shared" si="70"/>
        <v/>
      </c>
    </row>
    <row r="4753" spans="9:9" x14ac:dyDescent="0.25">
      <c r="I4753" s="42" t="str">
        <f t="shared" si="70"/>
        <v/>
      </c>
    </row>
    <row r="4754" spans="9:9" x14ac:dyDescent="0.25">
      <c r="I4754" s="42" t="str">
        <f t="shared" si="70"/>
        <v/>
      </c>
    </row>
    <row r="4755" spans="9:9" x14ac:dyDescent="0.25">
      <c r="I4755" s="42" t="str">
        <f t="shared" si="70"/>
        <v/>
      </c>
    </row>
    <row r="4756" spans="9:9" x14ac:dyDescent="0.25">
      <c r="I4756" s="42" t="str">
        <f t="shared" si="70"/>
        <v/>
      </c>
    </row>
    <row r="4757" spans="9:9" x14ac:dyDescent="0.25">
      <c r="I4757" s="42" t="str">
        <f t="shared" si="70"/>
        <v/>
      </c>
    </row>
    <row r="4758" spans="9:9" x14ac:dyDescent="0.25">
      <c r="I4758" s="42" t="str">
        <f t="shared" si="70"/>
        <v/>
      </c>
    </row>
    <row r="4759" spans="9:9" x14ac:dyDescent="0.25">
      <c r="I4759" s="42" t="str">
        <f t="shared" si="70"/>
        <v/>
      </c>
    </row>
    <row r="4760" spans="9:9" x14ac:dyDescent="0.25">
      <c r="I4760" s="42" t="str">
        <f t="shared" si="70"/>
        <v/>
      </c>
    </row>
    <row r="4761" spans="9:9" x14ac:dyDescent="0.25">
      <c r="I4761" s="42" t="str">
        <f t="shared" si="70"/>
        <v/>
      </c>
    </row>
    <row r="4762" spans="9:9" x14ac:dyDescent="0.25">
      <c r="I4762" s="42" t="str">
        <f t="shared" si="70"/>
        <v/>
      </c>
    </row>
    <row r="4763" spans="9:9" x14ac:dyDescent="0.25">
      <c r="I4763" s="42" t="str">
        <f t="shared" si="70"/>
        <v/>
      </c>
    </row>
    <row r="4764" spans="9:9" x14ac:dyDescent="0.25">
      <c r="I4764" s="42" t="str">
        <f t="shared" si="70"/>
        <v/>
      </c>
    </row>
    <row r="4765" spans="9:9" x14ac:dyDescent="0.25">
      <c r="I4765" s="42" t="str">
        <f t="shared" si="70"/>
        <v/>
      </c>
    </row>
    <row r="4766" spans="9:9" x14ac:dyDescent="0.25">
      <c r="I4766" s="42" t="str">
        <f t="shared" si="70"/>
        <v/>
      </c>
    </row>
    <row r="4767" spans="9:9" x14ac:dyDescent="0.25">
      <c r="I4767" s="42" t="str">
        <f t="shared" si="70"/>
        <v/>
      </c>
    </row>
    <row r="4768" spans="9:9" x14ac:dyDescent="0.25">
      <c r="I4768" s="42" t="str">
        <f t="shared" si="70"/>
        <v/>
      </c>
    </row>
    <row r="4769" spans="9:9" x14ac:dyDescent="0.25">
      <c r="I4769" s="42" t="str">
        <f t="shared" si="70"/>
        <v/>
      </c>
    </row>
    <row r="4770" spans="9:9" x14ac:dyDescent="0.25">
      <c r="I4770" s="42" t="str">
        <f t="shared" si="70"/>
        <v/>
      </c>
    </row>
    <row r="4771" spans="9:9" x14ac:dyDescent="0.25">
      <c r="I4771" s="42" t="str">
        <f t="shared" si="70"/>
        <v/>
      </c>
    </row>
    <row r="4772" spans="9:9" x14ac:dyDescent="0.25">
      <c r="I4772" s="42" t="str">
        <f t="shared" si="70"/>
        <v/>
      </c>
    </row>
    <row r="4773" spans="9:9" x14ac:dyDescent="0.25">
      <c r="I4773" s="42" t="str">
        <f t="shared" si="70"/>
        <v/>
      </c>
    </row>
    <row r="4774" spans="9:9" x14ac:dyDescent="0.25">
      <c r="I4774" s="42" t="str">
        <f t="shared" si="70"/>
        <v/>
      </c>
    </row>
    <row r="4775" spans="9:9" x14ac:dyDescent="0.25">
      <c r="I4775" s="42" t="str">
        <f t="shared" si="70"/>
        <v/>
      </c>
    </row>
    <row r="4776" spans="9:9" x14ac:dyDescent="0.25">
      <c r="I4776" s="42" t="str">
        <f t="shared" si="70"/>
        <v/>
      </c>
    </row>
    <row r="4777" spans="9:9" x14ac:dyDescent="0.25">
      <c r="I4777" s="42" t="str">
        <f t="shared" si="70"/>
        <v/>
      </c>
    </row>
    <row r="4778" spans="9:9" x14ac:dyDescent="0.25">
      <c r="I4778" s="42" t="str">
        <f t="shared" si="70"/>
        <v/>
      </c>
    </row>
    <row r="4779" spans="9:9" x14ac:dyDescent="0.25">
      <c r="I4779" s="42" t="str">
        <f t="shared" si="70"/>
        <v/>
      </c>
    </row>
    <row r="4780" spans="9:9" x14ac:dyDescent="0.25">
      <c r="I4780" s="42" t="str">
        <f t="shared" si="70"/>
        <v/>
      </c>
    </row>
    <row r="4781" spans="9:9" x14ac:dyDescent="0.25">
      <c r="I4781" s="42" t="str">
        <f t="shared" si="70"/>
        <v/>
      </c>
    </row>
    <row r="4782" spans="9:9" x14ac:dyDescent="0.25">
      <c r="I4782" s="42" t="str">
        <f t="shared" si="70"/>
        <v/>
      </c>
    </row>
    <row r="4783" spans="9:9" x14ac:dyDescent="0.25">
      <c r="I4783" s="42" t="str">
        <f t="shared" si="70"/>
        <v/>
      </c>
    </row>
    <row r="4784" spans="9:9" x14ac:dyDescent="0.25">
      <c r="I4784" s="42" t="str">
        <f t="shared" si="70"/>
        <v/>
      </c>
    </row>
    <row r="4785" spans="9:9" x14ac:dyDescent="0.25">
      <c r="I4785" s="42" t="str">
        <f t="shared" si="70"/>
        <v/>
      </c>
    </row>
    <row r="4786" spans="9:9" x14ac:dyDescent="0.25">
      <c r="I4786" s="42" t="str">
        <f t="shared" si="70"/>
        <v/>
      </c>
    </row>
    <row r="4787" spans="9:9" x14ac:dyDescent="0.25">
      <c r="I4787" s="42" t="str">
        <f t="shared" si="70"/>
        <v/>
      </c>
    </row>
    <row r="4788" spans="9:9" x14ac:dyDescent="0.25">
      <c r="I4788" s="42" t="str">
        <f t="shared" si="70"/>
        <v/>
      </c>
    </row>
    <row r="4789" spans="9:9" x14ac:dyDescent="0.25">
      <c r="I4789" s="42" t="str">
        <f t="shared" si="70"/>
        <v/>
      </c>
    </row>
    <row r="4790" spans="9:9" x14ac:dyDescent="0.25">
      <c r="I4790" s="42" t="str">
        <f t="shared" si="70"/>
        <v/>
      </c>
    </row>
    <row r="4791" spans="9:9" x14ac:dyDescent="0.25">
      <c r="I4791" s="42" t="str">
        <f t="shared" si="70"/>
        <v/>
      </c>
    </row>
    <row r="4792" spans="9:9" x14ac:dyDescent="0.25">
      <c r="I4792" s="42" t="str">
        <f t="shared" si="70"/>
        <v/>
      </c>
    </row>
    <row r="4793" spans="9:9" x14ac:dyDescent="0.25">
      <c r="I4793" s="42" t="str">
        <f t="shared" si="70"/>
        <v/>
      </c>
    </row>
    <row r="4794" spans="9:9" x14ac:dyDescent="0.25">
      <c r="I4794" s="42" t="str">
        <f t="shared" si="70"/>
        <v/>
      </c>
    </row>
    <row r="4795" spans="9:9" x14ac:dyDescent="0.25">
      <c r="I4795" s="42" t="str">
        <f t="shared" si="70"/>
        <v/>
      </c>
    </row>
    <row r="4796" spans="9:9" x14ac:dyDescent="0.25">
      <c r="I4796" s="42" t="str">
        <f t="shared" si="70"/>
        <v/>
      </c>
    </row>
    <row r="4797" spans="9:9" x14ac:dyDescent="0.25">
      <c r="I4797" s="42" t="str">
        <f t="shared" si="70"/>
        <v/>
      </c>
    </row>
    <row r="4798" spans="9:9" x14ac:dyDescent="0.25">
      <c r="I4798" s="42" t="str">
        <f t="shared" si="70"/>
        <v/>
      </c>
    </row>
    <row r="4799" spans="9:9" x14ac:dyDescent="0.25">
      <c r="I4799" s="42" t="str">
        <f t="shared" si="70"/>
        <v/>
      </c>
    </row>
    <row r="4800" spans="9:9" x14ac:dyDescent="0.25">
      <c r="I4800" s="42" t="str">
        <f t="shared" ref="I4800:I4863" si="71">IF(H4800&lt;&gt;"",H4800-H4799,"")</f>
        <v/>
      </c>
    </row>
    <row r="4801" spans="9:9" x14ac:dyDescent="0.25">
      <c r="I4801" s="42" t="str">
        <f t="shared" si="71"/>
        <v/>
      </c>
    </row>
    <row r="4802" spans="9:9" x14ac:dyDescent="0.25">
      <c r="I4802" s="42" t="str">
        <f t="shared" si="71"/>
        <v/>
      </c>
    </row>
    <row r="4803" spans="9:9" x14ac:dyDescent="0.25">
      <c r="I4803" s="42" t="str">
        <f t="shared" si="71"/>
        <v/>
      </c>
    </row>
    <row r="4804" spans="9:9" x14ac:dyDescent="0.25">
      <c r="I4804" s="42" t="str">
        <f t="shared" si="71"/>
        <v/>
      </c>
    </row>
    <row r="4805" spans="9:9" x14ac:dyDescent="0.25">
      <c r="I4805" s="42" t="str">
        <f t="shared" si="71"/>
        <v/>
      </c>
    </row>
    <row r="4806" spans="9:9" x14ac:dyDescent="0.25">
      <c r="I4806" s="42" t="str">
        <f t="shared" si="71"/>
        <v/>
      </c>
    </row>
    <row r="4807" spans="9:9" x14ac:dyDescent="0.25">
      <c r="I4807" s="42" t="str">
        <f t="shared" si="71"/>
        <v/>
      </c>
    </row>
    <row r="4808" spans="9:9" x14ac:dyDescent="0.25">
      <c r="I4808" s="42" t="str">
        <f t="shared" si="71"/>
        <v/>
      </c>
    </row>
    <row r="4809" spans="9:9" x14ac:dyDescent="0.25">
      <c r="I4809" s="42" t="str">
        <f t="shared" si="71"/>
        <v/>
      </c>
    </row>
    <row r="4810" spans="9:9" x14ac:dyDescent="0.25">
      <c r="I4810" s="42" t="str">
        <f t="shared" si="71"/>
        <v/>
      </c>
    </row>
    <row r="4811" spans="9:9" x14ac:dyDescent="0.25">
      <c r="I4811" s="42" t="str">
        <f t="shared" si="71"/>
        <v/>
      </c>
    </row>
    <row r="4812" spans="9:9" x14ac:dyDescent="0.25">
      <c r="I4812" s="42" t="str">
        <f t="shared" si="71"/>
        <v/>
      </c>
    </row>
    <row r="4813" spans="9:9" x14ac:dyDescent="0.25">
      <c r="I4813" s="42" t="str">
        <f t="shared" si="71"/>
        <v/>
      </c>
    </row>
    <row r="4814" spans="9:9" x14ac:dyDescent="0.25">
      <c r="I4814" s="42" t="str">
        <f t="shared" si="71"/>
        <v/>
      </c>
    </row>
    <row r="4815" spans="9:9" x14ac:dyDescent="0.25">
      <c r="I4815" s="42" t="str">
        <f t="shared" si="71"/>
        <v/>
      </c>
    </row>
    <row r="4816" spans="9:9" x14ac:dyDescent="0.25">
      <c r="I4816" s="42" t="str">
        <f t="shared" si="71"/>
        <v/>
      </c>
    </row>
    <row r="4817" spans="9:9" x14ac:dyDescent="0.25">
      <c r="I4817" s="42" t="str">
        <f t="shared" si="71"/>
        <v/>
      </c>
    </row>
    <row r="4818" spans="9:9" x14ac:dyDescent="0.25">
      <c r="I4818" s="42" t="str">
        <f t="shared" si="71"/>
        <v/>
      </c>
    </row>
    <row r="4819" spans="9:9" x14ac:dyDescent="0.25">
      <c r="I4819" s="42" t="str">
        <f t="shared" si="71"/>
        <v/>
      </c>
    </row>
    <row r="4820" spans="9:9" x14ac:dyDescent="0.25">
      <c r="I4820" s="42" t="str">
        <f t="shared" si="71"/>
        <v/>
      </c>
    </row>
    <row r="4821" spans="9:9" x14ac:dyDescent="0.25">
      <c r="I4821" s="42" t="str">
        <f t="shared" si="71"/>
        <v/>
      </c>
    </row>
    <row r="4822" spans="9:9" x14ac:dyDescent="0.25">
      <c r="I4822" s="42" t="str">
        <f t="shared" si="71"/>
        <v/>
      </c>
    </row>
    <row r="4823" spans="9:9" x14ac:dyDescent="0.25">
      <c r="I4823" s="42" t="str">
        <f t="shared" si="71"/>
        <v/>
      </c>
    </row>
    <row r="4824" spans="9:9" x14ac:dyDescent="0.25">
      <c r="I4824" s="42" t="str">
        <f t="shared" si="71"/>
        <v/>
      </c>
    </row>
    <row r="4825" spans="9:9" x14ac:dyDescent="0.25">
      <c r="I4825" s="42" t="str">
        <f t="shared" si="71"/>
        <v/>
      </c>
    </row>
    <row r="4826" spans="9:9" x14ac:dyDescent="0.25">
      <c r="I4826" s="42" t="str">
        <f t="shared" si="71"/>
        <v/>
      </c>
    </row>
    <row r="4827" spans="9:9" x14ac:dyDescent="0.25">
      <c r="I4827" s="42" t="str">
        <f t="shared" si="71"/>
        <v/>
      </c>
    </row>
    <row r="4828" spans="9:9" x14ac:dyDescent="0.25">
      <c r="I4828" s="42" t="str">
        <f t="shared" si="71"/>
        <v/>
      </c>
    </row>
    <row r="4829" spans="9:9" x14ac:dyDescent="0.25">
      <c r="I4829" s="42" t="str">
        <f t="shared" si="71"/>
        <v/>
      </c>
    </row>
    <row r="4830" spans="9:9" x14ac:dyDescent="0.25">
      <c r="I4830" s="42" t="str">
        <f t="shared" si="71"/>
        <v/>
      </c>
    </row>
    <row r="4831" spans="9:9" x14ac:dyDescent="0.25">
      <c r="I4831" s="42" t="str">
        <f t="shared" si="71"/>
        <v/>
      </c>
    </row>
    <row r="4832" spans="9:9" x14ac:dyDescent="0.25">
      <c r="I4832" s="42" t="str">
        <f t="shared" si="71"/>
        <v/>
      </c>
    </row>
    <row r="4833" spans="9:9" x14ac:dyDescent="0.25">
      <c r="I4833" s="42" t="str">
        <f t="shared" si="71"/>
        <v/>
      </c>
    </row>
    <row r="4834" spans="9:9" x14ac:dyDescent="0.25">
      <c r="I4834" s="42" t="str">
        <f t="shared" si="71"/>
        <v/>
      </c>
    </row>
    <row r="4835" spans="9:9" x14ac:dyDescent="0.25">
      <c r="I4835" s="42" t="str">
        <f t="shared" si="71"/>
        <v/>
      </c>
    </row>
    <row r="4836" spans="9:9" x14ac:dyDescent="0.25">
      <c r="I4836" s="42" t="str">
        <f t="shared" si="71"/>
        <v/>
      </c>
    </row>
    <row r="4837" spans="9:9" x14ac:dyDescent="0.25">
      <c r="I4837" s="42" t="str">
        <f t="shared" si="71"/>
        <v/>
      </c>
    </row>
    <row r="4838" spans="9:9" x14ac:dyDescent="0.25">
      <c r="I4838" s="42" t="str">
        <f t="shared" si="71"/>
        <v/>
      </c>
    </row>
    <row r="4839" spans="9:9" x14ac:dyDescent="0.25">
      <c r="I4839" s="42" t="str">
        <f t="shared" si="71"/>
        <v/>
      </c>
    </row>
    <row r="4840" spans="9:9" x14ac:dyDescent="0.25">
      <c r="I4840" s="42" t="str">
        <f t="shared" si="71"/>
        <v/>
      </c>
    </row>
    <row r="4841" spans="9:9" x14ac:dyDescent="0.25">
      <c r="I4841" s="42" t="str">
        <f t="shared" si="71"/>
        <v/>
      </c>
    </row>
    <row r="4842" spans="9:9" x14ac:dyDescent="0.25">
      <c r="I4842" s="42" t="str">
        <f t="shared" si="71"/>
        <v/>
      </c>
    </row>
    <row r="4843" spans="9:9" x14ac:dyDescent="0.25">
      <c r="I4843" s="42" t="str">
        <f t="shared" si="71"/>
        <v/>
      </c>
    </row>
    <row r="4844" spans="9:9" x14ac:dyDescent="0.25">
      <c r="I4844" s="42" t="str">
        <f t="shared" si="71"/>
        <v/>
      </c>
    </row>
    <row r="4845" spans="9:9" x14ac:dyDescent="0.25">
      <c r="I4845" s="42" t="str">
        <f t="shared" si="71"/>
        <v/>
      </c>
    </row>
    <row r="4846" spans="9:9" x14ac:dyDescent="0.25">
      <c r="I4846" s="42" t="str">
        <f t="shared" si="71"/>
        <v/>
      </c>
    </row>
    <row r="4847" spans="9:9" x14ac:dyDescent="0.25">
      <c r="I4847" s="42" t="str">
        <f t="shared" si="71"/>
        <v/>
      </c>
    </row>
    <row r="4848" spans="9:9" x14ac:dyDescent="0.25">
      <c r="I4848" s="42" t="str">
        <f t="shared" si="71"/>
        <v/>
      </c>
    </row>
    <row r="4849" spans="9:9" x14ac:dyDescent="0.25">
      <c r="I4849" s="42" t="str">
        <f t="shared" si="71"/>
        <v/>
      </c>
    </row>
    <row r="4850" spans="9:9" x14ac:dyDescent="0.25">
      <c r="I4850" s="42" t="str">
        <f t="shared" si="71"/>
        <v/>
      </c>
    </row>
    <row r="4851" spans="9:9" x14ac:dyDescent="0.25">
      <c r="I4851" s="42" t="str">
        <f t="shared" si="71"/>
        <v/>
      </c>
    </row>
    <row r="4852" spans="9:9" x14ac:dyDescent="0.25">
      <c r="I4852" s="42" t="str">
        <f t="shared" si="71"/>
        <v/>
      </c>
    </row>
    <row r="4853" spans="9:9" x14ac:dyDescent="0.25">
      <c r="I4853" s="42" t="str">
        <f t="shared" si="71"/>
        <v/>
      </c>
    </row>
    <row r="4854" spans="9:9" x14ac:dyDescent="0.25">
      <c r="I4854" s="42" t="str">
        <f t="shared" si="71"/>
        <v/>
      </c>
    </row>
    <row r="4855" spans="9:9" x14ac:dyDescent="0.25">
      <c r="I4855" s="42" t="str">
        <f t="shared" si="71"/>
        <v/>
      </c>
    </row>
    <row r="4856" spans="9:9" x14ac:dyDescent="0.25">
      <c r="I4856" s="42" t="str">
        <f t="shared" si="71"/>
        <v/>
      </c>
    </row>
    <row r="4857" spans="9:9" x14ac:dyDescent="0.25">
      <c r="I4857" s="42" t="str">
        <f t="shared" si="71"/>
        <v/>
      </c>
    </row>
    <row r="4858" spans="9:9" x14ac:dyDescent="0.25">
      <c r="I4858" s="42" t="str">
        <f t="shared" si="71"/>
        <v/>
      </c>
    </row>
    <row r="4859" spans="9:9" x14ac:dyDescent="0.25">
      <c r="I4859" s="42" t="str">
        <f t="shared" si="71"/>
        <v/>
      </c>
    </row>
    <row r="4860" spans="9:9" x14ac:dyDescent="0.25">
      <c r="I4860" s="42" t="str">
        <f t="shared" si="71"/>
        <v/>
      </c>
    </row>
    <row r="4861" spans="9:9" x14ac:dyDescent="0.25">
      <c r="I4861" s="42" t="str">
        <f t="shared" si="71"/>
        <v/>
      </c>
    </row>
    <row r="4862" spans="9:9" x14ac:dyDescent="0.25">
      <c r="I4862" s="42" t="str">
        <f t="shared" si="71"/>
        <v/>
      </c>
    </row>
    <row r="4863" spans="9:9" x14ac:dyDescent="0.25">
      <c r="I4863" s="42" t="str">
        <f t="shared" si="71"/>
        <v/>
      </c>
    </row>
    <row r="4864" spans="9:9" x14ac:dyDescent="0.25">
      <c r="I4864" s="42" t="str">
        <f t="shared" ref="I4864:I4927" si="72">IF(H4864&lt;&gt;"",H4864-H4863,"")</f>
        <v/>
      </c>
    </row>
    <row r="4865" spans="9:9" x14ac:dyDescent="0.25">
      <c r="I4865" s="42" t="str">
        <f t="shared" si="72"/>
        <v/>
      </c>
    </row>
    <row r="4866" spans="9:9" x14ac:dyDescent="0.25">
      <c r="I4866" s="42" t="str">
        <f t="shared" si="72"/>
        <v/>
      </c>
    </row>
    <row r="4867" spans="9:9" x14ac:dyDescent="0.25">
      <c r="I4867" s="42" t="str">
        <f t="shared" si="72"/>
        <v/>
      </c>
    </row>
    <row r="4868" spans="9:9" x14ac:dyDescent="0.25">
      <c r="I4868" s="42" t="str">
        <f t="shared" si="72"/>
        <v/>
      </c>
    </row>
    <row r="4869" spans="9:9" x14ac:dyDescent="0.25">
      <c r="I4869" s="42" t="str">
        <f t="shared" si="72"/>
        <v/>
      </c>
    </row>
    <row r="4870" spans="9:9" x14ac:dyDescent="0.25">
      <c r="I4870" s="42" t="str">
        <f t="shared" si="72"/>
        <v/>
      </c>
    </row>
    <row r="4871" spans="9:9" x14ac:dyDescent="0.25">
      <c r="I4871" s="42" t="str">
        <f t="shared" si="72"/>
        <v/>
      </c>
    </row>
    <row r="4872" spans="9:9" x14ac:dyDescent="0.25">
      <c r="I4872" s="42" t="str">
        <f t="shared" si="72"/>
        <v/>
      </c>
    </row>
    <row r="4873" spans="9:9" x14ac:dyDescent="0.25">
      <c r="I4873" s="42" t="str">
        <f t="shared" si="72"/>
        <v/>
      </c>
    </row>
    <row r="4874" spans="9:9" x14ac:dyDescent="0.25">
      <c r="I4874" s="42" t="str">
        <f t="shared" si="72"/>
        <v/>
      </c>
    </row>
    <row r="4875" spans="9:9" x14ac:dyDescent="0.25">
      <c r="I4875" s="42" t="str">
        <f t="shared" si="72"/>
        <v/>
      </c>
    </row>
    <row r="4876" spans="9:9" x14ac:dyDescent="0.25">
      <c r="I4876" s="42" t="str">
        <f t="shared" si="72"/>
        <v/>
      </c>
    </row>
    <row r="4877" spans="9:9" x14ac:dyDescent="0.25">
      <c r="I4877" s="42" t="str">
        <f t="shared" si="72"/>
        <v/>
      </c>
    </row>
    <row r="4878" spans="9:9" x14ac:dyDescent="0.25">
      <c r="I4878" s="42" t="str">
        <f t="shared" si="72"/>
        <v/>
      </c>
    </row>
    <row r="4879" spans="9:9" x14ac:dyDescent="0.25">
      <c r="I4879" s="42" t="str">
        <f t="shared" si="72"/>
        <v/>
      </c>
    </row>
    <row r="4880" spans="9:9" x14ac:dyDescent="0.25">
      <c r="I4880" s="42" t="str">
        <f t="shared" si="72"/>
        <v/>
      </c>
    </row>
    <row r="4881" spans="9:9" x14ac:dyDescent="0.25">
      <c r="I4881" s="42" t="str">
        <f t="shared" si="72"/>
        <v/>
      </c>
    </row>
    <row r="4882" spans="9:9" x14ac:dyDescent="0.25">
      <c r="I4882" s="42" t="str">
        <f t="shared" si="72"/>
        <v/>
      </c>
    </row>
    <row r="4883" spans="9:9" x14ac:dyDescent="0.25">
      <c r="I4883" s="42" t="str">
        <f t="shared" si="72"/>
        <v/>
      </c>
    </row>
    <row r="4884" spans="9:9" x14ac:dyDescent="0.25">
      <c r="I4884" s="42" t="str">
        <f t="shared" si="72"/>
        <v/>
      </c>
    </row>
    <row r="4885" spans="9:9" x14ac:dyDescent="0.25">
      <c r="I4885" s="42" t="str">
        <f t="shared" si="72"/>
        <v/>
      </c>
    </row>
    <row r="4886" spans="9:9" x14ac:dyDescent="0.25">
      <c r="I4886" s="42" t="str">
        <f t="shared" si="72"/>
        <v/>
      </c>
    </row>
    <row r="4887" spans="9:9" x14ac:dyDescent="0.25">
      <c r="I4887" s="42" t="str">
        <f t="shared" si="72"/>
        <v/>
      </c>
    </row>
    <row r="4888" spans="9:9" x14ac:dyDescent="0.25">
      <c r="I4888" s="42" t="str">
        <f t="shared" si="72"/>
        <v/>
      </c>
    </row>
    <row r="4889" spans="9:9" x14ac:dyDescent="0.25">
      <c r="I4889" s="42" t="str">
        <f t="shared" si="72"/>
        <v/>
      </c>
    </row>
    <row r="4890" spans="9:9" x14ac:dyDescent="0.25">
      <c r="I4890" s="42" t="str">
        <f t="shared" si="72"/>
        <v/>
      </c>
    </row>
    <row r="4891" spans="9:9" x14ac:dyDescent="0.25">
      <c r="I4891" s="42" t="str">
        <f t="shared" si="72"/>
        <v/>
      </c>
    </row>
    <row r="4892" spans="9:9" x14ac:dyDescent="0.25">
      <c r="I4892" s="42" t="str">
        <f t="shared" si="72"/>
        <v/>
      </c>
    </row>
    <row r="4893" spans="9:9" x14ac:dyDescent="0.25">
      <c r="I4893" s="42" t="str">
        <f t="shared" si="72"/>
        <v/>
      </c>
    </row>
    <row r="4894" spans="9:9" x14ac:dyDescent="0.25">
      <c r="I4894" s="42" t="str">
        <f t="shared" si="72"/>
        <v/>
      </c>
    </row>
    <row r="4895" spans="9:9" x14ac:dyDescent="0.25">
      <c r="I4895" s="42" t="str">
        <f t="shared" si="72"/>
        <v/>
      </c>
    </row>
    <row r="4896" spans="9:9" x14ac:dyDescent="0.25">
      <c r="I4896" s="42" t="str">
        <f t="shared" si="72"/>
        <v/>
      </c>
    </row>
    <row r="4897" spans="9:9" x14ac:dyDescent="0.25">
      <c r="I4897" s="42" t="str">
        <f t="shared" si="72"/>
        <v/>
      </c>
    </row>
    <row r="4898" spans="9:9" x14ac:dyDescent="0.25">
      <c r="I4898" s="42" t="str">
        <f t="shared" si="72"/>
        <v/>
      </c>
    </row>
    <row r="4899" spans="9:9" x14ac:dyDescent="0.25">
      <c r="I4899" s="42" t="str">
        <f t="shared" si="72"/>
        <v/>
      </c>
    </row>
    <row r="4900" spans="9:9" x14ac:dyDescent="0.25">
      <c r="I4900" s="42" t="str">
        <f t="shared" si="72"/>
        <v/>
      </c>
    </row>
    <row r="4901" spans="9:9" x14ac:dyDescent="0.25">
      <c r="I4901" s="42" t="str">
        <f t="shared" si="72"/>
        <v/>
      </c>
    </row>
    <row r="4902" spans="9:9" x14ac:dyDescent="0.25">
      <c r="I4902" s="42" t="str">
        <f t="shared" si="72"/>
        <v/>
      </c>
    </row>
    <row r="4903" spans="9:9" x14ac:dyDescent="0.25">
      <c r="I4903" s="42" t="str">
        <f t="shared" si="72"/>
        <v/>
      </c>
    </row>
    <row r="4904" spans="9:9" x14ac:dyDescent="0.25">
      <c r="I4904" s="42" t="str">
        <f t="shared" si="72"/>
        <v/>
      </c>
    </row>
    <row r="4905" spans="9:9" x14ac:dyDescent="0.25">
      <c r="I4905" s="42" t="str">
        <f t="shared" si="72"/>
        <v/>
      </c>
    </row>
    <row r="4906" spans="9:9" x14ac:dyDescent="0.25">
      <c r="I4906" s="42" t="str">
        <f t="shared" si="72"/>
        <v/>
      </c>
    </row>
    <row r="4907" spans="9:9" x14ac:dyDescent="0.25">
      <c r="I4907" s="42" t="str">
        <f t="shared" si="72"/>
        <v/>
      </c>
    </row>
    <row r="4908" spans="9:9" x14ac:dyDescent="0.25">
      <c r="I4908" s="42" t="str">
        <f t="shared" si="72"/>
        <v/>
      </c>
    </row>
    <row r="4909" spans="9:9" x14ac:dyDescent="0.25">
      <c r="I4909" s="42" t="str">
        <f t="shared" si="72"/>
        <v/>
      </c>
    </row>
    <row r="4910" spans="9:9" x14ac:dyDescent="0.25">
      <c r="I4910" s="42" t="str">
        <f t="shared" si="72"/>
        <v/>
      </c>
    </row>
    <row r="4911" spans="9:9" x14ac:dyDescent="0.25">
      <c r="I4911" s="42" t="str">
        <f t="shared" si="72"/>
        <v/>
      </c>
    </row>
    <row r="4912" spans="9:9" x14ac:dyDescent="0.25">
      <c r="I4912" s="42" t="str">
        <f t="shared" si="72"/>
        <v/>
      </c>
    </row>
    <row r="4913" spans="9:9" x14ac:dyDescent="0.25">
      <c r="I4913" s="42" t="str">
        <f t="shared" si="72"/>
        <v/>
      </c>
    </row>
    <row r="4914" spans="9:9" x14ac:dyDescent="0.25">
      <c r="I4914" s="42" t="str">
        <f t="shared" si="72"/>
        <v/>
      </c>
    </row>
    <row r="4915" spans="9:9" x14ac:dyDescent="0.25">
      <c r="I4915" s="42" t="str">
        <f t="shared" si="72"/>
        <v/>
      </c>
    </row>
    <row r="4916" spans="9:9" x14ac:dyDescent="0.25">
      <c r="I4916" s="42" t="str">
        <f t="shared" si="72"/>
        <v/>
      </c>
    </row>
    <row r="4917" spans="9:9" x14ac:dyDescent="0.25">
      <c r="I4917" s="42" t="str">
        <f t="shared" si="72"/>
        <v/>
      </c>
    </row>
    <row r="4918" spans="9:9" x14ac:dyDescent="0.25">
      <c r="I4918" s="42" t="str">
        <f t="shared" si="72"/>
        <v/>
      </c>
    </row>
    <row r="4919" spans="9:9" x14ac:dyDescent="0.25">
      <c r="I4919" s="42" t="str">
        <f t="shared" si="72"/>
        <v/>
      </c>
    </row>
    <row r="4920" spans="9:9" x14ac:dyDescent="0.25">
      <c r="I4920" s="42" t="str">
        <f t="shared" si="72"/>
        <v/>
      </c>
    </row>
    <row r="4921" spans="9:9" x14ac:dyDescent="0.25">
      <c r="I4921" s="42" t="str">
        <f t="shared" si="72"/>
        <v/>
      </c>
    </row>
    <row r="4922" spans="9:9" x14ac:dyDescent="0.25">
      <c r="I4922" s="42" t="str">
        <f t="shared" si="72"/>
        <v/>
      </c>
    </row>
    <row r="4923" spans="9:9" x14ac:dyDescent="0.25">
      <c r="I4923" s="42" t="str">
        <f t="shared" si="72"/>
        <v/>
      </c>
    </row>
    <row r="4924" spans="9:9" x14ac:dyDescent="0.25">
      <c r="I4924" s="42" t="str">
        <f t="shared" si="72"/>
        <v/>
      </c>
    </row>
    <row r="4925" spans="9:9" x14ac:dyDescent="0.25">
      <c r="I4925" s="42" t="str">
        <f t="shared" si="72"/>
        <v/>
      </c>
    </row>
    <row r="4926" spans="9:9" x14ac:dyDescent="0.25">
      <c r="I4926" s="42" t="str">
        <f t="shared" si="72"/>
        <v/>
      </c>
    </row>
    <row r="4927" spans="9:9" x14ac:dyDescent="0.25">
      <c r="I4927" s="42" t="str">
        <f t="shared" si="72"/>
        <v/>
      </c>
    </row>
    <row r="4928" spans="9:9" x14ac:dyDescent="0.25">
      <c r="I4928" s="42" t="str">
        <f t="shared" ref="I4928:I4991" si="73">IF(H4928&lt;&gt;"",H4928-H4927,"")</f>
        <v/>
      </c>
    </row>
    <row r="4929" spans="9:9" x14ac:dyDescent="0.25">
      <c r="I4929" s="42" t="str">
        <f t="shared" si="73"/>
        <v/>
      </c>
    </row>
    <row r="4930" spans="9:9" x14ac:dyDescent="0.25">
      <c r="I4930" s="42" t="str">
        <f t="shared" si="73"/>
        <v/>
      </c>
    </row>
    <row r="4931" spans="9:9" x14ac:dyDescent="0.25">
      <c r="I4931" s="42" t="str">
        <f t="shared" si="73"/>
        <v/>
      </c>
    </row>
    <row r="4932" spans="9:9" x14ac:dyDescent="0.25">
      <c r="I4932" s="42" t="str">
        <f t="shared" si="73"/>
        <v/>
      </c>
    </row>
    <row r="4933" spans="9:9" x14ac:dyDescent="0.25">
      <c r="I4933" s="42" t="str">
        <f t="shared" si="73"/>
        <v/>
      </c>
    </row>
    <row r="4934" spans="9:9" x14ac:dyDescent="0.25">
      <c r="I4934" s="42" t="str">
        <f t="shared" si="73"/>
        <v/>
      </c>
    </row>
    <row r="4935" spans="9:9" x14ac:dyDescent="0.25">
      <c r="I4935" s="42" t="str">
        <f t="shared" si="73"/>
        <v/>
      </c>
    </row>
    <row r="4936" spans="9:9" x14ac:dyDescent="0.25">
      <c r="I4936" s="42" t="str">
        <f t="shared" si="73"/>
        <v/>
      </c>
    </row>
    <row r="4937" spans="9:9" x14ac:dyDescent="0.25">
      <c r="I4937" s="42" t="str">
        <f t="shared" si="73"/>
        <v/>
      </c>
    </row>
    <row r="4938" spans="9:9" x14ac:dyDescent="0.25">
      <c r="I4938" s="42" t="str">
        <f t="shared" si="73"/>
        <v/>
      </c>
    </row>
    <row r="4939" spans="9:9" x14ac:dyDescent="0.25">
      <c r="I4939" s="42" t="str">
        <f t="shared" si="73"/>
        <v/>
      </c>
    </row>
    <row r="4940" spans="9:9" x14ac:dyDescent="0.25">
      <c r="I4940" s="42" t="str">
        <f t="shared" si="73"/>
        <v/>
      </c>
    </row>
    <row r="4941" spans="9:9" x14ac:dyDescent="0.25">
      <c r="I4941" s="42" t="str">
        <f t="shared" si="73"/>
        <v/>
      </c>
    </row>
    <row r="4942" spans="9:9" x14ac:dyDescent="0.25">
      <c r="I4942" s="42" t="str">
        <f t="shared" si="73"/>
        <v/>
      </c>
    </row>
    <row r="4943" spans="9:9" x14ac:dyDescent="0.25">
      <c r="I4943" s="42" t="str">
        <f t="shared" si="73"/>
        <v/>
      </c>
    </row>
    <row r="4944" spans="9:9" x14ac:dyDescent="0.25">
      <c r="I4944" s="42" t="str">
        <f t="shared" si="73"/>
        <v/>
      </c>
    </row>
    <row r="4945" spans="9:9" x14ac:dyDescent="0.25">
      <c r="I4945" s="42" t="str">
        <f t="shared" si="73"/>
        <v/>
      </c>
    </row>
    <row r="4946" spans="9:9" x14ac:dyDescent="0.25">
      <c r="I4946" s="42" t="str">
        <f t="shared" si="73"/>
        <v/>
      </c>
    </row>
    <row r="4947" spans="9:9" x14ac:dyDescent="0.25">
      <c r="I4947" s="42" t="str">
        <f t="shared" si="73"/>
        <v/>
      </c>
    </row>
    <row r="4948" spans="9:9" x14ac:dyDescent="0.25">
      <c r="I4948" s="42" t="str">
        <f t="shared" si="73"/>
        <v/>
      </c>
    </row>
    <row r="4949" spans="9:9" x14ac:dyDescent="0.25">
      <c r="I4949" s="42" t="str">
        <f t="shared" si="73"/>
        <v/>
      </c>
    </row>
    <row r="4950" spans="9:9" x14ac:dyDescent="0.25">
      <c r="I4950" s="42" t="str">
        <f t="shared" si="73"/>
        <v/>
      </c>
    </row>
    <row r="4951" spans="9:9" x14ac:dyDescent="0.25">
      <c r="I4951" s="42" t="str">
        <f t="shared" si="73"/>
        <v/>
      </c>
    </row>
    <row r="4952" spans="9:9" x14ac:dyDescent="0.25">
      <c r="I4952" s="42" t="str">
        <f t="shared" si="73"/>
        <v/>
      </c>
    </row>
    <row r="4953" spans="9:9" x14ac:dyDescent="0.25">
      <c r="I4953" s="42" t="str">
        <f t="shared" si="73"/>
        <v/>
      </c>
    </row>
    <row r="4954" spans="9:9" x14ac:dyDescent="0.25">
      <c r="I4954" s="42" t="str">
        <f t="shared" si="73"/>
        <v/>
      </c>
    </row>
    <row r="4955" spans="9:9" x14ac:dyDescent="0.25">
      <c r="I4955" s="42" t="str">
        <f t="shared" si="73"/>
        <v/>
      </c>
    </row>
    <row r="4956" spans="9:9" x14ac:dyDescent="0.25">
      <c r="I4956" s="42" t="str">
        <f t="shared" si="73"/>
        <v/>
      </c>
    </row>
    <row r="4957" spans="9:9" x14ac:dyDescent="0.25">
      <c r="I4957" s="42" t="str">
        <f t="shared" si="73"/>
        <v/>
      </c>
    </row>
    <row r="4958" spans="9:9" x14ac:dyDescent="0.25">
      <c r="I4958" s="42" t="str">
        <f t="shared" si="73"/>
        <v/>
      </c>
    </row>
    <row r="4959" spans="9:9" x14ac:dyDescent="0.25">
      <c r="I4959" s="42" t="str">
        <f t="shared" si="73"/>
        <v/>
      </c>
    </row>
    <row r="4960" spans="9:9" x14ac:dyDescent="0.25">
      <c r="I4960" s="42" t="str">
        <f t="shared" si="73"/>
        <v/>
      </c>
    </row>
    <row r="4961" spans="9:9" x14ac:dyDescent="0.25">
      <c r="I4961" s="42" t="str">
        <f t="shared" si="73"/>
        <v/>
      </c>
    </row>
    <row r="4962" spans="9:9" x14ac:dyDescent="0.25">
      <c r="I4962" s="42" t="str">
        <f t="shared" si="73"/>
        <v/>
      </c>
    </row>
    <row r="4963" spans="9:9" x14ac:dyDescent="0.25">
      <c r="I4963" s="42" t="str">
        <f t="shared" si="73"/>
        <v/>
      </c>
    </row>
    <row r="4964" spans="9:9" x14ac:dyDescent="0.25">
      <c r="I4964" s="42" t="str">
        <f t="shared" si="73"/>
        <v/>
      </c>
    </row>
    <row r="4965" spans="9:9" x14ac:dyDescent="0.25">
      <c r="I4965" s="42" t="str">
        <f t="shared" si="73"/>
        <v/>
      </c>
    </row>
    <row r="4966" spans="9:9" x14ac:dyDescent="0.25">
      <c r="I4966" s="42" t="str">
        <f t="shared" si="73"/>
        <v/>
      </c>
    </row>
    <row r="4967" spans="9:9" x14ac:dyDescent="0.25">
      <c r="I4967" s="42" t="str">
        <f t="shared" si="73"/>
        <v/>
      </c>
    </row>
    <row r="4968" spans="9:9" x14ac:dyDescent="0.25">
      <c r="I4968" s="42" t="str">
        <f t="shared" si="73"/>
        <v/>
      </c>
    </row>
    <row r="4969" spans="9:9" x14ac:dyDescent="0.25">
      <c r="I4969" s="42" t="str">
        <f t="shared" si="73"/>
        <v/>
      </c>
    </row>
    <row r="4970" spans="9:9" x14ac:dyDescent="0.25">
      <c r="I4970" s="42" t="str">
        <f t="shared" si="73"/>
        <v/>
      </c>
    </row>
    <row r="4971" spans="9:9" x14ac:dyDescent="0.25">
      <c r="I4971" s="42" t="str">
        <f t="shared" si="73"/>
        <v/>
      </c>
    </row>
    <row r="4972" spans="9:9" x14ac:dyDescent="0.25">
      <c r="I4972" s="42" t="str">
        <f t="shared" si="73"/>
        <v/>
      </c>
    </row>
    <row r="4973" spans="9:9" x14ac:dyDescent="0.25">
      <c r="I4973" s="42" t="str">
        <f t="shared" si="73"/>
        <v/>
      </c>
    </row>
    <row r="4974" spans="9:9" x14ac:dyDescent="0.25">
      <c r="I4974" s="42" t="str">
        <f t="shared" si="73"/>
        <v/>
      </c>
    </row>
    <row r="4975" spans="9:9" x14ac:dyDescent="0.25">
      <c r="I4975" s="42" t="str">
        <f t="shared" si="73"/>
        <v/>
      </c>
    </row>
    <row r="4976" spans="9:9" x14ac:dyDescent="0.25">
      <c r="I4976" s="42" t="str">
        <f t="shared" si="73"/>
        <v/>
      </c>
    </row>
    <row r="4977" spans="9:9" x14ac:dyDescent="0.25">
      <c r="I4977" s="42" t="str">
        <f t="shared" si="73"/>
        <v/>
      </c>
    </row>
    <row r="4978" spans="9:9" x14ac:dyDescent="0.25">
      <c r="I4978" s="42" t="str">
        <f t="shared" si="73"/>
        <v/>
      </c>
    </row>
    <row r="4979" spans="9:9" x14ac:dyDescent="0.25">
      <c r="I4979" s="42" t="str">
        <f t="shared" si="73"/>
        <v/>
      </c>
    </row>
    <row r="4980" spans="9:9" x14ac:dyDescent="0.25">
      <c r="I4980" s="42" t="str">
        <f t="shared" si="73"/>
        <v/>
      </c>
    </row>
    <row r="4981" spans="9:9" x14ac:dyDescent="0.25">
      <c r="I4981" s="42" t="str">
        <f t="shared" si="73"/>
        <v/>
      </c>
    </row>
    <row r="4982" spans="9:9" x14ac:dyDescent="0.25">
      <c r="I4982" s="42" t="str">
        <f t="shared" si="73"/>
        <v/>
      </c>
    </row>
    <row r="4983" spans="9:9" x14ac:dyDescent="0.25">
      <c r="I4983" s="42" t="str">
        <f t="shared" si="73"/>
        <v/>
      </c>
    </row>
    <row r="4984" spans="9:9" x14ac:dyDescent="0.25">
      <c r="I4984" s="42" t="str">
        <f t="shared" si="73"/>
        <v/>
      </c>
    </row>
    <row r="4985" spans="9:9" x14ac:dyDescent="0.25">
      <c r="I4985" s="42" t="str">
        <f t="shared" si="73"/>
        <v/>
      </c>
    </row>
    <row r="4986" spans="9:9" x14ac:dyDescent="0.25">
      <c r="I4986" s="42" t="str">
        <f t="shared" si="73"/>
        <v/>
      </c>
    </row>
    <row r="4987" spans="9:9" x14ac:dyDescent="0.25">
      <c r="I4987" s="42" t="str">
        <f t="shared" si="73"/>
        <v/>
      </c>
    </row>
    <row r="4988" spans="9:9" x14ac:dyDescent="0.25">
      <c r="I4988" s="42" t="str">
        <f t="shared" si="73"/>
        <v/>
      </c>
    </row>
    <row r="4989" spans="9:9" x14ac:dyDescent="0.25">
      <c r="I4989" s="42" t="str">
        <f t="shared" si="73"/>
        <v/>
      </c>
    </row>
    <row r="4990" spans="9:9" x14ac:dyDescent="0.25">
      <c r="I4990" s="42" t="str">
        <f t="shared" si="73"/>
        <v/>
      </c>
    </row>
    <row r="4991" spans="9:9" x14ac:dyDescent="0.25">
      <c r="I4991" s="42" t="str">
        <f t="shared" si="73"/>
        <v/>
      </c>
    </row>
    <row r="4992" spans="9:9" x14ac:dyDescent="0.25">
      <c r="I4992" s="42" t="str">
        <f t="shared" ref="I4992:I5055" si="74">IF(H4992&lt;&gt;"",H4992-H4991,"")</f>
        <v/>
      </c>
    </row>
    <row r="4993" spans="9:9" x14ac:dyDescent="0.25">
      <c r="I4993" s="42" t="str">
        <f t="shared" si="74"/>
        <v/>
      </c>
    </row>
    <row r="4994" spans="9:9" x14ac:dyDescent="0.25">
      <c r="I4994" s="42" t="str">
        <f t="shared" si="74"/>
        <v/>
      </c>
    </row>
    <row r="4995" spans="9:9" x14ac:dyDescent="0.25">
      <c r="I4995" s="42" t="str">
        <f t="shared" si="74"/>
        <v/>
      </c>
    </row>
    <row r="4996" spans="9:9" x14ac:dyDescent="0.25">
      <c r="I4996" s="42" t="str">
        <f t="shared" si="74"/>
        <v/>
      </c>
    </row>
    <row r="4997" spans="9:9" x14ac:dyDescent="0.25">
      <c r="I4997" s="42" t="str">
        <f t="shared" si="74"/>
        <v/>
      </c>
    </row>
    <row r="4998" spans="9:9" x14ac:dyDescent="0.25">
      <c r="I4998" s="42" t="str">
        <f t="shared" si="74"/>
        <v/>
      </c>
    </row>
    <row r="4999" spans="9:9" x14ac:dyDescent="0.25">
      <c r="I4999" s="42" t="str">
        <f t="shared" si="74"/>
        <v/>
      </c>
    </row>
    <row r="5000" spans="9:9" x14ac:dyDescent="0.25">
      <c r="I5000" s="42" t="str">
        <f t="shared" si="74"/>
        <v/>
      </c>
    </row>
    <row r="5001" spans="9:9" x14ac:dyDescent="0.25">
      <c r="I5001" s="42" t="str">
        <f t="shared" si="74"/>
        <v/>
      </c>
    </row>
    <row r="5002" spans="9:9" x14ac:dyDescent="0.25">
      <c r="I5002" s="42" t="str">
        <f t="shared" si="74"/>
        <v/>
      </c>
    </row>
    <row r="5003" spans="9:9" x14ac:dyDescent="0.25">
      <c r="I5003" s="42" t="str">
        <f t="shared" si="74"/>
        <v/>
      </c>
    </row>
    <row r="5004" spans="9:9" x14ac:dyDescent="0.25">
      <c r="I5004" s="42" t="str">
        <f t="shared" si="74"/>
        <v/>
      </c>
    </row>
    <row r="5005" spans="9:9" x14ac:dyDescent="0.25">
      <c r="I5005" s="42" t="str">
        <f t="shared" si="74"/>
        <v/>
      </c>
    </row>
    <row r="5006" spans="9:9" x14ac:dyDescent="0.25">
      <c r="I5006" s="42" t="str">
        <f t="shared" si="74"/>
        <v/>
      </c>
    </row>
    <row r="5007" spans="9:9" x14ac:dyDescent="0.25">
      <c r="I5007" s="42" t="str">
        <f t="shared" si="74"/>
        <v/>
      </c>
    </row>
    <row r="5008" spans="9:9" x14ac:dyDescent="0.25">
      <c r="I5008" s="42" t="str">
        <f t="shared" si="74"/>
        <v/>
      </c>
    </row>
    <row r="5009" spans="9:9" x14ac:dyDescent="0.25">
      <c r="I5009" s="42" t="str">
        <f t="shared" si="74"/>
        <v/>
      </c>
    </row>
    <row r="5010" spans="9:9" x14ac:dyDescent="0.25">
      <c r="I5010" s="42" t="str">
        <f t="shared" si="74"/>
        <v/>
      </c>
    </row>
    <row r="5011" spans="9:9" x14ac:dyDescent="0.25">
      <c r="I5011" s="42" t="str">
        <f t="shared" si="74"/>
        <v/>
      </c>
    </row>
    <row r="5012" spans="9:9" x14ac:dyDescent="0.25">
      <c r="I5012" s="42" t="str">
        <f t="shared" si="74"/>
        <v/>
      </c>
    </row>
    <row r="5013" spans="9:9" x14ac:dyDescent="0.25">
      <c r="I5013" s="42" t="str">
        <f t="shared" si="74"/>
        <v/>
      </c>
    </row>
    <row r="5014" spans="9:9" x14ac:dyDescent="0.25">
      <c r="I5014" s="42" t="str">
        <f t="shared" si="74"/>
        <v/>
      </c>
    </row>
    <row r="5015" spans="9:9" x14ac:dyDescent="0.25">
      <c r="I5015" s="42" t="str">
        <f t="shared" si="74"/>
        <v/>
      </c>
    </row>
    <row r="5016" spans="9:9" x14ac:dyDescent="0.25">
      <c r="I5016" s="42" t="str">
        <f t="shared" si="74"/>
        <v/>
      </c>
    </row>
    <row r="5017" spans="9:9" x14ac:dyDescent="0.25">
      <c r="I5017" s="42" t="str">
        <f t="shared" si="74"/>
        <v/>
      </c>
    </row>
    <row r="5018" spans="9:9" x14ac:dyDescent="0.25">
      <c r="I5018" s="42" t="str">
        <f t="shared" si="74"/>
        <v/>
      </c>
    </row>
    <row r="5019" spans="9:9" x14ac:dyDescent="0.25">
      <c r="I5019" s="42" t="str">
        <f t="shared" si="74"/>
        <v/>
      </c>
    </row>
    <row r="5020" spans="9:9" x14ac:dyDescent="0.25">
      <c r="I5020" s="42" t="str">
        <f t="shared" si="74"/>
        <v/>
      </c>
    </row>
    <row r="5021" spans="9:9" x14ac:dyDescent="0.25">
      <c r="I5021" s="42" t="str">
        <f t="shared" si="74"/>
        <v/>
      </c>
    </row>
    <row r="5022" spans="9:9" x14ac:dyDescent="0.25">
      <c r="I5022" s="42" t="str">
        <f t="shared" si="74"/>
        <v/>
      </c>
    </row>
    <row r="5023" spans="9:9" x14ac:dyDescent="0.25">
      <c r="I5023" s="42" t="str">
        <f t="shared" si="74"/>
        <v/>
      </c>
    </row>
    <row r="5024" spans="9:9" x14ac:dyDescent="0.25">
      <c r="I5024" s="42" t="str">
        <f t="shared" si="74"/>
        <v/>
      </c>
    </row>
    <row r="5025" spans="9:9" x14ac:dyDescent="0.25">
      <c r="I5025" s="42" t="str">
        <f t="shared" si="74"/>
        <v/>
      </c>
    </row>
    <row r="5026" spans="9:9" x14ac:dyDescent="0.25">
      <c r="I5026" s="42" t="str">
        <f t="shared" si="74"/>
        <v/>
      </c>
    </row>
    <row r="5027" spans="9:9" x14ac:dyDescent="0.25">
      <c r="I5027" s="42" t="str">
        <f t="shared" si="74"/>
        <v/>
      </c>
    </row>
    <row r="5028" spans="9:9" x14ac:dyDescent="0.25">
      <c r="I5028" s="42" t="str">
        <f t="shared" si="74"/>
        <v/>
      </c>
    </row>
    <row r="5029" spans="9:9" x14ac:dyDescent="0.25">
      <c r="I5029" s="42" t="str">
        <f t="shared" si="74"/>
        <v/>
      </c>
    </row>
    <row r="5030" spans="9:9" x14ac:dyDescent="0.25">
      <c r="I5030" s="42" t="str">
        <f t="shared" si="74"/>
        <v/>
      </c>
    </row>
    <row r="5031" spans="9:9" x14ac:dyDescent="0.25">
      <c r="I5031" s="42" t="str">
        <f t="shared" si="74"/>
        <v/>
      </c>
    </row>
    <row r="5032" spans="9:9" x14ac:dyDescent="0.25">
      <c r="I5032" s="42" t="str">
        <f t="shared" si="74"/>
        <v/>
      </c>
    </row>
    <row r="5033" spans="9:9" x14ac:dyDescent="0.25">
      <c r="I5033" s="42" t="str">
        <f t="shared" si="74"/>
        <v/>
      </c>
    </row>
    <row r="5034" spans="9:9" x14ac:dyDescent="0.25">
      <c r="I5034" s="42" t="str">
        <f t="shared" si="74"/>
        <v/>
      </c>
    </row>
    <row r="5035" spans="9:9" x14ac:dyDescent="0.25">
      <c r="I5035" s="42" t="str">
        <f t="shared" si="74"/>
        <v/>
      </c>
    </row>
    <row r="5036" spans="9:9" x14ac:dyDescent="0.25">
      <c r="I5036" s="42" t="str">
        <f t="shared" si="74"/>
        <v/>
      </c>
    </row>
    <row r="5037" spans="9:9" x14ac:dyDescent="0.25">
      <c r="I5037" s="42" t="str">
        <f t="shared" si="74"/>
        <v/>
      </c>
    </row>
    <row r="5038" spans="9:9" x14ac:dyDescent="0.25">
      <c r="I5038" s="42" t="str">
        <f t="shared" si="74"/>
        <v/>
      </c>
    </row>
    <row r="5039" spans="9:9" x14ac:dyDescent="0.25">
      <c r="I5039" s="42" t="str">
        <f t="shared" si="74"/>
        <v/>
      </c>
    </row>
    <row r="5040" spans="9:9" x14ac:dyDescent="0.25">
      <c r="I5040" s="42" t="str">
        <f t="shared" si="74"/>
        <v/>
      </c>
    </row>
    <row r="5041" spans="9:9" x14ac:dyDescent="0.25">
      <c r="I5041" s="42" t="str">
        <f t="shared" si="74"/>
        <v/>
      </c>
    </row>
    <row r="5042" spans="9:9" x14ac:dyDescent="0.25">
      <c r="I5042" s="42" t="str">
        <f t="shared" si="74"/>
        <v/>
      </c>
    </row>
    <row r="5043" spans="9:9" x14ac:dyDescent="0.25">
      <c r="I5043" s="42" t="str">
        <f t="shared" si="74"/>
        <v/>
      </c>
    </row>
    <row r="5044" spans="9:9" x14ac:dyDescent="0.25">
      <c r="I5044" s="42" t="str">
        <f t="shared" si="74"/>
        <v/>
      </c>
    </row>
    <row r="5045" spans="9:9" x14ac:dyDescent="0.25">
      <c r="I5045" s="42" t="str">
        <f t="shared" si="74"/>
        <v/>
      </c>
    </row>
    <row r="5046" spans="9:9" x14ac:dyDescent="0.25">
      <c r="I5046" s="42" t="str">
        <f t="shared" si="74"/>
        <v/>
      </c>
    </row>
    <row r="5047" spans="9:9" x14ac:dyDescent="0.25">
      <c r="I5047" s="42" t="str">
        <f t="shared" si="74"/>
        <v/>
      </c>
    </row>
    <row r="5048" spans="9:9" x14ac:dyDescent="0.25">
      <c r="I5048" s="42" t="str">
        <f t="shared" si="74"/>
        <v/>
      </c>
    </row>
    <row r="5049" spans="9:9" x14ac:dyDescent="0.25">
      <c r="I5049" s="42" t="str">
        <f t="shared" si="74"/>
        <v/>
      </c>
    </row>
    <row r="5050" spans="9:9" x14ac:dyDescent="0.25">
      <c r="I5050" s="42" t="str">
        <f t="shared" si="74"/>
        <v/>
      </c>
    </row>
    <row r="5051" spans="9:9" x14ac:dyDescent="0.25">
      <c r="I5051" s="42" t="str">
        <f t="shared" si="74"/>
        <v/>
      </c>
    </row>
    <row r="5052" spans="9:9" x14ac:dyDescent="0.25">
      <c r="I5052" s="42" t="str">
        <f t="shared" si="74"/>
        <v/>
      </c>
    </row>
    <row r="5053" spans="9:9" x14ac:dyDescent="0.25">
      <c r="I5053" s="42" t="str">
        <f t="shared" si="74"/>
        <v/>
      </c>
    </row>
    <row r="5054" spans="9:9" x14ac:dyDescent="0.25">
      <c r="I5054" s="42" t="str">
        <f t="shared" si="74"/>
        <v/>
      </c>
    </row>
    <row r="5055" spans="9:9" x14ac:dyDescent="0.25">
      <c r="I5055" s="42" t="str">
        <f t="shared" si="74"/>
        <v/>
      </c>
    </row>
    <row r="5056" spans="9:9" x14ac:dyDescent="0.25">
      <c r="I5056" s="42" t="str">
        <f t="shared" ref="I5056:I5119" si="75">IF(H5056&lt;&gt;"",H5056-H5055,"")</f>
        <v/>
      </c>
    </row>
    <row r="5057" spans="9:9" x14ac:dyDescent="0.25">
      <c r="I5057" s="42" t="str">
        <f t="shared" si="75"/>
        <v/>
      </c>
    </row>
    <row r="5058" spans="9:9" x14ac:dyDescent="0.25">
      <c r="I5058" s="42" t="str">
        <f t="shared" si="75"/>
        <v/>
      </c>
    </row>
    <row r="5059" spans="9:9" x14ac:dyDescent="0.25">
      <c r="I5059" s="42" t="str">
        <f t="shared" si="75"/>
        <v/>
      </c>
    </row>
    <row r="5060" spans="9:9" x14ac:dyDescent="0.25">
      <c r="I5060" s="42" t="str">
        <f t="shared" si="75"/>
        <v/>
      </c>
    </row>
    <row r="5061" spans="9:9" x14ac:dyDescent="0.25">
      <c r="I5061" s="42" t="str">
        <f t="shared" si="75"/>
        <v/>
      </c>
    </row>
    <row r="5062" spans="9:9" x14ac:dyDescent="0.25">
      <c r="I5062" s="42" t="str">
        <f t="shared" si="75"/>
        <v/>
      </c>
    </row>
    <row r="5063" spans="9:9" x14ac:dyDescent="0.25">
      <c r="I5063" s="42" t="str">
        <f t="shared" si="75"/>
        <v/>
      </c>
    </row>
    <row r="5064" spans="9:9" x14ac:dyDescent="0.25">
      <c r="I5064" s="42" t="str">
        <f t="shared" si="75"/>
        <v/>
      </c>
    </row>
    <row r="5065" spans="9:9" x14ac:dyDescent="0.25">
      <c r="I5065" s="42" t="str">
        <f t="shared" si="75"/>
        <v/>
      </c>
    </row>
    <row r="5066" spans="9:9" x14ac:dyDescent="0.25">
      <c r="I5066" s="42" t="str">
        <f t="shared" si="75"/>
        <v/>
      </c>
    </row>
    <row r="5067" spans="9:9" x14ac:dyDescent="0.25">
      <c r="I5067" s="42" t="str">
        <f t="shared" si="75"/>
        <v/>
      </c>
    </row>
    <row r="5068" spans="9:9" x14ac:dyDescent="0.25">
      <c r="I5068" s="42" t="str">
        <f t="shared" si="75"/>
        <v/>
      </c>
    </row>
    <row r="5069" spans="9:9" x14ac:dyDescent="0.25">
      <c r="I5069" s="42" t="str">
        <f t="shared" si="75"/>
        <v/>
      </c>
    </row>
    <row r="5070" spans="9:9" x14ac:dyDescent="0.25">
      <c r="I5070" s="42" t="str">
        <f t="shared" si="75"/>
        <v/>
      </c>
    </row>
    <row r="5071" spans="9:9" x14ac:dyDescent="0.25">
      <c r="I5071" s="42" t="str">
        <f t="shared" si="75"/>
        <v/>
      </c>
    </row>
    <row r="5072" spans="9:9" x14ac:dyDescent="0.25">
      <c r="I5072" s="42" t="str">
        <f t="shared" si="75"/>
        <v/>
      </c>
    </row>
    <row r="5073" spans="9:9" x14ac:dyDescent="0.25">
      <c r="I5073" s="42" t="str">
        <f t="shared" si="75"/>
        <v/>
      </c>
    </row>
    <row r="5074" spans="9:9" x14ac:dyDescent="0.25">
      <c r="I5074" s="42" t="str">
        <f t="shared" si="75"/>
        <v/>
      </c>
    </row>
    <row r="5075" spans="9:9" x14ac:dyDescent="0.25">
      <c r="I5075" s="42" t="str">
        <f t="shared" si="75"/>
        <v/>
      </c>
    </row>
    <row r="5076" spans="9:9" x14ac:dyDescent="0.25">
      <c r="I5076" s="42" t="str">
        <f t="shared" si="75"/>
        <v/>
      </c>
    </row>
    <row r="5077" spans="9:9" x14ac:dyDescent="0.25">
      <c r="I5077" s="42" t="str">
        <f t="shared" si="75"/>
        <v/>
      </c>
    </row>
    <row r="5078" spans="9:9" x14ac:dyDescent="0.25">
      <c r="I5078" s="42" t="str">
        <f t="shared" si="75"/>
        <v/>
      </c>
    </row>
    <row r="5079" spans="9:9" x14ac:dyDescent="0.25">
      <c r="I5079" s="42" t="str">
        <f t="shared" si="75"/>
        <v/>
      </c>
    </row>
    <row r="5080" spans="9:9" x14ac:dyDescent="0.25">
      <c r="I5080" s="42" t="str">
        <f t="shared" si="75"/>
        <v/>
      </c>
    </row>
    <row r="5081" spans="9:9" x14ac:dyDescent="0.25">
      <c r="I5081" s="42" t="str">
        <f t="shared" si="75"/>
        <v/>
      </c>
    </row>
    <row r="5082" spans="9:9" x14ac:dyDescent="0.25">
      <c r="I5082" s="42" t="str">
        <f t="shared" si="75"/>
        <v/>
      </c>
    </row>
    <row r="5083" spans="9:9" x14ac:dyDescent="0.25">
      <c r="I5083" s="42" t="str">
        <f t="shared" si="75"/>
        <v/>
      </c>
    </row>
    <row r="5084" spans="9:9" x14ac:dyDescent="0.25">
      <c r="I5084" s="42" t="str">
        <f t="shared" si="75"/>
        <v/>
      </c>
    </row>
    <row r="5085" spans="9:9" x14ac:dyDescent="0.25">
      <c r="I5085" s="42" t="str">
        <f t="shared" si="75"/>
        <v/>
      </c>
    </row>
    <row r="5086" spans="9:9" x14ac:dyDescent="0.25">
      <c r="I5086" s="42" t="str">
        <f t="shared" si="75"/>
        <v/>
      </c>
    </row>
    <row r="5087" spans="9:9" x14ac:dyDescent="0.25">
      <c r="I5087" s="42" t="str">
        <f t="shared" si="75"/>
        <v/>
      </c>
    </row>
    <row r="5088" spans="9:9" x14ac:dyDescent="0.25">
      <c r="I5088" s="42" t="str">
        <f t="shared" si="75"/>
        <v/>
      </c>
    </row>
    <row r="5089" spans="9:9" x14ac:dyDescent="0.25">
      <c r="I5089" s="42" t="str">
        <f t="shared" si="75"/>
        <v/>
      </c>
    </row>
    <row r="5090" spans="9:9" x14ac:dyDescent="0.25">
      <c r="I5090" s="42" t="str">
        <f t="shared" si="75"/>
        <v/>
      </c>
    </row>
    <row r="5091" spans="9:9" x14ac:dyDescent="0.25">
      <c r="I5091" s="42" t="str">
        <f t="shared" si="75"/>
        <v/>
      </c>
    </row>
    <row r="5092" spans="9:9" x14ac:dyDescent="0.25">
      <c r="I5092" s="42" t="str">
        <f t="shared" si="75"/>
        <v/>
      </c>
    </row>
    <row r="5093" spans="9:9" x14ac:dyDescent="0.25">
      <c r="I5093" s="42" t="str">
        <f t="shared" si="75"/>
        <v/>
      </c>
    </row>
    <row r="5094" spans="9:9" x14ac:dyDescent="0.25">
      <c r="I5094" s="42" t="str">
        <f t="shared" si="75"/>
        <v/>
      </c>
    </row>
    <row r="5095" spans="9:9" x14ac:dyDescent="0.25">
      <c r="I5095" s="42" t="str">
        <f t="shared" si="75"/>
        <v/>
      </c>
    </row>
    <row r="5096" spans="9:9" x14ac:dyDescent="0.25">
      <c r="I5096" s="42" t="str">
        <f t="shared" si="75"/>
        <v/>
      </c>
    </row>
    <row r="5097" spans="9:9" x14ac:dyDescent="0.25">
      <c r="I5097" s="42" t="str">
        <f t="shared" si="75"/>
        <v/>
      </c>
    </row>
    <row r="5098" spans="9:9" x14ac:dyDescent="0.25">
      <c r="I5098" s="42" t="str">
        <f t="shared" si="75"/>
        <v/>
      </c>
    </row>
    <row r="5099" spans="9:9" x14ac:dyDescent="0.25">
      <c r="I5099" s="42" t="str">
        <f t="shared" si="75"/>
        <v/>
      </c>
    </row>
    <row r="5100" spans="9:9" x14ac:dyDescent="0.25">
      <c r="I5100" s="42" t="str">
        <f t="shared" si="75"/>
        <v/>
      </c>
    </row>
    <row r="5101" spans="9:9" x14ac:dyDescent="0.25">
      <c r="I5101" s="42" t="str">
        <f t="shared" si="75"/>
        <v/>
      </c>
    </row>
    <row r="5102" spans="9:9" x14ac:dyDescent="0.25">
      <c r="I5102" s="42" t="str">
        <f t="shared" si="75"/>
        <v/>
      </c>
    </row>
    <row r="5103" spans="9:9" x14ac:dyDescent="0.25">
      <c r="I5103" s="42" t="str">
        <f t="shared" si="75"/>
        <v/>
      </c>
    </row>
    <row r="5104" spans="9:9" x14ac:dyDescent="0.25">
      <c r="I5104" s="42" t="str">
        <f t="shared" si="75"/>
        <v/>
      </c>
    </row>
    <row r="5105" spans="9:9" x14ac:dyDescent="0.25">
      <c r="I5105" s="42" t="str">
        <f t="shared" si="75"/>
        <v/>
      </c>
    </row>
    <row r="5106" spans="9:9" x14ac:dyDescent="0.25">
      <c r="I5106" s="42" t="str">
        <f t="shared" si="75"/>
        <v/>
      </c>
    </row>
    <row r="5107" spans="9:9" x14ac:dyDescent="0.25">
      <c r="I5107" s="42" t="str">
        <f t="shared" si="75"/>
        <v/>
      </c>
    </row>
    <row r="5108" spans="9:9" x14ac:dyDescent="0.25">
      <c r="I5108" s="42" t="str">
        <f t="shared" si="75"/>
        <v/>
      </c>
    </row>
    <row r="5109" spans="9:9" x14ac:dyDescent="0.25">
      <c r="I5109" s="42" t="str">
        <f t="shared" si="75"/>
        <v/>
      </c>
    </row>
    <row r="5110" spans="9:9" x14ac:dyDescent="0.25">
      <c r="I5110" s="42" t="str">
        <f t="shared" si="75"/>
        <v/>
      </c>
    </row>
    <row r="5111" spans="9:9" x14ac:dyDescent="0.25">
      <c r="I5111" s="42" t="str">
        <f t="shared" si="75"/>
        <v/>
      </c>
    </row>
    <row r="5112" spans="9:9" x14ac:dyDescent="0.25">
      <c r="I5112" s="42" t="str">
        <f t="shared" si="75"/>
        <v/>
      </c>
    </row>
    <row r="5113" spans="9:9" x14ac:dyDescent="0.25">
      <c r="I5113" s="42" t="str">
        <f t="shared" si="75"/>
        <v/>
      </c>
    </row>
    <row r="5114" spans="9:9" x14ac:dyDescent="0.25">
      <c r="I5114" s="42" t="str">
        <f t="shared" si="75"/>
        <v/>
      </c>
    </row>
    <row r="5115" spans="9:9" x14ac:dyDescent="0.25">
      <c r="I5115" s="42" t="str">
        <f t="shared" si="75"/>
        <v/>
      </c>
    </row>
    <row r="5116" spans="9:9" x14ac:dyDescent="0.25">
      <c r="I5116" s="42" t="str">
        <f t="shared" si="75"/>
        <v/>
      </c>
    </row>
    <row r="5117" spans="9:9" x14ac:dyDescent="0.25">
      <c r="I5117" s="42" t="str">
        <f t="shared" si="75"/>
        <v/>
      </c>
    </row>
    <row r="5118" spans="9:9" x14ac:dyDescent="0.25">
      <c r="I5118" s="42" t="str">
        <f t="shared" si="75"/>
        <v/>
      </c>
    </row>
    <row r="5119" spans="9:9" x14ac:dyDescent="0.25">
      <c r="I5119" s="42" t="str">
        <f t="shared" si="75"/>
        <v/>
      </c>
    </row>
    <row r="5120" spans="9:9" x14ac:dyDescent="0.25">
      <c r="I5120" s="42" t="str">
        <f t="shared" ref="I5120:I5183" si="76">IF(H5120&lt;&gt;"",H5120-H5119,"")</f>
        <v/>
      </c>
    </row>
    <row r="5121" spans="9:9" x14ac:dyDescent="0.25">
      <c r="I5121" s="42" t="str">
        <f t="shared" si="76"/>
        <v/>
      </c>
    </row>
    <row r="5122" spans="9:9" x14ac:dyDescent="0.25">
      <c r="I5122" s="42" t="str">
        <f t="shared" si="76"/>
        <v/>
      </c>
    </row>
    <row r="5123" spans="9:9" x14ac:dyDescent="0.25">
      <c r="I5123" s="42" t="str">
        <f t="shared" si="76"/>
        <v/>
      </c>
    </row>
    <row r="5124" spans="9:9" x14ac:dyDescent="0.25">
      <c r="I5124" s="42" t="str">
        <f t="shared" si="76"/>
        <v/>
      </c>
    </row>
    <row r="5125" spans="9:9" x14ac:dyDescent="0.25">
      <c r="I5125" s="42" t="str">
        <f t="shared" si="76"/>
        <v/>
      </c>
    </row>
    <row r="5126" spans="9:9" x14ac:dyDescent="0.25">
      <c r="I5126" s="42" t="str">
        <f t="shared" si="76"/>
        <v/>
      </c>
    </row>
    <row r="5127" spans="9:9" x14ac:dyDescent="0.25">
      <c r="I5127" s="42" t="str">
        <f t="shared" si="76"/>
        <v/>
      </c>
    </row>
    <row r="5128" spans="9:9" x14ac:dyDescent="0.25">
      <c r="I5128" s="42" t="str">
        <f t="shared" si="76"/>
        <v/>
      </c>
    </row>
    <row r="5129" spans="9:9" x14ac:dyDescent="0.25">
      <c r="I5129" s="42" t="str">
        <f t="shared" si="76"/>
        <v/>
      </c>
    </row>
    <row r="5130" spans="9:9" x14ac:dyDescent="0.25">
      <c r="I5130" s="42" t="str">
        <f t="shared" si="76"/>
        <v/>
      </c>
    </row>
    <row r="5131" spans="9:9" x14ac:dyDescent="0.25">
      <c r="I5131" s="42" t="str">
        <f t="shared" si="76"/>
        <v/>
      </c>
    </row>
    <row r="5132" spans="9:9" x14ac:dyDescent="0.25">
      <c r="I5132" s="42" t="str">
        <f t="shared" si="76"/>
        <v/>
      </c>
    </row>
    <row r="5133" spans="9:9" x14ac:dyDescent="0.25">
      <c r="I5133" s="42" t="str">
        <f t="shared" si="76"/>
        <v/>
      </c>
    </row>
    <row r="5134" spans="9:9" x14ac:dyDescent="0.25">
      <c r="I5134" s="42" t="str">
        <f t="shared" si="76"/>
        <v/>
      </c>
    </row>
    <row r="5135" spans="9:9" x14ac:dyDescent="0.25">
      <c r="I5135" s="42" t="str">
        <f t="shared" si="76"/>
        <v/>
      </c>
    </row>
    <row r="5136" spans="9:9" x14ac:dyDescent="0.25">
      <c r="I5136" s="42" t="str">
        <f t="shared" si="76"/>
        <v/>
      </c>
    </row>
    <row r="5137" spans="9:9" x14ac:dyDescent="0.25">
      <c r="I5137" s="42" t="str">
        <f t="shared" si="76"/>
        <v/>
      </c>
    </row>
    <row r="5138" spans="9:9" x14ac:dyDescent="0.25">
      <c r="I5138" s="42" t="str">
        <f t="shared" si="76"/>
        <v/>
      </c>
    </row>
    <row r="5139" spans="9:9" x14ac:dyDescent="0.25">
      <c r="I5139" s="42" t="str">
        <f t="shared" si="76"/>
        <v/>
      </c>
    </row>
    <row r="5140" spans="9:9" x14ac:dyDescent="0.25">
      <c r="I5140" s="42" t="str">
        <f t="shared" si="76"/>
        <v/>
      </c>
    </row>
    <row r="5141" spans="9:9" x14ac:dyDescent="0.25">
      <c r="I5141" s="42" t="str">
        <f t="shared" si="76"/>
        <v/>
      </c>
    </row>
    <row r="5142" spans="9:9" x14ac:dyDescent="0.25">
      <c r="I5142" s="42" t="str">
        <f t="shared" si="76"/>
        <v/>
      </c>
    </row>
    <row r="5143" spans="9:9" x14ac:dyDescent="0.25">
      <c r="I5143" s="42" t="str">
        <f t="shared" si="76"/>
        <v/>
      </c>
    </row>
    <row r="5144" spans="9:9" x14ac:dyDescent="0.25">
      <c r="I5144" s="42" t="str">
        <f t="shared" si="76"/>
        <v/>
      </c>
    </row>
    <row r="5145" spans="9:9" x14ac:dyDescent="0.25">
      <c r="I5145" s="42" t="str">
        <f t="shared" si="76"/>
        <v/>
      </c>
    </row>
    <row r="5146" spans="9:9" x14ac:dyDescent="0.25">
      <c r="I5146" s="42" t="str">
        <f t="shared" si="76"/>
        <v/>
      </c>
    </row>
    <row r="5147" spans="9:9" x14ac:dyDescent="0.25">
      <c r="I5147" s="42" t="str">
        <f t="shared" si="76"/>
        <v/>
      </c>
    </row>
    <row r="5148" spans="9:9" x14ac:dyDescent="0.25">
      <c r="I5148" s="42" t="str">
        <f t="shared" si="76"/>
        <v/>
      </c>
    </row>
    <row r="5149" spans="9:9" x14ac:dyDescent="0.25">
      <c r="I5149" s="42" t="str">
        <f t="shared" si="76"/>
        <v/>
      </c>
    </row>
    <row r="5150" spans="9:9" x14ac:dyDescent="0.25">
      <c r="I5150" s="42" t="str">
        <f t="shared" si="76"/>
        <v/>
      </c>
    </row>
    <row r="5151" spans="9:9" x14ac:dyDescent="0.25">
      <c r="I5151" s="42" t="str">
        <f t="shared" si="76"/>
        <v/>
      </c>
    </row>
    <row r="5152" spans="9:9" x14ac:dyDescent="0.25">
      <c r="I5152" s="42" t="str">
        <f t="shared" si="76"/>
        <v/>
      </c>
    </row>
    <row r="5153" spans="9:9" x14ac:dyDescent="0.25">
      <c r="I5153" s="42" t="str">
        <f t="shared" si="76"/>
        <v/>
      </c>
    </row>
    <row r="5154" spans="9:9" x14ac:dyDescent="0.25">
      <c r="I5154" s="42" t="str">
        <f t="shared" si="76"/>
        <v/>
      </c>
    </row>
    <row r="5155" spans="9:9" x14ac:dyDescent="0.25">
      <c r="I5155" s="42" t="str">
        <f t="shared" si="76"/>
        <v/>
      </c>
    </row>
    <row r="5156" spans="9:9" x14ac:dyDescent="0.25">
      <c r="I5156" s="42" t="str">
        <f t="shared" si="76"/>
        <v/>
      </c>
    </row>
    <row r="5157" spans="9:9" x14ac:dyDescent="0.25">
      <c r="I5157" s="42" t="str">
        <f t="shared" si="76"/>
        <v/>
      </c>
    </row>
    <row r="5158" spans="9:9" x14ac:dyDescent="0.25">
      <c r="I5158" s="42" t="str">
        <f t="shared" si="76"/>
        <v/>
      </c>
    </row>
    <row r="5159" spans="9:9" x14ac:dyDescent="0.25">
      <c r="I5159" s="42" t="str">
        <f t="shared" si="76"/>
        <v/>
      </c>
    </row>
    <row r="5160" spans="9:9" x14ac:dyDescent="0.25">
      <c r="I5160" s="42" t="str">
        <f t="shared" si="76"/>
        <v/>
      </c>
    </row>
    <row r="5161" spans="9:9" x14ac:dyDescent="0.25">
      <c r="I5161" s="42" t="str">
        <f t="shared" si="76"/>
        <v/>
      </c>
    </row>
    <row r="5162" spans="9:9" x14ac:dyDescent="0.25">
      <c r="I5162" s="42" t="str">
        <f t="shared" si="76"/>
        <v/>
      </c>
    </row>
    <row r="5163" spans="9:9" x14ac:dyDescent="0.25">
      <c r="I5163" s="42" t="str">
        <f t="shared" si="76"/>
        <v/>
      </c>
    </row>
    <row r="5164" spans="9:9" x14ac:dyDescent="0.25">
      <c r="I5164" s="42" t="str">
        <f t="shared" si="76"/>
        <v/>
      </c>
    </row>
    <row r="5165" spans="9:9" x14ac:dyDescent="0.25">
      <c r="I5165" s="42" t="str">
        <f t="shared" si="76"/>
        <v/>
      </c>
    </row>
    <row r="5166" spans="9:9" x14ac:dyDescent="0.25">
      <c r="I5166" s="42" t="str">
        <f t="shared" si="76"/>
        <v/>
      </c>
    </row>
    <row r="5167" spans="9:9" x14ac:dyDescent="0.25">
      <c r="I5167" s="42" t="str">
        <f t="shared" si="76"/>
        <v/>
      </c>
    </row>
    <row r="5168" spans="9:9" x14ac:dyDescent="0.25">
      <c r="I5168" s="42" t="str">
        <f t="shared" si="76"/>
        <v/>
      </c>
    </row>
    <row r="5169" spans="9:9" x14ac:dyDescent="0.25">
      <c r="I5169" s="42" t="str">
        <f t="shared" si="76"/>
        <v/>
      </c>
    </row>
    <row r="5170" spans="9:9" x14ac:dyDescent="0.25">
      <c r="I5170" s="42" t="str">
        <f t="shared" si="76"/>
        <v/>
      </c>
    </row>
    <row r="5171" spans="9:9" x14ac:dyDescent="0.25">
      <c r="I5171" s="42" t="str">
        <f t="shared" si="76"/>
        <v/>
      </c>
    </row>
    <row r="5172" spans="9:9" x14ac:dyDescent="0.25">
      <c r="I5172" s="42" t="str">
        <f t="shared" si="76"/>
        <v/>
      </c>
    </row>
    <row r="5173" spans="9:9" x14ac:dyDescent="0.25">
      <c r="I5173" s="42" t="str">
        <f t="shared" si="76"/>
        <v/>
      </c>
    </row>
    <row r="5174" spans="9:9" x14ac:dyDescent="0.25">
      <c r="I5174" s="42" t="str">
        <f t="shared" si="76"/>
        <v/>
      </c>
    </row>
    <row r="5175" spans="9:9" x14ac:dyDescent="0.25">
      <c r="I5175" s="42" t="str">
        <f t="shared" si="76"/>
        <v/>
      </c>
    </row>
    <row r="5176" spans="9:9" x14ac:dyDescent="0.25">
      <c r="I5176" s="42" t="str">
        <f t="shared" si="76"/>
        <v/>
      </c>
    </row>
    <row r="5177" spans="9:9" x14ac:dyDescent="0.25">
      <c r="I5177" s="42" t="str">
        <f t="shared" si="76"/>
        <v/>
      </c>
    </row>
    <row r="5178" spans="9:9" x14ac:dyDescent="0.25">
      <c r="I5178" s="42" t="str">
        <f t="shared" si="76"/>
        <v/>
      </c>
    </row>
    <row r="5179" spans="9:9" x14ac:dyDescent="0.25">
      <c r="I5179" s="42" t="str">
        <f t="shared" si="76"/>
        <v/>
      </c>
    </row>
    <row r="5180" spans="9:9" x14ac:dyDescent="0.25">
      <c r="I5180" s="42" t="str">
        <f t="shared" si="76"/>
        <v/>
      </c>
    </row>
    <row r="5181" spans="9:9" x14ac:dyDescent="0.25">
      <c r="I5181" s="42" t="str">
        <f t="shared" si="76"/>
        <v/>
      </c>
    </row>
    <row r="5182" spans="9:9" x14ac:dyDescent="0.25">
      <c r="I5182" s="42" t="str">
        <f t="shared" si="76"/>
        <v/>
      </c>
    </row>
    <row r="5183" spans="9:9" x14ac:dyDescent="0.25">
      <c r="I5183" s="42" t="str">
        <f t="shared" si="76"/>
        <v/>
      </c>
    </row>
    <row r="5184" spans="9:9" x14ac:dyDescent="0.25">
      <c r="I5184" s="42" t="str">
        <f t="shared" ref="I5184:I5247" si="77">IF(H5184&lt;&gt;"",H5184-H5183,"")</f>
        <v/>
      </c>
    </row>
    <row r="5185" spans="9:9" x14ac:dyDescent="0.25">
      <c r="I5185" s="42" t="str">
        <f t="shared" si="77"/>
        <v/>
      </c>
    </row>
    <row r="5186" spans="9:9" x14ac:dyDescent="0.25">
      <c r="I5186" s="42" t="str">
        <f t="shared" si="77"/>
        <v/>
      </c>
    </row>
    <row r="5187" spans="9:9" x14ac:dyDescent="0.25">
      <c r="I5187" s="42" t="str">
        <f t="shared" si="77"/>
        <v/>
      </c>
    </row>
    <row r="5188" spans="9:9" x14ac:dyDescent="0.25">
      <c r="I5188" s="42" t="str">
        <f t="shared" si="77"/>
        <v/>
      </c>
    </row>
    <row r="5189" spans="9:9" x14ac:dyDescent="0.25">
      <c r="I5189" s="42" t="str">
        <f t="shared" si="77"/>
        <v/>
      </c>
    </row>
    <row r="5190" spans="9:9" x14ac:dyDescent="0.25">
      <c r="I5190" s="42" t="str">
        <f t="shared" si="77"/>
        <v/>
      </c>
    </row>
    <row r="5191" spans="9:9" x14ac:dyDescent="0.25">
      <c r="I5191" s="42" t="str">
        <f t="shared" si="77"/>
        <v/>
      </c>
    </row>
    <row r="5192" spans="9:9" x14ac:dyDescent="0.25">
      <c r="I5192" s="42" t="str">
        <f t="shared" si="77"/>
        <v/>
      </c>
    </row>
    <row r="5193" spans="9:9" x14ac:dyDescent="0.25">
      <c r="I5193" s="42" t="str">
        <f t="shared" si="77"/>
        <v/>
      </c>
    </row>
    <row r="5194" spans="9:9" x14ac:dyDescent="0.25">
      <c r="I5194" s="42" t="str">
        <f t="shared" si="77"/>
        <v/>
      </c>
    </row>
    <row r="5195" spans="9:9" x14ac:dyDescent="0.25">
      <c r="I5195" s="42" t="str">
        <f t="shared" si="77"/>
        <v/>
      </c>
    </row>
    <row r="5196" spans="9:9" x14ac:dyDescent="0.25">
      <c r="I5196" s="42" t="str">
        <f t="shared" si="77"/>
        <v/>
      </c>
    </row>
    <row r="5197" spans="9:9" x14ac:dyDescent="0.25">
      <c r="I5197" s="42" t="str">
        <f t="shared" si="77"/>
        <v/>
      </c>
    </row>
    <row r="5198" spans="9:9" x14ac:dyDescent="0.25">
      <c r="I5198" s="42" t="str">
        <f t="shared" si="77"/>
        <v/>
      </c>
    </row>
    <row r="5199" spans="9:9" x14ac:dyDescent="0.25">
      <c r="I5199" s="42" t="str">
        <f t="shared" si="77"/>
        <v/>
      </c>
    </row>
    <row r="5200" spans="9:9" x14ac:dyDescent="0.25">
      <c r="I5200" s="42" t="str">
        <f t="shared" si="77"/>
        <v/>
      </c>
    </row>
    <row r="5201" spans="9:9" x14ac:dyDescent="0.25">
      <c r="I5201" s="42" t="str">
        <f t="shared" si="77"/>
        <v/>
      </c>
    </row>
    <row r="5202" spans="9:9" x14ac:dyDescent="0.25">
      <c r="I5202" s="42" t="str">
        <f t="shared" si="77"/>
        <v/>
      </c>
    </row>
    <row r="5203" spans="9:9" x14ac:dyDescent="0.25">
      <c r="I5203" s="42" t="str">
        <f t="shared" si="77"/>
        <v/>
      </c>
    </row>
    <row r="5204" spans="9:9" x14ac:dyDescent="0.25">
      <c r="I5204" s="42" t="str">
        <f t="shared" si="77"/>
        <v/>
      </c>
    </row>
    <row r="5205" spans="9:9" x14ac:dyDescent="0.25">
      <c r="I5205" s="42" t="str">
        <f t="shared" si="77"/>
        <v/>
      </c>
    </row>
    <row r="5206" spans="9:9" x14ac:dyDescent="0.25">
      <c r="I5206" s="42" t="str">
        <f t="shared" si="77"/>
        <v/>
      </c>
    </row>
    <row r="5207" spans="9:9" x14ac:dyDescent="0.25">
      <c r="I5207" s="42" t="str">
        <f t="shared" si="77"/>
        <v/>
      </c>
    </row>
    <row r="5208" spans="9:9" x14ac:dyDescent="0.25">
      <c r="I5208" s="42" t="str">
        <f t="shared" si="77"/>
        <v/>
      </c>
    </row>
    <row r="5209" spans="9:9" x14ac:dyDescent="0.25">
      <c r="I5209" s="42" t="str">
        <f t="shared" si="77"/>
        <v/>
      </c>
    </row>
    <row r="5210" spans="9:9" x14ac:dyDescent="0.25">
      <c r="I5210" s="42" t="str">
        <f t="shared" si="77"/>
        <v/>
      </c>
    </row>
    <row r="5211" spans="9:9" x14ac:dyDescent="0.25">
      <c r="I5211" s="42" t="str">
        <f t="shared" si="77"/>
        <v/>
      </c>
    </row>
    <row r="5212" spans="9:9" x14ac:dyDescent="0.25">
      <c r="I5212" s="42" t="str">
        <f t="shared" si="77"/>
        <v/>
      </c>
    </row>
    <row r="5213" spans="9:9" x14ac:dyDescent="0.25">
      <c r="I5213" s="42" t="str">
        <f t="shared" si="77"/>
        <v/>
      </c>
    </row>
    <row r="5214" spans="9:9" x14ac:dyDescent="0.25">
      <c r="I5214" s="42" t="str">
        <f t="shared" si="77"/>
        <v/>
      </c>
    </row>
    <row r="5215" spans="9:9" x14ac:dyDescent="0.25">
      <c r="I5215" s="42" t="str">
        <f t="shared" si="77"/>
        <v/>
      </c>
    </row>
    <row r="5216" spans="9:9" x14ac:dyDescent="0.25">
      <c r="I5216" s="42" t="str">
        <f t="shared" si="77"/>
        <v/>
      </c>
    </row>
    <row r="5217" spans="9:9" x14ac:dyDescent="0.25">
      <c r="I5217" s="42" t="str">
        <f t="shared" si="77"/>
        <v/>
      </c>
    </row>
    <row r="5218" spans="9:9" x14ac:dyDescent="0.25">
      <c r="I5218" s="42" t="str">
        <f t="shared" si="77"/>
        <v/>
      </c>
    </row>
    <row r="5219" spans="9:9" x14ac:dyDescent="0.25">
      <c r="I5219" s="42" t="str">
        <f t="shared" si="77"/>
        <v/>
      </c>
    </row>
    <row r="5220" spans="9:9" x14ac:dyDescent="0.25">
      <c r="I5220" s="42" t="str">
        <f t="shared" si="77"/>
        <v/>
      </c>
    </row>
    <row r="5221" spans="9:9" x14ac:dyDescent="0.25">
      <c r="I5221" s="42" t="str">
        <f t="shared" si="77"/>
        <v/>
      </c>
    </row>
    <row r="5222" spans="9:9" x14ac:dyDescent="0.25">
      <c r="I5222" s="42" t="str">
        <f t="shared" si="77"/>
        <v/>
      </c>
    </row>
    <row r="5223" spans="9:9" x14ac:dyDescent="0.25">
      <c r="I5223" s="42" t="str">
        <f t="shared" si="77"/>
        <v/>
      </c>
    </row>
    <row r="5224" spans="9:9" x14ac:dyDescent="0.25">
      <c r="I5224" s="42" t="str">
        <f t="shared" si="77"/>
        <v/>
      </c>
    </row>
    <row r="5225" spans="9:9" x14ac:dyDescent="0.25">
      <c r="I5225" s="42" t="str">
        <f t="shared" si="77"/>
        <v/>
      </c>
    </row>
    <row r="5226" spans="9:9" x14ac:dyDescent="0.25">
      <c r="I5226" s="42" t="str">
        <f t="shared" si="77"/>
        <v/>
      </c>
    </row>
    <row r="5227" spans="9:9" x14ac:dyDescent="0.25">
      <c r="I5227" s="42" t="str">
        <f t="shared" si="77"/>
        <v/>
      </c>
    </row>
    <row r="5228" spans="9:9" x14ac:dyDescent="0.25">
      <c r="I5228" s="42" t="str">
        <f t="shared" si="77"/>
        <v/>
      </c>
    </row>
    <row r="5229" spans="9:9" x14ac:dyDescent="0.25">
      <c r="I5229" s="42" t="str">
        <f t="shared" si="77"/>
        <v/>
      </c>
    </row>
    <row r="5230" spans="9:9" x14ac:dyDescent="0.25">
      <c r="I5230" s="42" t="str">
        <f t="shared" si="77"/>
        <v/>
      </c>
    </row>
    <row r="5231" spans="9:9" x14ac:dyDescent="0.25">
      <c r="I5231" s="42" t="str">
        <f t="shared" si="77"/>
        <v/>
      </c>
    </row>
    <row r="5232" spans="9:9" x14ac:dyDescent="0.25">
      <c r="I5232" s="42" t="str">
        <f t="shared" si="77"/>
        <v/>
      </c>
    </row>
    <row r="5233" spans="9:9" x14ac:dyDescent="0.25">
      <c r="I5233" s="42" t="str">
        <f t="shared" si="77"/>
        <v/>
      </c>
    </row>
    <row r="5234" spans="9:9" x14ac:dyDescent="0.25">
      <c r="I5234" s="42" t="str">
        <f t="shared" si="77"/>
        <v/>
      </c>
    </row>
    <row r="5235" spans="9:9" x14ac:dyDescent="0.25">
      <c r="I5235" s="42" t="str">
        <f t="shared" si="77"/>
        <v/>
      </c>
    </row>
    <row r="5236" spans="9:9" x14ac:dyDescent="0.25">
      <c r="I5236" s="42" t="str">
        <f t="shared" si="77"/>
        <v/>
      </c>
    </row>
    <row r="5237" spans="9:9" x14ac:dyDescent="0.25">
      <c r="I5237" s="42" t="str">
        <f t="shared" si="77"/>
        <v/>
      </c>
    </row>
    <row r="5238" spans="9:9" x14ac:dyDescent="0.25">
      <c r="I5238" s="42" t="str">
        <f t="shared" si="77"/>
        <v/>
      </c>
    </row>
    <row r="5239" spans="9:9" x14ac:dyDescent="0.25">
      <c r="I5239" s="42" t="str">
        <f t="shared" si="77"/>
        <v/>
      </c>
    </row>
    <row r="5240" spans="9:9" x14ac:dyDescent="0.25">
      <c r="I5240" s="42" t="str">
        <f t="shared" si="77"/>
        <v/>
      </c>
    </row>
    <row r="5241" spans="9:9" x14ac:dyDescent="0.25">
      <c r="I5241" s="42" t="str">
        <f t="shared" si="77"/>
        <v/>
      </c>
    </row>
    <row r="5242" spans="9:9" x14ac:dyDescent="0.25">
      <c r="I5242" s="42" t="str">
        <f t="shared" si="77"/>
        <v/>
      </c>
    </row>
    <row r="5243" spans="9:9" x14ac:dyDescent="0.25">
      <c r="I5243" s="42" t="str">
        <f t="shared" si="77"/>
        <v/>
      </c>
    </row>
    <row r="5244" spans="9:9" x14ac:dyDescent="0.25">
      <c r="I5244" s="42" t="str">
        <f t="shared" si="77"/>
        <v/>
      </c>
    </row>
    <row r="5245" spans="9:9" x14ac:dyDescent="0.25">
      <c r="I5245" s="42" t="str">
        <f t="shared" si="77"/>
        <v/>
      </c>
    </row>
    <row r="5246" spans="9:9" x14ac:dyDescent="0.25">
      <c r="I5246" s="42" t="str">
        <f t="shared" si="77"/>
        <v/>
      </c>
    </row>
    <row r="5247" spans="9:9" x14ac:dyDescent="0.25">
      <c r="I5247" s="42" t="str">
        <f t="shared" si="77"/>
        <v/>
      </c>
    </row>
    <row r="5248" spans="9:9" x14ac:dyDescent="0.25">
      <c r="I5248" s="42" t="str">
        <f t="shared" ref="I5248:I5311" si="78">IF(H5248&lt;&gt;"",H5248-H5247,"")</f>
        <v/>
      </c>
    </row>
    <row r="5249" spans="9:9" x14ac:dyDescent="0.25">
      <c r="I5249" s="42" t="str">
        <f t="shared" si="78"/>
        <v/>
      </c>
    </row>
    <row r="5250" spans="9:9" x14ac:dyDescent="0.25">
      <c r="I5250" s="42" t="str">
        <f t="shared" si="78"/>
        <v/>
      </c>
    </row>
    <row r="5251" spans="9:9" x14ac:dyDescent="0.25">
      <c r="I5251" s="42" t="str">
        <f t="shared" si="78"/>
        <v/>
      </c>
    </row>
    <row r="5252" spans="9:9" x14ac:dyDescent="0.25">
      <c r="I5252" s="42" t="str">
        <f t="shared" si="78"/>
        <v/>
      </c>
    </row>
    <row r="5253" spans="9:9" x14ac:dyDescent="0.25">
      <c r="I5253" s="42" t="str">
        <f t="shared" si="78"/>
        <v/>
      </c>
    </row>
    <row r="5254" spans="9:9" x14ac:dyDescent="0.25">
      <c r="I5254" s="42" t="str">
        <f t="shared" si="78"/>
        <v/>
      </c>
    </row>
    <row r="5255" spans="9:9" x14ac:dyDescent="0.25">
      <c r="I5255" s="42" t="str">
        <f t="shared" si="78"/>
        <v/>
      </c>
    </row>
    <row r="5256" spans="9:9" x14ac:dyDescent="0.25">
      <c r="I5256" s="42" t="str">
        <f t="shared" si="78"/>
        <v/>
      </c>
    </row>
    <row r="5257" spans="9:9" x14ac:dyDescent="0.25">
      <c r="I5257" s="42" t="str">
        <f t="shared" si="78"/>
        <v/>
      </c>
    </row>
    <row r="5258" spans="9:9" x14ac:dyDescent="0.25">
      <c r="I5258" s="42" t="str">
        <f t="shared" si="78"/>
        <v/>
      </c>
    </row>
    <row r="5259" spans="9:9" x14ac:dyDescent="0.25">
      <c r="I5259" s="42" t="str">
        <f t="shared" si="78"/>
        <v/>
      </c>
    </row>
    <row r="5260" spans="9:9" x14ac:dyDescent="0.25">
      <c r="I5260" s="42" t="str">
        <f t="shared" si="78"/>
        <v/>
      </c>
    </row>
    <row r="5261" spans="9:9" x14ac:dyDescent="0.25">
      <c r="I5261" s="42" t="str">
        <f t="shared" si="78"/>
        <v/>
      </c>
    </row>
    <row r="5262" spans="9:9" x14ac:dyDescent="0.25">
      <c r="I5262" s="42" t="str">
        <f t="shared" si="78"/>
        <v/>
      </c>
    </row>
    <row r="5263" spans="9:9" x14ac:dyDescent="0.25">
      <c r="I5263" s="42" t="str">
        <f t="shared" si="78"/>
        <v/>
      </c>
    </row>
    <row r="5264" spans="9:9" x14ac:dyDescent="0.25">
      <c r="I5264" s="42" t="str">
        <f t="shared" si="78"/>
        <v/>
      </c>
    </row>
    <row r="5265" spans="9:9" x14ac:dyDescent="0.25">
      <c r="I5265" s="42" t="str">
        <f t="shared" si="78"/>
        <v/>
      </c>
    </row>
    <row r="5266" spans="9:9" x14ac:dyDescent="0.25">
      <c r="I5266" s="42" t="str">
        <f t="shared" si="78"/>
        <v/>
      </c>
    </row>
    <row r="5267" spans="9:9" x14ac:dyDescent="0.25">
      <c r="I5267" s="42" t="str">
        <f t="shared" si="78"/>
        <v/>
      </c>
    </row>
    <row r="5268" spans="9:9" x14ac:dyDescent="0.25">
      <c r="I5268" s="42" t="str">
        <f t="shared" si="78"/>
        <v/>
      </c>
    </row>
    <row r="5269" spans="9:9" x14ac:dyDescent="0.25">
      <c r="I5269" s="42" t="str">
        <f t="shared" si="78"/>
        <v/>
      </c>
    </row>
    <row r="5270" spans="9:9" x14ac:dyDescent="0.25">
      <c r="I5270" s="42" t="str">
        <f t="shared" si="78"/>
        <v/>
      </c>
    </row>
    <row r="5271" spans="9:9" x14ac:dyDescent="0.25">
      <c r="I5271" s="42" t="str">
        <f t="shared" si="78"/>
        <v/>
      </c>
    </row>
    <row r="5272" spans="9:9" x14ac:dyDescent="0.25">
      <c r="I5272" s="42" t="str">
        <f t="shared" si="78"/>
        <v/>
      </c>
    </row>
    <row r="5273" spans="9:9" x14ac:dyDescent="0.25">
      <c r="I5273" s="42" t="str">
        <f t="shared" si="78"/>
        <v/>
      </c>
    </row>
    <row r="5274" spans="9:9" x14ac:dyDescent="0.25">
      <c r="I5274" s="42" t="str">
        <f t="shared" si="78"/>
        <v/>
      </c>
    </row>
    <row r="5275" spans="9:9" x14ac:dyDescent="0.25">
      <c r="I5275" s="42" t="str">
        <f t="shared" si="78"/>
        <v/>
      </c>
    </row>
    <row r="5276" spans="9:9" x14ac:dyDescent="0.25">
      <c r="I5276" s="42" t="str">
        <f t="shared" si="78"/>
        <v/>
      </c>
    </row>
    <row r="5277" spans="9:9" x14ac:dyDescent="0.25">
      <c r="I5277" s="42" t="str">
        <f t="shared" si="78"/>
        <v/>
      </c>
    </row>
    <row r="5278" spans="9:9" x14ac:dyDescent="0.25">
      <c r="I5278" s="42" t="str">
        <f t="shared" si="78"/>
        <v/>
      </c>
    </row>
    <row r="5279" spans="9:9" x14ac:dyDescent="0.25">
      <c r="I5279" s="42" t="str">
        <f t="shared" si="78"/>
        <v/>
      </c>
    </row>
    <row r="5280" spans="9:9" x14ac:dyDescent="0.25">
      <c r="I5280" s="42" t="str">
        <f t="shared" si="78"/>
        <v/>
      </c>
    </row>
    <row r="5281" spans="9:9" x14ac:dyDescent="0.25">
      <c r="I5281" s="42" t="str">
        <f t="shared" si="78"/>
        <v/>
      </c>
    </row>
    <row r="5282" spans="9:9" x14ac:dyDescent="0.25">
      <c r="I5282" s="42" t="str">
        <f t="shared" si="78"/>
        <v/>
      </c>
    </row>
    <row r="5283" spans="9:9" x14ac:dyDescent="0.25">
      <c r="I5283" s="42" t="str">
        <f t="shared" si="78"/>
        <v/>
      </c>
    </row>
    <row r="5284" spans="9:9" x14ac:dyDescent="0.25">
      <c r="I5284" s="42" t="str">
        <f t="shared" si="78"/>
        <v/>
      </c>
    </row>
    <row r="5285" spans="9:9" x14ac:dyDescent="0.25">
      <c r="I5285" s="42" t="str">
        <f t="shared" si="78"/>
        <v/>
      </c>
    </row>
    <row r="5286" spans="9:9" x14ac:dyDescent="0.25">
      <c r="I5286" s="42" t="str">
        <f t="shared" si="78"/>
        <v/>
      </c>
    </row>
    <row r="5287" spans="9:9" x14ac:dyDescent="0.25">
      <c r="I5287" s="42" t="str">
        <f t="shared" si="78"/>
        <v/>
      </c>
    </row>
    <row r="5288" spans="9:9" x14ac:dyDescent="0.25">
      <c r="I5288" s="42" t="str">
        <f t="shared" si="78"/>
        <v/>
      </c>
    </row>
    <row r="5289" spans="9:9" x14ac:dyDescent="0.25">
      <c r="I5289" s="42" t="str">
        <f t="shared" si="78"/>
        <v/>
      </c>
    </row>
    <row r="5290" spans="9:9" x14ac:dyDescent="0.25">
      <c r="I5290" s="42" t="str">
        <f t="shared" si="78"/>
        <v/>
      </c>
    </row>
    <row r="5291" spans="9:9" x14ac:dyDescent="0.25">
      <c r="I5291" s="42" t="str">
        <f t="shared" si="78"/>
        <v/>
      </c>
    </row>
    <row r="5292" spans="9:9" x14ac:dyDescent="0.25">
      <c r="I5292" s="42" t="str">
        <f t="shared" si="78"/>
        <v/>
      </c>
    </row>
    <row r="5293" spans="9:9" x14ac:dyDescent="0.25">
      <c r="I5293" s="42" t="str">
        <f t="shared" si="78"/>
        <v/>
      </c>
    </row>
    <row r="5294" spans="9:9" x14ac:dyDescent="0.25">
      <c r="I5294" s="42" t="str">
        <f t="shared" si="78"/>
        <v/>
      </c>
    </row>
    <row r="5295" spans="9:9" x14ac:dyDescent="0.25">
      <c r="I5295" s="42" t="str">
        <f t="shared" si="78"/>
        <v/>
      </c>
    </row>
    <row r="5296" spans="9:9" x14ac:dyDescent="0.25">
      <c r="I5296" s="42" t="str">
        <f t="shared" si="78"/>
        <v/>
      </c>
    </row>
    <row r="5297" spans="9:9" x14ac:dyDescent="0.25">
      <c r="I5297" s="42" t="str">
        <f t="shared" si="78"/>
        <v/>
      </c>
    </row>
    <row r="5298" spans="9:9" x14ac:dyDescent="0.25">
      <c r="I5298" s="42" t="str">
        <f t="shared" si="78"/>
        <v/>
      </c>
    </row>
    <row r="5299" spans="9:9" x14ac:dyDescent="0.25">
      <c r="I5299" s="42" t="str">
        <f t="shared" si="78"/>
        <v/>
      </c>
    </row>
    <row r="5300" spans="9:9" x14ac:dyDescent="0.25">
      <c r="I5300" s="42" t="str">
        <f t="shared" si="78"/>
        <v/>
      </c>
    </row>
    <row r="5301" spans="9:9" x14ac:dyDescent="0.25">
      <c r="I5301" s="42" t="str">
        <f t="shared" si="78"/>
        <v/>
      </c>
    </row>
    <row r="5302" spans="9:9" x14ac:dyDescent="0.25">
      <c r="I5302" s="42" t="str">
        <f t="shared" si="78"/>
        <v/>
      </c>
    </row>
    <row r="5303" spans="9:9" x14ac:dyDescent="0.25">
      <c r="I5303" s="42" t="str">
        <f t="shared" si="78"/>
        <v/>
      </c>
    </row>
    <row r="5304" spans="9:9" x14ac:dyDescent="0.25">
      <c r="I5304" s="42" t="str">
        <f t="shared" si="78"/>
        <v/>
      </c>
    </row>
    <row r="5305" spans="9:9" x14ac:dyDescent="0.25">
      <c r="I5305" s="42" t="str">
        <f t="shared" si="78"/>
        <v/>
      </c>
    </row>
    <row r="5306" spans="9:9" x14ac:dyDescent="0.25">
      <c r="I5306" s="42" t="str">
        <f t="shared" si="78"/>
        <v/>
      </c>
    </row>
    <row r="5307" spans="9:9" x14ac:dyDescent="0.25">
      <c r="I5307" s="42" t="str">
        <f t="shared" si="78"/>
        <v/>
      </c>
    </row>
    <row r="5308" spans="9:9" x14ac:dyDescent="0.25">
      <c r="I5308" s="42" t="str">
        <f t="shared" si="78"/>
        <v/>
      </c>
    </row>
    <row r="5309" spans="9:9" x14ac:dyDescent="0.25">
      <c r="I5309" s="42" t="str">
        <f t="shared" si="78"/>
        <v/>
      </c>
    </row>
    <row r="5310" spans="9:9" x14ac:dyDescent="0.25">
      <c r="I5310" s="42" t="str">
        <f t="shared" si="78"/>
        <v/>
      </c>
    </row>
    <row r="5311" spans="9:9" x14ac:dyDescent="0.25">
      <c r="I5311" s="42" t="str">
        <f t="shared" si="78"/>
        <v/>
      </c>
    </row>
    <row r="5312" spans="9:9" x14ac:dyDescent="0.25">
      <c r="I5312" s="42" t="str">
        <f t="shared" ref="I5312:I5375" si="79">IF(H5312&lt;&gt;"",H5312-H5311,"")</f>
        <v/>
      </c>
    </row>
    <row r="5313" spans="9:9" x14ac:dyDescent="0.25">
      <c r="I5313" s="42" t="str">
        <f t="shared" si="79"/>
        <v/>
      </c>
    </row>
    <row r="5314" spans="9:9" x14ac:dyDescent="0.25">
      <c r="I5314" s="42" t="str">
        <f t="shared" si="79"/>
        <v/>
      </c>
    </row>
    <row r="5315" spans="9:9" x14ac:dyDescent="0.25">
      <c r="I5315" s="42" t="str">
        <f t="shared" si="79"/>
        <v/>
      </c>
    </row>
    <row r="5316" spans="9:9" x14ac:dyDescent="0.25">
      <c r="I5316" s="42" t="str">
        <f t="shared" si="79"/>
        <v/>
      </c>
    </row>
    <row r="5317" spans="9:9" x14ac:dyDescent="0.25">
      <c r="I5317" s="42" t="str">
        <f t="shared" si="79"/>
        <v/>
      </c>
    </row>
    <row r="5318" spans="9:9" x14ac:dyDescent="0.25">
      <c r="I5318" s="42" t="str">
        <f t="shared" si="79"/>
        <v/>
      </c>
    </row>
    <row r="5319" spans="9:9" x14ac:dyDescent="0.25">
      <c r="I5319" s="42" t="str">
        <f t="shared" si="79"/>
        <v/>
      </c>
    </row>
    <row r="5320" spans="9:9" x14ac:dyDescent="0.25">
      <c r="I5320" s="42" t="str">
        <f t="shared" si="79"/>
        <v/>
      </c>
    </row>
    <row r="5321" spans="9:9" x14ac:dyDescent="0.25">
      <c r="I5321" s="42" t="str">
        <f t="shared" si="79"/>
        <v/>
      </c>
    </row>
    <row r="5322" spans="9:9" x14ac:dyDescent="0.25">
      <c r="I5322" s="42" t="str">
        <f t="shared" si="79"/>
        <v/>
      </c>
    </row>
    <row r="5323" spans="9:9" x14ac:dyDescent="0.25">
      <c r="I5323" s="42" t="str">
        <f t="shared" si="79"/>
        <v/>
      </c>
    </row>
    <row r="5324" spans="9:9" x14ac:dyDescent="0.25">
      <c r="I5324" s="42" t="str">
        <f t="shared" si="79"/>
        <v/>
      </c>
    </row>
    <row r="5325" spans="9:9" x14ac:dyDescent="0.25">
      <c r="I5325" s="42" t="str">
        <f t="shared" si="79"/>
        <v/>
      </c>
    </row>
    <row r="5326" spans="9:9" x14ac:dyDescent="0.25">
      <c r="I5326" s="42" t="str">
        <f t="shared" si="79"/>
        <v/>
      </c>
    </row>
    <row r="5327" spans="9:9" x14ac:dyDescent="0.25">
      <c r="I5327" s="42" t="str">
        <f t="shared" si="79"/>
        <v/>
      </c>
    </row>
    <row r="5328" spans="9:9" x14ac:dyDescent="0.25">
      <c r="I5328" s="42" t="str">
        <f t="shared" si="79"/>
        <v/>
      </c>
    </row>
    <row r="5329" spans="9:9" x14ac:dyDescent="0.25">
      <c r="I5329" s="42" t="str">
        <f t="shared" si="79"/>
        <v/>
      </c>
    </row>
    <row r="5330" spans="9:9" x14ac:dyDescent="0.25">
      <c r="I5330" s="42" t="str">
        <f t="shared" si="79"/>
        <v/>
      </c>
    </row>
    <row r="5331" spans="9:9" x14ac:dyDescent="0.25">
      <c r="I5331" s="42" t="str">
        <f t="shared" si="79"/>
        <v/>
      </c>
    </row>
    <row r="5332" spans="9:9" x14ac:dyDescent="0.25">
      <c r="I5332" s="42" t="str">
        <f t="shared" si="79"/>
        <v/>
      </c>
    </row>
    <row r="5333" spans="9:9" x14ac:dyDescent="0.25">
      <c r="I5333" s="42" t="str">
        <f t="shared" si="79"/>
        <v/>
      </c>
    </row>
    <row r="5334" spans="9:9" x14ac:dyDescent="0.25">
      <c r="I5334" s="42" t="str">
        <f t="shared" si="79"/>
        <v/>
      </c>
    </row>
    <row r="5335" spans="9:9" x14ac:dyDescent="0.25">
      <c r="I5335" s="42" t="str">
        <f t="shared" si="79"/>
        <v/>
      </c>
    </row>
    <row r="5336" spans="9:9" x14ac:dyDescent="0.25">
      <c r="I5336" s="42" t="str">
        <f t="shared" si="79"/>
        <v/>
      </c>
    </row>
    <row r="5337" spans="9:9" x14ac:dyDescent="0.25">
      <c r="I5337" s="42" t="str">
        <f t="shared" si="79"/>
        <v/>
      </c>
    </row>
    <row r="5338" spans="9:9" x14ac:dyDescent="0.25">
      <c r="I5338" s="42" t="str">
        <f t="shared" si="79"/>
        <v/>
      </c>
    </row>
    <row r="5339" spans="9:9" x14ac:dyDescent="0.25">
      <c r="I5339" s="42" t="str">
        <f t="shared" si="79"/>
        <v/>
      </c>
    </row>
    <row r="5340" spans="9:9" x14ac:dyDescent="0.25">
      <c r="I5340" s="42" t="str">
        <f t="shared" si="79"/>
        <v/>
      </c>
    </row>
    <row r="5341" spans="9:9" x14ac:dyDescent="0.25">
      <c r="I5341" s="42" t="str">
        <f t="shared" si="79"/>
        <v/>
      </c>
    </row>
    <row r="5342" spans="9:9" x14ac:dyDescent="0.25">
      <c r="I5342" s="42" t="str">
        <f t="shared" si="79"/>
        <v/>
      </c>
    </row>
    <row r="5343" spans="9:9" x14ac:dyDescent="0.25">
      <c r="I5343" s="42" t="str">
        <f t="shared" si="79"/>
        <v/>
      </c>
    </row>
    <row r="5344" spans="9:9" x14ac:dyDescent="0.25">
      <c r="I5344" s="42" t="str">
        <f t="shared" si="79"/>
        <v/>
      </c>
    </row>
    <row r="5345" spans="9:9" x14ac:dyDescent="0.25">
      <c r="I5345" s="42" t="str">
        <f t="shared" si="79"/>
        <v/>
      </c>
    </row>
    <row r="5346" spans="9:9" x14ac:dyDescent="0.25">
      <c r="I5346" s="42" t="str">
        <f t="shared" si="79"/>
        <v/>
      </c>
    </row>
    <row r="5347" spans="9:9" x14ac:dyDescent="0.25">
      <c r="I5347" s="42" t="str">
        <f t="shared" si="79"/>
        <v/>
      </c>
    </row>
    <row r="5348" spans="9:9" x14ac:dyDescent="0.25">
      <c r="I5348" s="42" t="str">
        <f t="shared" si="79"/>
        <v/>
      </c>
    </row>
    <row r="5349" spans="9:9" x14ac:dyDescent="0.25">
      <c r="I5349" s="42" t="str">
        <f t="shared" si="79"/>
        <v/>
      </c>
    </row>
    <row r="5350" spans="9:9" x14ac:dyDescent="0.25">
      <c r="I5350" s="42" t="str">
        <f t="shared" si="79"/>
        <v/>
      </c>
    </row>
    <row r="5351" spans="9:9" x14ac:dyDescent="0.25">
      <c r="I5351" s="42" t="str">
        <f t="shared" si="79"/>
        <v/>
      </c>
    </row>
    <row r="5352" spans="9:9" x14ac:dyDescent="0.25">
      <c r="I5352" s="42" t="str">
        <f t="shared" si="79"/>
        <v/>
      </c>
    </row>
    <row r="5353" spans="9:9" x14ac:dyDescent="0.25">
      <c r="I5353" s="42" t="str">
        <f t="shared" si="79"/>
        <v/>
      </c>
    </row>
    <row r="5354" spans="9:9" x14ac:dyDescent="0.25">
      <c r="I5354" s="42" t="str">
        <f t="shared" si="79"/>
        <v/>
      </c>
    </row>
    <row r="5355" spans="9:9" x14ac:dyDescent="0.25">
      <c r="I5355" s="42" t="str">
        <f t="shared" si="79"/>
        <v/>
      </c>
    </row>
    <row r="5356" spans="9:9" x14ac:dyDescent="0.25">
      <c r="I5356" s="42" t="str">
        <f t="shared" si="79"/>
        <v/>
      </c>
    </row>
    <row r="5357" spans="9:9" x14ac:dyDescent="0.25">
      <c r="I5357" s="42" t="str">
        <f t="shared" si="79"/>
        <v/>
      </c>
    </row>
    <row r="5358" spans="9:9" x14ac:dyDescent="0.25">
      <c r="I5358" s="42" t="str">
        <f t="shared" si="79"/>
        <v/>
      </c>
    </row>
    <row r="5359" spans="9:9" x14ac:dyDescent="0.25">
      <c r="I5359" s="42" t="str">
        <f t="shared" si="79"/>
        <v/>
      </c>
    </row>
    <row r="5360" spans="9:9" x14ac:dyDescent="0.25">
      <c r="I5360" s="42" t="str">
        <f t="shared" si="79"/>
        <v/>
      </c>
    </row>
    <row r="5361" spans="9:9" x14ac:dyDescent="0.25">
      <c r="I5361" s="42" t="str">
        <f t="shared" si="79"/>
        <v/>
      </c>
    </row>
    <row r="5362" spans="9:9" x14ac:dyDescent="0.25">
      <c r="I5362" s="42" t="str">
        <f t="shared" si="79"/>
        <v/>
      </c>
    </row>
    <row r="5363" spans="9:9" x14ac:dyDescent="0.25">
      <c r="I5363" s="42" t="str">
        <f t="shared" si="79"/>
        <v/>
      </c>
    </row>
    <row r="5364" spans="9:9" x14ac:dyDescent="0.25">
      <c r="I5364" s="42" t="str">
        <f t="shared" si="79"/>
        <v/>
      </c>
    </row>
    <row r="5365" spans="9:9" x14ac:dyDescent="0.25">
      <c r="I5365" s="42" t="str">
        <f t="shared" si="79"/>
        <v/>
      </c>
    </row>
    <row r="5366" spans="9:9" x14ac:dyDescent="0.25">
      <c r="I5366" s="42" t="str">
        <f t="shared" si="79"/>
        <v/>
      </c>
    </row>
    <row r="5367" spans="9:9" x14ac:dyDescent="0.25">
      <c r="I5367" s="42" t="str">
        <f t="shared" si="79"/>
        <v/>
      </c>
    </row>
    <row r="5368" spans="9:9" x14ac:dyDescent="0.25">
      <c r="I5368" s="42" t="str">
        <f t="shared" si="79"/>
        <v/>
      </c>
    </row>
    <row r="5369" spans="9:9" x14ac:dyDescent="0.25">
      <c r="I5369" s="42" t="str">
        <f t="shared" si="79"/>
        <v/>
      </c>
    </row>
    <row r="5370" spans="9:9" x14ac:dyDescent="0.25">
      <c r="I5370" s="42" t="str">
        <f t="shared" si="79"/>
        <v/>
      </c>
    </row>
    <row r="5371" spans="9:9" x14ac:dyDescent="0.25">
      <c r="I5371" s="42" t="str">
        <f t="shared" si="79"/>
        <v/>
      </c>
    </row>
    <row r="5372" spans="9:9" x14ac:dyDescent="0.25">
      <c r="I5372" s="42" t="str">
        <f t="shared" si="79"/>
        <v/>
      </c>
    </row>
    <row r="5373" spans="9:9" x14ac:dyDescent="0.25">
      <c r="I5373" s="42" t="str">
        <f t="shared" si="79"/>
        <v/>
      </c>
    </row>
    <row r="5374" spans="9:9" x14ac:dyDescent="0.25">
      <c r="I5374" s="42" t="str">
        <f t="shared" si="79"/>
        <v/>
      </c>
    </row>
    <row r="5375" spans="9:9" x14ac:dyDescent="0.25">
      <c r="I5375" s="42" t="str">
        <f t="shared" si="79"/>
        <v/>
      </c>
    </row>
    <row r="5376" spans="9:9" x14ac:dyDescent="0.25">
      <c r="I5376" s="42" t="str">
        <f t="shared" ref="I5376:I5439" si="80">IF(H5376&lt;&gt;"",H5376-H5375,"")</f>
        <v/>
      </c>
    </row>
    <row r="5377" spans="9:9" x14ac:dyDescent="0.25">
      <c r="I5377" s="42" t="str">
        <f t="shared" si="80"/>
        <v/>
      </c>
    </row>
    <row r="5378" spans="9:9" x14ac:dyDescent="0.25">
      <c r="I5378" s="42" t="str">
        <f t="shared" si="80"/>
        <v/>
      </c>
    </row>
    <row r="5379" spans="9:9" x14ac:dyDescent="0.25">
      <c r="I5379" s="42" t="str">
        <f t="shared" si="80"/>
        <v/>
      </c>
    </row>
    <row r="5380" spans="9:9" x14ac:dyDescent="0.25">
      <c r="I5380" s="42" t="str">
        <f t="shared" si="80"/>
        <v/>
      </c>
    </row>
    <row r="5381" spans="9:9" x14ac:dyDescent="0.25">
      <c r="I5381" s="42" t="str">
        <f t="shared" si="80"/>
        <v/>
      </c>
    </row>
    <row r="5382" spans="9:9" x14ac:dyDescent="0.25">
      <c r="I5382" s="42" t="str">
        <f t="shared" si="80"/>
        <v/>
      </c>
    </row>
    <row r="5383" spans="9:9" x14ac:dyDescent="0.25">
      <c r="I5383" s="42" t="str">
        <f t="shared" si="80"/>
        <v/>
      </c>
    </row>
    <row r="5384" spans="9:9" x14ac:dyDescent="0.25">
      <c r="I5384" s="42" t="str">
        <f t="shared" si="80"/>
        <v/>
      </c>
    </row>
    <row r="5385" spans="9:9" x14ac:dyDescent="0.25">
      <c r="I5385" s="42" t="str">
        <f t="shared" si="80"/>
        <v/>
      </c>
    </row>
    <row r="5386" spans="9:9" x14ac:dyDescent="0.25">
      <c r="I5386" s="42" t="str">
        <f t="shared" si="80"/>
        <v/>
      </c>
    </row>
    <row r="5387" spans="9:9" x14ac:dyDescent="0.25">
      <c r="I5387" s="42" t="str">
        <f t="shared" si="80"/>
        <v/>
      </c>
    </row>
    <row r="5388" spans="9:9" x14ac:dyDescent="0.25">
      <c r="I5388" s="42" t="str">
        <f t="shared" si="80"/>
        <v/>
      </c>
    </row>
    <row r="5389" spans="9:9" x14ac:dyDescent="0.25">
      <c r="I5389" s="42" t="str">
        <f t="shared" si="80"/>
        <v/>
      </c>
    </row>
    <row r="5390" spans="9:9" x14ac:dyDescent="0.25">
      <c r="I5390" s="42" t="str">
        <f t="shared" si="80"/>
        <v/>
      </c>
    </row>
    <row r="5391" spans="9:9" x14ac:dyDescent="0.25">
      <c r="I5391" s="42" t="str">
        <f t="shared" si="80"/>
        <v/>
      </c>
    </row>
    <row r="5392" spans="9:9" x14ac:dyDescent="0.25">
      <c r="I5392" s="42" t="str">
        <f t="shared" si="80"/>
        <v/>
      </c>
    </row>
    <row r="5393" spans="9:9" x14ac:dyDescent="0.25">
      <c r="I5393" s="42" t="str">
        <f t="shared" si="80"/>
        <v/>
      </c>
    </row>
    <row r="5394" spans="9:9" x14ac:dyDescent="0.25">
      <c r="I5394" s="42" t="str">
        <f t="shared" si="80"/>
        <v/>
      </c>
    </row>
    <row r="5395" spans="9:9" x14ac:dyDescent="0.25">
      <c r="I5395" s="42" t="str">
        <f t="shared" si="80"/>
        <v/>
      </c>
    </row>
    <row r="5396" spans="9:9" x14ac:dyDescent="0.25">
      <c r="I5396" s="42" t="str">
        <f t="shared" si="80"/>
        <v/>
      </c>
    </row>
    <row r="5397" spans="9:9" x14ac:dyDescent="0.25">
      <c r="I5397" s="42" t="str">
        <f t="shared" si="80"/>
        <v/>
      </c>
    </row>
    <row r="5398" spans="9:9" x14ac:dyDescent="0.25">
      <c r="I5398" s="42" t="str">
        <f t="shared" si="80"/>
        <v/>
      </c>
    </row>
    <row r="5399" spans="9:9" x14ac:dyDescent="0.25">
      <c r="I5399" s="42" t="str">
        <f t="shared" si="80"/>
        <v/>
      </c>
    </row>
    <row r="5400" spans="9:9" x14ac:dyDescent="0.25">
      <c r="I5400" s="42" t="str">
        <f t="shared" si="80"/>
        <v/>
      </c>
    </row>
    <row r="5401" spans="9:9" x14ac:dyDescent="0.25">
      <c r="I5401" s="42" t="str">
        <f t="shared" si="80"/>
        <v/>
      </c>
    </row>
    <row r="5402" spans="9:9" x14ac:dyDescent="0.25">
      <c r="I5402" s="42" t="str">
        <f t="shared" si="80"/>
        <v/>
      </c>
    </row>
    <row r="5403" spans="9:9" x14ac:dyDescent="0.25">
      <c r="I5403" s="42" t="str">
        <f t="shared" si="80"/>
        <v/>
      </c>
    </row>
    <row r="5404" spans="9:9" x14ac:dyDescent="0.25">
      <c r="I5404" s="42" t="str">
        <f t="shared" si="80"/>
        <v/>
      </c>
    </row>
    <row r="5405" spans="9:9" x14ac:dyDescent="0.25">
      <c r="I5405" s="42" t="str">
        <f t="shared" si="80"/>
        <v/>
      </c>
    </row>
    <row r="5406" spans="9:9" x14ac:dyDescent="0.25">
      <c r="I5406" s="42" t="str">
        <f t="shared" si="80"/>
        <v/>
      </c>
    </row>
    <row r="5407" spans="9:9" x14ac:dyDescent="0.25">
      <c r="I5407" s="42" t="str">
        <f t="shared" si="80"/>
        <v/>
      </c>
    </row>
    <row r="5408" spans="9:9" x14ac:dyDescent="0.25">
      <c r="I5408" s="42" t="str">
        <f t="shared" si="80"/>
        <v/>
      </c>
    </row>
    <row r="5409" spans="9:9" x14ac:dyDescent="0.25">
      <c r="I5409" s="42" t="str">
        <f t="shared" si="80"/>
        <v/>
      </c>
    </row>
    <row r="5410" spans="9:9" x14ac:dyDescent="0.25">
      <c r="I5410" s="42" t="str">
        <f t="shared" si="80"/>
        <v/>
      </c>
    </row>
    <row r="5411" spans="9:9" x14ac:dyDescent="0.25">
      <c r="I5411" s="42" t="str">
        <f t="shared" si="80"/>
        <v/>
      </c>
    </row>
    <row r="5412" spans="9:9" x14ac:dyDescent="0.25">
      <c r="I5412" s="42" t="str">
        <f t="shared" si="80"/>
        <v/>
      </c>
    </row>
    <row r="5413" spans="9:9" x14ac:dyDescent="0.25">
      <c r="I5413" s="42" t="str">
        <f t="shared" si="80"/>
        <v/>
      </c>
    </row>
    <row r="5414" spans="9:9" x14ac:dyDescent="0.25">
      <c r="I5414" s="42" t="str">
        <f t="shared" si="80"/>
        <v/>
      </c>
    </row>
    <row r="5415" spans="9:9" x14ac:dyDescent="0.25">
      <c r="I5415" s="42" t="str">
        <f t="shared" si="80"/>
        <v/>
      </c>
    </row>
    <row r="5416" spans="9:9" x14ac:dyDescent="0.25">
      <c r="I5416" s="42" t="str">
        <f t="shared" si="80"/>
        <v/>
      </c>
    </row>
    <row r="5417" spans="9:9" x14ac:dyDescent="0.25">
      <c r="I5417" s="42" t="str">
        <f t="shared" si="80"/>
        <v/>
      </c>
    </row>
    <row r="5418" spans="9:9" x14ac:dyDescent="0.25">
      <c r="I5418" s="42" t="str">
        <f t="shared" si="80"/>
        <v/>
      </c>
    </row>
    <row r="5419" spans="9:9" x14ac:dyDescent="0.25">
      <c r="I5419" s="42" t="str">
        <f t="shared" si="80"/>
        <v/>
      </c>
    </row>
    <row r="5420" spans="9:9" x14ac:dyDescent="0.25">
      <c r="I5420" s="42" t="str">
        <f t="shared" si="80"/>
        <v/>
      </c>
    </row>
    <row r="5421" spans="9:9" x14ac:dyDescent="0.25">
      <c r="I5421" s="42" t="str">
        <f t="shared" si="80"/>
        <v/>
      </c>
    </row>
    <row r="5422" spans="9:9" x14ac:dyDescent="0.25">
      <c r="I5422" s="42" t="str">
        <f t="shared" si="80"/>
        <v/>
      </c>
    </row>
    <row r="5423" spans="9:9" x14ac:dyDescent="0.25">
      <c r="I5423" s="42" t="str">
        <f t="shared" si="80"/>
        <v/>
      </c>
    </row>
    <row r="5424" spans="9:9" x14ac:dyDescent="0.25">
      <c r="I5424" s="42" t="str">
        <f t="shared" si="80"/>
        <v/>
      </c>
    </row>
    <row r="5425" spans="9:9" x14ac:dyDescent="0.25">
      <c r="I5425" s="42" t="str">
        <f t="shared" si="80"/>
        <v/>
      </c>
    </row>
    <row r="5426" spans="9:9" x14ac:dyDescent="0.25">
      <c r="I5426" s="42" t="str">
        <f t="shared" si="80"/>
        <v/>
      </c>
    </row>
    <row r="5427" spans="9:9" x14ac:dyDescent="0.25">
      <c r="I5427" s="42" t="str">
        <f t="shared" si="80"/>
        <v/>
      </c>
    </row>
    <row r="5428" spans="9:9" x14ac:dyDescent="0.25">
      <c r="I5428" s="42" t="str">
        <f t="shared" si="80"/>
        <v/>
      </c>
    </row>
    <row r="5429" spans="9:9" x14ac:dyDescent="0.25">
      <c r="I5429" s="42" t="str">
        <f t="shared" si="80"/>
        <v/>
      </c>
    </row>
    <row r="5430" spans="9:9" x14ac:dyDescent="0.25">
      <c r="I5430" s="42" t="str">
        <f t="shared" si="80"/>
        <v/>
      </c>
    </row>
    <row r="5431" spans="9:9" x14ac:dyDescent="0.25">
      <c r="I5431" s="42" t="str">
        <f t="shared" si="80"/>
        <v/>
      </c>
    </row>
    <row r="5432" spans="9:9" x14ac:dyDescent="0.25">
      <c r="I5432" s="42" t="str">
        <f t="shared" si="80"/>
        <v/>
      </c>
    </row>
    <row r="5433" spans="9:9" x14ac:dyDescent="0.25">
      <c r="I5433" s="42" t="str">
        <f t="shared" si="80"/>
        <v/>
      </c>
    </row>
    <row r="5434" spans="9:9" x14ac:dyDescent="0.25">
      <c r="I5434" s="42" t="str">
        <f t="shared" si="80"/>
        <v/>
      </c>
    </row>
    <row r="5435" spans="9:9" x14ac:dyDescent="0.25">
      <c r="I5435" s="42" t="str">
        <f t="shared" si="80"/>
        <v/>
      </c>
    </row>
    <row r="5436" spans="9:9" x14ac:dyDescent="0.25">
      <c r="I5436" s="42" t="str">
        <f t="shared" si="80"/>
        <v/>
      </c>
    </row>
    <row r="5437" spans="9:9" x14ac:dyDescent="0.25">
      <c r="I5437" s="42" t="str">
        <f t="shared" si="80"/>
        <v/>
      </c>
    </row>
    <row r="5438" spans="9:9" x14ac:dyDescent="0.25">
      <c r="I5438" s="42" t="str">
        <f t="shared" si="80"/>
        <v/>
      </c>
    </row>
    <row r="5439" spans="9:9" x14ac:dyDescent="0.25">
      <c r="I5439" s="42" t="str">
        <f t="shared" si="80"/>
        <v/>
      </c>
    </row>
    <row r="5440" spans="9:9" x14ac:dyDescent="0.25">
      <c r="I5440" s="42" t="str">
        <f t="shared" ref="I5440:I5503" si="81">IF(H5440&lt;&gt;"",H5440-H5439,"")</f>
        <v/>
      </c>
    </row>
    <row r="5441" spans="9:9" x14ac:dyDescent="0.25">
      <c r="I5441" s="42" t="str">
        <f t="shared" si="81"/>
        <v/>
      </c>
    </row>
    <row r="5442" spans="9:9" x14ac:dyDescent="0.25">
      <c r="I5442" s="42" t="str">
        <f t="shared" si="81"/>
        <v/>
      </c>
    </row>
    <row r="5443" spans="9:9" x14ac:dyDescent="0.25">
      <c r="I5443" s="42" t="str">
        <f t="shared" si="81"/>
        <v/>
      </c>
    </row>
    <row r="5444" spans="9:9" x14ac:dyDescent="0.25">
      <c r="I5444" s="42" t="str">
        <f t="shared" si="81"/>
        <v/>
      </c>
    </row>
    <row r="5445" spans="9:9" x14ac:dyDescent="0.25">
      <c r="I5445" s="42" t="str">
        <f t="shared" si="81"/>
        <v/>
      </c>
    </row>
    <row r="5446" spans="9:9" x14ac:dyDescent="0.25">
      <c r="I5446" s="42" t="str">
        <f t="shared" si="81"/>
        <v/>
      </c>
    </row>
    <row r="5447" spans="9:9" x14ac:dyDescent="0.25">
      <c r="I5447" s="42" t="str">
        <f t="shared" si="81"/>
        <v/>
      </c>
    </row>
    <row r="5448" spans="9:9" x14ac:dyDescent="0.25">
      <c r="I5448" s="42" t="str">
        <f t="shared" si="81"/>
        <v/>
      </c>
    </row>
    <row r="5449" spans="9:9" x14ac:dyDescent="0.25">
      <c r="I5449" s="42" t="str">
        <f t="shared" si="81"/>
        <v/>
      </c>
    </row>
    <row r="5450" spans="9:9" x14ac:dyDescent="0.25">
      <c r="I5450" s="42" t="str">
        <f t="shared" si="81"/>
        <v/>
      </c>
    </row>
    <row r="5451" spans="9:9" x14ac:dyDescent="0.25">
      <c r="I5451" s="42" t="str">
        <f t="shared" si="81"/>
        <v/>
      </c>
    </row>
    <row r="5452" spans="9:9" x14ac:dyDescent="0.25">
      <c r="I5452" s="42" t="str">
        <f t="shared" si="81"/>
        <v/>
      </c>
    </row>
    <row r="5453" spans="9:9" x14ac:dyDescent="0.25">
      <c r="I5453" s="42" t="str">
        <f t="shared" si="81"/>
        <v/>
      </c>
    </row>
    <row r="5454" spans="9:9" x14ac:dyDescent="0.25">
      <c r="I5454" s="42" t="str">
        <f t="shared" si="81"/>
        <v/>
      </c>
    </row>
    <row r="5455" spans="9:9" x14ac:dyDescent="0.25">
      <c r="I5455" s="42" t="str">
        <f t="shared" si="81"/>
        <v/>
      </c>
    </row>
    <row r="5456" spans="9:9" x14ac:dyDescent="0.25">
      <c r="I5456" s="42" t="str">
        <f t="shared" si="81"/>
        <v/>
      </c>
    </row>
    <row r="5457" spans="9:9" x14ac:dyDescent="0.25">
      <c r="I5457" s="42" t="str">
        <f t="shared" si="81"/>
        <v/>
      </c>
    </row>
    <row r="5458" spans="9:9" x14ac:dyDescent="0.25">
      <c r="I5458" s="42" t="str">
        <f t="shared" si="81"/>
        <v/>
      </c>
    </row>
    <row r="5459" spans="9:9" x14ac:dyDescent="0.25">
      <c r="I5459" s="42" t="str">
        <f t="shared" si="81"/>
        <v/>
      </c>
    </row>
    <row r="5460" spans="9:9" x14ac:dyDescent="0.25">
      <c r="I5460" s="42" t="str">
        <f t="shared" si="81"/>
        <v/>
      </c>
    </row>
    <row r="5461" spans="9:9" x14ac:dyDescent="0.25">
      <c r="I5461" s="42" t="str">
        <f t="shared" si="81"/>
        <v/>
      </c>
    </row>
    <row r="5462" spans="9:9" x14ac:dyDescent="0.25">
      <c r="I5462" s="42" t="str">
        <f t="shared" si="81"/>
        <v/>
      </c>
    </row>
    <row r="5463" spans="9:9" x14ac:dyDescent="0.25">
      <c r="I5463" s="42" t="str">
        <f t="shared" si="81"/>
        <v/>
      </c>
    </row>
    <row r="5464" spans="9:9" x14ac:dyDescent="0.25">
      <c r="I5464" s="42" t="str">
        <f t="shared" si="81"/>
        <v/>
      </c>
    </row>
    <row r="5465" spans="9:9" x14ac:dyDescent="0.25">
      <c r="I5465" s="42" t="str">
        <f t="shared" si="81"/>
        <v/>
      </c>
    </row>
    <row r="5466" spans="9:9" x14ac:dyDescent="0.25">
      <c r="I5466" s="42" t="str">
        <f t="shared" si="81"/>
        <v/>
      </c>
    </row>
    <row r="5467" spans="9:9" x14ac:dyDescent="0.25">
      <c r="I5467" s="42" t="str">
        <f t="shared" si="81"/>
        <v/>
      </c>
    </row>
    <row r="5468" spans="9:9" x14ac:dyDescent="0.25">
      <c r="I5468" s="42" t="str">
        <f t="shared" si="81"/>
        <v/>
      </c>
    </row>
    <row r="5469" spans="9:9" x14ac:dyDescent="0.25">
      <c r="I5469" s="42" t="str">
        <f t="shared" si="81"/>
        <v/>
      </c>
    </row>
    <row r="5470" spans="9:9" x14ac:dyDescent="0.25">
      <c r="I5470" s="42" t="str">
        <f t="shared" si="81"/>
        <v/>
      </c>
    </row>
    <row r="5471" spans="9:9" x14ac:dyDescent="0.25">
      <c r="I5471" s="42" t="str">
        <f t="shared" si="81"/>
        <v/>
      </c>
    </row>
    <row r="5472" spans="9:9" x14ac:dyDescent="0.25">
      <c r="I5472" s="42" t="str">
        <f t="shared" si="81"/>
        <v/>
      </c>
    </row>
    <row r="5473" spans="9:9" x14ac:dyDescent="0.25">
      <c r="I5473" s="42" t="str">
        <f t="shared" si="81"/>
        <v/>
      </c>
    </row>
    <row r="5474" spans="9:9" x14ac:dyDescent="0.25">
      <c r="I5474" s="42" t="str">
        <f t="shared" si="81"/>
        <v/>
      </c>
    </row>
    <row r="5475" spans="9:9" x14ac:dyDescent="0.25">
      <c r="I5475" s="42" t="str">
        <f t="shared" si="81"/>
        <v/>
      </c>
    </row>
    <row r="5476" spans="9:9" x14ac:dyDescent="0.25">
      <c r="I5476" s="42" t="str">
        <f t="shared" si="81"/>
        <v/>
      </c>
    </row>
    <row r="5477" spans="9:9" x14ac:dyDescent="0.25">
      <c r="I5477" s="42" t="str">
        <f t="shared" si="81"/>
        <v/>
      </c>
    </row>
    <row r="5478" spans="9:9" x14ac:dyDescent="0.25">
      <c r="I5478" s="42" t="str">
        <f t="shared" si="81"/>
        <v/>
      </c>
    </row>
    <row r="5479" spans="9:9" x14ac:dyDescent="0.25">
      <c r="I5479" s="42" t="str">
        <f t="shared" si="81"/>
        <v/>
      </c>
    </row>
    <row r="5480" spans="9:9" x14ac:dyDescent="0.25">
      <c r="I5480" s="42" t="str">
        <f t="shared" si="81"/>
        <v/>
      </c>
    </row>
    <row r="5481" spans="9:9" x14ac:dyDescent="0.25">
      <c r="I5481" s="42" t="str">
        <f t="shared" si="81"/>
        <v/>
      </c>
    </row>
    <row r="5482" spans="9:9" x14ac:dyDescent="0.25">
      <c r="I5482" s="42" t="str">
        <f t="shared" si="81"/>
        <v/>
      </c>
    </row>
    <row r="5483" spans="9:9" x14ac:dyDescent="0.25">
      <c r="I5483" s="42" t="str">
        <f t="shared" si="81"/>
        <v/>
      </c>
    </row>
    <row r="5484" spans="9:9" x14ac:dyDescent="0.25">
      <c r="I5484" s="42" t="str">
        <f t="shared" si="81"/>
        <v/>
      </c>
    </row>
    <row r="5485" spans="9:9" x14ac:dyDescent="0.25">
      <c r="I5485" s="42" t="str">
        <f t="shared" si="81"/>
        <v/>
      </c>
    </row>
    <row r="5486" spans="9:9" x14ac:dyDescent="0.25">
      <c r="I5486" s="42" t="str">
        <f t="shared" si="81"/>
        <v/>
      </c>
    </row>
    <row r="5487" spans="9:9" x14ac:dyDescent="0.25">
      <c r="I5487" s="42" t="str">
        <f t="shared" si="81"/>
        <v/>
      </c>
    </row>
    <row r="5488" spans="9:9" x14ac:dyDescent="0.25">
      <c r="I5488" s="42" t="str">
        <f t="shared" si="81"/>
        <v/>
      </c>
    </row>
    <row r="5489" spans="9:9" x14ac:dyDescent="0.25">
      <c r="I5489" s="42" t="str">
        <f t="shared" si="81"/>
        <v/>
      </c>
    </row>
    <row r="5490" spans="9:9" x14ac:dyDescent="0.25">
      <c r="I5490" s="42" t="str">
        <f t="shared" si="81"/>
        <v/>
      </c>
    </row>
    <row r="5491" spans="9:9" x14ac:dyDescent="0.25">
      <c r="I5491" s="42" t="str">
        <f t="shared" si="81"/>
        <v/>
      </c>
    </row>
    <row r="5492" spans="9:9" x14ac:dyDescent="0.25">
      <c r="I5492" s="42" t="str">
        <f t="shared" si="81"/>
        <v/>
      </c>
    </row>
    <row r="5493" spans="9:9" x14ac:dyDescent="0.25">
      <c r="I5493" s="42" t="str">
        <f t="shared" si="81"/>
        <v/>
      </c>
    </row>
    <row r="5494" spans="9:9" x14ac:dyDescent="0.25">
      <c r="I5494" s="42" t="str">
        <f t="shared" si="81"/>
        <v/>
      </c>
    </row>
    <row r="5495" spans="9:9" x14ac:dyDescent="0.25">
      <c r="I5495" s="42" t="str">
        <f t="shared" si="81"/>
        <v/>
      </c>
    </row>
    <row r="5496" spans="9:9" x14ac:dyDescent="0.25">
      <c r="I5496" s="42" t="str">
        <f t="shared" si="81"/>
        <v/>
      </c>
    </row>
    <row r="5497" spans="9:9" x14ac:dyDescent="0.25">
      <c r="I5497" s="42" t="str">
        <f t="shared" si="81"/>
        <v/>
      </c>
    </row>
    <row r="5498" spans="9:9" x14ac:dyDescent="0.25">
      <c r="I5498" s="42" t="str">
        <f t="shared" si="81"/>
        <v/>
      </c>
    </row>
    <row r="5499" spans="9:9" x14ac:dyDescent="0.25">
      <c r="I5499" s="42" t="str">
        <f t="shared" si="81"/>
        <v/>
      </c>
    </row>
    <row r="5500" spans="9:9" x14ac:dyDescent="0.25">
      <c r="I5500" s="42" t="str">
        <f t="shared" si="81"/>
        <v/>
      </c>
    </row>
    <row r="5501" spans="9:9" x14ac:dyDescent="0.25">
      <c r="I5501" s="42" t="str">
        <f t="shared" si="81"/>
        <v/>
      </c>
    </row>
    <row r="5502" spans="9:9" x14ac:dyDescent="0.25">
      <c r="I5502" s="42" t="str">
        <f t="shared" si="81"/>
        <v/>
      </c>
    </row>
    <row r="5503" spans="9:9" x14ac:dyDescent="0.25">
      <c r="I5503" s="42" t="str">
        <f t="shared" si="81"/>
        <v/>
      </c>
    </row>
    <row r="5504" spans="9:9" x14ac:dyDescent="0.25">
      <c r="I5504" s="42" t="str">
        <f t="shared" ref="I5504:I5567" si="82">IF(H5504&lt;&gt;"",H5504-H5503,"")</f>
        <v/>
      </c>
    </row>
    <row r="5505" spans="9:9" x14ac:dyDescent="0.25">
      <c r="I5505" s="42" t="str">
        <f t="shared" si="82"/>
        <v/>
      </c>
    </row>
    <row r="5506" spans="9:9" x14ac:dyDescent="0.25">
      <c r="I5506" s="42" t="str">
        <f t="shared" si="82"/>
        <v/>
      </c>
    </row>
    <row r="5507" spans="9:9" x14ac:dyDescent="0.25">
      <c r="I5507" s="42" t="str">
        <f t="shared" si="82"/>
        <v/>
      </c>
    </row>
    <row r="5508" spans="9:9" x14ac:dyDescent="0.25">
      <c r="I5508" s="42" t="str">
        <f t="shared" si="82"/>
        <v/>
      </c>
    </row>
    <row r="5509" spans="9:9" x14ac:dyDescent="0.25">
      <c r="I5509" s="42" t="str">
        <f t="shared" si="82"/>
        <v/>
      </c>
    </row>
    <row r="5510" spans="9:9" x14ac:dyDescent="0.25">
      <c r="I5510" s="42" t="str">
        <f t="shared" si="82"/>
        <v/>
      </c>
    </row>
    <row r="5511" spans="9:9" x14ac:dyDescent="0.25">
      <c r="I5511" s="42" t="str">
        <f t="shared" si="82"/>
        <v/>
      </c>
    </row>
    <row r="5512" spans="9:9" x14ac:dyDescent="0.25">
      <c r="I5512" s="42" t="str">
        <f t="shared" si="82"/>
        <v/>
      </c>
    </row>
    <row r="5513" spans="9:9" x14ac:dyDescent="0.25">
      <c r="I5513" s="42" t="str">
        <f t="shared" si="82"/>
        <v/>
      </c>
    </row>
    <row r="5514" spans="9:9" x14ac:dyDescent="0.25">
      <c r="I5514" s="42" t="str">
        <f t="shared" si="82"/>
        <v/>
      </c>
    </row>
    <row r="5515" spans="9:9" x14ac:dyDescent="0.25">
      <c r="I5515" s="42" t="str">
        <f t="shared" si="82"/>
        <v/>
      </c>
    </row>
    <row r="5516" spans="9:9" x14ac:dyDescent="0.25">
      <c r="I5516" s="42" t="str">
        <f t="shared" si="82"/>
        <v/>
      </c>
    </row>
    <row r="5517" spans="9:9" x14ac:dyDescent="0.25">
      <c r="I5517" s="42" t="str">
        <f t="shared" si="82"/>
        <v/>
      </c>
    </row>
    <row r="5518" spans="9:9" x14ac:dyDescent="0.25">
      <c r="I5518" s="42" t="str">
        <f t="shared" si="82"/>
        <v/>
      </c>
    </row>
    <row r="5519" spans="9:9" x14ac:dyDescent="0.25">
      <c r="I5519" s="42" t="str">
        <f t="shared" si="82"/>
        <v/>
      </c>
    </row>
    <row r="5520" spans="9:9" x14ac:dyDescent="0.25">
      <c r="I5520" s="42" t="str">
        <f t="shared" si="82"/>
        <v/>
      </c>
    </row>
    <row r="5521" spans="9:9" x14ac:dyDescent="0.25">
      <c r="I5521" s="42" t="str">
        <f t="shared" si="82"/>
        <v/>
      </c>
    </row>
    <row r="5522" spans="9:9" x14ac:dyDescent="0.25">
      <c r="I5522" s="42" t="str">
        <f t="shared" si="82"/>
        <v/>
      </c>
    </row>
    <row r="5523" spans="9:9" x14ac:dyDescent="0.25">
      <c r="I5523" s="42" t="str">
        <f t="shared" si="82"/>
        <v/>
      </c>
    </row>
    <row r="5524" spans="9:9" x14ac:dyDescent="0.25">
      <c r="I5524" s="42" t="str">
        <f t="shared" si="82"/>
        <v/>
      </c>
    </row>
    <row r="5525" spans="9:9" x14ac:dyDescent="0.25">
      <c r="I5525" s="42" t="str">
        <f t="shared" si="82"/>
        <v/>
      </c>
    </row>
    <row r="5526" spans="9:9" x14ac:dyDescent="0.25">
      <c r="I5526" s="42" t="str">
        <f t="shared" si="82"/>
        <v/>
      </c>
    </row>
    <row r="5527" spans="9:9" x14ac:dyDescent="0.25">
      <c r="I5527" s="42" t="str">
        <f t="shared" si="82"/>
        <v/>
      </c>
    </row>
    <row r="5528" spans="9:9" x14ac:dyDescent="0.25">
      <c r="I5528" s="42" t="str">
        <f t="shared" si="82"/>
        <v/>
      </c>
    </row>
    <row r="5529" spans="9:9" x14ac:dyDescent="0.25">
      <c r="I5529" s="42" t="str">
        <f t="shared" si="82"/>
        <v/>
      </c>
    </row>
    <row r="5530" spans="9:9" x14ac:dyDescent="0.25">
      <c r="I5530" s="42" t="str">
        <f t="shared" si="82"/>
        <v/>
      </c>
    </row>
    <row r="5531" spans="9:9" x14ac:dyDescent="0.25">
      <c r="I5531" s="42" t="str">
        <f t="shared" si="82"/>
        <v/>
      </c>
    </row>
    <row r="5532" spans="9:9" x14ac:dyDescent="0.25">
      <c r="I5532" s="42" t="str">
        <f t="shared" si="82"/>
        <v/>
      </c>
    </row>
    <row r="5533" spans="9:9" x14ac:dyDescent="0.25">
      <c r="I5533" s="42" t="str">
        <f t="shared" si="82"/>
        <v/>
      </c>
    </row>
    <row r="5534" spans="9:9" x14ac:dyDescent="0.25">
      <c r="I5534" s="42" t="str">
        <f t="shared" si="82"/>
        <v/>
      </c>
    </row>
    <row r="5535" spans="9:9" x14ac:dyDescent="0.25">
      <c r="I5535" s="42" t="str">
        <f t="shared" si="82"/>
        <v/>
      </c>
    </row>
    <row r="5536" spans="9:9" x14ac:dyDescent="0.25">
      <c r="I5536" s="42" t="str">
        <f t="shared" si="82"/>
        <v/>
      </c>
    </row>
    <row r="5537" spans="9:9" x14ac:dyDescent="0.25">
      <c r="I5537" s="42" t="str">
        <f t="shared" si="82"/>
        <v/>
      </c>
    </row>
    <row r="5538" spans="9:9" x14ac:dyDescent="0.25">
      <c r="I5538" s="42" t="str">
        <f t="shared" si="82"/>
        <v/>
      </c>
    </row>
    <row r="5539" spans="9:9" x14ac:dyDescent="0.25">
      <c r="I5539" s="42" t="str">
        <f t="shared" si="82"/>
        <v/>
      </c>
    </row>
    <row r="5540" spans="9:9" x14ac:dyDescent="0.25">
      <c r="I5540" s="42" t="str">
        <f t="shared" si="82"/>
        <v/>
      </c>
    </row>
    <row r="5541" spans="9:9" x14ac:dyDescent="0.25">
      <c r="I5541" s="42" t="str">
        <f t="shared" si="82"/>
        <v/>
      </c>
    </row>
    <row r="5542" spans="9:9" x14ac:dyDescent="0.25">
      <c r="I5542" s="42" t="str">
        <f t="shared" si="82"/>
        <v/>
      </c>
    </row>
    <row r="5543" spans="9:9" x14ac:dyDescent="0.25">
      <c r="I5543" s="42" t="str">
        <f t="shared" si="82"/>
        <v/>
      </c>
    </row>
    <row r="5544" spans="9:9" x14ac:dyDescent="0.25">
      <c r="I5544" s="42" t="str">
        <f t="shared" si="82"/>
        <v/>
      </c>
    </row>
    <row r="5545" spans="9:9" x14ac:dyDescent="0.25">
      <c r="I5545" s="42" t="str">
        <f t="shared" si="82"/>
        <v/>
      </c>
    </row>
    <row r="5546" spans="9:9" x14ac:dyDescent="0.25">
      <c r="I5546" s="42" t="str">
        <f t="shared" si="82"/>
        <v/>
      </c>
    </row>
    <row r="5547" spans="9:9" x14ac:dyDescent="0.25">
      <c r="I5547" s="42" t="str">
        <f t="shared" si="82"/>
        <v/>
      </c>
    </row>
    <row r="5548" spans="9:9" x14ac:dyDescent="0.25">
      <c r="I5548" s="42" t="str">
        <f t="shared" si="82"/>
        <v/>
      </c>
    </row>
    <row r="5549" spans="9:9" x14ac:dyDescent="0.25">
      <c r="I5549" s="42" t="str">
        <f t="shared" si="82"/>
        <v/>
      </c>
    </row>
    <row r="5550" spans="9:9" x14ac:dyDescent="0.25">
      <c r="I5550" s="42" t="str">
        <f t="shared" si="82"/>
        <v/>
      </c>
    </row>
    <row r="5551" spans="9:9" x14ac:dyDescent="0.25">
      <c r="I5551" s="42" t="str">
        <f t="shared" si="82"/>
        <v/>
      </c>
    </row>
    <row r="5552" spans="9:9" x14ac:dyDescent="0.25">
      <c r="I5552" s="42" t="str">
        <f t="shared" si="82"/>
        <v/>
      </c>
    </row>
    <row r="5553" spans="9:9" x14ac:dyDescent="0.25">
      <c r="I5553" s="42" t="str">
        <f t="shared" si="82"/>
        <v/>
      </c>
    </row>
    <row r="5554" spans="9:9" x14ac:dyDescent="0.25">
      <c r="I5554" s="42" t="str">
        <f t="shared" si="82"/>
        <v/>
      </c>
    </row>
    <row r="5555" spans="9:9" x14ac:dyDescent="0.25">
      <c r="I5555" s="42" t="str">
        <f t="shared" si="82"/>
        <v/>
      </c>
    </row>
    <row r="5556" spans="9:9" x14ac:dyDescent="0.25">
      <c r="I5556" s="42" t="str">
        <f t="shared" si="82"/>
        <v/>
      </c>
    </row>
    <row r="5557" spans="9:9" x14ac:dyDescent="0.25">
      <c r="I5557" s="42" t="str">
        <f t="shared" si="82"/>
        <v/>
      </c>
    </row>
    <row r="5558" spans="9:9" x14ac:dyDescent="0.25">
      <c r="I5558" s="42" t="str">
        <f t="shared" si="82"/>
        <v/>
      </c>
    </row>
    <row r="5559" spans="9:9" x14ac:dyDescent="0.25">
      <c r="I5559" s="42" t="str">
        <f t="shared" si="82"/>
        <v/>
      </c>
    </row>
    <row r="5560" spans="9:9" x14ac:dyDescent="0.25">
      <c r="I5560" s="42" t="str">
        <f t="shared" si="82"/>
        <v/>
      </c>
    </row>
    <row r="5561" spans="9:9" x14ac:dyDescent="0.25">
      <c r="I5561" s="42" t="str">
        <f t="shared" si="82"/>
        <v/>
      </c>
    </row>
    <row r="5562" spans="9:9" x14ac:dyDescent="0.25">
      <c r="I5562" s="42" t="str">
        <f t="shared" si="82"/>
        <v/>
      </c>
    </row>
    <row r="5563" spans="9:9" x14ac:dyDescent="0.25">
      <c r="I5563" s="42" t="str">
        <f t="shared" si="82"/>
        <v/>
      </c>
    </row>
    <row r="5564" spans="9:9" x14ac:dyDescent="0.25">
      <c r="I5564" s="42" t="str">
        <f t="shared" si="82"/>
        <v/>
      </c>
    </row>
    <row r="5565" spans="9:9" x14ac:dyDescent="0.25">
      <c r="I5565" s="42" t="str">
        <f t="shared" si="82"/>
        <v/>
      </c>
    </row>
    <row r="5566" spans="9:9" x14ac:dyDescent="0.25">
      <c r="I5566" s="42" t="str">
        <f t="shared" si="82"/>
        <v/>
      </c>
    </row>
    <row r="5567" spans="9:9" x14ac:dyDescent="0.25">
      <c r="I5567" s="42" t="str">
        <f t="shared" si="82"/>
        <v/>
      </c>
    </row>
    <row r="5568" spans="9:9" x14ac:dyDescent="0.25">
      <c r="I5568" s="42" t="str">
        <f t="shared" ref="I5568:I5631" si="83">IF(H5568&lt;&gt;"",H5568-H5567,"")</f>
        <v/>
      </c>
    </row>
    <row r="5569" spans="9:9" x14ac:dyDescent="0.25">
      <c r="I5569" s="42" t="str">
        <f t="shared" si="83"/>
        <v/>
      </c>
    </row>
    <row r="5570" spans="9:9" x14ac:dyDescent="0.25">
      <c r="I5570" s="42" t="str">
        <f t="shared" si="83"/>
        <v/>
      </c>
    </row>
    <row r="5571" spans="9:9" x14ac:dyDescent="0.25">
      <c r="I5571" s="42" t="str">
        <f t="shared" si="83"/>
        <v/>
      </c>
    </row>
    <row r="5572" spans="9:9" x14ac:dyDescent="0.25">
      <c r="I5572" s="42" t="str">
        <f t="shared" si="83"/>
        <v/>
      </c>
    </row>
    <row r="5573" spans="9:9" x14ac:dyDescent="0.25">
      <c r="I5573" s="42" t="str">
        <f t="shared" si="83"/>
        <v/>
      </c>
    </row>
    <row r="5574" spans="9:9" x14ac:dyDescent="0.25">
      <c r="I5574" s="42" t="str">
        <f t="shared" si="83"/>
        <v/>
      </c>
    </row>
    <row r="5575" spans="9:9" x14ac:dyDescent="0.25">
      <c r="I5575" s="42" t="str">
        <f t="shared" si="83"/>
        <v/>
      </c>
    </row>
    <row r="5576" spans="9:9" x14ac:dyDescent="0.25">
      <c r="I5576" s="42" t="str">
        <f t="shared" si="83"/>
        <v/>
      </c>
    </row>
    <row r="5577" spans="9:9" x14ac:dyDescent="0.25">
      <c r="I5577" s="42" t="str">
        <f t="shared" si="83"/>
        <v/>
      </c>
    </row>
    <row r="5578" spans="9:9" x14ac:dyDescent="0.25">
      <c r="I5578" s="42" t="str">
        <f t="shared" si="83"/>
        <v/>
      </c>
    </row>
    <row r="5579" spans="9:9" x14ac:dyDescent="0.25">
      <c r="I5579" s="42" t="str">
        <f t="shared" si="83"/>
        <v/>
      </c>
    </row>
    <row r="5580" spans="9:9" x14ac:dyDescent="0.25">
      <c r="I5580" s="42" t="str">
        <f t="shared" si="83"/>
        <v/>
      </c>
    </row>
    <row r="5581" spans="9:9" x14ac:dyDescent="0.25">
      <c r="I5581" s="42" t="str">
        <f t="shared" si="83"/>
        <v/>
      </c>
    </row>
    <row r="5582" spans="9:9" x14ac:dyDescent="0.25">
      <c r="I5582" s="42" t="str">
        <f t="shared" si="83"/>
        <v/>
      </c>
    </row>
    <row r="5583" spans="9:9" x14ac:dyDescent="0.25">
      <c r="I5583" s="42" t="str">
        <f t="shared" si="83"/>
        <v/>
      </c>
    </row>
    <row r="5584" spans="9:9" x14ac:dyDescent="0.25">
      <c r="I5584" s="42" t="str">
        <f t="shared" si="83"/>
        <v/>
      </c>
    </row>
    <row r="5585" spans="9:9" x14ac:dyDescent="0.25">
      <c r="I5585" s="42" t="str">
        <f t="shared" si="83"/>
        <v/>
      </c>
    </row>
    <row r="5586" spans="9:9" x14ac:dyDescent="0.25">
      <c r="I5586" s="42" t="str">
        <f t="shared" si="83"/>
        <v/>
      </c>
    </row>
    <row r="5587" spans="9:9" x14ac:dyDescent="0.25">
      <c r="I5587" s="42" t="str">
        <f t="shared" si="83"/>
        <v/>
      </c>
    </row>
    <row r="5588" spans="9:9" x14ac:dyDescent="0.25">
      <c r="I5588" s="42" t="str">
        <f t="shared" si="83"/>
        <v/>
      </c>
    </row>
    <row r="5589" spans="9:9" x14ac:dyDescent="0.25">
      <c r="I5589" s="42" t="str">
        <f t="shared" si="83"/>
        <v/>
      </c>
    </row>
    <row r="5590" spans="9:9" x14ac:dyDescent="0.25">
      <c r="I5590" s="42" t="str">
        <f t="shared" si="83"/>
        <v/>
      </c>
    </row>
    <row r="5591" spans="9:9" x14ac:dyDescent="0.25">
      <c r="I5591" s="42" t="str">
        <f t="shared" si="83"/>
        <v/>
      </c>
    </row>
    <row r="5592" spans="9:9" x14ac:dyDescent="0.25">
      <c r="I5592" s="42" t="str">
        <f t="shared" si="83"/>
        <v/>
      </c>
    </row>
    <row r="5593" spans="9:9" x14ac:dyDescent="0.25">
      <c r="I5593" s="42" t="str">
        <f t="shared" si="83"/>
        <v/>
      </c>
    </row>
    <row r="5594" spans="9:9" x14ac:dyDescent="0.25">
      <c r="I5594" s="42" t="str">
        <f t="shared" si="83"/>
        <v/>
      </c>
    </row>
    <row r="5595" spans="9:9" x14ac:dyDescent="0.25">
      <c r="I5595" s="42" t="str">
        <f t="shared" si="83"/>
        <v/>
      </c>
    </row>
    <row r="5596" spans="9:9" x14ac:dyDescent="0.25">
      <c r="I5596" s="42" t="str">
        <f t="shared" si="83"/>
        <v/>
      </c>
    </row>
    <row r="5597" spans="9:9" x14ac:dyDescent="0.25">
      <c r="I5597" s="42" t="str">
        <f t="shared" si="83"/>
        <v/>
      </c>
    </row>
    <row r="5598" spans="9:9" x14ac:dyDescent="0.25">
      <c r="I5598" s="42" t="str">
        <f t="shared" si="83"/>
        <v/>
      </c>
    </row>
    <row r="5599" spans="9:9" x14ac:dyDescent="0.25">
      <c r="I5599" s="42" t="str">
        <f t="shared" si="83"/>
        <v/>
      </c>
    </row>
    <row r="5600" spans="9:9" x14ac:dyDescent="0.25">
      <c r="I5600" s="42" t="str">
        <f t="shared" si="83"/>
        <v/>
      </c>
    </row>
    <row r="5601" spans="9:9" x14ac:dyDescent="0.25">
      <c r="I5601" s="42" t="str">
        <f t="shared" si="83"/>
        <v/>
      </c>
    </row>
    <row r="5602" spans="9:9" x14ac:dyDescent="0.25">
      <c r="I5602" s="42" t="str">
        <f t="shared" si="83"/>
        <v/>
      </c>
    </row>
    <row r="5603" spans="9:9" x14ac:dyDescent="0.25">
      <c r="I5603" s="42" t="str">
        <f t="shared" si="83"/>
        <v/>
      </c>
    </row>
    <row r="5604" spans="9:9" x14ac:dyDescent="0.25">
      <c r="I5604" s="42" t="str">
        <f t="shared" si="83"/>
        <v/>
      </c>
    </row>
    <row r="5605" spans="9:9" x14ac:dyDescent="0.25">
      <c r="I5605" s="42" t="str">
        <f t="shared" si="83"/>
        <v/>
      </c>
    </row>
    <row r="5606" spans="9:9" x14ac:dyDescent="0.25">
      <c r="I5606" s="42" t="str">
        <f t="shared" si="83"/>
        <v/>
      </c>
    </row>
    <row r="5607" spans="9:9" x14ac:dyDescent="0.25">
      <c r="I5607" s="42" t="str">
        <f t="shared" si="83"/>
        <v/>
      </c>
    </row>
    <row r="5608" spans="9:9" x14ac:dyDescent="0.25">
      <c r="I5608" s="42" t="str">
        <f t="shared" si="83"/>
        <v/>
      </c>
    </row>
    <row r="5609" spans="9:9" x14ac:dyDescent="0.25">
      <c r="I5609" s="42" t="str">
        <f t="shared" si="83"/>
        <v/>
      </c>
    </row>
    <row r="5610" spans="9:9" x14ac:dyDescent="0.25">
      <c r="I5610" s="42" t="str">
        <f t="shared" si="83"/>
        <v/>
      </c>
    </row>
    <row r="5611" spans="9:9" x14ac:dyDescent="0.25">
      <c r="I5611" s="42" t="str">
        <f t="shared" si="83"/>
        <v/>
      </c>
    </row>
    <row r="5612" spans="9:9" x14ac:dyDescent="0.25">
      <c r="I5612" s="42" t="str">
        <f t="shared" si="83"/>
        <v/>
      </c>
    </row>
    <row r="5613" spans="9:9" x14ac:dyDescent="0.25">
      <c r="I5613" s="42" t="str">
        <f t="shared" si="83"/>
        <v/>
      </c>
    </row>
    <row r="5614" spans="9:9" x14ac:dyDescent="0.25">
      <c r="I5614" s="42" t="str">
        <f t="shared" si="83"/>
        <v/>
      </c>
    </row>
    <row r="5615" spans="9:9" x14ac:dyDescent="0.25">
      <c r="I5615" s="42" t="str">
        <f t="shared" si="83"/>
        <v/>
      </c>
    </row>
    <row r="5616" spans="9:9" x14ac:dyDescent="0.25">
      <c r="I5616" s="42" t="str">
        <f t="shared" si="83"/>
        <v/>
      </c>
    </row>
    <row r="5617" spans="9:9" x14ac:dyDescent="0.25">
      <c r="I5617" s="42" t="str">
        <f t="shared" si="83"/>
        <v/>
      </c>
    </row>
    <row r="5618" spans="9:9" x14ac:dyDescent="0.25">
      <c r="I5618" s="42" t="str">
        <f t="shared" si="83"/>
        <v/>
      </c>
    </row>
    <row r="5619" spans="9:9" x14ac:dyDescent="0.25">
      <c r="I5619" s="42" t="str">
        <f t="shared" si="83"/>
        <v/>
      </c>
    </row>
    <row r="5620" spans="9:9" x14ac:dyDescent="0.25">
      <c r="I5620" s="42" t="str">
        <f t="shared" si="83"/>
        <v/>
      </c>
    </row>
    <row r="5621" spans="9:9" x14ac:dyDescent="0.25">
      <c r="I5621" s="42" t="str">
        <f t="shared" si="83"/>
        <v/>
      </c>
    </row>
    <row r="5622" spans="9:9" x14ac:dyDescent="0.25">
      <c r="I5622" s="42" t="str">
        <f t="shared" si="83"/>
        <v/>
      </c>
    </row>
    <row r="5623" spans="9:9" x14ac:dyDescent="0.25">
      <c r="I5623" s="42" t="str">
        <f t="shared" si="83"/>
        <v/>
      </c>
    </row>
    <row r="5624" spans="9:9" x14ac:dyDescent="0.25">
      <c r="I5624" s="42" t="str">
        <f t="shared" si="83"/>
        <v/>
      </c>
    </row>
    <row r="5625" spans="9:9" x14ac:dyDescent="0.25">
      <c r="I5625" s="42" t="str">
        <f t="shared" si="83"/>
        <v/>
      </c>
    </row>
    <row r="5626" spans="9:9" x14ac:dyDescent="0.25">
      <c r="I5626" s="42" t="str">
        <f t="shared" si="83"/>
        <v/>
      </c>
    </row>
    <row r="5627" spans="9:9" x14ac:dyDescent="0.25">
      <c r="I5627" s="42" t="str">
        <f t="shared" si="83"/>
        <v/>
      </c>
    </row>
    <row r="5628" spans="9:9" x14ac:dyDescent="0.25">
      <c r="I5628" s="42" t="str">
        <f t="shared" si="83"/>
        <v/>
      </c>
    </row>
    <row r="5629" spans="9:9" x14ac:dyDescent="0.25">
      <c r="I5629" s="42" t="str">
        <f t="shared" si="83"/>
        <v/>
      </c>
    </row>
    <row r="5630" spans="9:9" x14ac:dyDescent="0.25">
      <c r="I5630" s="42" t="str">
        <f t="shared" si="83"/>
        <v/>
      </c>
    </row>
    <row r="5631" spans="9:9" x14ac:dyDescent="0.25">
      <c r="I5631" s="42" t="str">
        <f t="shared" si="83"/>
        <v/>
      </c>
    </row>
    <row r="5632" spans="9:9" x14ac:dyDescent="0.25">
      <c r="I5632" s="42" t="str">
        <f t="shared" ref="I5632:I5695" si="84">IF(H5632&lt;&gt;"",H5632-H5631,"")</f>
        <v/>
      </c>
    </row>
    <row r="5633" spans="9:9" x14ac:dyDescent="0.25">
      <c r="I5633" s="42" t="str">
        <f t="shared" si="84"/>
        <v/>
      </c>
    </row>
    <row r="5634" spans="9:9" x14ac:dyDescent="0.25">
      <c r="I5634" s="42" t="str">
        <f t="shared" si="84"/>
        <v/>
      </c>
    </row>
    <row r="5635" spans="9:9" x14ac:dyDescent="0.25">
      <c r="I5635" s="42" t="str">
        <f t="shared" si="84"/>
        <v/>
      </c>
    </row>
    <row r="5636" spans="9:9" x14ac:dyDescent="0.25">
      <c r="I5636" s="42" t="str">
        <f t="shared" si="84"/>
        <v/>
      </c>
    </row>
    <row r="5637" spans="9:9" x14ac:dyDescent="0.25">
      <c r="I5637" s="42" t="str">
        <f t="shared" si="84"/>
        <v/>
      </c>
    </row>
    <row r="5638" spans="9:9" x14ac:dyDescent="0.25">
      <c r="I5638" s="42" t="str">
        <f t="shared" si="84"/>
        <v/>
      </c>
    </row>
    <row r="5639" spans="9:9" x14ac:dyDescent="0.25">
      <c r="I5639" s="42" t="str">
        <f t="shared" si="84"/>
        <v/>
      </c>
    </row>
    <row r="5640" spans="9:9" x14ac:dyDescent="0.25">
      <c r="I5640" s="42" t="str">
        <f t="shared" si="84"/>
        <v/>
      </c>
    </row>
    <row r="5641" spans="9:9" x14ac:dyDescent="0.25">
      <c r="I5641" s="42" t="str">
        <f t="shared" si="84"/>
        <v/>
      </c>
    </row>
    <row r="5642" spans="9:9" x14ac:dyDescent="0.25">
      <c r="I5642" s="42" t="str">
        <f t="shared" si="84"/>
        <v/>
      </c>
    </row>
    <row r="5643" spans="9:9" x14ac:dyDescent="0.25">
      <c r="I5643" s="42" t="str">
        <f t="shared" si="84"/>
        <v/>
      </c>
    </row>
    <row r="5644" spans="9:9" x14ac:dyDescent="0.25">
      <c r="I5644" s="42" t="str">
        <f t="shared" si="84"/>
        <v/>
      </c>
    </row>
    <row r="5645" spans="9:9" x14ac:dyDescent="0.25">
      <c r="I5645" s="42" t="str">
        <f t="shared" si="84"/>
        <v/>
      </c>
    </row>
    <row r="5646" spans="9:9" x14ac:dyDescent="0.25">
      <c r="I5646" s="42" t="str">
        <f t="shared" si="84"/>
        <v/>
      </c>
    </row>
    <row r="5647" spans="9:9" x14ac:dyDescent="0.25">
      <c r="I5647" s="42" t="str">
        <f t="shared" si="84"/>
        <v/>
      </c>
    </row>
    <row r="5648" spans="9:9" x14ac:dyDescent="0.25">
      <c r="I5648" s="42" t="str">
        <f t="shared" si="84"/>
        <v/>
      </c>
    </row>
    <row r="5649" spans="9:9" x14ac:dyDescent="0.25">
      <c r="I5649" s="42" t="str">
        <f t="shared" si="84"/>
        <v/>
      </c>
    </row>
    <row r="5650" spans="9:9" x14ac:dyDescent="0.25">
      <c r="I5650" s="42" t="str">
        <f t="shared" si="84"/>
        <v/>
      </c>
    </row>
    <row r="5651" spans="9:9" x14ac:dyDescent="0.25">
      <c r="I5651" s="42" t="str">
        <f t="shared" si="84"/>
        <v/>
      </c>
    </row>
    <row r="5652" spans="9:9" x14ac:dyDescent="0.25">
      <c r="I5652" s="42" t="str">
        <f t="shared" si="84"/>
        <v/>
      </c>
    </row>
    <row r="5653" spans="9:9" x14ac:dyDescent="0.25">
      <c r="I5653" s="42" t="str">
        <f t="shared" si="84"/>
        <v/>
      </c>
    </row>
    <row r="5654" spans="9:9" x14ac:dyDescent="0.25">
      <c r="I5654" s="42" t="str">
        <f t="shared" si="84"/>
        <v/>
      </c>
    </row>
    <row r="5655" spans="9:9" x14ac:dyDescent="0.25">
      <c r="I5655" s="42" t="str">
        <f t="shared" si="84"/>
        <v/>
      </c>
    </row>
    <row r="5656" spans="9:9" x14ac:dyDescent="0.25">
      <c r="I5656" s="42" t="str">
        <f t="shared" si="84"/>
        <v/>
      </c>
    </row>
    <row r="5657" spans="9:9" x14ac:dyDescent="0.25">
      <c r="I5657" s="42" t="str">
        <f t="shared" si="84"/>
        <v/>
      </c>
    </row>
    <row r="5658" spans="9:9" x14ac:dyDescent="0.25">
      <c r="I5658" s="42" t="str">
        <f t="shared" si="84"/>
        <v/>
      </c>
    </row>
    <row r="5659" spans="9:9" x14ac:dyDescent="0.25">
      <c r="I5659" s="42" t="str">
        <f t="shared" si="84"/>
        <v/>
      </c>
    </row>
    <row r="5660" spans="9:9" x14ac:dyDescent="0.25">
      <c r="I5660" s="42" t="str">
        <f t="shared" si="84"/>
        <v/>
      </c>
    </row>
    <row r="5661" spans="9:9" x14ac:dyDescent="0.25">
      <c r="I5661" s="42" t="str">
        <f t="shared" si="84"/>
        <v/>
      </c>
    </row>
    <row r="5662" spans="9:9" x14ac:dyDescent="0.25">
      <c r="I5662" s="42" t="str">
        <f t="shared" si="84"/>
        <v/>
      </c>
    </row>
    <row r="5663" spans="9:9" x14ac:dyDescent="0.25">
      <c r="I5663" s="42" t="str">
        <f t="shared" si="84"/>
        <v/>
      </c>
    </row>
    <row r="5664" spans="9:9" x14ac:dyDescent="0.25">
      <c r="I5664" s="42" t="str">
        <f t="shared" si="84"/>
        <v/>
      </c>
    </row>
    <row r="5665" spans="9:9" x14ac:dyDescent="0.25">
      <c r="I5665" s="42" t="str">
        <f t="shared" si="84"/>
        <v/>
      </c>
    </row>
    <row r="5666" spans="9:9" x14ac:dyDescent="0.25">
      <c r="I5666" s="42" t="str">
        <f t="shared" si="84"/>
        <v/>
      </c>
    </row>
    <row r="5667" spans="9:9" x14ac:dyDescent="0.25">
      <c r="I5667" s="42" t="str">
        <f t="shared" si="84"/>
        <v/>
      </c>
    </row>
    <row r="5668" spans="9:9" x14ac:dyDescent="0.25">
      <c r="I5668" s="42" t="str">
        <f t="shared" si="84"/>
        <v/>
      </c>
    </row>
    <row r="5669" spans="9:9" x14ac:dyDescent="0.25">
      <c r="I5669" s="42" t="str">
        <f t="shared" si="84"/>
        <v/>
      </c>
    </row>
    <row r="5670" spans="9:9" x14ac:dyDescent="0.25">
      <c r="I5670" s="42" t="str">
        <f t="shared" si="84"/>
        <v/>
      </c>
    </row>
    <row r="5671" spans="9:9" x14ac:dyDescent="0.25">
      <c r="I5671" s="42" t="str">
        <f t="shared" si="84"/>
        <v/>
      </c>
    </row>
    <row r="5672" spans="9:9" x14ac:dyDescent="0.25">
      <c r="I5672" s="42" t="str">
        <f t="shared" si="84"/>
        <v/>
      </c>
    </row>
    <row r="5673" spans="9:9" x14ac:dyDescent="0.25">
      <c r="I5673" s="42" t="str">
        <f t="shared" si="84"/>
        <v/>
      </c>
    </row>
    <row r="5674" spans="9:9" x14ac:dyDescent="0.25">
      <c r="I5674" s="42" t="str">
        <f t="shared" si="84"/>
        <v/>
      </c>
    </row>
    <row r="5675" spans="9:9" x14ac:dyDescent="0.25">
      <c r="I5675" s="42" t="str">
        <f t="shared" si="84"/>
        <v/>
      </c>
    </row>
    <row r="5676" spans="9:9" x14ac:dyDescent="0.25">
      <c r="I5676" s="42" t="str">
        <f t="shared" si="84"/>
        <v/>
      </c>
    </row>
    <row r="5677" spans="9:9" x14ac:dyDescent="0.25">
      <c r="I5677" s="42" t="str">
        <f t="shared" si="84"/>
        <v/>
      </c>
    </row>
    <row r="5678" spans="9:9" x14ac:dyDescent="0.25">
      <c r="I5678" s="42" t="str">
        <f t="shared" si="84"/>
        <v/>
      </c>
    </row>
    <row r="5679" spans="9:9" x14ac:dyDescent="0.25">
      <c r="I5679" s="42" t="str">
        <f t="shared" si="84"/>
        <v/>
      </c>
    </row>
    <row r="5680" spans="9:9" x14ac:dyDescent="0.25">
      <c r="I5680" s="42" t="str">
        <f t="shared" si="84"/>
        <v/>
      </c>
    </row>
    <row r="5681" spans="9:9" x14ac:dyDescent="0.25">
      <c r="I5681" s="42" t="str">
        <f t="shared" si="84"/>
        <v/>
      </c>
    </row>
    <row r="5682" spans="9:9" x14ac:dyDescent="0.25">
      <c r="I5682" s="42" t="str">
        <f t="shared" si="84"/>
        <v/>
      </c>
    </row>
    <row r="5683" spans="9:9" x14ac:dyDescent="0.25">
      <c r="I5683" s="42" t="str">
        <f t="shared" si="84"/>
        <v/>
      </c>
    </row>
    <row r="5684" spans="9:9" x14ac:dyDescent="0.25">
      <c r="I5684" s="42" t="str">
        <f t="shared" si="84"/>
        <v/>
      </c>
    </row>
    <row r="5685" spans="9:9" x14ac:dyDescent="0.25">
      <c r="I5685" s="42" t="str">
        <f t="shared" si="84"/>
        <v/>
      </c>
    </row>
    <row r="5686" spans="9:9" x14ac:dyDescent="0.25">
      <c r="I5686" s="42" t="str">
        <f t="shared" si="84"/>
        <v/>
      </c>
    </row>
    <row r="5687" spans="9:9" x14ac:dyDescent="0.25">
      <c r="I5687" s="42" t="str">
        <f t="shared" si="84"/>
        <v/>
      </c>
    </row>
    <row r="5688" spans="9:9" x14ac:dyDescent="0.25">
      <c r="I5688" s="42" t="str">
        <f t="shared" si="84"/>
        <v/>
      </c>
    </row>
    <row r="5689" spans="9:9" x14ac:dyDescent="0.25">
      <c r="I5689" s="42" t="str">
        <f t="shared" si="84"/>
        <v/>
      </c>
    </row>
    <row r="5690" spans="9:9" x14ac:dyDescent="0.25">
      <c r="I5690" s="42" t="str">
        <f t="shared" si="84"/>
        <v/>
      </c>
    </row>
    <row r="5691" spans="9:9" x14ac:dyDescent="0.25">
      <c r="I5691" s="42" t="str">
        <f t="shared" si="84"/>
        <v/>
      </c>
    </row>
    <row r="5692" spans="9:9" x14ac:dyDescent="0.25">
      <c r="I5692" s="42" t="str">
        <f t="shared" si="84"/>
        <v/>
      </c>
    </row>
    <row r="5693" spans="9:9" x14ac:dyDescent="0.25">
      <c r="I5693" s="42" t="str">
        <f t="shared" si="84"/>
        <v/>
      </c>
    </row>
    <row r="5694" spans="9:9" x14ac:dyDescent="0.25">
      <c r="I5694" s="42" t="str">
        <f t="shared" si="84"/>
        <v/>
      </c>
    </row>
    <row r="5695" spans="9:9" x14ac:dyDescent="0.25">
      <c r="I5695" s="42" t="str">
        <f t="shared" si="84"/>
        <v/>
      </c>
    </row>
    <row r="5696" spans="9:9" x14ac:dyDescent="0.25">
      <c r="I5696" s="42" t="str">
        <f t="shared" ref="I5696:I5759" si="85">IF(H5696&lt;&gt;"",H5696-H5695,"")</f>
        <v/>
      </c>
    </row>
    <row r="5697" spans="9:9" x14ac:dyDescent="0.25">
      <c r="I5697" s="42" t="str">
        <f t="shared" si="85"/>
        <v/>
      </c>
    </row>
    <row r="5698" spans="9:9" x14ac:dyDescent="0.25">
      <c r="I5698" s="42" t="str">
        <f t="shared" si="85"/>
        <v/>
      </c>
    </row>
    <row r="5699" spans="9:9" x14ac:dyDescent="0.25">
      <c r="I5699" s="42" t="str">
        <f t="shared" si="85"/>
        <v/>
      </c>
    </row>
    <row r="5700" spans="9:9" x14ac:dyDescent="0.25">
      <c r="I5700" s="42" t="str">
        <f t="shared" si="85"/>
        <v/>
      </c>
    </row>
    <row r="5701" spans="9:9" x14ac:dyDescent="0.25">
      <c r="I5701" s="42" t="str">
        <f t="shared" si="85"/>
        <v/>
      </c>
    </row>
    <row r="5702" spans="9:9" x14ac:dyDescent="0.25">
      <c r="I5702" s="42" t="str">
        <f t="shared" si="85"/>
        <v/>
      </c>
    </row>
    <row r="5703" spans="9:9" x14ac:dyDescent="0.25">
      <c r="I5703" s="42" t="str">
        <f t="shared" si="85"/>
        <v/>
      </c>
    </row>
    <row r="5704" spans="9:9" x14ac:dyDescent="0.25">
      <c r="I5704" s="42" t="str">
        <f t="shared" si="85"/>
        <v/>
      </c>
    </row>
    <row r="5705" spans="9:9" x14ac:dyDescent="0.25">
      <c r="I5705" s="42" t="str">
        <f t="shared" si="85"/>
        <v/>
      </c>
    </row>
    <row r="5706" spans="9:9" x14ac:dyDescent="0.25">
      <c r="I5706" s="42" t="str">
        <f t="shared" si="85"/>
        <v/>
      </c>
    </row>
    <row r="5707" spans="9:9" x14ac:dyDescent="0.25">
      <c r="I5707" s="42" t="str">
        <f t="shared" si="85"/>
        <v/>
      </c>
    </row>
    <row r="5708" spans="9:9" x14ac:dyDescent="0.25">
      <c r="I5708" s="42" t="str">
        <f t="shared" si="85"/>
        <v/>
      </c>
    </row>
    <row r="5709" spans="9:9" x14ac:dyDescent="0.25">
      <c r="I5709" s="42" t="str">
        <f t="shared" si="85"/>
        <v/>
      </c>
    </row>
    <row r="5710" spans="9:9" x14ac:dyDescent="0.25">
      <c r="I5710" s="42" t="str">
        <f t="shared" si="85"/>
        <v/>
      </c>
    </row>
    <row r="5711" spans="9:9" x14ac:dyDescent="0.25">
      <c r="I5711" s="42" t="str">
        <f t="shared" si="85"/>
        <v/>
      </c>
    </row>
    <row r="5712" spans="9:9" x14ac:dyDescent="0.25">
      <c r="I5712" s="42" t="str">
        <f t="shared" si="85"/>
        <v/>
      </c>
    </row>
    <row r="5713" spans="9:9" x14ac:dyDescent="0.25">
      <c r="I5713" s="42" t="str">
        <f t="shared" si="85"/>
        <v/>
      </c>
    </row>
    <row r="5714" spans="9:9" x14ac:dyDescent="0.25">
      <c r="I5714" s="42" t="str">
        <f t="shared" si="85"/>
        <v/>
      </c>
    </row>
    <row r="5715" spans="9:9" x14ac:dyDescent="0.25">
      <c r="I5715" s="42" t="str">
        <f t="shared" si="85"/>
        <v/>
      </c>
    </row>
    <row r="5716" spans="9:9" x14ac:dyDescent="0.25">
      <c r="I5716" s="42" t="str">
        <f t="shared" si="85"/>
        <v/>
      </c>
    </row>
    <row r="5717" spans="9:9" x14ac:dyDescent="0.25">
      <c r="I5717" s="42" t="str">
        <f t="shared" si="85"/>
        <v/>
      </c>
    </row>
    <row r="5718" spans="9:9" x14ac:dyDescent="0.25">
      <c r="I5718" s="42" t="str">
        <f t="shared" si="85"/>
        <v/>
      </c>
    </row>
    <row r="5719" spans="9:9" x14ac:dyDescent="0.25">
      <c r="I5719" s="42" t="str">
        <f t="shared" si="85"/>
        <v/>
      </c>
    </row>
    <row r="5720" spans="9:9" x14ac:dyDescent="0.25">
      <c r="I5720" s="42" t="str">
        <f t="shared" si="85"/>
        <v/>
      </c>
    </row>
    <row r="5721" spans="9:9" x14ac:dyDescent="0.25">
      <c r="I5721" s="42" t="str">
        <f t="shared" si="85"/>
        <v/>
      </c>
    </row>
    <row r="5722" spans="9:9" x14ac:dyDescent="0.25">
      <c r="I5722" s="42" t="str">
        <f t="shared" si="85"/>
        <v/>
      </c>
    </row>
    <row r="5723" spans="9:9" x14ac:dyDescent="0.25">
      <c r="I5723" s="42" t="str">
        <f t="shared" si="85"/>
        <v/>
      </c>
    </row>
    <row r="5724" spans="9:9" x14ac:dyDescent="0.25">
      <c r="I5724" s="42" t="str">
        <f t="shared" si="85"/>
        <v/>
      </c>
    </row>
    <row r="5725" spans="9:9" x14ac:dyDescent="0.25">
      <c r="I5725" s="42" t="str">
        <f t="shared" si="85"/>
        <v/>
      </c>
    </row>
    <row r="5726" spans="9:9" x14ac:dyDescent="0.25">
      <c r="I5726" s="42" t="str">
        <f t="shared" si="85"/>
        <v/>
      </c>
    </row>
    <row r="5727" spans="9:9" x14ac:dyDescent="0.25">
      <c r="I5727" s="42" t="str">
        <f t="shared" si="85"/>
        <v/>
      </c>
    </row>
    <row r="5728" spans="9:9" x14ac:dyDescent="0.25">
      <c r="I5728" s="42" t="str">
        <f t="shared" si="85"/>
        <v/>
      </c>
    </row>
    <row r="5729" spans="9:9" x14ac:dyDescent="0.25">
      <c r="I5729" s="42" t="str">
        <f t="shared" si="85"/>
        <v/>
      </c>
    </row>
    <row r="5730" spans="9:9" x14ac:dyDescent="0.25">
      <c r="I5730" s="42" t="str">
        <f t="shared" si="85"/>
        <v/>
      </c>
    </row>
    <row r="5731" spans="9:9" x14ac:dyDescent="0.25">
      <c r="I5731" s="42" t="str">
        <f t="shared" si="85"/>
        <v/>
      </c>
    </row>
    <row r="5732" spans="9:9" x14ac:dyDescent="0.25">
      <c r="I5732" s="42" t="str">
        <f t="shared" si="85"/>
        <v/>
      </c>
    </row>
    <row r="5733" spans="9:9" x14ac:dyDescent="0.25">
      <c r="I5733" s="42" t="str">
        <f t="shared" si="85"/>
        <v/>
      </c>
    </row>
    <row r="5734" spans="9:9" x14ac:dyDescent="0.25">
      <c r="I5734" s="42" t="str">
        <f t="shared" si="85"/>
        <v/>
      </c>
    </row>
    <row r="5735" spans="9:9" x14ac:dyDescent="0.25">
      <c r="I5735" s="42" t="str">
        <f t="shared" si="85"/>
        <v/>
      </c>
    </row>
    <row r="5736" spans="9:9" x14ac:dyDescent="0.25">
      <c r="I5736" s="42" t="str">
        <f t="shared" si="85"/>
        <v/>
      </c>
    </row>
    <row r="5737" spans="9:9" x14ac:dyDescent="0.25">
      <c r="I5737" s="42" t="str">
        <f t="shared" si="85"/>
        <v/>
      </c>
    </row>
    <row r="5738" spans="9:9" x14ac:dyDescent="0.25">
      <c r="I5738" s="42" t="str">
        <f t="shared" si="85"/>
        <v/>
      </c>
    </row>
    <row r="5739" spans="9:9" x14ac:dyDescent="0.25">
      <c r="I5739" s="42" t="str">
        <f t="shared" si="85"/>
        <v/>
      </c>
    </row>
    <row r="5740" spans="9:9" x14ac:dyDescent="0.25">
      <c r="I5740" s="42" t="str">
        <f t="shared" si="85"/>
        <v/>
      </c>
    </row>
    <row r="5741" spans="9:9" x14ac:dyDescent="0.25">
      <c r="I5741" s="42" t="str">
        <f t="shared" si="85"/>
        <v/>
      </c>
    </row>
    <row r="5742" spans="9:9" x14ac:dyDescent="0.25">
      <c r="I5742" s="42" t="str">
        <f t="shared" si="85"/>
        <v/>
      </c>
    </row>
    <row r="5743" spans="9:9" x14ac:dyDescent="0.25">
      <c r="I5743" s="42" t="str">
        <f t="shared" si="85"/>
        <v/>
      </c>
    </row>
    <row r="5744" spans="9:9" x14ac:dyDescent="0.25">
      <c r="I5744" s="42" t="str">
        <f t="shared" si="85"/>
        <v/>
      </c>
    </row>
    <row r="5745" spans="9:9" x14ac:dyDescent="0.25">
      <c r="I5745" s="42" t="str">
        <f t="shared" si="85"/>
        <v/>
      </c>
    </row>
    <row r="5746" spans="9:9" x14ac:dyDescent="0.25">
      <c r="I5746" s="42" t="str">
        <f t="shared" si="85"/>
        <v/>
      </c>
    </row>
    <row r="5747" spans="9:9" x14ac:dyDescent="0.25">
      <c r="I5747" s="42" t="str">
        <f t="shared" si="85"/>
        <v/>
      </c>
    </row>
    <row r="5748" spans="9:9" x14ac:dyDescent="0.25">
      <c r="I5748" s="42" t="str">
        <f t="shared" si="85"/>
        <v/>
      </c>
    </row>
    <row r="5749" spans="9:9" x14ac:dyDescent="0.25">
      <c r="I5749" s="42" t="str">
        <f t="shared" si="85"/>
        <v/>
      </c>
    </row>
    <row r="5750" spans="9:9" x14ac:dyDescent="0.25">
      <c r="I5750" s="42" t="str">
        <f t="shared" si="85"/>
        <v/>
      </c>
    </row>
    <row r="5751" spans="9:9" x14ac:dyDescent="0.25">
      <c r="I5751" s="42" t="str">
        <f t="shared" si="85"/>
        <v/>
      </c>
    </row>
    <row r="5752" spans="9:9" x14ac:dyDescent="0.25">
      <c r="I5752" s="42" t="str">
        <f t="shared" si="85"/>
        <v/>
      </c>
    </row>
    <row r="5753" spans="9:9" x14ac:dyDescent="0.25">
      <c r="I5753" s="42" t="str">
        <f t="shared" si="85"/>
        <v/>
      </c>
    </row>
    <row r="5754" spans="9:9" x14ac:dyDescent="0.25">
      <c r="I5754" s="42" t="str">
        <f t="shared" si="85"/>
        <v/>
      </c>
    </row>
    <row r="5755" spans="9:9" x14ac:dyDescent="0.25">
      <c r="I5755" s="42" t="str">
        <f t="shared" si="85"/>
        <v/>
      </c>
    </row>
    <row r="5756" spans="9:9" x14ac:dyDescent="0.25">
      <c r="I5756" s="42" t="str">
        <f t="shared" si="85"/>
        <v/>
      </c>
    </row>
    <row r="5757" spans="9:9" x14ac:dyDescent="0.25">
      <c r="I5757" s="42" t="str">
        <f t="shared" si="85"/>
        <v/>
      </c>
    </row>
    <row r="5758" spans="9:9" x14ac:dyDescent="0.25">
      <c r="I5758" s="42" t="str">
        <f t="shared" si="85"/>
        <v/>
      </c>
    </row>
    <row r="5759" spans="9:9" x14ac:dyDescent="0.25">
      <c r="I5759" s="42" t="str">
        <f t="shared" si="85"/>
        <v/>
      </c>
    </row>
    <row r="5760" spans="9:9" x14ac:dyDescent="0.25">
      <c r="I5760" s="42" t="str">
        <f t="shared" ref="I5760:I5823" si="86">IF(H5760&lt;&gt;"",H5760-H5759,"")</f>
        <v/>
      </c>
    </row>
    <row r="5761" spans="9:9" x14ac:dyDescent="0.25">
      <c r="I5761" s="42" t="str">
        <f t="shared" si="86"/>
        <v/>
      </c>
    </row>
    <row r="5762" spans="9:9" x14ac:dyDescent="0.25">
      <c r="I5762" s="42" t="str">
        <f t="shared" si="86"/>
        <v/>
      </c>
    </row>
    <row r="5763" spans="9:9" x14ac:dyDescent="0.25">
      <c r="I5763" s="42" t="str">
        <f t="shared" si="86"/>
        <v/>
      </c>
    </row>
    <row r="5764" spans="9:9" x14ac:dyDescent="0.25">
      <c r="I5764" s="42" t="str">
        <f t="shared" si="86"/>
        <v/>
      </c>
    </row>
    <row r="5765" spans="9:9" x14ac:dyDescent="0.25">
      <c r="I5765" s="42" t="str">
        <f t="shared" si="86"/>
        <v/>
      </c>
    </row>
    <row r="5766" spans="9:9" x14ac:dyDescent="0.25">
      <c r="I5766" s="42" t="str">
        <f t="shared" si="86"/>
        <v/>
      </c>
    </row>
    <row r="5767" spans="9:9" x14ac:dyDescent="0.25">
      <c r="I5767" s="42" t="str">
        <f t="shared" si="86"/>
        <v/>
      </c>
    </row>
    <row r="5768" spans="9:9" x14ac:dyDescent="0.25">
      <c r="I5768" s="42" t="str">
        <f t="shared" si="86"/>
        <v/>
      </c>
    </row>
    <row r="5769" spans="9:9" x14ac:dyDescent="0.25">
      <c r="I5769" s="42" t="str">
        <f t="shared" si="86"/>
        <v/>
      </c>
    </row>
    <row r="5770" spans="9:9" x14ac:dyDescent="0.25">
      <c r="I5770" s="42" t="str">
        <f t="shared" si="86"/>
        <v/>
      </c>
    </row>
    <row r="5771" spans="9:9" x14ac:dyDescent="0.25">
      <c r="I5771" s="42" t="str">
        <f t="shared" si="86"/>
        <v/>
      </c>
    </row>
    <row r="5772" spans="9:9" x14ac:dyDescent="0.25">
      <c r="I5772" s="42" t="str">
        <f t="shared" si="86"/>
        <v/>
      </c>
    </row>
    <row r="5773" spans="9:9" x14ac:dyDescent="0.25">
      <c r="I5773" s="42" t="str">
        <f t="shared" si="86"/>
        <v/>
      </c>
    </row>
    <row r="5774" spans="9:9" x14ac:dyDescent="0.25">
      <c r="I5774" s="42" t="str">
        <f t="shared" si="86"/>
        <v/>
      </c>
    </row>
    <row r="5775" spans="9:9" x14ac:dyDescent="0.25">
      <c r="I5775" s="42" t="str">
        <f t="shared" si="86"/>
        <v/>
      </c>
    </row>
    <row r="5776" spans="9:9" x14ac:dyDescent="0.25">
      <c r="I5776" s="42" t="str">
        <f t="shared" si="86"/>
        <v/>
      </c>
    </row>
    <row r="5777" spans="9:9" x14ac:dyDescent="0.25">
      <c r="I5777" s="42" t="str">
        <f t="shared" si="86"/>
        <v/>
      </c>
    </row>
    <row r="5778" spans="9:9" x14ac:dyDescent="0.25">
      <c r="I5778" s="42" t="str">
        <f t="shared" si="86"/>
        <v/>
      </c>
    </row>
    <row r="5779" spans="9:9" x14ac:dyDescent="0.25">
      <c r="I5779" s="42" t="str">
        <f t="shared" si="86"/>
        <v/>
      </c>
    </row>
    <row r="5780" spans="9:9" x14ac:dyDescent="0.25">
      <c r="I5780" s="42" t="str">
        <f t="shared" si="86"/>
        <v/>
      </c>
    </row>
    <row r="5781" spans="9:9" x14ac:dyDescent="0.25">
      <c r="I5781" s="42" t="str">
        <f t="shared" si="86"/>
        <v/>
      </c>
    </row>
    <row r="5782" spans="9:9" x14ac:dyDescent="0.25">
      <c r="I5782" s="42" t="str">
        <f t="shared" si="86"/>
        <v/>
      </c>
    </row>
    <row r="5783" spans="9:9" x14ac:dyDescent="0.25">
      <c r="I5783" s="42" t="str">
        <f t="shared" si="86"/>
        <v/>
      </c>
    </row>
    <row r="5784" spans="9:9" x14ac:dyDescent="0.25">
      <c r="I5784" s="42" t="str">
        <f t="shared" si="86"/>
        <v/>
      </c>
    </row>
    <row r="5785" spans="9:9" x14ac:dyDescent="0.25">
      <c r="I5785" s="42" t="str">
        <f t="shared" si="86"/>
        <v/>
      </c>
    </row>
    <row r="5786" spans="9:9" x14ac:dyDescent="0.25">
      <c r="I5786" s="42" t="str">
        <f t="shared" si="86"/>
        <v/>
      </c>
    </row>
    <row r="5787" spans="9:9" x14ac:dyDescent="0.25">
      <c r="I5787" s="42" t="str">
        <f t="shared" si="86"/>
        <v/>
      </c>
    </row>
    <row r="5788" spans="9:9" x14ac:dyDescent="0.25">
      <c r="I5788" s="42" t="str">
        <f t="shared" si="86"/>
        <v/>
      </c>
    </row>
    <row r="5789" spans="9:9" x14ac:dyDescent="0.25">
      <c r="I5789" s="42" t="str">
        <f t="shared" si="86"/>
        <v/>
      </c>
    </row>
    <row r="5790" spans="9:9" x14ac:dyDescent="0.25">
      <c r="I5790" s="42" t="str">
        <f t="shared" si="86"/>
        <v/>
      </c>
    </row>
    <row r="5791" spans="9:9" x14ac:dyDescent="0.25">
      <c r="I5791" s="42" t="str">
        <f t="shared" si="86"/>
        <v/>
      </c>
    </row>
    <row r="5792" spans="9:9" x14ac:dyDescent="0.25">
      <c r="I5792" s="42" t="str">
        <f t="shared" si="86"/>
        <v/>
      </c>
    </row>
    <row r="5793" spans="9:9" x14ac:dyDescent="0.25">
      <c r="I5793" s="42" t="str">
        <f t="shared" si="86"/>
        <v/>
      </c>
    </row>
    <row r="5794" spans="9:9" x14ac:dyDescent="0.25">
      <c r="I5794" s="42" t="str">
        <f t="shared" si="86"/>
        <v/>
      </c>
    </row>
    <row r="5795" spans="9:9" x14ac:dyDescent="0.25">
      <c r="I5795" s="42" t="str">
        <f t="shared" si="86"/>
        <v/>
      </c>
    </row>
    <row r="5796" spans="9:9" x14ac:dyDescent="0.25">
      <c r="I5796" s="42" t="str">
        <f t="shared" si="86"/>
        <v/>
      </c>
    </row>
    <row r="5797" spans="9:9" x14ac:dyDescent="0.25">
      <c r="I5797" s="42" t="str">
        <f t="shared" si="86"/>
        <v/>
      </c>
    </row>
    <row r="5798" spans="9:9" x14ac:dyDescent="0.25">
      <c r="I5798" s="42" t="str">
        <f t="shared" si="86"/>
        <v/>
      </c>
    </row>
    <row r="5799" spans="9:9" x14ac:dyDescent="0.25">
      <c r="I5799" s="42" t="str">
        <f t="shared" si="86"/>
        <v/>
      </c>
    </row>
    <row r="5800" spans="9:9" x14ac:dyDescent="0.25">
      <c r="I5800" s="42" t="str">
        <f t="shared" si="86"/>
        <v/>
      </c>
    </row>
    <row r="5801" spans="9:9" x14ac:dyDescent="0.25">
      <c r="I5801" s="42" t="str">
        <f t="shared" si="86"/>
        <v/>
      </c>
    </row>
    <row r="5802" spans="9:9" x14ac:dyDescent="0.25">
      <c r="I5802" s="42" t="str">
        <f t="shared" si="86"/>
        <v/>
      </c>
    </row>
    <row r="5803" spans="9:9" x14ac:dyDescent="0.25">
      <c r="I5803" s="42" t="str">
        <f t="shared" si="86"/>
        <v/>
      </c>
    </row>
    <row r="5804" spans="9:9" x14ac:dyDescent="0.25">
      <c r="I5804" s="42" t="str">
        <f t="shared" si="86"/>
        <v/>
      </c>
    </row>
    <row r="5805" spans="9:9" x14ac:dyDescent="0.25">
      <c r="I5805" s="42" t="str">
        <f t="shared" si="86"/>
        <v/>
      </c>
    </row>
    <row r="5806" spans="9:9" x14ac:dyDescent="0.25">
      <c r="I5806" s="42" t="str">
        <f t="shared" si="86"/>
        <v/>
      </c>
    </row>
    <row r="5807" spans="9:9" x14ac:dyDescent="0.25">
      <c r="I5807" s="42" t="str">
        <f t="shared" si="86"/>
        <v/>
      </c>
    </row>
    <row r="5808" spans="9:9" x14ac:dyDescent="0.25">
      <c r="I5808" s="42" t="str">
        <f t="shared" si="86"/>
        <v/>
      </c>
    </row>
    <row r="5809" spans="9:9" x14ac:dyDescent="0.25">
      <c r="I5809" s="42" t="str">
        <f t="shared" si="86"/>
        <v/>
      </c>
    </row>
    <row r="5810" spans="9:9" x14ac:dyDescent="0.25">
      <c r="I5810" s="42" t="str">
        <f t="shared" si="86"/>
        <v/>
      </c>
    </row>
    <row r="5811" spans="9:9" x14ac:dyDescent="0.25">
      <c r="I5811" s="42" t="str">
        <f t="shared" si="86"/>
        <v/>
      </c>
    </row>
    <row r="5812" spans="9:9" x14ac:dyDescent="0.25">
      <c r="I5812" s="42" t="str">
        <f t="shared" si="86"/>
        <v/>
      </c>
    </row>
    <row r="5813" spans="9:9" x14ac:dyDescent="0.25">
      <c r="I5813" s="42" t="str">
        <f t="shared" si="86"/>
        <v/>
      </c>
    </row>
    <row r="5814" spans="9:9" x14ac:dyDescent="0.25">
      <c r="I5814" s="42" t="str">
        <f t="shared" si="86"/>
        <v/>
      </c>
    </row>
    <row r="5815" spans="9:9" x14ac:dyDescent="0.25">
      <c r="I5815" s="42" t="str">
        <f t="shared" si="86"/>
        <v/>
      </c>
    </row>
    <row r="5816" spans="9:9" x14ac:dyDescent="0.25">
      <c r="I5816" s="42" t="str">
        <f t="shared" si="86"/>
        <v/>
      </c>
    </row>
    <row r="5817" spans="9:9" x14ac:dyDescent="0.25">
      <c r="I5817" s="42" t="str">
        <f t="shared" si="86"/>
        <v/>
      </c>
    </row>
    <row r="5818" spans="9:9" x14ac:dyDescent="0.25">
      <c r="I5818" s="42" t="str">
        <f t="shared" si="86"/>
        <v/>
      </c>
    </row>
    <row r="5819" spans="9:9" x14ac:dyDescent="0.25">
      <c r="I5819" s="42" t="str">
        <f t="shared" si="86"/>
        <v/>
      </c>
    </row>
    <row r="5820" spans="9:9" x14ac:dyDescent="0.25">
      <c r="I5820" s="42" t="str">
        <f t="shared" si="86"/>
        <v/>
      </c>
    </row>
    <row r="5821" spans="9:9" x14ac:dyDescent="0.25">
      <c r="I5821" s="42" t="str">
        <f t="shared" si="86"/>
        <v/>
      </c>
    </row>
    <row r="5822" spans="9:9" x14ac:dyDescent="0.25">
      <c r="I5822" s="42" t="str">
        <f t="shared" si="86"/>
        <v/>
      </c>
    </row>
    <row r="5823" spans="9:9" x14ac:dyDescent="0.25">
      <c r="I5823" s="42" t="str">
        <f t="shared" si="86"/>
        <v/>
      </c>
    </row>
    <row r="5824" spans="9:9" x14ac:dyDescent="0.25">
      <c r="I5824" s="42" t="str">
        <f t="shared" ref="I5824:I5887" si="87">IF(H5824&lt;&gt;"",H5824-H5823,"")</f>
        <v/>
      </c>
    </row>
    <row r="5825" spans="9:9" x14ac:dyDescent="0.25">
      <c r="I5825" s="42" t="str">
        <f t="shared" si="87"/>
        <v/>
      </c>
    </row>
    <row r="5826" spans="9:9" x14ac:dyDescent="0.25">
      <c r="I5826" s="42" t="str">
        <f t="shared" si="87"/>
        <v/>
      </c>
    </row>
    <row r="5827" spans="9:9" x14ac:dyDescent="0.25">
      <c r="I5827" s="42" t="str">
        <f t="shared" si="87"/>
        <v/>
      </c>
    </row>
    <row r="5828" spans="9:9" x14ac:dyDescent="0.25">
      <c r="I5828" s="42" t="str">
        <f t="shared" si="87"/>
        <v/>
      </c>
    </row>
    <row r="5829" spans="9:9" x14ac:dyDescent="0.25">
      <c r="I5829" s="42" t="str">
        <f t="shared" si="87"/>
        <v/>
      </c>
    </row>
    <row r="5830" spans="9:9" x14ac:dyDescent="0.25">
      <c r="I5830" s="42" t="str">
        <f t="shared" si="87"/>
        <v/>
      </c>
    </row>
    <row r="5831" spans="9:9" x14ac:dyDescent="0.25">
      <c r="I5831" s="42" t="str">
        <f t="shared" si="87"/>
        <v/>
      </c>
    </row>
    <row r="5832" spans="9:9" x14ac:dyDescent="0.25">
      <c r="I5832" s="42" t="str">
        <f t="shared" si="87"/>
        <v/>
      </c>
    </row>
    <row r="5833" spans="9:9" x14ac:dyDescent="0.25">
      <c r="I5833" s="42" t="str">
        <f t="shared" si="87"/>
        <v/>
      </c>
    </row>
    <row r="5834" spans="9:9" x14ac:dyDescent="0.25">
      <c r="I5834" s="42" t="str">
        <f t="shared" si="87"/>
        <v/>
      </c>
    </row>
    <row r="5835" spans="9:9" x14ac:dyDescent="0.25">
      <c r="I5835" s="42" t="str">
        <f t="shared" si="87"/>
        <v/>
      </c>
    </row>
    <row r="5836" spans="9:9" x14ac:dyDescent="0.25">
      <c r="I5836" s="42" t="str">
        <f t="shared" si="87"/>
        <v/>
      </c>
    </row>
    <row r="5837" spans="9:9" x14ac:dyDescent="0.25">
      <c r="I5837" s="42" t="str">
        <f t="shared" si="87"/>
        <v/>
      </c>
    </row>
    <row r="5838" spans="9:9" x14ac:dyDescent="0.25">
      <c r="I5838" s="42" t="str">
        <f t="shared" si="87"/>
        <v/>
      </c>
    </row>
    <row r="5839" spans="9:9" x14ac:dyDescent="0.25">
      <c r="I5839" s="42" t="str">
        <f t="shared" si="87"/>
        <v/>
      </c>
    </row>
    <row r="5840" spans="9:9" x14ac:dyDescent="0.25">
      <c r="I5840" s="42" t="str">
        <f t="shared" si="87"/>
        <v/>
      </c>
    </row>
    <row r="5841" spans="9:9" x14ac:dyDescent="0.25">
      <c r="I5841" s="42" t="str">
        <f t="shared" si="87"/>
        <v/>
      </c>
    </row>
    <row r="5842" spans="9:9" x14ac:dyDescent="0.25">
      <c r="I5842" s="42" t="str">
        <f t="shared" si="87"/>
        <v/>
      </c>
    </row>
    <row r="5843" spans="9:9" x14ac:dyDescent="0.25">
      <c r="I5843" s="42" t="str">
        <f t="shared" si="87"/>
        <v/>
      </c>
    </row>
    <row r="5844" spans="9:9" x14ac:dyDescent="0.25">
      <c r="I5844" s="42" t="str">
        <f t="shared" si="87"/>
        <v/>
      </c>
    </row>
    <row r="5845" spans="9:9" x14ac:dyDescent="0.25">
      <c r="I5845" s="42" t="str">
        <f t="shared" si="87"/>
        <v/>
      </c>
    </row>
    <row r="5846" spans="9:9" x14ac:dyDescent="0.25">
      <c r="I5846" s="42" t="str">
        <f t="shared" si="87"/>
        <v/>
      </c>
    </row>
    <row r="5847" spans="9:9" x14ac:dyDescent="0.25">
      <c r="I5847" s="42" t="str">
        <f t="shared" si="87"/>
        <v/>
      </c>
    </row>
    <row r="5848" spans="9:9" x14ac:dyDescent="0.25">
      <c r="I5848" s="42" t="str">
        <f t="shared" si="87"/>
        <v/>
      </c>
    </row>
    <row r="5849" spans="9:9" x14ac:dyDescent="0.25">
      <c r="I5849" s="42" t="str">
        <f t="shared" si="87"/>
        <v/>
      </c>
    </row>
    <row r="5850" spans="9:9" x14ac:dyDescent="0.25">
      <c r="I5850" s="42" t="str">
        <f t="shared" si="87"/>
        <v/>
      </c>
    </row>
    <row r="5851" spans="9:9" x14ac:dyDescent="0.25">
      <c r="I5851" s="42" t="str">
        <f t="shared" si="87"/>
        <v/>
      </c>
    </row>
    <row r="5852" spans="9:9" x14ac:dyDescent="0.25">
      <c r="I5852" s="42" t="str">
        <f t="shared" si="87"/>
        <v/>
      </c>
    </row>
    <row r="5853" spans="9:9" x14ac:dyDescent="0.25">
      <c r="I5853" s="42" t="str">
        <f t="shared" si="87"/>
        <v/>
      </c>
    </row>
    <row r="5854" spans="9:9" x14ac:dyDescent="0.25">
      <c r="I5854" s="42" t="str">
        <f t="shared" si="87"/>
        <v/>
      </c>
    </row>
    <row r="5855" spans="9:9" x14ac:dyDescent="0.25">
      <c r="I5855" s="42" t="str">
        <f t="shared" si="87"/>
        <v/>
      </c>
    </row>
    <row r="5856" spans="9:9" x14ac:dyDescent="0.25">
      <c r="I5856" s="42" t="str">
        <f t="shared" si="87"/>
        <v/>
      </c>
    </row>
    <row r="5857" spans="9:9" x14ac:dyDescent="0.25">
      <c r="I5857" s="42" t="str">
        <f t="shared" si="87"/>
        <v/>
      </c>
    </row>
    <row r="5858" spans="9:9" x14ac:dyDescent="0.25">
      <c r="I5858" s="42" t="str">
        <f t="shared" si="87"/>
        <v/>
      </c>
    </row>
    <row r="5859" spans="9:9" x14ac:dyDescent="0.25">
      <c r="I5859" s="42" t="str">
        <f t="shared" si="87"/>
        <v/>
      </c>
    </row>
    <row r="5860" spans="9:9" x14ac:dyDescent="0.25">
      <c r="I5860" s="42" t="str">
        <f t="shared" si="87"/>
        <v/>
      </c>
    </row>
    <row r="5861" spans="9:9" x14ac:dyDescent="0.25">
      <c r="I5861" s="42" t="str">
        <f t="shared" si="87"/>
        <v/>
      </c>
    </row>
    <row r="5862" spans="9:9" x14ac:dyDescent="0.25">
      <c r="I5862" s="42" t="str">
        <f t="shared" si="87"/>
        <v/>
      </c>
    </row>
    <row r="5863" spans="9:9" x14ac:dyDescent="0.25">
      <c r="I5863" s="42" t="str">
        <f t="shared" si="87"/>
        <v/>
      </c>
    </row>
    <row r="5864" spans="9:9" x14ac:dyDescent="0.25">
      <c r="I5864" s="42" t="str">
        <f t="shared" si="87"/>
        <v/>
      </c>
    </row>
    <row r="5865" spans="9:9" x14ac:dyDescent="0.25">
      <c r="I5865" s="42" t="str">
        <f t="shared" si="87"/>
        <v/>
      </c>
    </row>
    <row r="5866" spans="9:9" x14ac:dyDescent="0.25">
      <c r="I5866" s="42" t="str">
        <f t="shared" si="87"/>
        <v/>
      </c>
    </row>
    <row r="5867" spans="9:9" x14ac:dyDescent="0.25">
      <c r="I5867" s="42" t="str">
        <f t="shared" si="87"/>
        <v/>
      </c>
    </row>
    <row r="5868" spans="9:9" x14ac:dyDescent="0.25">
      <c r="I5868" s="42" t="str">
        <f t="shared" si="87"/>
        <v/>
      </c>
    </row>
    <row r="5869" spans="9:9" x14ac:dyDescent="0.25">
      <c r="I5869" s="42" t="str">
        <f t="shared" si="87"/>
        <v/>
      </c>
    </row>
    <row r="5870" spans="9:9" x14ac:dyDescent="0.25">
      <c r="I5870" s="42" t="str">
        <f t="shared" si="87"/>
        <v/>
      </c>
    </row>
    <row r="5871" spans="9:9" x14ac:dyDescent="0.25">
      <c r="I5871" s="42" t="str">
        <f t="shared" si="87"/>
        <v/>
      </c>
    </row>
    <row r="5872" spans="9:9" x14ac:dyDescent="0.25">
      <c r="I5872" s="42" t="str">
        <f t="shared" si="87"/>
        <v/>
      </c>
    </row>
    <row r="5873" spans="9:9" x14ac:dyDescent="0.25">
      <c r="I5873" s="42" t="str">
        <f t="shared" si="87"/>
        <v/>
      </c>
    </row>
    <row r="5874" spans="9:9" x14ac:dyDescent="0.25">
      <c r="I5874" s="42" t="str">
        <f t="shared" si="87"/>
        <v/>
      </c>
    </row>
    <row r="5875" spans="9:9" x14ac:dyDescent="0.25">
      <c r="I5875" s="42" t="str">
        <f t="shared" si="87"/>
        <v/>
      </c>
    </row>
    <row r="5876" spans="9:9" x14ac:dyDescent="0.25">
      <c r="I5876" s="42" t="str">
        <f t="shared" si="87"/>
        <v/>
      </c>
    </row>
    <row r="5877" spans="9:9" x14ac:dyDescent="0.25">
      <c r="I5877" s="42" t="str">
        <f t="shared" si="87"/>
        <v/>
      </c>
    </row>
    <row r="5878" spans="9:9" x14ac:dyDescent="0.25">
      <c r="I5878" s="42" t="str">
        <f t="shared" si="87"/>
        <v/>
      </c>
    </row>
    <row r="5879" spans="9:9" x14ac:dyDescent="0.25">
      <c r="I5879" s="42" t="str">
        <f t="shared" si="87"/>
        <v/>
      </c>
    </row>
    <row r="5880" spans="9:9" x14ac:dyDescent="0.25">
      <c r="I5880" s="42" t="str">
        <f t="shared" si="87"/>
        <v/>
      </c>
    </row>
    <row r="5881" spans="9:9" x14ac:dyDescent="0.25">
      <c r="I5881" s="42" t="str">
        <f t="shared" si="87"/>
        <v/>
      </c>
    </row>
    <row r="5882" spans="9:9" x14ac:dyDescent="0.25">
      <c r="I5882" s="42" t="str">
        <f t="shared" si="87"/>
        <v/>
      </c>
    </row>
    <row r="5883" spans="9:9" x14ac:dyDescent="0.25">
      <c r="I5883" s="42" t="str">
        <f t="shared" si="87"/>
        <v/>
      </c>
    </row>
    <row r="5884" spans="9:9" x14ac:dyDescent="0.25">
      <c r="I5884" s="42" t="str">
        <f t="shared" si="87"/>
        <v/>
      </c>
    </row>
    <row r="5885" spans="9:9" x14ac:dyDescent="0.25">
      <c r="I5885" s="42" t="str">
        <f t="shared" si="87"/>
        <v/>
      </c>
    </row>
    <row r="5886" spans="9:9" x14ac:dyDescent="0.25">
      <c r="I5886" s="42" t="str">
        <f t="shared" si="87"/>
        <v/>
      </c>
    </row>
    <row r="5887" spans="9:9" x14ac:dyDescent="0.25">
      <c r="I5887" s="42" t="str">
        <f t="shared" si="87"/>
        <v/>
      </c>
    </row>
    <row r="5888" spans="9:9" x14ac:dyDescent="0.25">
      <c r="I5888" s="42" t="str">
        <f t="shared" ref="I5888:I5951" si="88">IF(H5888&lt;&gt;"",H5888-H5887,"")</f>
        <v/>
      </c>
    </row>
    <row r="5889" spans="9:9" x14ac:dyDescent="0.25">
      <c r="I5889" s="42" t="str">
        <f t="shared" si="88"/>
        <v/>
      </c>
    </row>
    <row r="5890" spans="9:9" x14ac:dyDescent="0.25">
      <c r="I5890" s="42" t="str">
        <f t="shared" si="88"/>
        <v/>
      </c>
    </row>
    <row r="5891" spans="9:9" x14ac:dyDescent="0.25">
      <c r="I5891" s="42" t="str">
        <f t="shared" si="88"/>
        <v/>
      </c>
    </row>
    <row r="5892" spans="9:9" x14ac:dyDescent="0.25">
      <c r="I5892" s="42" t="str">
        <f t="shared" si="88"/>
        <v/>
      </c>
    </row>
    <row r="5893" spans="9:9" x14ac:dyDescent="0.25">
      <c r="I5893" s="42" t="str">
        <f t="shared" si="88"/>
        <v/>
      </c>
    </row>
    <row r="5894" spans="9:9" x14ac:dyDescent="0.25">
      <c r="I5894" s="42" t="str">
        <f t="shared" si="88"/>
        <v/>
      </c>
    </row>
    <row r="5895" spans="9:9" x14ac:dyDescent="0.25">
      <c r="I5895" s="42" t="str">
        <f t="shared" si="88"/>
        <v/>
      </c>
    </row>
    <row r="5896" spans="9:9" x14ac:dyDescent="0.25">
      <c r="I5896" s="42" t="str">
        <f t="shared" si="88"/>
        <v/>
      </c>
    </row>
    <row r="5897" spans="9:9" x14ac:dyDescent="0.25">
      <c r="I5897" s="42" t="str">
        <f t="shared" si="88"/>
        <v/>
      </c>
    </row>
    <row r="5898" spans="9:9" x14ac:dyDescent="0.25">
      <c r="I5898" s="42" t="str">
        <f t="shared" si="88"/>
        <v/>
      </c>
    </row>
    <row r="5899" spans="9:9" x14ac:dyDescent="0.25">
      <c r="I5899" s="42" t="str">
        <f t="shared" si="88"/>
        <v/>
      </c>
    </row>
    <row r="5900" spans="9:9" x14ac:dyDescent="0.25">
      <c r="I5900" s="42" t="str">
        <f t="shared" si="88"/>
        <v/>
      </c>
    </row>
    <row r="5901" spans="9:9" x14ac:dyDescent="0.25">
      <c r="I5901" s="42" t="str">
        <f t="shared" si="88"/>
        <v/>
      </c>
    </row>
    <row r="5902" spans="9:9" x14ac:dyDescent="0.25">
      <c r="I5902" s="42" t="str">
        <f t="shared" si="88"/>
        <v/>
      </c>
    </row>
    <row r="5903" spans="9:9" x14ac:dyDescent="0.25">
      <c r="I5903" s="42" t="str">
        <f t="shared" si="88"/>
        <v/>
      </c>
    </row>
    <row r="5904" spans="9:9" x14ac:dyDescent="0.25">
      <c r="I5904" s="42" t="str">
        <f t="shared" si="88"/>
        <v/>
      </c>
    </row>
    <row r="5905" spans="9:9" x14ac:dyDescent="0.25">
      <c r="I5905" s="42" t="str">
        <f t="shared" si="88"/>
        <v/>
      </c>
    </row>
    <row r="5906" spans="9:9" x14ac:dyDescent="0.25">
      <c r="I5906" s="42" t="str">
        <f t="shared" si="88"/>
        <v/>
      </c>
    </row>
    <row r="5907" spans="9:9" x14ac:dyDescent="0.25">
      <c r="I5907" s="42" t="str">
        <f t="shared" si="88"/>
        <v/>
      </c>
    </row>
    <row r="5908" spans="9:9" x14ac:dyDescent="0.25">
      <c r="I5908" s="42" t="str">
        <f t="shared" si="88"/>
        <v/>
      </c>
    </row>
    <row r="5909" spans="9:9" x14ac:dyDescent="0.25">
      <c r="I5909" s="42" t="str">
        <f t="shared" si="88"/>
        <v/>
      </c>
    </row>
    <row r="5910" spans="9:9" x14ac:dyDescent="0.25">
      <c r="I5910" s="42" t="str">
        <f t="shared" si="88"/>
        <v/>
      </c>
    </row>
    <row r="5911" spans="9:9" x14ac:dyDescent="0.25">
      <c r="I5911" s="42" t="str">
        <f t="shared" si="88"/>
        <v/>
      </c>
    </row>
    <row r="5912" spans="9:9" x14ac:dyDescent="0.25">
      <c r="I5912" s="42" t="str">
        <f t="shared" si="88"/>
        <v/>
      </c>
    </row>
    <row r="5913" spans="9:9" x14ac:dyDescent="0.25">
      <c r="I5913" s="42" t="str">
        <f t="shared" si="88"/>
        <v/>
      </c>
    </row>
    <row r="5914" spans="9:9" x14ac:dyDescent="0.25">
      <c r="I5914" s="42" t="str">
        <f t="shared" si="88"/>
        <v/>
      </c>
    </row>
    <row r="5915" spans="9:9" x14ac:dyDescent="0.25">
      <c r="I5915" s="42" t="str">
        <f t="shared" si="88"/>
        <v/>
      </c>
    </row>
    <row r="5916" spans="9:9" x14ac:dyDescent="0.25">
      <c r="I5916" s="42" t="str">
        <f t="shared" si="88"/>
        <v/>
      </c>
    </row>
    <row r="5917" spans="9:9" x14ac:dyDescent="0.25">
      <c r="I5917" s="42" t="str">
        <f t="shared" si="88"/>
        <v/>
      </c>
    </row>
    <row r="5918" spans="9:9" x14ac:dyDescent="0.25">
      <c r="I5918" s="42" t="str">
        <f t="shared" si="88"/>
        <v/>
      </c>
    </row>
    <row r="5919" spans="9:9" x14ac:dyDescent="0.25">
      <c r="I5919" s="42" t="str">
        <f t="shared" si="88"/>
        <v/>
      </c>
    </row>
    <row r="5920" spans="9:9" x14ac:dyDescent="0.25">
      <c r="I5920" s="42" t="str">
        <f t="shared" si="88"/>
        <v/>
      </c>
    </row>
    <row r="5921" spans="9:9" x14ac:dyDescent="0.25">
      <c r="I5921" s="42" t="str">
        <f t="shared" si="88"/>
        <v/>
      </c>
    </row>
    <row r="5922" spans="9:9" x14ac:dyDescent="0.25">
      <c r="I5922" s="42" t="str">
        <f t="shared" si="88"/>
        <v/>
      </c>
    </row>
    <row r="5923" spans="9:9" x14ac:dyDescent="0.25">
      <c r="I5923" s="42" t="str">
        <f t="shared" si="88"/>
        <v/>
      </c>
    </row>
    <row r="5924" spans="9:9" x14ac:dyDescent="0.25">
      <c r="I5924" s="42" t="str">
        <f t="shared" si="88"/>
        <v/>
      </c>
    </row>
    <row r="5925" spans="9:9" x14ac:dyDescent="0.25">
      <c r="I5925" s="42" t="str">
        <f t="shared" si="88"/>
        <v/>
      </c>
    </row>
    <row r="5926" spans="9:9" x14ac:dyDescent="0.25">
      <c r="I5926" s="42" t="str">
        <f t="shared" si="88"/>
        <v/>
      </c>
    </row>
    <row r="5927" spans="9:9" x14ac:dyDescent="0.25">
      <c r="I5927" s="42" t="str">
        <f t="shared" si="88"/>
        <v/>
      </c>
    </row>
    <row r="5928" spans="9:9" x14ac:dyDescent="0.25">
      <c r="I5928" s="42" t="str">
        <f t="shared" si="88"/>
        <v/>
      </c>
    </row>
    <row r="5929" spans="9:9" x14ac:dyDescent="0.25">
      <c r="I5929" s="42" t="str">
        <f t="shared" si="88"/>
        <v/>
      </c>
    </row>
    <row r="5930" spans="9:9" x14ac:dyDescent="0.25">
      <c r="I5930" s="42" t="str">
        <f t="shared" si="88"/>
        <v/>
      </c>
    </row>
    <row r="5931" spans="9:9" x14ac:dyDescent="0.25">
      <c r="I5931" s="42" t="str">
        <f t="shared" si="88"/>
        <v/>
      </c>
    </row>
    <row r="5932" spans="9:9" x14ac:dyDescent="0.25">
      <c r="I5932" s="42" t="str">
        <f t="shared" si="88"/>
        <v/>
      </c>
    </row>
    <row r="5933" spans="9:9" x14ac:dyDescent="0.25">
      <c r="I5933" s="42" t="str">
        <f t="shared" si="88"/>
        <v/>
      </c>
    </row>
    <row r="5934" spans="9:9" x14ac:dyDescent="0.25">
      <c r="I5934" s="42" t="str">
        <f t="shared" si="88"/>
        <v/>
      </c>
    </row>
    <row r="5935" spans="9:9" x14ac:dyDescent="0.25">
      <c r="I5935" s="42" t="str">
        <f t="shared" si="88"/>
        <v/>
      </c>
    </row>
    <row r="5936" spans="9:9" x14ac:dyDescent="0.25">
      <c r="I5936" s="42" t="str">
        <f t="shared" si="88"/>
        <v/>
      </c>
    </row>
    <row r="5937" spans="9:9" x14ac:dyDescent="0.25">
      <c r="I5937" s="42" t="str">
        <f t="shared" si="88"/>
        <v/>
      </c>
    </row>
    <row r="5938" spans="9:9" x14ac:dyDescent="0.25">
      <c r="I5938" s="42" t="str">
        <f t="shared" si="88"/>
        <v/>
      </c>
    </row>
    <row r="5939" spans="9:9" x14ac:dyDescent="0.25">
      <c r="I5939" s="42" t="str">
        <f t="shared" si="88"/>
        <v/>
      </c>
    </row>
    <row r="5940" spans="9:9" x14ac:dyDescent="0.25">
      <c r="I5940" s="42" t="str">
        <f t="shared" si="88"/>
        <v/>
      </c>
    </row>
    <row r="5941" spans="9:9" x14ac:dyDescent="0.25">
      <c r="I5941" s="42" t="str">
        <f t="shared" si="88"/>
        <v/>
      </c>
    </row>
    <row r="5942" spans="9:9" x14ac:dyDescent="0.25">
      <c r="I5942" s="42" t="str">
        <f t="shared" si="88"/>
        <v/>
      </c>
    </row>
    <row r="5943" spans="9:9" x14ac:dyDescent="0.25">
      <c r="I5943" s="42" t="str">
        <f t="shared" si="88"/>
        <v/>
      </c>
    </row>
    <row r="5944" spans="9:9" x14ac:dyDescent="0.25">
      <c r="I5944" s="42" t="str">
        <f t="shared" si="88"/>
        <v/>
      </c>
    </row>
    <row r="5945" spans="9:9" x14ac:dyDescent="0.25">
      <c r="I5945" s="42" t="str">
        <f t="shared" si="88"/>
        <v/>
      </c>
    </row>
    <row r="5946" spans="9:9" x14ac:dyDescent="0.25">
      <c r="I5946" s="42" t="str">
        <f t="shared" si="88"/>
        <v/>
      </c>
    </row>
    <row r="5947" spans="9:9" x14ac:dyDescent="0.25">
      <c r="I5947" s="42" t="str">
        <f t="shared" si="88"/>
        <v/>
      </c>
    </row>
    <row r="5948" spans="9:9" x14ac:dyDescent="0.25">
      <c r="I5948" s="42" t="str">
        <f t="shared" si="88"/>
        <v/>
      </c>
    </row>
    <row r="5949" spans="9:9" x14ac:dyDescent="0.25">
      <c r="I5949" s="42" t="str">
        <f t="shared" si="88"/>
        <v/>
      </c>
    </row>
    <row r="5950" spans="9:9" x14ac:dyDescent="0.25">
      <c r="I5950" s="42" t="str">
        <f t="shared" si="88"/>
        <v/>
      </c>
    </row>
    <row r="5951" spans="9:9" x14ac:dyDescent="0.25">
      <c r="I5951" s="42" t="str">
        <f t="shared" si="88"/>
        <v/>
      </c>
    </row>
    <row r="5952" spans="9:9" x14ac:dyDescent="0.25">
      <c r="I5952" s="42" t="str">
        <f t="shared" ref="I5952:I6015" si="89">IF(H5952&lt;&gt;"",H5952-H5951,"")</f>
        <v/>
      </c>
    </row>
    <row r="5953" spans="9:9" x14ac:dyDescent="0.25">
      <c r="I5953" s="42" t="str">
        <f t="shared" si="89"/>
        <v/>
      </c>
    </row>
    <row r="5954" spans="9:9" x14ac:dyDescent="0.25">
      <c r="I5954" s="42" t="str">
        <f t="shared" si="89"/>
        <v/>
      </c>
    </row>
    <row r="5955" spans="9:9" x14ac:dyDescent="0.25">
      <c r="I5955" s="42" t="str">
        <f t="shared" si="89"/>
        <v/>
      </c>
    </row>
    <row r="5956" spans="9:9" x14ac:dyDescent="0.25">
      <c r="I5956" s="42" t="str">
        <f t="shared" si="89"/>
        <v/>
      </c>
    </row>
    <row r="5957" spans="9:9" x14ac:dyDescent="0.25">
      <c r="I5957" s="42" t="str">
        <f t="shared" si="89"/>
        <v/>
      </c>
    </row>
    <row r="5958" spans="9:9" x14ac:dyDescent="0.25">
      <c r="I5958" s="42" t="str">
        <f t="shared" si="89"/>
        <v/>
      </c>
    </row>
    <row r="5959" spans="9:9" x14ac:dyDescent="0.25">
      <c r="I5959" s="42" t="str">
        <f t="shared" si="89"/>
        <v/>
      </c>
    </row>
    <row r="5960" spans="9:9" x14ac:dyDescent="0.25">
      <c r="I5960" s="42" t="str">
        <f t="shared" si="89"/>
        <v/>
      </c>
    </row>
    <row r="5961" spans="9:9" x14ac:dyDescent="0.25">
      <c r="I5961" s="42" t="str">
        <f t="shared" si="89"/>
        <v/>
      </c>
    </row>
    <row r="5962" spans="9:9" x14ac:dyDescent="0.25">
      <c r="I5962" s="42" t="str">
        <f t="shared" si="89"/>
        <v/>
      </c>
    </row>
    <row r="5963" spans="9:9" x14ac:dyDescent="0.25">
      <c r="I5963" s="42" t="str">
        <f t="shared" si="89"/>
        <v/>
      </c>
    </row>
    <row r="5964" spans="9:9" x14ac:dyDescent="0.25">
      <c r="I5964" s="42" t="str">
        <f t="shared" si="89"/>
        <v/>
      </c>
    </row>
    <row r="5965" spans="9:9" x14ac:dyDescent="0.25">
      <c r="I5965" s="42" t="str">
        <f t="shared" si="89"/>
        <v/>
      </c>
    </row>
    <row r="5966" spans="9:9" x14ac:dyDescent="0.25">
      <c r="I5966" s="42" t="str">
        <f t="shared" si="89"/>
        <v/>
      </c>
    </row>
    <row r="5967" spans="9:9" x14ac:dyDescent="0.25">
      <c r="I5967" s="42" t="str">
        <f t="shared" si="89"/>
        <v/>
      </c>
    </row>
    <row r="5968" spans="9:9" x14ac:dyDescent="0.25">
      <c r="I5968" s="42" t="str">
        <f t="shared" si="89"/>
        <v/>
      </c>
    </row>
    <row r="5969" spans="9:9" x14ac:dyDescent="0.25">
      <c r="I5969" s="42" t="str">
        <f t="shared" si="89"/>
        <v/>
      </c>
    </row>
    <row r="5970" spans="9:9" x14ac:dyDescent="0.25">
      <c r="I5970" s="42" t="str">
        <f t="shared" si="89"/>
        <v/>
      </c>
    </row>
    <row r="5971" spans="9:9" x14ac:dyDescent="0.25">
      <c r="I5971" s="42" t="str">
        <f t="shared" si="89"/>
        <v/>
      </c>
    </row>
    <row r="5972" spans="9:9" x14ac:dyDescent="0.25">
      <c r="I5972" s="42" t="str">
        <f t="shared" si="89"/>
        <v/>
      </c>
    </row>
    <row r="5973" spans="9:9" x14ac:dyDescent="0.25">
      <c r="I5973" s="42" t="str">
        <f t="shared" si="89"/>
        <v/>
      </c>
    </row>
    <row r="5974" spans="9:9" x14ac:dyDescent="0.25">
      <c r="I5974" s="42" t="str">
        <f t="shared" si="89"/>
        <v/>
      </c>
    </row>
    <row r="5975" spans="9:9" x14ac:dyDescent="0.25">
      <c r="I5975" s="42" t="str">
        <f t="shared" si="89"/>
        <v/>
      </c>
    </row>
    <row r="5976" spans="9:9" x14ac:dyDescent="0.25">
      <c r="I5976" s="42" t="str">
        <f t="shared" si="89"/>
        <v/>
      </c>
    </row>
    <row r="5977" spans="9:9" x14ac:dyDescent="0.25">
      <c r="I5977" s="42" t="str">
        <f t="shared" si="89"/>
        <v/>
      </c>
    </row>
    <row r="5978" spans="9:9" x14ac:dyDescent="0.25">
      <c r="I5978" s="42" t="str">
        <f t="shared" si="89"/>
        <v/>
      </c>
    </row>
    <row r="5979" spans="9:9" x14ac:dyDescent="0.25">
      <c r="I5979" s="42" t="str">
        <f t="shared" si="89"/>
        <v/>
      </c>
    </row>
    <row r="5980" spans="9:9" x14ac:dyDescent="0.25">
      <c r="I5980" s="42" t="str">
        <f t="shared" si="89"/>
        <v/>
      </c>
    </row>
    <row r="5981" spans="9:9" x14ac:dyDescent="0.25">
      <c r="I5981" s="42" t="str">
        <f t="shared" si="89"/>
        <v/>
      </c>
    </row>
    <row r="5982" spans="9:9" x14ac:dyDescent="0.25">
      <c r="I5982" s="42" t="str">
        <f t="shared" si="89"/>
        <v/>
      </c>
    </row>
    <row r="5983" spans="9:9" x14ac:dyDescent="0.25">
      <c r="I5983" s="42" t="str">
        <f t="shared" si="89"/>
        <v/>
      </c>
    </row>
    <row r="5984" spans="9:9" x14ac:dyDescent="0.25">
      <c r="I5984" s="42" t="str">
        <f t="shared" si="89"/>
        <v/>
      </c>
    </row>
    <row r="5985" spans="9:9" x14ac:dyDescent="0.25">
      <c r="I5985" s="42" t="str">
        <f t="shared" si="89"/>
        <v/>
      </c>
    </row>
    <row r="5986" spans="9:9" x14ac:dyDescent="0.25">
      <c r="I5986" s="42" t="str">
        <f t="shared" si="89"/>
        <v/>
      </c>
    </row>
    <row r="5987" spans="9:9" x14ac:dyDescent="0.25">
      <c r="I5987" s="42" t="str">
        <f t="shared" si="89"/>
        <v/>
      </c>
    </row>
    <row r="5988" spans="9:9" x14ac:dyDescent="0.25">
      <c r="I5988" s="42" t="str">
        <f t="shared" si="89"/>
        <v/>
      </c>
    </row>
    <row r="5989" spans="9:9" x14ac:dyDescent="0.25">
      <c r="I5989" s="42" t="str">
        <f t="shared" si="89"/>
        <v/>
      </c>
    </row>
    <row r="5990" spans="9:9" x14ac:dyDescent="0.25">
      <c r="I5990" s="42" t="str">
        <f t="shared" si="89"/>
        <v/>
      </c>
    </row>
    <row r="5991" spans="9:9" x14ac:dyDescent="0.25">
      <c r="I5991" s="42" t="str">
        <f t="shared" si="89"/>
        <v/>
      </c>
    </row>
    <row r="5992" spans="9:9" x14ac:dyDescent="0.25">
      <c r="I5992" s="42" t="str">
        <f t="shared" si="89"/>
        <v/>
      </c>
    </row>
    <row r="5993" spans="9:9" x14ac:dyDescent="0.25">
      <c r="I5993" s="42" t="str">
        <f t="shared" si="89"/>
        <v/>
      </c>
    </row>
    <row r="5994" spans="9:9" x14ac:dyDescent="0.25">
      <c r="I5994" s="42" t="str">
        <f t="shared" si="89"/>
        <v/>
      </c>
    </row>
    <row r="5995" spans="9:9" x14ac:dyDescent="0.25">
      <c r="I5995" s="42" t="str">
        <f t="shared" si="89"/>
        <v/>
      </c>
    </row>
    <row r="5996" spans="9:9" x14ac:dyDescent="0.25">
      <c r="I5996" s="42" t="str">
        <f t="shared" si="89"/>
        <v/>
      </c>
    </row>
    <row r="5997" spans="9:9" x14ac:dyDescent="0.25">
      <c r="I5997" s="42" t="str">
        <f t="shared" si="89"/>
        <v/>
      </c>
    </row>
    <row r="5998" spans="9:9" x14ac:dyDescent="0.25">
      <c r="I5998" s="42" t="str">
        <f t="shared" si="89"/>
        <v/>
      </c>
    </row>
    <row r="5999" spans="9:9" x14ac:dyDescent="0.25">
      <c r="I5999" s="42" t="str">
        <f t="shared" si="89"/>
        <v/>
      </c>
    </row>
    <row r="6000" spans="9:9" x14ac:dyDescent="0.25">
      <c r="I6000" s="42" t="str">
        <f t="shared" si="89"/>
        <v/>
      </c>
    </row>
    <row r="6001" spans="9:9" x14ac:dyDescent="0.25">
      <c r="I6001" s="42" t="str">
        <f t="shared" si="89"/>
        <v/>
      </c>
    </row>
    <row r="6002" spans="9:9" x14ac:dyDescent="0.25">
      <c r="I6002" s="42" t="str">
        <f t="shared" si="89"/>
        <v/>
      </c>
    </row>
    <row r="6003" spans="9:9" x14ac:dyDescent="0.25">
      <c r="I6003" s="42" t="str">
        <f t="shared" si="89"/>
        <v/>
      </c>
    </row>
    <row r="6004" spans="9:9" x14ac:dyDescent="0.25">
      <c r="I6004" s="42" t="str">
        <f t="shared" si="89"/>
        <v/>
      </c>
    </row>
    <row r="6005" spans="9:9" x14ac:dyDescent="0.25">
      <c r="I6005" s="42" t="str">
        <f t="shared" si="89"/>
        <v/>
      </c>
    </row>
    <row r="6006" spans="9:9" x14ac:dyDescent="0.25">
      <c r="I6006" s="42" t="str">
        <f t="shared" si="89"/>
        <v/>
      </c>
    </row>
    <row r="6007" spans="9:9" x14ac:dyDescent="0.25">
      <c r="I6007" s="42" t="str">
        <f t="shared" si="89"/>
        <v/>
      </c>
    </row>
    <row r="6008" spans="9:9" x14ac:dyDescent="0.25">
      <c r="I6008" s="42" t="str">
        <f t="shared" si="89"/>
        <v/>
      </c>
    </row>
    <row r="6009" spans="9:9" x14ac:dyDescent="0.25">
      <c r="I6009" s="42" t="str">
        <f t="shared" si="89"/>
        <v/>
      </c>
    </row>
    <row r="6010" spans="9:9" x14ac:dyDescent="0.25">
      <c r="I6010" s="42" t="str">
        <f t="shared" si="89"/>
        <v/>
      </c>
    </row>
    <row r="6011" spans="9:9" x14ac:dyDescent="0.25">
      <c r="I6011" s="42" t="str">
        <f t="shared" si="89"/>
        <v/>
      </c>
    </row>
    <row r="6012" spans="9:9" x14ac:dyDescent="0.25">
      <c r="I6012" s="42" t="str">
        <f t="shared" si="89"/>
        <v/>
      </c>
    </row>
    <row r="6013" spans="9:9" x14ac:dyDescent="0.25">
      <c r="I6013" s="42" t="str">
        <f t="shared" si="89"/>
        <v/>
      </c>
    </row>
    <row r="6014" spans="9:9" x14ac:dyDescent="0.25">
      <c r="I6014" s="42" t="str">
        <f t="shared" si="89"/>
        <v/>
      </c>
    </row>
    <row r="6015" spans="9:9" x14ac:dyDescent="0.25">
      <c r="I6015" s="42" t="str">
        <f t="shared" si="89"/>
        <v/>
      </c>
    </row>
    <row r="6016" spans="9:9" x14ac:dyDescent="0.25">
      <c r="I6016" s="42" t="str">
        <f t="shared" ref="I6016:I6079" si="90">IF(H6016&lt;&gt;"",H6016-H6015,"")</f>
        <v/>
      </c>
    </row>
    <row r="6017" spans="9:9" x14ac:dyDescent="0.25">
      <c r="I6017" s="42" t="str">
        <f t="shared" si="90"/>
        <v/>
      </c>
    </row>
    <row r="6018" spans="9:9" x14ac:dyDescent="0.25">
      <c r="I6018" s="42" t="str">
        <f t="shared" si="90"/>
        <v/>
      </c>
    </row>
    <row r="6019" spans="9:9" x14ac:dyDescent="0.25">
      <c r="I6019" s="42" t="str">
        <f t="shared" si="90"/>
        <v/>
      </c>
    </row>
    <row r="6020" spans="9:9" x14ac:dyDescent="0.25">
      <c r="I6020" s="42" t="str">
        <f t="shared" si="90"/>
        <v/>
      </c>
    </row>
    <row r="6021" spans="9:9" x14ac:dyDescent="0.25">
      <c r="I6021" s="42" t="str">
        <f t="shared" si="90"/>
        <v/>
      </c>
    </row>
    <row r="6022" spans="9:9" x14ac:dyDescent="0.25">
      <c r="I6022" s="42" t="str">
        <f t="shared" si="90"/>
        <v/>
      </c>
    </row>
    <row r="6023" spans="9:9" x14ac:dyDescent="0.25">
      <c r="I6023" s="42" t="str">
        <f t="shared" si="90"/>
        <v/>
      </c>
    </row>
    <row r="6024" spans="9:9" x14ac:dyDescent="0.25">
      <c r="I6024" s="42" t="str">
        <f t="shared" si="90"/>
        <v/>
      </c>
    </row>
    <row r="6025" spans="9:9" x14ac:dyDescent="0.25">
      <c r="I6025" s="42" t="str">
        <f t="shared" si="90"/>
        <v/>
      </c>
    </row>
    <row r="6026" spans="9:9" x14ac:dyDescent="0.25">
      <c r="I6026" s="42" t="str">
        <f t="shared" si="90"/>
        <v/>
      </c>
    </row>
    <row r="6027" spans="9:9" x14ac:dyDescent="0.25">
      <c r="I6027" s="42" t="str">
        <f t="shared" si="90"/>
        <v/>
      </c>
    </row>
    <row r="6028" spans="9:9" x14ac:dyDescent="0.25">
      <c r="I6028" s="42" t="str">
        <f t="shared" si="90"/>
        <v/>
      </c>
    </row>
    <row r="6029" spans="9:9" x14ac:dyDescent="0.25">
      <c r="I6029" s="42" t="str">
        <f t="shared" si="90"/>
        <v/>
      </c>
    </row>
    <row r="6030" spans="9:9" x14ac:dyDescent="0.25">
      <c r="I6030" s="42" t="str">
        <f t="shared" si="90"/>
        <v/>
      </c>
    </row>
    <row r="6031" spans="9:9" x14ac:dyDescent="0.25">
      <c r="I6031" s="42" t="str">
        <f t="shared" si="90"/>
        <v/>
      </c>
    </row>
    <row r="6032" spans="9:9" x14ac:dyDescent="0.25">
      <c r="I6032" s="42" t="str">
        <f t="shared" si="90"/>
        <v/>
      </c>
    </row>
    <row r="6033" spans="9:9" x14ac:dyDescent="0.25">
      <c r="I6033" s="42" t="str">
        <f t="shared" si="90"/>
        <v/>
      </c>
    </row>
    <row r="6034" spans="9:9" x14ac:dyDescent="0.25">
      <c r="I6034" s="42" t="str">
        <f t="shared" si="90"/>
        <v/>
      </c>
    </row>
    <row r="6035" spans="9:9" x14ac:dyDescent="0.25">
      <c r="I6035" s="42" t="str">
        <f t="shared" si="90"/>
        <v/>
      </c>
    </row>
    <row r="6036" spans="9:9" x14ac:dyDescent="0.25">
      <c r="I6036" s="42" t="str">
        <f t="shared" si="90"/>
        <v/>
      </c>
    </row>
    <row r="6037" spans="9:9" x14ac:dyDescent="0.25">
      <c r="I6037" s="42" t="str">
        <f t="shared" si="90"/>
        <v/>
      </c>
    </row>
    <row r="6038" spans="9:9" x14ac:dyDescent="0.25">
      <c r="I6038" s="42" t="str">
        <f t="shared" si="90"/>
        <v/>
      </c>
    </row>
    <row r="6039" spans="9:9" x14ac:dyDescent="0.25">
      <c r="I6039" s="42" t="str">
        <f t="shared" si="90"/>
        <v/>
      </c>
    </row>
    <row r="6040" spans="9:9" x14ac:dyDescent="0.25">
      <c r="I6040" s="42" t="str">
        <f t="shared" si="90"/>
        <v/>
      </c>
    </row>
    <row r="6041" spans="9:9" x14ac:dyDescent="0.25">
      <c r="I6041" s="42" t="str">
        <f t="shared" si="90"/>
        <v/>
      </c>
    </row>
    <row r="6042" spans="9:9" x14ac:dyDescent="0.25">
      <c r="I6042" s="42" t="str">
        <f t="shared" si="90"/>
        <v/>
      </c>
    </row>
    <row r="6043" spans="9:9" x14ac:dyDescent="0.25">
      <c r="I6043" s="42" t="str">
        <f t="shared" si="90"/>
        <v/>
      </c>
    </row>
    <row r="6044" spans="9:9" x14ac:dyDescent="0.25">
      <c r="I6044" s="42" t="str">
        <f t="shared" si="90"/>
        <v/>
      </c>
    </row>
    <row r="6045" spans="9:9" x14ac:dyDescent="0.25">
      <c r="I6045" s="42" t="str">
        <f t="shared" si="90"/>
        <v/>
      </c>
    </row>
    <row r="6046" spans="9:9" x14ac:dyDescent="0.25">
      <c r="I6046" s="42" t="str">
        <f t="shared" si="90"/>
        <v/>
      </c>
    </row>
    <row r="6047" spans="9:9" x14ac:dyDescent="0.25">
      <c r="I6047" s="42" t="str">
        <f t="shared" si="90"/>
        <v/>
      </c>
    </row>
    <row r="6048" spans="9:9" x14ac:dyDescent="0.25">
      <c r="I6048" s="42" t="str">
        <f t="shared" si="90"/>
        <v/>
      </c>
    </row>
    <row r="6049" spans="9:9" x14ac:dyDescent="0.25">
      <c r="I6049" s="42" t="str">
        <f t="shared" si="90"/>
        <v/>
      </c>
    </row>
    <row r="6050" spans="9:9" x14ac:dyDescent="0.25">
      <c r="I6050" s="42" t="str">
        <f t="shared" si="90"/>
        <v/>
      </c>
    </row>
    <row r="6051" spans="9:9" x14ac:dyDescent="0.25">
      <c r="I6051" s="42" t="str">
        <f t="shared" si="90"/>
        <v/>
      </c>
    </row>
    <row r="6052" spans="9:9" x14ac:dyDescent="0.25">
      <c r="I6052" s="42" t="str">
        <f t="shared" si="90"/>
        <v/>
      </c>
    </row>
    <row r="6053" spans="9:9" x14ac:dyDescent="0.25">
      <c r="I6053" s="42" t="str">
        <f t="shared" si="90"/>
        <v/>
      </c>
    </row>
    <row r="6054" spans="9:9" x14ac:dyDescent="0.25">
      <c r="I6054" s="42" t="str">
        <f t="shared" si="90"/>
        <v/>
      </c>
    </row>
    <row r="6055" spans="9:9" x14ac:dyDescent="0.25">
      <c r="I6055" s="42" t="str">
        <f t="shared" si="90"/>
        <v/>
      </c>
    </row>
    <row r="6056" spans="9:9" x14ac:dyDescent="0.25">
      <c r="I6056" s="42" t="str">
        <f t="shared" si="90"/>
        <v/>
      </c>
    </row>
    <row r="6057" spans="9:9" x14ac:dyDescent="0.25">
      <c r="I6057" s="42" t="str">
        <f t="shared" si="90"/>
        <v/>
      </c>
    </row>
    <row r="6058" spans="9:9" x14ac:dyDescent="0.25">
      <c r="I6058" s="42" t="str">
        <f t="shared" si="90"/>
        <v/>
      </c>
    </row>
    <row r="6059" spans="9:9" x14ac:dyDescent="0.25">
      <c r="I6059" s="42" t="str">
        <f t="shared" si="90"/>
        <v/>
      </c>
    </row>
    <row r="6060" spans="9:9" x14ac:dyDescent="0.25">
      <c r="I6060" s="42" t="str">
        <f t="shared" si="90"/>
        <v/>
      </c>
    </row>
    <row r="6061" spans="9:9" x14ac:dyDescent="0.25">
      <c r="I6061" s="42" t="str">
        <f t="shared" si="90"/>
        <v/>
      </c>
    </row>
    <row r="6062" spans="9:9" x14ac:dyDescent="0.25">
      <c r="I6062" s="42" t="str">
        <f t="shared" si="90"/>
        <v/>
      </c>
    </row>
    <row r="6063" spans="9:9" x14ac:dyDescent="0.25">
      <c r="I6063" s="42" t="str">
        <f t="shared" si="90"/>
        <v/>
      </c>
    </row>
    <row r="6064" spans="9:9" x14ac:dyDescent="0.25">
      <c r="I6064" s="42" t="str">
        <f t="shared" si="90"/>
        <v/>
      </c>
    </row>
    <row r="6065" spans="9:9" x14ac:dyDescent="0.25">
      <c r="I6065" s="42" t="str">
        <f t="shared" si="90"/>
        <v/>
      </c>
    </row>
    <row r="6066" spans="9:9" x14ac:dyDescent="0.25">
      <c r="I6066" s="42" t="str">
        <f t="shared" si="90"/>
        <v/>
      </c>
    </row>
    <row r="6067" spans="9:9" x14ac:dyDescent="0.25">
      <c r="I6067" s="42" t="str">
        <f t="shared" si="90"/>
        <v/>
      </c>
    </row>
    <row r="6068" spans="9:9" x14ac:dyDescent="0.25">
      <c r="I6068" s="42" t="str">
        <f t="shared" si="90"/>
        <v/>
      </c>
    </row>
    <row r="6069" spans="9:9" x14ac:dyDescent="0.25">
      <c r="I6069" s="42" t="str">
        <f t="shared" si="90"/>
        <v/>
      </c>
    </row>
    <row r="6070" spans="9:9" x14ac:dyDescent="0.25">
      <c r="I6070" s="42" t="str">
        <f t="shared" si="90"/>
        <v/>
      </c>
    </row>
    <row r="6071" spans="9:9" x14ac:dyDescent="0.25">
      <c r="I6071" s="42" t="str">
        <f t="shared" si="90"/>
        <v/>
      </c>
    </row>
    <row r="6072" spans="9:9" x14ac:dyDescent="0.25">
      <c r="I6072" s="42" t="str">
        <f t="shared" si="90"/>
        <v/>
      </c>
    </row>
    <row r="6073" spans="9:9" x14ac:dyDescent="0.25">
      <c r="I6073" s="42" t="str">
        <f t="shared" si="90"/>
        <v/>
      </c>
    </row>
    <row r="6074" spans="9:9" x14ac:dyDescent="0.25">
      <c r="I6074" s="42" t="str">
        <f t="shared" si="90"/>
        <v/>
      </c>
    </row>
    <row r="6075" spans="9:9" x14ac:dyDescent="0.25">
      <c r="I6075" s="42" t="str">
        <f t="shared" si="90"/>
        <v/>
      </c>
    </row>
    <row r="6076" spans="9:9" x14ac:dyDescent="0.25">
      <c r="I6076" s="42" t="str">
        <f t="shared" si="90"/>
        <v/>
      </c>
    </row>
    <row r="6077" spans="9:9" x14ac:dyDescent="0.25">
      <c r="I6077" s="42" t="str">
        <f t="shared" si="90"/>
        <v/>
      </c>
    </row>
    <row r="6078" spans="9:9" x14ac:dyDescent="0.25">
      <c r="I6078" s="42" t="str">
        <f t="shared" si="90"/>
        <v/>
      </c>
    </row>
    <row r="6079" spans="9:9" x14ac:dyDescent="0.25">
      <c r="I6079" s="42" t="str">
        <f t="shared" si="90"/>
        <v/>
      </c>
    </row>
    <row r="6080" spans="9:9" x14ac:dyDescent="0.25">
      <c r="I6080" s="42" t="str">
        <f t="shared" ref="I6080:I6143" si="91">IF(H6080&lt;&gt;"",H6080-H6079,"")</f>
        <v/>
      </c>
    </row>
    <row r="6081" spans="9:9" x14ac:dyDescent="0.25">
      <c r="I6081" s="42" t="str">
        <f t="shared" si="91"/>
        <v/>
      </c>
    </row>
    <row r="6082" spans="9:9" x14ac:dyDescent="0.25">
      <c r="I6082" s="42" t="str">
        <f t="shared" si="91"/>
        <v/>
      </c>
    </row>
    <row r="6083" spans="9:9" x14ac:dyDescent="0.25">
      <c r="I6083" s="42" t="str">
        <f t="shared" si="91"/>
        <v/>
      </c>
    </row>
    <row r="6084" spans="9:9" x14ac:dyDescent="0.25">
      <c r="I6084" s="42" t="str">
        <f t="shared" si="91"/>
        <v/>
      </c>
    </row>
    <row r="6085" spans="9:9" x14ac:dyDescent="0.25">
      <c r="I6085" s="42" t="str">
        <f t="shared" si="91"/>
        <v/>
      </c>
    </row>
    <row r="6086" spans="9:9" x14ac:dyDescent="0.25">
      <c r="I6086" s="42" t="str">
        <f t="shared" si="91"/>
        <v/>
      </c>
    </row>
    <row r="6087" spans="9:9" x14ac:dyDescent="0.25">
      <c r="I6087" s="42" t="str">
        <f t="shared" si="91"/>
        <v/>
      </c>
    </row>
    <row r="6088" spans="9:9" x14ac:dyDescent="0.25">
      <c r="I6088" s="42" t="str">
        <f t="shared" si="91"/>
        <v/>
      </c>
    </row>
    <row r="6089" spans="9:9" x14ac:dyDescent="0.25">
      <c r="I6089" s="42" t="str">
        <f t="shared" si="91"/>
        <v/>
      </c>
    </row>
    <row r="6090" spans="9:9" x14ac:dyDescent="0.25">
      <c r="I6090" s="42" t="str">
        <f t="shared" si="91"/>
        <v/>
      </c>
    </row>
    <row r="6091" spans="9:9" x14ac:dyDescent="0.25">
      <c r="I6091" s="42" t="str">
        <f t="shared" si="91"/>
        <v/>
      </c>
    </row>
    <row r="6092" spans="9:9" x14ac:dyDescent="0.25">
      <c r="I6092" s="42" t="str">
        <f t="shared" si="91"/>
        <v/>
      </c>
    </row>
    <row r="6093" spans="9:9" x14ac:dyDescent="0.25">
      <c r="I6093" s="42" t="str">
        <f t="shared" si="91"/>
        <v/>
      </c>
    </row>
    <row r="6094" spans="9:9" x14ac:dyDescent="0.25">
      <c r="I6094" s="42" t="str">
        <f t="shared" si="91"/>
        <v/>
      </c>
    </row>
    <row r="6095" spans="9:9" x14ac:dyDescent="0.25">
      <c r="I6095" s="42" t="str">
        <f t="shared" si="91"/>
        <v/>
      </c>
    </row>
    <row r="6096" spans="9:9" x14ac:dyDescent="0.25">
      <c r="I6096" s="42" t="str">
        <f t="shared" si="91"/>
        <v/>
      </c>
    </row>
    <row r="6097" spans="9:9" x14ac:dyDescent="0.25">
      <c r="I6097" s="42" t="str">
        <f t="shared" si="91"/>
        <v/>
      </c>
    </row>
    <row r="6098" spans="9:9" x14ac:dyDescent="0.25">
      <c r="I6098" s="42" t="str">
        <f t="shared" si="91"/>
        <v/>
      </c>
    </row>
    <row r="6099" spans="9:9" x14ac:dyDescent="0.25">
      <c r="I6099" s="42" t="str">
        <f t="shared" si="91"/>
        <v/>
      </c>
    </row>
    <row r="6100" spans="9:9" x14ac:dyDescent="0.25">
      <c r="I6100" s="42" t="str">
        <f t="shared" si="91"/>
        <v/>
      </c>
    </row>
    <row r="6101" spans="9:9" x14ac:dyDescent="0.25">
      <c r="I6101" s="42" t="str">
        <f t="shared" si="91"/>
        <v/>
      </c>
    </row>
    <row r="6102" spans="9:9" x14ac:dyDescent="0.25">
      <c r="I6102" s="42" t="str">
        <f t="shared" si="91"/>
        <v/>
      </c>
    </row>
    <row r="6103" spans="9:9" x14ac:dyDescent="0.25">
      <c r="I6103" s="42" t="str">
        <f t="shared" si="91"/>
        <v/>
      </c>
    </row>
    <row r="6104" spans="9:9" x14ac:dyDescent="0.25">
      <c r="I6104" s="42" t="str">
        <f t="shared" si="91"/>
        <v/>
      </c>
    </row>
    <row r="6105" spans="9:9" x14ac:dyDescent="0.25">
      <c r="I6105" s="42" t="str">
        <f t="shared" si="91"/>
        <v/>
      </c>
    </row>
    <row r="6106" spans="9:9" x14ac:dyDescent="0.25">
      <c r="I6106" s="42" t="str">
        <f t="shared" si="91"/>
        <v/>
      </c>
    </row>
    <row r="6107" spans="9:9" x14ac:dyDescent="0.25">
      <c r="I6107" s="42" t="str">
        <f t="shared" si="91"/>
        <v/>
      </c>
    </row>
    <row r="6108" spans="9:9" x14ac:dyDescent="0.25">
      <c r="I6108" s="42" t="str">
        <f t="shared" si="91"/>
        <v/>
      </c>
    </row>
    <row r="6109" spans="9:9" x14ac:dyDescent="0.25">
      <c r="I6109" s="42" t="str">
        <f t="shared" si="91"/>
        <v/>
      </c>
    </row>
    <row r="6110" spans="9:9" x14ac:dyDescent="0.25">
      <c r="I6110" s="42" t="str">
        <f t="shared" si="91"/>
        <v/>
      </c>
    </row>
    <row r="6111" spans="9:9" x14ac:dyDescent="0.25">
      <c r="I6111" s="42" t="str">
        <f t="shared" si="91"/>
        <v/>
      </c>
    </row>
    <row r="6112" spans="9:9" x14ac:dyDescent="0.25">
      <c r="I6112" s="42" t="str">
        <f t="shared" si="91"/>
        <v/>
      </c>
    </row>
    <row r="6113" spans="9:9" x14ac:dyDescent="0.25">
      <c r="I6113" s="42" t="str">
        <f t="shared" si="91"/>
        <v/>
      </c>
    </row>
    <row r="6114" spans="9:9" x14ac:dyDescent="0.25">
      <c r="I6114" s="42" t="str">
        <f t="shared" si="91"/>
        <v/>
      </c>
    </row>
    <row r="6115" spans="9:9" x14ac:dyDescent="0.25">
      <c r="I6115" s="42" t="str">
        <f t="shared" si="91"/>
        <v/>
      </c>
    </row>
    <row r="6116" spans="9:9" x14ac:dyDescent="0.25">
      <c r="I6116" s="42" t="str">
        <f t="shared" si="91"/>
        <v/>
      </c>
    </row>
    <row r="6117" spans="9:9" x14ac:dyDescent="0.25">
      <c r="I6117" s="42" t="str">
        <f t="shared" si="91"/>
        <v/>
      </c>
    </row>
    <row r="6118" spans="9:9" x14ac:dyDescent="0.25">
      <c r="I6118" s="42" t="str">
        <f t="shared" si="91"/>
        <v/>
      </c>
    </row>
    <row r="6119" spans="9:9" x14ac:dyDescent="0.25">
      <c r="I6119" s="42" t="str">
        <f t="shared" si="91"/>
        <v/>
      </c>
    </row>
    <row r="6120" spans="9:9" x14ac:dyDescent="0.25">
      <c r="I6120" s="42" t="str">
        <f t="shared" si="91"/>
        <v/>
      </c>
    </row>
    <row r="6121" spans="9:9" x14ac:dyDescent="0.25">
      <c r="I6121" s="42" t="str">
        <f t="shared" si="91"/>
        <v/>
      </c>
    </row>
    <row r="6122" spans="9:9" x14ac:dyDescent="0.25">
      <c r="I6122" s="42" t="str">
        <f t="shared" si="91"/>
        <v/>
      </c>
    </row>
    <row r="6123" spans="9:9" x14ac:dyDescent="0.25">
      <c r="I6123" s="42" t="str">
        <f t="shared" si="91"/>
        <v/>
      </c>
    </row>
    <row r="6124" spans="9:9" x14ac:dyDescent="0.25">
      <c r="I6124" s="42" t="str">
        <f t="shared" si="91"/>
        <v/>
      </c>
    </row>
    <row r="6125" spans="9:9" x14ac:dyDescent="0.25">
      <c r="I6125" s="42" t="str">
        <f t="shared" si="91"/>
        <v/>
      </c>
    </row>
    <row r="6126" spans="9:9" x14ac:dyDescent="0.25">
      <c r="I6126" s="42" t="str">
        <f t="shared" si="91"/>
        <v/>
      </c>
    </row>
    <row r="6127" spans="9:9" x14ac:dyDescent="0.25">
      <c r="I6127" s="42" t="str">
        <f t="shared" si="91"/>
        <v/>
      </c>
    </row>
    <row r="6128" spans="9:9" x14ac:dyDescent="0.25">
      <c r="I6128" s="42" t="str">
        <f t="shared" si="91"/>
        <v/>
      </c>
    </row>
    <row r="6129" spans="9:9" x14ac:dyDescent="0.25">
      <c r="I6129" s="42" t="str">
        <f t="shared" si="91"/>
        <v/>
      </c>
    </row>
    <row r="6130" spans="9:9" x14ac:dyDescent="0.25">
      <c r="I6130" s="42" t="str">
        <f t="shared" si="91"/>
        <v/>
      </c>
    </row>
    <row r="6131" spans="9:9" x14ac:dyDescent="0.25">
      <c r="I6131" s="42" t="str">
        <f t="shared" si="91"/>
        <v/>
      </c>
    </row>
    <row r="6132" spans="9:9" x14ac:dyDescent="0.25">
      <c r="I6132" s="42" t="str">
        <f t="shared" si="91"/>
        <v/>
      </c>
    </row>
    <row r="6133" spans="9:9" x14ac:dyDescent="0.25">
      <c r="I6133" s="42" t="str">
        <f t="shared" si="91"/>
        <v/>
      </c>
    </row>
    <row r="6134" spans="9:9" x14ac:dyDescent="0.25">
      <c r="I6134" s="42" t="str">
        <f t="shared" si="91"/>
        <v/>
      </c>
    </row>
    <row r="6135" spans="9:9" x14ac:dyDescent="0.25">
      <c r="I6135" s="42" t="str">
        <f t="shared" si="91"/>
        <v/>
      </c>
    </row>
    <row r="6136" spans="9:9" x14ac:dyDescent="0.25">
      <c r="I6136" s="42" t="str">
        <f t="shared" si="91"/>
        <v/>
      </c>
    </row>
    <row r="6137" spans="9:9" x14ac:dyDescent="0.25">
      <c r="I6137" s="42" t="str">
        <f t="shared" si="91"/>
        <v/>
      </c>
    </row>
    <row r="6138" spans="9:9" x14ac:dyDescent="0.25">
      <c r="I6138" s="42" t="str">
        <f t="shared" si="91"/>
        <v/>
      </c>
    </row>
    <row r="6139" spans="9:9" x14ac:dyDescent="0.25">
      <c r="I6139" s="42" t="str">
        <f t="shared" si="91"/>
        <v/>
      </c>
    </row>
    <row r="6140" spans="9:9" x14ac:dyDescent="0.25">
      <c r="I6140" s="42" t="str">
        <f t="shared" si="91"/>
        <v/>
      </c>
    </row>
    <row r="6141" spans="9:9" x14ac:dyDescent="0.25">
      <c r="I6141" s="42" t="str">
        <f t="shared" si="91"/>
        <v/>
      </c>
    </row>
    <row r="6142" spans="9:9" x14ac:dyDescent="0.25">
      <c r="I6142" s="42" t="str">
        <f t="shared" si="91"/>
        <v/>
      </c>
    </row>
    <row r="6143" spans="9:9" x14ac:dyDescent="0.25">
      <c r="I6143" s="42" t="str">
        <f t="shared" si="91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MyPortfolio</vt:lpstr>
      <vt:lpstr>DataSource</vt:lpstr>
      <vt:lpstr>Tracker_History</vt:lpstr>
    </vt:vector>
  </TitlesOfParts>
  <Company>CryptoMarqz Enterprise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Crypto Currency Manager</dc:title>
  <dc:creator>CryptoMarqz</dc:creator>
  <cp:lastModifiedBy>CryptoMarqz</cp:lastModifiedBy>
  <dcterms:created xsi:type="dcterms:W3CDTF">2017-09-01T04:49:25Z</dcterms:created>
  <dcterms:modified xsi:type="dcterms:W3CDTF">2018-01-12T21:03:41Z</dcterms:modified>
</cp:coreProperties>
</file>